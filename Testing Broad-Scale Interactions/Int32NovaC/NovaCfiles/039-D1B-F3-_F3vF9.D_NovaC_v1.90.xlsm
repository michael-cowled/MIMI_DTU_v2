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2.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drawings/drawing3.xml" ContentType="application/vnd.openxmlformats-officedocument.drawing+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harts/chart9.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ml.chartshapes+xml"/>
  <Override PartName="/xl/charts/chart10.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ml.chartshapes+xml"/>
  <Override PartName="/xl/drawings/drawing6.xml" ContentType="application/vnd.openxmlformats-officedocument.drawing+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harts/chart11.xml" ContentType="application/vnd.openxmlformats-officedocument.drawingml.chart+xml"/>
  <Override PartName="/xl/charts/style3.xml" ContentType="application/vnd.ms-office.chartstyle+xml"/>
  <Override PartName="/xl/charts/colors3.xml" ContentType="application/vnd.ms-office.chartcolorstyle+xml"/>
  <Override PartName="/xl/charts/chart12.xml" ContentType="application/vnd.openxmlformats-officedocument.drawingml.chart+xml"/>
  <Override PartName="/xl/charts/style4.xml" ContentType="application/vnd.ms-office.chartstyle+xml"/>
  <Override PartName="/xl/charts/colors4.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harts/chart13.xml" ContentType="application/vnd.openxmlformats-officedocument.drawingml.chart+xml"/>
  <Override PartName="/xl/charts/style5.xml" ContentType="application/vnd.ms-office.chartstyle+xml"/>
  <Override PartName="/xl/charts/colors5.xml" ContentType="application/vnd.ms-office.chartcolorstyle+xml"/>
  <Override PartName="/xl/drawings/drawing9.xml" ContentType="application/vnd.openxmlformats-officedocument.drawingml.chartshapes+xml"/>
  <Override PartName="/xl/drawings/drawing10.xml" ContentType="application/vnd.openxmlformats-officedocument.drawing+xml"/>
  <Override PartName="/xl/activeX/activeX1.xml" ContentType="application/vnd.ms-office.activeX+xml"/>
  <Override PartName="/xl/activeX/activeX1.bin" ContentType="application/vnd.ms-office.activeX"/>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harts/chart14.xml" ContentType="application/vnd.openxmlformats-officedocument.drawingml.chart+xml"/>
  <Override PartName="/xl/charts/style6.xml" ContentType="application/vnd.ms-office.chartstyle+xml"/>
  <Override PartName="/xl/charts/colors6.xml" ContentType="application/vnd.ms-office.chartcolorstyle+xml"/>
  <Override PartName="/xl/drawings/drawing11.xml" ContentType="application/vnd.openxmlformats-officedocument.drawingml.chartshapes+xml"/>
  <Override PartName="/xl/charts/chart15.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2.xml" ContentType="application/vnd.openxmlformats-officedocument.drawing+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drawings/drawing13.xml" ContentType="application/vnd.openxmlformats-officedocument.drawing+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mc:AlternateContent xmlns:mc="http://schemas.openxmlformats.org/markup-compatibility/2006">
    <mc:Choice Requires="x15">
      <x15ac:absPath xmlns:x15ac="http://schemas.microsoft.com/office/spreadsheetml/2010/11/ac" url="Z:\Staff\Michael\Metabolomics\Int_Exp_32_novaC\13602_NCE222.S\NovaCfiles\"/>
    </mc:Choice>
  </mc:AlternateContent>
  <xr:revisionPtr revIDLastSave="0" documentId="13_ncr:1_{C5A4A5C1-3FED-44F7-9944-567B48CF9E31}" xr6:coauthVersionLast="45" xr6:coauthVersionMax="45" xr10:uidLastSave="{00000000-0000-0000-0000-000000000000}"/>
  <bookViews>
    <workbookView xWindow="-120" yWindow="-120" windowWidth="29040" windowHeight="15840" xr2:uid="{00000000-000D-0000-FFFF-FFFF00000000}"/>
  </bookViews>
  <sheets>
    <sheet name="Peaks" sheetId="1" r:id="rId1"/>
    <sheet name="Summary" sheetId="11" r:id="rId2"/>
    <sheet name="Chromatograms" sheetId="14" r:id="rId3"/>
    <sheet name="Overlay" sheetId="12" r:id="rId4"/>
    <sheet name="UVGrid" sheetId="15" r:id="rId5"/>
    <sheet name="UVSearch" sheetId="17" r:id="rId6"/>
    <sheet name="Database" sheetId="16" r:id="rId7"/>
    <sheet name="Controls" sheetId="10" r:id="rId8"/>
    <sheet name="UVVisData" sheetId="2" state="hidden" r:id="rId9"/>
    <sheet name="NormalisedUVVisData" sheetId="3" state="hidden" r:id="rId10"/>
    <sheet name="PeakLabels" sheetId="5" state="hidden" r:id="rId11"/>
    <sheet name="MSData" sheetId="7" state="hidden" r:id="rId12"/>
    <sheet name="MSSpectra" sheetId="8" state="hidden" r:id="rId13"/>
    <sheet name="MSPeakLabels" sheetId="9" state="hidden" r:id="rId14"/>
    <sheet name="ChromatogramData" sheetId="13" state="hidden" r:id="rId15"/>
  </sheets>
  <functionGroups builtInGroupCount="19"/>
  <definedNames>
    <definedName name="_xlnm._FilterDatabase" localSheetId="6" hidden="1">Database!$B$1:$HX$1</definedName>
    <definedName name="_xlnm._FilterDatabase" localSheetId="0" hidden="1">Peaks!$A$4:$S$4</definedName>
  </definedNames>
  <calcPr calcId="191029" calcMode="manual" calcOnSav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3" i="11" l="1"/>
  <c r="L6" i="11"/>
  <c r="L29" i="11" l="1"/>
  <c r="M29" i="11" s="1"/>
  <c r="L28" i="11"/>
  <c r="M28" i="11" s="1"/>
  <c r="L27" i="11"/>
  <c r="M27" i="11" s="1"/>
  <c r="L26" i="11"/>
  <c r="M26" i="11" s="1"/>
  <c r="L25" i="11"/>
  <c r="M25" i="11" s="1"/>
  <c r="L24" i="11"/>
  <c r="M24" i="11" s="1"/>
  <c r="L23" i="11"/>
  <c r="M23" i="11" s="1"/>
  <c r="L22" i="11"/>
  <c r="M22" i="11" s="1"/>
  <c r="L21" i="11"/>
  <c r="M21" i="11" s="1"/>
  <c r="L20" i="11"/>
  <c r="M20" i="11" s="1"/>
  <c r="L19" i="11"/>
  <c r="M19" i="11" s="1"/>
  <c r="L18" i="11"/>
  <c r="M18" i="11" s="1"/>
  <c r="L17" i="11"/>
  <c r="M17" i="11" s="1"/>
  <c r="L16" i="11"/>
  <c r="M16" i="11" s="1"/>
  <c r="L15" i="11"/>
  <c r="M15" i="11" s="1"/>
  <c r="L14" i="11"/>
  <c r="M14" i="11" s="1"/>
  <c r="L13" i="11"/>
  <c r="M13" i="11" s="1"/>
  <c r="L12" i="11"/>
  <c r="M12" i="11" s="1"/>
  <c r="L11" i="11"/>
  <c r="M11" i="11" s="1"/>
  <c r="L10" i="11"/>
  <c r="M10" i="11" s="1"/>
  <c r="D5" i="1" l="1"/>
  <c r="D6" i="1"/>
  <c r="D7" i="1"/>
  <c r="D8" i="1"/>
  <c r="D9" i="1"/>
  <c r="D10" i="1"/>
  <c r="D11" i="1"/>
  <c r="D12" i="1"/>
  <c r="L9" i="11" l="1"/>
  <c r="M9" i="11" s="1"/>
  <c r="L8" i="11"/>
  <c r="M8" i="11" s="1"/>
  <c r="L7" i="11"/>
  <c r="M7" i="11" s="1"/>
  <c r="M6" i="11"/>
  <c r="L5" i="11"/>
  <c r="M5" i="11" s="1"/>
  <c r="L4" i="11"/>
  <c r="M4" i="11" s="1"/>
  <c r="M3" i="11"/>
  <c r="L2" i="11"/>
  <c r="M2" i="11" s="1"/>
  <c r="F12" i="1" l="1"/>
  <c r="F11" i="1"/>
  <c r="F10" i="1"/>
  <c r="F9" i="1"/>
  <c r="F8" i="1"/>
  <c r="F7" i="1"/>
  <c r="F6" i="1"/>
  <c r="F5" i="1"/>
  <c r="I24" i="11" l="1"/>
  <c r="E24" i="11"/>
  <c r="E22" i="11"/>
  <c r="I22" i="11"/>
  <c r="G20" i="11" l="1"/>
  <c r="G18" i="11"/>
  <c r="G16" i="11"/>
  <c r="G14" i="11"/>
  <c r="G12" i="11"/>
  <c r="G10" i="11"/>
  <c r="C20" i="11"/>
  <c r="C18" i="11"/>
  <c r="C16" i="11"/>
  <c r="C14" i="11"/>
  <c r="C12" i="11"/>
  <c r="C10" i="11"/>
  <c r="G4" i="11"/>
  <c r="G6" i="11"/>
  <c r="G8" i="11"/>
  <c r="C8" i="11"/>
  <c r="C6" i="11"/>
  <c r="C4" i="11"/>
  <c r="I20" i="11" l="1"/>
  <c r="I18" i="11"/>
  <c r="I16" i="11"/>
  <c r="I14" i="11"/>
  <c r="I12" i="11"/>
  <c r="I10" i="11"/>
  <c r="E20" i="11" l="1"/>
  <c r="E18" i="11"/>
  <c r="E16" i="11"/>
  <c r="E14" i="11"/>
  <c r="E12" i="11"/>
  <c r="E10" i="11"/>
  <c r="E8" i="11"/>
  <c r="E6" i="11"/>
  <c r="E4" i="11"/>
  <c r="I12" i="1"/>
  <c r="I7" i="1"/>
  <c r="I11" i="1"/>
  <c r="I6" i="1"/>
  <c r="I8" i="1"/>
  <c r="I10" i="1"/>
  <c r="I5" i="1"/>
  <c r="I9" i="1"/>
  <c r="K12" i="1"/>
  <c r="K11" i="1"/>
  <c r="K7" i="1"/>
  <c r="K9" i="1"/>
  <c r="K8" i="1"/>
  <c r="K6" i="1"/>
  <c r="K5" i="1"/>
  <c r="K10" i="1"/>
</calcChain>
</file>

<file path=xl/sharedStrings.xml><?xml version="1.0" encoding="utf-8"?>
<sst xmlns="http://schemas.openxmlformats.org/spreadsheetml/2006/main" count="206" uniqueCount="154">
  <si>
    <t>RetTime</t>
  </si>
  <si>
    <t>Area</t>
  </si>
  <si>
    <t>%Area</t>
  </si>
  <si>
    <t>Cum%Area</t>
  </si>
  <si>
    <t>UV-Vis</t>
  </si>
  <si>
    <t>WL</t>
  </si>
  <si>
    <t>ID</t>
  </si>
  <si>
    <t>Path:</t>
  </si>
  <si>
    <t>Name:</t>
  </si>
  <si>
    <t>MW</t>
  </si>
  <si>
    <t>MS Positive</t>
  </si>
  <si>
    <t>MS Negative</t>
  </si>
  <si>
    <t>UV Peaks</t>
  </si>
  <si>
    <t>Pos/Neg</t>
  </si>
  <si>
    <t>Rank</t>
  </si>
  <si>
    <t>X</t>
  </si>
  <si>
    <t>Total number of peaks</t>
  </si>
  <si>
    <t>Total peak Area</t>
  </si>
  <si>
    <t>#</t>
  </si>
  <si>
    <t>%</t>
  </si>
  <si>
    <t>Cutoffs</t>
  </si>
  <si>
    <t>Peaks - UV</t>
  </si>
  <si>
    <t>Area - UV</t>
  </si>
  <si>
    <t>Peaks - Non-UV</t>
  </si>
  <si>
    <t>Area - Non-UV</t>
  </si>
  <si>
    <t>Red numbers are NOT linked to summary</t>
  </si>
  <si>
    <t>(min)</t>
  </si>
  <si>
    <t>(ratio)</t>
  </si>
  <si>
    <t>Class A</t>
  </si>
  <si>
    <t>Time</t>
  </si>
  <si>
    <t>x</t>
  </si>
  <si>
    <t>Height</t>
  </si>
  <si>
    <t>Peak</t>
  </si>
  <si>
    <t>210 nm</t>
  </si>
  <si>
    <t>254 nm</t>
  </si>
  <si>
    <t>MS Pos</t>
  </si>
  <si>
    <t>MS Neg</t>
  </si>
  <si>
    <t>210raw</t>
  </si>
  <si>
    <t>254raw</t>
  </si>
  <si>
    <t>Posraw</t>
  </si>
  <si>
    <t>Negraw</t>
  </si>
  <si>
    <t>Rel Height</t>
  </si>
  <si>
    <t>Inconclusive</t>
  </si>
  <si>
    <t>Unresolved</t>
  </si>
  <si>
    <r>
      <rPr>
        <b/>
        <sz val="11"/>
        <color theme="1"/>
        <rFont val="Calibri"/>
        <family val="2"/>
        <scheme val="minor"/>
      </rPr>
      <t>Step 1</t>
    </r>
    <r>
      <rPr>
        <sz val="11"/>
        <color theme="1"/>
        <rFont val="Calibri"/>
        <family val="2"/>
        <scheme val="minor"/>
      </rPr>
      <t>: Highlight label in list -----&gt;</t>
    </r>
  </si>
  <si>
    <r>
      <rPr>
        <b/>
        <sz val="11"/>
        <color theme="1"/>
        <rFont val="Calibri"/>
        <family val="2"/>
        <scheme val="minor"/>
      </rPr>
      <t>Step 2:</t>
    </r>
    <r>
      <rPr>
        <sz val="11"/>
        <color theme="1"/>
        <rFont val="Calibri"/>
        <family val="2"/>
        <scheme val="minor"/>
      </rPr>
      <t xml:space="preserve"> Click on a button below</t>
    </r>
  </si>
  <si>
    <t>Peaks - Hidden</t>
  </si>
  <si>
    <t>Exclude hidden peak area (0=No;1=Yes)</t>
  </si>
  <si>
    <t>Peak Label</t>
  </si>
  <si>
    <t>Class B</t>
  </si>
  <si>
    <t>Class C</t>
  </si>
  <si>
    <t>Class D</t>
  </si>
  <si>
    <t>Class E</t>
  </si>
  <si>
    <t>Class F</t>
  </si>
  <si>
    <t>Class G</t>
  </si>
  <si>
    <t>Class H</t>
  </si>
  <si>
    <t>Class I</t>
  </si>
  <si>
    <t>Class J</t>
  </si>
  <si>
    <t>Class K</t>
  </si>
  <si>
    <t>Class L</t>
  </si>
  <si>
    <t>Class M</t>
  </si>
  <si>
    <t>Class N</t>
  </si>
  <si>
    <t>Class O</t>
  </si>
  <si>
    <t>Class P</t>
  </si>
  <si>
    <t>Notes</t>
  </si>
  <si>
    <t>Class Q</t>
  </si>
  <si>
    <t>Class R</t>
  </si>
  <si>
    <t>Class S</t>
  </si>
  <si>
    <t>Class T</t>
  </si>
  <si>
    <t>Class U</t>
  </si>
  <si>
    <t>Class V</t>
  </si>
  <si>
    <t>Class W</t>
  </si>
  <si>
    <t>Class X</t>
  </si>
  <si>
    <t>Class Y</t>
  </si>
  <si>
    <t>Class Z</t>
  </si>
  <si>
    <t>Click Mode</t>
  </si>
  <si>
    <t>Relative Peak Threshold</t>
  </si>
  <si>
    <t>Absolute Peak Threshold</t>
  </si>
  <si>
    <t>Zap Peak Distance</t>
  </si>
  <si>
    <t>Relative Shoulder Threshold</t>
  </si>
  <si>
    <t>Absolute Shoulder Threshold</t>
  </si>
  <si>
    <t>Zap Shoulder Distance</t>
  </si>
  <si>
    <t>mAU</t>
  </si>
  <si>
    <t>nm</t>
  </si>
  <si>
    <t>Shoulder Sensitivity</t>
  </si>
  <si>
    <t>Slope Sensitivity</t>
  </si>
  <si>
    <t>To hide or show a particular class:</t>
  </si>
  <si>
    <t>Peak Label Settings</t>
  </si>
  <si>
    <t>Bogus Spectrum Sensitivity</t>
  </si>
  <si>
    <t>Bogus Spectrum Label</t>
  </si>
  <si>
    <t>Name</t>
  </si>
  <si>
    <t>Unique</t>
  </si>
  <si>
    <t>Retention Time</t>
  </si>
  <si>
    <t>Exact Mass</t>
  </si>
  <si>
    <t>Copy Table Settings</t>
  </si>
  <si>
    <t>Grid Options</t>
  </si>
  <si>
    <t>Auto Class and Database Lookup Settings</t>
  </si>
  <si>
    <t>Hash</t>
  </si>
  <si>
    <t>Root Mean Square</t>
  </si>
  <si>
    <t>Area Between Curves</t>
  </si>
  <si>
    <t>Kolmogorov-Smirnov</t>
  </si>
  <si>
    <t>Fréchet distance</t>
  </si>
  <si>
    <t>Euclidean Distance</t>
  </si>
  <si>
    <t>Sensitivity</t>
  </si>
  <si>
    <t>Range</t>
  </si>
  <si>
    <t>Algorithm for comparing UV-vis spectra</t>
  </si>
  <si>
    <t>Wavelengths of spectra to compare</t>
  </si>
  <si>
    <t>Retention Time Tolerance</t>
  </si>
  <si>
    <t>min</t>
  </si>
  <si>
    <t>Step</t>
  </si>
  <si>
    <t>Simplify</t>
  </si>
  <si>
    <t>RT</t>
  </si>
  <si>
    <t>Match</t>
  </si>
  <si>
    <t>l</t>
  </si>
  <si>
    <t>Down</t>
  </si>
  <si>
    <t>Up</t>
  </si>
  <si>
    <t>Wavelengths of spectra to search</t>
  </si>
  <si>
    <t>Max Rank</t>
  </si>
  <si>
    <t>Maximum Rank (return the 'n' largest peaks)</t>
  </si>
  <si>
    <t>Minimum absolute area of peak</t>
  </si>
  <si>
    <t>% Area</t>
  </si>
  <si>
    <t>Minimum percent of total peak area</t>
  </si>
  <si>
    <t>Minimum absolute peak height</t>
  </si>
  <si>
    <t>Minimum relative peak height (Largest peak = 100%)</t>
  </si>
  <si>
    <t>Min RT</t>
  </si>
  <si>
    <t>Minimum retention time (increase to avoid solvent front/early eluting peaks)</t>
  </si>
  <si>
    <t>Max RT</t>
  </si>
  <si>
    <t>Maximum retention time (decrease to avoid reequilibration artifacts/fats)</t>
  </si>
  <si>
    <t>Database "Add Peaks" Selection</t>
  </si>
  <si>
    <t>Maximum Database Hits to Display</t>
  </si>
  <si>
    <t>Filename</t>
  </si>
  <si>
    <t>Append to Database Peak Name</t>
  </si>
  <si>
    <t>Peak Name if no ID</t>
  </si>
  <si>
    <t>NovaC v1.90</t>
  </si>
  <si>
    <t>(02 Dec 2019)</t>
  </si>
  <si>
    <t>E:\HPLC 2 Data\13602_NCE222\13602_NCE222 2020-09-24 17-34-15\039-D1B-F3-_F3vF9.D</t>
  </si>
  <si>
    <t>_F3vF9</t>
  </si>
  <si>
    <t>WL(nm)</t>
  </si>
  <si>
    <t>294s</t>
  </si>
  <si>
    <t>320s</t>
  </si>
  <si>
    <t>336s</t>
  </si>
  <si>
    <t>348s</t>
  </si>
  <si>
    <t>406s</t>
  </si>
  <si>
    <t>412s</t>
  </si>
  <si>
    <t>558s</t>
  </si>
  <si>
    <t>214s</t>
  </si>
  <si>
    <t>1</t>
  </si>
  <si>
    <t>2</t>
  </si>
  <si>
    <t>3</t>
  </si>
  <si>
    <t>4</t>
  </si>
  <si>
    <t>5</t>
  </si>
  <si>
    <t>6</t>
  </si>
  <si>
    <t>7</t>
  </si>
  <si>
    <t>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</si>
</sst>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
  </numFmts>
  <fonts count="23" x14ac:knownFonts="1">
    <font>
      <sz val="11"/>
      <color theme="1"/>
      <name val="Calibri"/>
      <family val="2"/>
      <scheme val="minor"/>
    </font>
    <font>
      <b/>
      <sz val="14"/>
      <color theme="1"/>
      <name val="Calibri"/>
      <family val="2"/>
      <scheme val="minor"/>
    </font>
    <font>
      <sz val="12"/>
      <color theme="1"/>
      <name val="Calibri"/>
      <family val="2"/>
      <scheme val="minor"/>
    </font>
    <font>
      <sz val="11"/>
      <color rgb="FF000000"/>
      <name val="Calibri"/>
      <family val="2"/>
    </font>
    <font>
      <b/>
      <sz val="11"/>
      <color theme="1"/>
      <name val="Calibri"/>
      <family val="2"/>
      <scheme val="minor"/>
    </font>
    <font>
      <b/>
      <sz val="11"/>
      <color rgb="FFFF0000"/>
      <name val="Calibri"/>
      <family val="2"/>
      <scheme val="minor"/>
    </font>
    <font>
      <b/>
      <sz val="11"/>
      <color rgb="FF0000FF"/>
      <name val="Calibri"/>
      <family val="2"/>
      <scheme val="minor"/>
    </font>
    <font>
      <b/>
      <sz val="11"/>
      <name val="Calibri"/>
      <family val="2"/>
      <scheme val="minor"/>
    </font>
    <font>
      <sz val="11"/>
      <color theme="1"/>
      <name val="Calibri"/>
      <family val="2"/>
      <scheme val="minor"/>
    </font>
    <font>
      <sz val="11"/>
      <color rgb="FFFF0000"/>
      <name val="Calibri"/>
      <family val="2"/>
      <scheme val="minor"/>
    </font>
    <font>
      <b/>
      <sz val="12"/>
      <color theme="1"/>
      <name val="Calibri"/>
      <family val="2"/>
      <scheme val="minor"/>
    </font>
    <font>
      <sz val="8"/>
      <color rgb="FF000000"/>
      <name val="Segoe UI"/>
      <family val="2"/>
    </font>
    <font>
      <b/>
      <sz val="12"/>
      <color rgb="FFFF0000"/>
      <name val="Calibri"/>
      <family val="2"/>
      <scheme val="minor"/>
    </font>
    <font>
      <b/>
      <sz val="14"/>
      <color rgb="FFFF0000"/>
      <name val="Calibri"/>
      <family val="2"/>
      <scheme val="minor"/>
    </font>
    <font>
      <i/>
      <sz val="11"/>
      <color theme="1"/>
      <name val="Calibri"/>
      <family val="2"/>
      <scheme val="minor"/>
    </font>
    <font>
      <b/>
      <sz val="14"/>
      <color rgb="FFFF0000"/>
      <name val="Calibri"/>
      <family val="2"/>
    </font>
    <font>
      <sz val="14"/>
      <color rgb="FF000000"/>
      <name val="Calibri"/>
      <family val="2"/>
    </font>
    <font>
      <sz val="16"/>
      <color rgb="FF000000"/>
      <name val="Calibri"/>
      <family val="2"/>
    </font>
    <font>
      <b/>
      <sz val="14"/>
      <color rgb="FF000000"/>
      <name val="Calibri"/>
      <family val="2"/>
    </font>
    <font>
      <sz val="10"/>
      <color theme="1"/>
      <name val="Calibri"/>
      <family val="2"/>
      <scheme val="minor"/>
    </font>
    <font>
      <sz val="8"/>
      <color rgb="FF000000"/>
      <name val="Calibri"/>
      <family val="2"/>
    </font>
    <font>
      <sz val="11"/>
      <name val="Calibri"/>
      <family val="2"/>
      <scheme val="minor"/>
    </font>
    <font>
      <b/>
      <sz val="11"/>
      <color theme="1"/>
      <name val="Symbol"/>
      <family val="1"/>
      <charset val="2"/>
    </font>
  </fonts>
  <fills count="5">
    <fill>
      <patternFill patternType="none"/>
    </fill>
    <fill>
      <patternFill patternType="gray125"/>
    </fill>
    <fill>
      <patternFill patternType="solid">
        <fgColor theme="7" tint="0.39994506668294322"/>
        <bgColor indexed="64"/>
      </patternFill>
    </fill>
    <fill>
      <patternFill patternType="solid">
        <fgColor theme="0" tint="-0.249977111117893"/>
        <bgColor indexed="64"/>
      </patternFill>
    </fill>
    <fill>
      <patternFill patternType="solid">
        <fgColor theme="5" tint="0.39994506668294322"/>
        <bgColor indexed="64"/>
      </patternFill>
    </fill>
  </fills>
  <borders count="37">
    <border>
      <left/>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thin">
        <color indexed="64"/>
      </right>
      <top/>
      <bottom/>
      <diagonal/>
    </border>
    <border>
      <left style="medium">
        <color rgb="FF0000FF"/>
      </left>
      <right style="medium">
        <color rgb="FF0000FF"/>
      </right>
      <top style="medium">
        <color rgb="FF0000FF"/>
      </top>
      <bottom style="medium">
        <color rgb="FF0000FF"/>
      </bottom>
      <diagonal/>
    </border>
    <border>
      <left style="medium">
        <color rgb="FFFF0000"/>
      </left>
      <right style="medium">
        <color rgb="FFFF0000"/>
      </right>
      <top style="medium">
        <color rgb="FFFF0000"/>
      </top>
      <bottom style="medium">
        <color rgb="FFFF0000"/>
      </bottom>
      <diagonal/>
    </border>
    <border>
      <left/>
      <right/>
      <top style="medium">
        <color rgb="FF0000FF"/>
      </top>
      <bottom/>
      <diagonal/>
    </border>
    <border>
      <left style="medium">
        <color rgb="FF0000FF"/>
      </left>
      <right/>
      <top style="medium">
        <color rgb="FF0000FF"/>
      </top>
      <bottom/>
      <diagonal/>
    </border>
    <border>
      <left/>
      <right/>
      <top/>
      <bottom style="medium">
        <color rgb="FFFF0000"/>
      </bottom>
      <diagonal/>
    </border>
    <border>
      <left/>
      <right/>
      <top style="medium">
        <color rgb="FFFF0000"/>
      </top>
      <bottom/>
      <diagonal/>
    </border>
    <border>
      <left style="thin">
        <color theme="1"/>
      </left>
      <right style="medium">
        <color rgb="FFFF0000"/>
      </right>
      <top style="medium">
        <color rgb="FFFF0000"/>
      </top>
      <bottom/>
      <diagonal/>
    </border>
    <border>
      <left style="thin">
        <color indexed="64"/>
      </left>
      <right/>
      <top style="thin">
        <color indexed="64"/>
      </top>
      <bottom/>
      <diagonal/>
    </border>
    <border>
      <left style="thin">
        <color indexed="64"/>
      </left>
      <right/>
      <top/>
      <bottom/>
      <diagonal/>
    </border>
    <border>
      <left style="thin">
        <color indexed="64"/>
      </left>
      <right/>
      <top style="medium">
        <color indexed="64"/>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diagonal/>
    </border>
    <border>
      <left/>
      <right style="medium">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style="thin">
        <color auto="1"/>
      </left>
      <right/>
      <top/>
      <bottom style="medium">
        <color indexed="64"/>
      </bottom>
      <diagonal/>
    </border>
    <border>
      <left style="thin">
        <color auto="1"/>
      </left>
      <right/>
      <top/>
      <bottom/>
      <diagonal/>
    </border>
    <border>
      <left style="thin">
        <color auto="1"/>
      </left>
      <right/>
      <top style="medium">
        <color indexed="64"/>
      </top>
      <bottom style="medium">
        <color indexed="64"/>
      </bottom>
      <diagonal/>
    </border>
  </borders>
  <cellStyleXfs count="2">
    <xf numFmtId="0" fontId="0" fillId="0" borderId="0"/>
    <xf numFmtId="9" fontId="8" fillId="0" borderId="0" applyFont="0" applyFill="0" applyBorder="0" applyAlignment="0" applyProtection="0"/>
  </cellStyleXfs>
  <cellXfs count="132">
    <xf numFmtId="0" fontId="0" fillId="0" borderId="0" xfId="0"/>
    <xf numFmtId="0" fontId="0" fillId="0" borderId="0" xfId="0" applyBorder="1"/>
    <xf numFmtId="0" fontId="5" fillId="0" borderId="1" xfId="0" applyFont="1" applyBorder="1" applyAlignment="1">
      <alignment horizontal="center"/>
    </xf>
    <xf numFmtId="0" fontId="0" fillId="0" borderId="0" xfId="0" applyNumberFormat="1"/>
    <xf numFmtId="0" fontId="0" fillId="0" borderId="4" xfId="0" applyBorder="1"/>
    <xf numFmtId="0" fontId="4" fillId="0" borderId="0" xfId="0" applyFont="1"/>
    <xf numFmtId="0" fontId="9" fillId="0" borderId="5" xfId="0" applyFont="1" applyBorder="1" applyAlignment="1">
      <alignment horizontal="center"/>
    </xf>
    <xf numFmtId="0" fontId="9" fillId="0" borderId="0" xfId="0" applyFont="1"/>
    <xf numFmtId="0" fontId="1" fillId="0" borderId="0" xfId="0" applyFont="1" applyBorder="1" applyAlignment="1">
      <alignment horizontal="center" vertical="center"/>
    </xf>
    <xf numFmtId="0" fontId="4" fillId="0" borderId="0" xfId="0" applyFont="1" applyAlignment="1">
      <alignment horizontal="center"/>
    </xf>
    <xf numFmtId="0" fontId="4" fillId="0" borderId="0" xfId="0" applyFont="1" applyAlignment="1">
      <alignment horizontal="center"/>
    </xf>
    <xf numFmtId="0" fontId="0" fillId="0" borderId="12" xfId="0" applyBorder="1"/>
    <xf numFmtId="0" fontId="0" fillId="0" borderId="13" xfId="0" applyBorder="1"/>
    <xf numFmtId="0" fontId="4" fillId="0" borderId="11" xfId="0" applyFont="1" applyBorder="1" applyAlignment="1">
      <alignment horizontal="center"/>
    </xf>
    <xf numFmtId="0" fontId="12" fillId="0" borderId="1" xfId="0" applyFont="1" applyBorder="1" applyAlignment="1">
      <alignment horizontal="center"/>
    </xf>
    <xf numFmtId="0" fontId="4" fillId="0" borderId="14" xfId="0" applyFont="1" applyBorder="1" applyAlignment="1">
      <alignment horizontal="center"/>
    </xf>
    <xf numFmtId="0" fontId="4" fillId="0" borderId="15" xfId="0" applyFont="1" applyBorder="1" applyAlignment="1">
      <alignment horizontal="center"/>
    </xf>
    <xf numFmtId="0" fontId="4" fillId="0" borderId="16" xfId="0" applyFont="1" applyBorder="1" applyAlignment="1">
      <alignment horizontal="center"/>
    </xf>
    <xf numFmtId="0" fontId="4" fillId="0" borderId="18" xfId="0" applyFont="1" applyBorder="1" applyAlignment="1">
      <alignment horizontal="center"/>
    </xf>
    <xf numFmtId="0" fontId="4" fillId="0" borderId="17" xfId="0" applyFont="1" applyBorder="1" applyAlignment="1">
      <alignment horizontal="center"/>
    </xf>
    <xf numFmtId="0" fontId="0" fillId="0" borderId="0" xfId="0" applyAlignment="1" applyProtection="1">
      <alignment horizontal="left"/>
      <protection locked="0" hidden="1"/>
    </xf>
    <xf numFmtId="0" fontId="0" fillId="0" borderId="0" xfId="0" applyAlignment="1" applyProtection="1">
      <alignment horizontal="center"/>
      <protection locked="0" hidden="1"/>
    </xf>
    <xf numFmtId="0" fontId="4" fillId="0" borderId="0" xfId="0" applyFont="1" applyBorder="1" applyProtection="1">
      <protection locked="0" hidden="1"/>
    </xf>
    <xf numFmtId="0" fontId="0" fillId="0" borderId="0" xfId="0" applyBorder="1" applyProtection="1">
      <protection locked="0" hidden="1"/>
    </xf>
    <xf numFmtId="0" fontId="0" fillId="0" borderId="0" xfId="0" applyProtection="1">
      <protection locked="0" hidden="1"/>
    </xf>
    <xf numFmtId="0" fontId="5" fillId="0" borderId="1" xfId="0" applyFont="1" applyBorder="1" applyAlignment="1" applyProtection="1">
      <alignment horizontal="center"/>
      <protection locked="0" hidden="1"/>
    </xf>
    <xf numFmtId="0" fontId="4" fillId="0" borderId="0" xfId="0" applyFont="1" applyBorder="1" applyAlignment="1" applyProtection="1">
      <alignment horizontal="center"/>
      <protection locked="0" hidden="1"/>
    </xf>
    <xf numFmtId="0" fontId="5" fillId="0" borderId="0" xfId="0" applyFont="1" applyAlignment="1" applyProtection="1">
      <alignment horizontal="center"/>
      <protection locked="0" hidden="1"/>
    </xf>
    <xf numFmtId="0" fontId="4" fillId="0" borderId="5" xfId="0" applyFont="1" applyBorder="1" applyAlignment="1" applyProtection="1">
      <alignment horizontal="left"/>
      <protection locked="0" hidden="1"/>
    </xf>
    <xf numFmtId="0" fontId="0" fillId="0" borderId="5" xfId="0" applyBorder="1" applyAlignment="1" applyProtection="1">
      <alignment horizontal="center"/>
      <protection locked="0" hidden="1"/>
    </xf>
    <xf numFmtId="0" fontId="0" fillId="0" borderId="0" xfId="0" applyBorder="1" applyAlignment="1" applyProtection="1">
      <alignment horizontal="center"/>
      <protection locked="0" hidden="1"/>
    </xf>
    <xf numFmtId="0" fontId="14" fillId="0" borderId="0" xfId="0" applyFont="1" applyAlignment="1" applyProtection="1">
      <alignment horizontal="center"/>
      <protection locked="0" hidden="1"/>
    </xf>
    <xf numFmtId="0" fontId="1" fillId="0" borderId="0" xfId="0" applyFont="1" applyAlignment="1" applyProtection="1">
      <alignment horizontal="left"/>
      <protection locked="0" hidden="1"/>
    </xf>
    <xf numFmtId="0" fontId="1" fillId="0" borderId="0" xfId="0" applyFont="1" applyAlignment="1" applyProtection="1">
      <alignment horizontal="center"/>
      <protection locked="0" hidden="1"/>
    </xf>
    <xf numFmtId="0" fontId="2" fillId="0" borderId="0" xfId="0" applyFont="1" applyAlignment="1" applyProtection="1">
      <alignment horizontal="center" vertical="center"/>
      <protection locked="0" hidden="1"/>
    </xf>
    <xf numFmtId="2" fontId="2" fillId="0" borderId="0" xfId="0" applyNumberFormat="1" applyFont="1" applyAlignment="1" applyProtection="1">
      <alignment horizontal="center" vertical="center"/>
      <protection locked="0" hidden="1"/>
    </xf>
    <xf numFmtId="164" fontId="2" fillId="0" borderId="0" xfId="0" applyNumberFormat="1" applyFont="1" applyAlignment="1" applyProtection="1">
      <alignment horizontal="center" vertical="center"/>
      <protection locked="0" hidden="1"/>
    </xf>
    <xf numFmtId="1" fontId="2" fillId="0" borderId="0" xfId="0" applyNumberFormat="1" applyFont="1" applyAlignment="1" applyProtection="1">
      <alignment horizontal="center" vertical="center"/>
      <protection locked="0" hidden="1"/>
    </xf>
    <xf numFmtId="0" fontId="2" fillId="0" borderId="0" xfId="0" applyFont="1" applyAlignment="1" applyProtection="1">
      <alignment horizontal="center" vertical="center" wrapText="1"/>
      <protection locked="0" hidden="1"/>
    </xf>
    <xf numFmtId="164" fontId="2" fillId="0" borderId="0" xfId="0" applyNumberFormat="1" applyFont="1" applyAlignment="1" applyProtection="1">
      <alignment horizontal="center" vertical="center" wrapText="1"/>
      <protection locked="0" hidden="1"/>
    </xf>
    <xf numFmtId="0" fontId="9" fillId="0" borderId="0" xfId="0" quotePrefix="1" applyFont="1" applyBorder="1" applyAlignment="1">
      <alignment horizontal="center"/>
    </xf>
    <xf numFmtId="0" fontId="5" fillId="0" borderId="0" xfId="0" applyFont="1" applyBorder="1" applyAlignment="1">
      <alignment horizontal="center"/>
    </xf>
    <xf numFmtId="0" fontId="4" fillId="0" borderId="0" xfId="0" applyFont="1" applyAlignment="1" applyProtection="1">
      <alignment horizontal="center"/>
      <protection locked="0" hidden="1"/>
    </xf>
    <xf numFmtId="0" fontId="0" fillId="0" borderId="12" xfId="0" applyBorder="1" applyProtection="1">
      <protection locked="0" hidden="1"/>
    </xf>
    <xf numFmtId="0" fontId="0" fillId="0" borderId="13" xfId="0" applyBorder="1" applyProtection="1">
      <protection locked="0" hidden="1"/>
    </xf>
    <xf numFmtId="0" fontId="9" fillId="0" borderId="0" xfId="0" quotePrefix="1" applyFont="1" applyBorder="1" applyAlignment="1" applyProtection="1">
      <alignment horizontal="center"/>
      <protection locked="0" hidden="1"/>
    </xf>
    <xf numFmtId="0" fontId="5" fillId="0" borderId="0" xfId="0" applyFont="1" applyBorder="1" applyAlignment="1" applyProtection="1">
      <alignment horizontal="center"/>
      <protection locked="0" hidden="1"/>
    </xf>
    <xf numFmtId="0" fontId="4" fillId="0" borderId="0" xfId="0" applyFont="1" applyProtection="1">
      <protection locked="0" hidden="1"/>
    </xf>
    <xf numFmtId="49" fontId="2" fillId="0" borderId="0" xfId="0" applyNumberFormat="1" applyFont="1" applyAlignment="1" applyProtection="1">
      <alignment horizontal="center" vertical="center"/>
      <protection locked="0" hidden="1"/>
    </xf>
    <xf numFmtId="0" fontId="0" fillId="0" borderId="2" xfId="0" applyBorder="1"/>
    <xf numFmtId="0" fontId="4" fillId="0" borderId="0" xfId="0" applyFont="1" applyBorder="1"/>
    <xf numFmtId="0" fontId="0" fillId="0" borderId="0" xfId="0" applyFont="1" applyBorder="1" applyProtection="1">
      <protection locked="0" hidden="1"/>
    </xf>
    <xf numFmtId="0" fontId="9" fillId="0" borderId="0" xfId="0" applyFont="1" applyBorder="1" applyAlignment="1" applyProtection="1">
      <alignment horizontal="center"/>
      <protection locked="0" hidden="1"/>
    </xf>
    <xf numFmtId="0" fontId="6" fillId="0" borderId="19" xfId="0" applyFont="1" applyBorder="1"/>
    <xf numFmtId="0" fontId="0" fillId="0" borderId="7" xfId="0" applyBorder="1"/>
    <xf numFmtId="0" fontId="0" fillId="0" borderId="20" xfId="0" applyBorder="1"/>
    <xf numFmtId="0" fontId="0" fillId="0" borderId="11" xfId="0" applyBorder="1"/>
    <xf numFmtId="0" fontId="4" fillId="0" borderId="21" xfId="0" applyFont="1" applyBorder="1"/>
    <xf numFmtId="0" fontId="4" fillId="0" borderId="20" xfId="0" applyFont="1" applyBorder="1"/>
    <xf numFmtId="0" fontId="0" fillId="0" borderId="22" xfId="0" applyBorder="1"/>
    <xf numFmtId="0" fontId="0" fillId="0" borderId="8" xfId="0" applyBorder="1"/>
    <xf numFmtId="0" fontId="0" fillId="0" borderId="23" xfId="0" applyBorder="1"/>
    <xf numFmtId="0" fontId="4" fillId="0" borderId="3" xfId="0" applyFont="1" applyBorder="1"/>
    <xf numFmtId="0" fontId="0" fillId="0" borderId="0" xfId="0" applyProtection="1">
      <protection hidden="1"/>
    </xf>
    <xf numFmtId="0" fontId="10" fillId="0" borderId="0" xfId="0" applyFont="1" applyAlignment="1" applyProtection="1">
      <alignment horizontal="center"/>
      <protection hidden="1"/>
    </xf>
    <xf numFmtId="0" fontId="4" fillId="0" borderId="0" xfId="0" applyFont="1" applyAlignment="1" applyProtection="1">
      <alignment horizontal="center"/>
      <protection hidden="1"/>
    </xf>
    <xf numFmtId="0" fontId="5" fillId="0" borderId="0" xfId="0" applyFont="1" applyAlignment="1" applyProtection="1">
      <alignment horizontal="center"/>
      <protection hidden="1"/>
    </xf>
    <xf numFmtId="0" fontId="4" fillId="0" borderId="6" xfId="0" applyFont="1" applyBorder="1" applyProtection="1">
      <protection hidden="1"/>
    </xf>
    <xf numFmtId="0" fontId="0" fillId="0" borderId="5" xfId="0" applyBorder="1" applyProtection="1">
      <protection hidden="1"/>
    </xf>
    <xf numFmtId="165" fontId="0" fillId="0" borderId="0" xfId="1" applyNumberFormat="1" applyFont="1" applyBorder="1" applyProtection="1">
      <protection hidden="1"/>
    </xf>
    <xf numFmtId="164" fontId="0" fillId="0" borderId="5" xfId="0" applyNumberFormat="1" applyBorder="1" applyProtection="1">
      <protection hidden="1"/>
    </xf>
    <xf numFmtId="0" fontId="4" fillId="0" borderId="5" xfId="0" applyFont="1" applyBorder="1" applyProtection="1">
      <protection hidden="1"/>
    </xf>
    <xf numFmtId="0" fontId="0" fillId="0" borderId="5" xfId="0" applyBorder="1" applyAlignment="1" applyProtection="1">
      <alignment horizontal="center"/>
      <protection hidden="1"/>
    </xf>
    <xf numFmtId="165" fontId="0" fillId="0" borderId="5" xfId="0" applyNumberFormat="1" applyBorder="1" applyAlignment="1" applyProtection="1">
      <alignment horizontal="center"/>
      <protection hidden="1"/>
    </xf>
    <xf numFmtId="165" fontId="0" fillId="0" borderId="5" xfId="1" applyNumberFormat="1" applyFont="1" applyBorder="1" applyProtection="1">
      <protection hidden="1"/>
    </xf>
    <xf numFmtId="0" fontId="0" fillId="0" borderId="0" xfId="0" applyAlignment="1" applyProtection="1">
      <alignment horizontal="center"/>
      <protection hidden="1"/>
    </xf>
    <xf numFmtId="0" fontId="0" fillId="0" borderId="0" xfId="0" applyBorder="1" applyProtection="1">
      <protection hidden="1"/>
    </xf>
    <xf numFmtId="0" fontId="9" fillId="0" borderId="0" xfId="0" applyFont="1" applyBorder="1" applyAlignment="1" applyProtection="1">
      <alignment horizontal="center"/>
      <protection hidden="1"/>
    </xf>
    <xf numFmtId="0" fontId="4" fillId="0" borderId="0" xfId="0" applyFont="1" applyProtection="1">
      <protection hidden="1"/>
    </xf>
    <xf numFmtId="0" fontId="4" fillId="0" borderId="0" xfId="0" applyFont="1" applyBorder="1" applyProtection="1">
      <protection hidden="1"/>
    </xf>
    <xf numFmtId="0" fontId="0" fillId="0" borderId="0" xfId="0" applyBorder="1" applyAlignment="1" applyProtection="1">
      <alignment horizontal="center"/>
      <protection hidden="1"/>
    </xf>
    <xf numFmtId="165" fontId="0" fillId="0" borderId="0" xfId="0" applyNumberFormat="1" applyBorder="1" applyAlignment="1" applyProtection="1">
      <alignment horizontal="center"/>
      <protection hidden="1"/>
    </xf>
    <xf numFmtId="0" fontId="9" fillId="0" borderId="5" xfId="0" applyFont="1" applyBorder="1" applyAlignment="1" applyProtection="1">
      <alignment horizontal="center"/>
      <protection locked="0" hidden="1"/>
    </xf>
    <xf numFmtId="0" fontId="5" fillId="0" borderId="5" xfId="0" applyFont="1" applyBorder="1" applyAlignment="1" applyProtection="1">
      <alignment horizontal="center" vertical="center"/>
      <protection locked="0" hidden="1"/>
    </xf>
    <xf numFmtId="0" fontId="4" fillId="0" borderId="0" xfId="0" applyFont="1" applyAlignment="1">
      <alignment horizontal="left"/>
    </xf>
    <xf numFmtId="0" fontId="0" fillId="0" borderId="24" xfId="0" applyBorder="1"/>
    <xf numFmtId="0" fontId="0" fillId="0" borderId="25" xfId="0" applyBorder="1"/>
    <xf numFmtId="0" fontId="19" fillId="0" borderId="0" xfId="0" applyFont="1" applyBorder="1" applyAlignment="1">
      <alignment horizontal="center"/>
    </xf>
    <xf numFmtId="0" fontId="4" fillId="0" borderId="1" xfId="0" applyFont="1" applyBorder="1" applyAlignment="1">
      <alignment horizontal="center"/>
    </xf>
    <xf numFmtId="0" fontId="19" fillId="0" borderId="0" xfId="0" applyFont="1" applyBorder="1" applyAlignment="1">
      <alignment horizontal="left"/>
    </xf>
    <xf numFmtId="0" fontId="21" fillId="0" borderId="0" xfId="0" applyFont="1" applyBorder="1" applyAlignment="1" applyProtection="1">
      <alignment horizontal="center"/>
      <protection locked="0" hidden="1"/>
    </xf>
    <xf numFmtId="0" fontId="4" fillId="0" borderId="0" xfId="0" applyFont="1" applyAlignment="1" applyProtection="1">
      <alignment horizontal="right"/>
      <protection locked="0" hidden="1"/>
    </xf>
    <xf numFmtId="0" fontId="22" fillId="0" borderId="0" xfId="0" applyFont="1" applyAlignment="1" applyProtection="1">
      <alignment horizontal="right"/>
      <protection locked="0" hidden="1"/>
    </xf>
    <xf numFmtId="2" fontId="5" fillId="0" borderId="1" xfId="0" applyNumberFormat="1" applyFont="1" applyBorder="1" applyAlignment="1" applyProtection="1">
      <alignment horizontal="center"/>
      <protection locked="0" hidden="1"/>
    </xf>
    <xf numFmtId="0" fontId="6" fillId="0" borderId="20" xfId="0" applyFont="1" applyBorder="1"/>
    <xf numFmtId="0" fontId="5" fillId="0" borderId="1" xfId="0" applyFont="1" applyFill="1" applyBorder="1" applyAlignment="1">
      <alignment horizontal="center"/>
    </xf>
    <xf numFmtId="0" fontId="5" fillId="0" borderId="28" xfId="0" applyFont="1" applyFill="1" applyBorder="1" applyAlignment="1">
      <alignment horizontal="center"/>
    </xf>
    <xf numFmtId="0" fontId="0" fillId="0" borderId="29" xfId="0" applyBorder="1"/>
    <xf numFmtId="0" fontId="0" fillId="0" borderId="30" xfId="0" applyBorder="1"/>
    <xf numFmtId="0" fontId="0" fillId="0" borderId="31" xfId="0" applyBorder="1"/>
    <xf numFmtId="0" fontId="0" fillId="0" borderId="32" xfId="0" applyBorder="1"/>
    <xf numFmtId="0" fontId="0" fillId="0" borderId="33" xfId="0" applyBorder="1"/>
    <xf numFmtId="0" fontId="0" fillId="0" borderId="28" xfId="0" applyBorder="1"/>
    <xf numFmtId="0" fontId="6" fillId="0" borderId="0" xfId="0" applyFont="1" applyBorder="1"/>
    <xf numFmtId="0" fontId="0" fillId="0" borderId="0" xfId="0" applyAlignment="1">
      <alignment horizontal="center"/>
    </xf>
    <xf numFmtId="0" fontId="5" fillId="0" borderId="3" xfId="0" applyFont="1" applyBorder="1" applyAlignment="1">
      <alignment horizontal="center"/>
    </xf>
    <xf numFmtId="0" fontId="0" fillId="0" borderId="2" xfId="0" applyBorder="1" applyAlignment="1">
      <alignment horizontal="center"/>
    </xf>
    <xf numFmtId="0" fontId="0" fillId="0" borderId="7" xfId="0" applyBorder="1" applyAlignment="1">
      <alignment horizontal="center" vertical="center"/>
    </xf>
    <xf numFmtId="0" fontId="0" fillId="0" borderId="8" xfId="0" applyBorder="1" applyAlignment="1">
      <alignment horizontal="center" vertical="center"/>
    </xf>
    <xf numFmtId="0" fontId="13" fillId="0" borderId="9" xfId="0" applyFont="1" applyBorder="1" applyAlignment="1">
      <alignment horizontal="center" vertical="center"/>
    </xf>
    <xf numFmtId="0" fontId="13" fillId="0" borderId="10" xfId="0" applyFont="1" applyBorder="1" applyAlignment="1">
      <alignment horizontal="center" vertical="center"/>
    </xf>
    <xf numFmtId="0" fontId="5" fillId="0" borderId="3" xfId="0" applyFont="1" applyBorder="1" applyAlignment="1" applyProtection="1">
      <alignment horizontal="center"/>
      <protection locked="0" hidden="1"/>
    </xf>
    <xf numFmtId="0" fontId="0" fillId="0" borderId="2" xfId="0" applyBorder="1" applyAlignment="1" applyProtection="1">
      <alignment horizontal="center"/>
      <protection locked="0" hidden="1"/>
    </xf>
    <xf numFmtId="0" fontId="4" fillId="0" borderId="26" xfId="0" applyFont="1" applyFill="1" applyBorder="1" applyAlignment="1">
      <alignment horizontal="left"/>
    </xf>
    <xf numFmtId="0" fontId="4" fillId="0" borderId="27" xfId="0" applyFont="1" applyFill="1" applyBorder="1" applyAlignment="1">
      <alignment horizontal="left"/>
    </xf>
    <xf numFmtId="0" fontId="4" fillId="0" borderId="26" xfId="0" applyFont="1" applyBorder="1" applyAlignment="1">
      <alignment horizontal="left"/>
    </xf>
    <xf numFmtId="0" fontId="4" fillId="0" borderId="27" xfId="0" applyFont="1" applyBorder="1" applyAlignment="1">
      <alignment horizontal="left"/>
    </xf>
    <xf numFmtId="0" fontId="0" fillId="0" borderId="0" xfId="0" applyFill="1" applyBorder="1" applyAlignment="1">
      <alignment horizontal="center"/>
    </xf>
    <xf numFmtId="0" fontId="6" fillId="0" borderId="0" xfId="0" applyFont="1" applyFill="1" applyBorder="1" applyAlignment="1">
      <alignment horizontal="center"/>
    </xf>
    <xf numFmtId="0" fontId="5" fillId="0" borderId="0" xfId="0" applyFont="1" applyFill="1" applyBorder="1" applyAlignment="1">
      <alignment horizontal="center"/>
    </xf>
    <xf numFmtId="0" fontId="0" fillId="0" borderId="0" xfId="0" applyFill="1" applyBorder="1"/>
    <xf numFmtId="0" fontId="7" fillId="0" borderId="0" xfId="0" applyFont="1" applyFill="1" applyBorder="1" applyAlignment="1">
      <alignment horizontal="left"/>
    </xf>
    <xf numFmtId="0" fontId="0" fillId="0" borderId="0" xfId="0" applyFill="1" applyBorder="1" applyAlignment="1">
      <alignment horizontal="right"/>
    </xf>
    <xf numFmtId="0" fontId="4" fillId="0" borderId="0" xfId="0" applyFont="1" applyFill="1" applyBorder="1"/>
    <xf numFmtId="0" fontId="19" fillId="0" borderId="35" xfId="0" applyFont="1" applyBorder="1" applyAlignment="1">
      <alignment horizontal="left"/>
    </xf>
    <xf numFmtId="0" fontId="4" fillId="0" borderId="36" xfId="0" applyFont="1" applyBorder="1"/>
    <xf numFmtId="0" fontId="0" fillId="0" borderId="35" xfId="0" applyBorder="1"/>
    <xf numFmtId="0" fontId="4" fillId="0" borderId="35" xfId="0" applyFont="1" applyFill="1" applyBorder="1"/>
    <xf numFmtId="0" fontId="0" fillId="0" borderId="34" xfId="0" applyFill="1" applyBorder="1"/>
    <xf numFmtId="2" fontId="2" fillId="2" borderId="0" xfId="0" applyNumberFormat="1" applyFont="1" applyFill="1" applyAlignment="1" applyProtection="1">
      <alignment horizontal="center" vertical="center"/>
      <protection locked="0" hidden="1"/>
    </xf>
    <xf numFmtId="2" fontId="2" fillId="3" borderId="0" xfId="0" applyNumberFormat="1" applyFont="1" applyFill="1" applyAlignment="1" applyProtection="1">
      <alignment horizontal="center" vertical="center"/>
      <protection locked="0" hidden="1"/>
    </xf>
    <xf numFmtId="2" fontId="2" fillId="4" borderId="0" xfId="0" applyNumberFormat="1" applyFont="1" applyFill="1" applyAlignment="1" applyProtection="1">
      <alignment horizontal="center" vertical="center"/>
      <protection locked="0" hidden="1"/>
    </xf>
  </cellXfs>
  <cellStyles count="2">
    <cellStyle name="Normal" xfId="0" builtinId="0"/>
    <cellStyle name="Percent" xfId="1" builtinId="5"/>
  </cellStyles>
  <dxfs count="2">
    <dxf>
      <fill>
        <patternFill>
          <bgColor rgb="FFFF8989"/>
        </patternFill>
      </fill>
    </dxf>
    <dxf>
      <fill>
        <patternFill>
          <bgColor theme="4" tint="0.39994506668294322"/>
        </patternFill>
      </fill>
    </dxf>
  </dxfs>
  <tableStyles count="0" defaultTableStyle="TableStyleMedium2" defaultPivotStyle="PivotStyleLight16"/>
  <colors>
    <mruColors>
      <color rgb="FF0000FF"/>
      <color rgb="FFFF8989"/>
      <color rgb="FFFF3333"/>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charts/_rels/chart9.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1.xml"/><Relationship Id="rId1" Type="http://schemas.microsoft.com/office/2011/relationships/chartStyle" Target="style1.xml"/></Relationships>
</file>

<file path=xl/charts/_rels/chart10.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2.xml"/><Relationship Id="rId1" Type="http://schemas.microsoft.com/office/2011/relationships/chartStyle" Target="style2.xml"/></Relationships>
</file>

<file path=xl/charts/_rels/chart1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12.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4.xml"/><Relationship Id="rId1" Type="http://schemas.microsoft.com/office/2011/relationships/chartStyle" Target="style4.xml"/></Relationships>
</file>

<file path=xl/charts/_rels/chart13.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5.xml"/><Relationship Id="rId1" Type="http://schemas.microsoft.com/office/2011/relationships/chartStyle" Target="style5.xml"/></Relationships>
</file>

<file path=xl/charts/_rels/chart14.xml.rels><?xml version="1.0" encoding="UTF-8" standalone="yes"?>
<Relationships xmlns="http://schemas.openxmlformats.org/package/2006/relationships"><Relationship Id="rId3" Type="http://schemas.openxmlformats.org/officeDocument/2006/relationships/chartUserShapes" Target="../drawings/drawing11.xml"/><Relationship Id="rId2" Type="http://schemas.microsoft.com/office/2011/relationships/chartColorStyle" Target="colors6.xml"/><Relationship Id="rId1" Type="http://schemas.microsoft.com/office/2011/relationships/chartStyle" Target="style6.xml"/></Relationships>
</file>

<file path=xl/charts/_rels/chart15.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01447595124229"/>
          <c:y val="2.8268540749732153E-2"/>
          <c:w val="0.79415100719771992"/>
          <c:h val="0.81774581759149068"/>
        </c:manualLayout>
      </c:layout>
      <c:scatterChart>
        <c:scatterStyle val="smoothMarker"/>
        <c:varyColors val="0"/>
        <c:ser>
          <c:idx val="0"/>
          <c:order val="0"/>
          <c:spPr>
            <a:ln w="19050" cap="rnd" cmpd="sng" algn="ctr">
              <a:solidFill>
                <a:srgbClr val="0000FF"/>
              </a:solidFill>
              <a:prstDash val="solid"/>
              <a:round/>
              <a:headEnd type="none" w="med" len="med"/>
              <a:tailEnd type="none" w="med" len="med"/>
            </a:ln>
          </c:spPr>
          <c:marker>
            <c:symbol val="none"/>
          </c:marker>
          <c:dLbls>
            <c:dLbl>
              <c:idx val="0"/>
              <c:tx>
                <c:rich>
                  <a:bodyPr/>
                  <a:lstStyle/>
                  <a:p>
                    <a:fld id="{763C449F-EB2B-4421-8184-853FF2EDA42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4F5D-443A-849F-DB70BBB2EDBC}"/>
                </c:ext>
              </c:extLst>
            </c:dLbl>
            <c:dLbl>
              <c:idx val="1"/>
              <c:tx>
                <c:rich>
                  <a:bodyPr/>
                  <a:lstStyle/>
                  <a:p>
                    <a:fld id="{DE2EE4A6-BF8C-4C9F-84EE-33A704FECF1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4F5D-443A-849F-DB70BBB2EDBC}"/>
                </c:ext>
              </c:extLst>
            </c:dLbl>
            <c:dLbl>
              <c:idx val="2"/>
              <c:tx>
                <c:rich>
                  <a:bodyPr/>
                  <a:lstStyle/>
                  <a:p>
                    <a:fld id="{9611530D-5E38-4033-BCDA-3371F0AD463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4F5D-443A-849F-DB70BBB2EDBC}"/>
                </c:ext>
              </c:extLst>
            </c:dLbl>
            <c:dLbl>
              <c:idx val="3"/>
              <c:tx>
                <c:rich>
                  <a:bodyPr/>
                  <a:lstStyle/>
                  <a:p>
                    <a:fld id="{5F63C492-742C-41EC-B5B7-26B39847E35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4F5D-443A-849F-DB70BBB2EDBC}"/>
                </c:ext>
              </c:extLst>
            </c:dLbl>
            <c:dLbl>
              <c:idx val="4"/>
              <c:tx>
                <c:rich>
                  <a:bodyPr/>
                  <a:lstStyle/>
                  <a:p>
                    <a:fld id="{7FF4CCBC-10CA-4AAA-9006-59B503CD09B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4F5D-443A-849F-DB70BBB2EDBC}"/>
                </c:ext>
              </c:extLst>
            </c:dLbl>
            <c:dLbl>
              <c:idx val="5"/>
              <c:tx>
                <c:rich>
                  <a:bodyPr/>
                  <a:lstStyle/>
                  <a:p>
                    <a:fld id="{D80B702C-3AD9-4B77-B10A-E251F5E10E6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4F5D-443A-849F-DB70BBB2EDBC}"/>
                </c:ext>
              </c:extLst>
            </c:dLbl>
            <c:dLbl>
              <c:idx val="6"/>
              <c:tx>
                <c:rich>
                  <a:bodyPr/>
                  <a:lstStyle/>
                  <a:p>
                    <a:fld id="{BF52870F-EDCE-41C7-8F29-F4879AA5CFE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4F5D-443A-849F-DB70BBB2EDBC}"/>
                </c:ext>
              </c:extLst>
            </c:dLbl>
            <c:dLbl>
              <c:idx val="7"/>
              <c:tx>
                <c:rich>
                  <a:bodyPr/>
                  <a:lstStyle/>
                  <a:p>
                    <a:fld id="{6A11026D-98CE-4E1C-92B1-0D156F758E5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4F5D-443A-849F-DB70BBB2EDBC}"/>
                </c:ext>
              </c:extLst>
            </c:dLbl>
            <c:dLbl>
              <c:idx val="8"/>
              <c:tx>
                <c:rich>
                  <a:bodyPr/>
                  <a:lstStyle/>
                  <a:p>
                    <a:fld id="{F2163179-49C9-49EF-8B42-4CC94FABFC5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4F5D-443A-849F-DB70BBB2EDBC}"/>
                </c:ext>
              </c:extLst>
            </c:dLbl>
            <c:dLbl>
              <c:idx val="9"/>
              <c:tx>
                <c:rich>
                  <a:bodyPr/>
                  <a:lstStyle/>
                  <a:p>
                    <a:fld id="{E39C28FE-0728-46D7-886C-A146BD3B281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4F5D-443A-849F-DB70BBB2EDBC}"/>
                </c:ext>
              </c:extLst>
            </c:dLbl>
            <c:dLbl>
              <c:idx val="10"/>
              <c:tx>
                <c:rich>
                  <a:bodyPr/>
                  <a:lstStyle/>
                  <a:p>
                    <a:fld id="{269269FF-3316-489E-A3AD-160236C1C87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4F5D-443A-849F-DB70BBB2EDBC}"/>
                </c:ext>
              </c:extLst>
            </c:dLbl>
            <c:dLbl>
              <c:idx val="11"/>
              <c:tx>
                <c:rich>
                  <a:bodyPr/>
                  <a:lstStyle/>
                  <a:p>
                    <a:fld id="{F3659B28-968A-45F2-879E-A9BA134C980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4F5D-443A-849F-DB70BBB2EDBC}"/>
                </c:ext>
              </c:extLst>
            </c:dLbl>
            <c:dLbl>
              <c:idx val="12"/>
              <c:tx>
                <c:rich>
                  <a:bodyPr/>
                  <a:lstStyle/>
                  <a:p>
                    <a:fld id="{1B7AD004-F317-4FA6-8B14-E379008BB82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4F5D-443A-849F-DB70BBB2EDBC}"/>
                </c:ext>
              </c:extLst>
            </c:dLbl>
            <c:dLbl>
              <c:idx val="13"/>
              <c:tx>
                <c:rich>
                  <a:bodyPr/>
                  <a:lstStyle/>
                  <a:p>
                    <a:fld id="{6D4EF3A8-BED2-47E2-BE54-EA939F0D882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4F5D-443A-849F-DB70BBB2EDBC}"/>
                </c:ext>
              </c:extLst>
            </c:dLbl>
            <c:dLbl>
              <c:idx val="14"/>
              <c:tx>
                <c:rich>
                  <a:bodyPr/>
                  <a:lstStyle/>
                  <a:p>
                    <a:fld id="{874290AE-A048-4ECE-82A7-182D5C18B06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4F5D-443A-849F-DB70BBB2EDBC}"/>
                </c:ext>
              </c:extLst>
            </c:dLbl>
            <c:dLbl>
              <c:idx val="15"/>
              <c:tx>
                <c:rich>
                  <a:bodyPr/>
                  <a:lstStyle/>
                  <a:p>
                    <a:fld id="{0CCA04F0-B2CB-471A-BCC5-9DE529B9B35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4F5D-443A-849F-DB70BBB2EDBC}"/>
                </c:ext>
              </c:extLst>
            </c:dLbl>
            <c:dLbl>
              <c:idx val="16"/>
              <c:tx>
                <c:rich>
                  <a:bodyPr/>
                  <a:lstStyle/>
                  <a:p>
                    <a:fld id="{89A26E31-2984-418D-9078-B24C61F0BA7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4F5D-443A-849F-DB70BBB2EDBC}"/>
                </c:ext>
              </c:extLst>
            </c:dLbl>
            <c:dLbl>
              <c:idx val="17"/>
              <c:tx>
                <c:rich>
                  <a:bodyPr/>
                  <a:lstStyle/>
                  <a:p>
                    <a:fld id="{CFDAE813-26DB-49F6-8CBE-FEC2C8816DF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4F5D-443A-849F-DB70BBB2EDBC}"/>
                </c:ext>
              </c:extLst>
            </c:dLbl>
            <c:dLbl>
              <c:idx val="18"/>
              <c:tx>
                <c:rich>
                  <a:bodyPr/>
                  <a:lstStyle/>
                  <a:p>
                    <a:fld id="{D08139A9-592F-4898-85EF-ACF4193C106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4F5D-443A-849F-DB70BBB2EDBC}"/>
                </c:ext>
              </c:extLst>
            </c:dLbl>
            <c:dLbl>
              <c:idx val="19"/>
              <c:tx>
                <c:rich>
                  <a:bodyPr/>
                  <a:lstStyle/>
                  <a:p>
                    <a:fld id="{38A6C17C-CF17-4906-8820-19E8FC15694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4F5D-443A-849F-DB70BBB2EDBC}"/>
                </c:ext>
              </c:extLst>
            </c:dLbl>
            <c:dLbl>
              <c:idx val="20"/>
              <c:tx>
                <c:rich>
                  <a:bodyPr/>
                  <a:lstStyle/>
                  <a:p>
                    <a:fld id="{554202AE-50E8-46C4-819E-6F6CA2E5A7C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4F5D-443A-849F-DB70BBB2EDBC}"/>
                </c:ext>
              </c:extLst>
            </c:dLbl>
            <c:dLbl>
              <c:idx val="21"/>
              <c:tx>
                <c:rich>
                  <a:bodyPr/>
                  <a:lstStyle/>
                  <a:p>
                    <a:fld id="{1BF62E78-A063-448E-89FD-A8DFB828600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4F5D-443A-849F-DB70BBB2EDBC}"/>
                </c:ext>
              </c:extLst>
            </c:dLbl>
            <c:dLbl>
              <c:idx val="22"/>
              <c:tx>
                <c:rich>
                  <a:bodyPr/>
                  <a:lstStyle/>
                  <a:p>
                    <a:fld id="{81B421BF-2067-4BF8-B63E-7FE4107C0D0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4F5D-443A-849F-DB70BBB2EDBC}"/>
                </c:ext>
              </c:extLst>
            </c:dLbl>
            <c:dLbl>
              <c:idx val="23"/>
              <c:tx>
                <c:rich>
                  <a:bodyPr/>
                  <a:lstStyle/>
                  <a:p>
                    <a:fld id="{D491EAAF-C57A-444F-89BD-5A52AE8D53B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4F5D-443A-849F-DB70BBB2EDBC}"/>
                </c:ext>
              </c:extLst>
            </c:dLbl>
            <c:dLbl>
              <c:idx val="24"/>
              <c:tx>
                <c:rich>
                  <a:bodyPr/>
                  <a:lstStyle/>
                  <a:p>
                    <a:fld id="{2897BFA8-05A6-46FD-9B7E-3B119FFE9FF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4F5D-443A-849F-DB70BBB2EDBC}"/>
                </c:ext>
              </c:extLst>
            </c:dLbl>
            <c:dLbl>
              <c:idx val="25"/>
              <c:tx>
                <c:rich>
                  <a:bodyPr/>
                  <a:lstStyle/>
                  <a:p>
                    <a:fld id="{B7F6CE6F-CF50-4CE8-9C4B-8CD14F82883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4F5D-443A-849F-DB70BBB2EDBC}"/>
                </c:ext>
              </c:extLst>
            </c:dLbl>
            <c:dLbl>
              <c:idx val="26"/>
              <c:tx>
                <c:rich>
                  <a:bodyPr/>
                  <a:lstStyle/>
                  <a:p>
                    <a:fld id="{2F21774B-E368-4E1E-88F7-864FE45CCA8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4F5D-443A-849F-DB70BBB2EDBC}"/>
                </c:ext>
              </c:extLst>
            </c:dLbl>
            <c:dLbl>
              <c:idx val="27"/>
              <c:tx>
                <c:rich>
                  <a:bodyPr/>
                  <a:lstStyle/>
                  <a:p>
                    <a:fld id="{4F27BA7E-9EA5-4886-8D28-136FD5505A1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4F5D-443A-849F-DB70BBB2EDBC}"/>
                </c:ext>
              </c:extLst>
            </c:dLbl>
            <c:dLbl>
              <c:idx val="28"/>
              <c:tx>
                <c:rich>
                  <a:bodyPr/>
                  <a:lstStyle/>
                  <a:p>
                    <a:fld id="{C12A61DE-7469-4E25-A668-2F4996C5DB9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4F5D-443A-849F-DB70BBB2EDBC}"/>
                </c:ext>
              </c:extLst>
            </c:dLbl>
            <c:dLbl>
              <c:idx val="29"/>
              <c:tx>
                <c:rich>
                  <a:bodyPr/>
                  <a:lstStyle/>
                  <a:p>
                    <a:fld id="{6197955E-DB3C-4B64-9583-A989029BC53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4F5D-443A-849F-DB70BBB2EDBC}"/>
                </c:ext>
              </c:extLst>
            </c:dLbl>
            <c:dLbl>
              <c:idx val="30"/>
              <c:tx>
                <c:rich>
                  <a:bodyPr/>
                  <a:lstStyle/>
                  <a:p>
                    <a:fld id="{1C52D646-3454-48A7-9E74-08C285D4695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4F5D-443A-849F-DB70BBB2EDBC}"/>
                </c:ext>
              </c:extLst>
            </c:dLbl>
            <c:dLbl>
              <c:idx val="31"/>
              <c:tx>
                <c:rich>
                  <a:bodyPr/>
                  <a:lstStyle/>
                  <a:p>
                    <a:fld id="{4875EB8F-23C4-4132-B393-B92B1617770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0-4F5D-443A-849F-DB70BBB2EDBC}"/>
                </c:ext>
              </c:extLst>
            </c:dLbl>
            <c:dLbl>
              <c:idx val="32"/>
              <c:tx>
                <c:rich>
                  <a:bodyPr/>
                  <a:lstStyle/>
                  <a:p>
                    <a:fld id="{ECAA40D3-16F1-48C2-897B-7E9317CA085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4F5D-443A-849F-DB70BBB2EDBC}"/>
                </c:ext>
              </c:extLst>
            </c:dLbl>
            <c:dLbl>
              <c:idx val="33"/>
              <c:tx>
                <c:rich>
                  <a:bodyPr/>
                  <a:lstStyle/>
                  <a:p>
                    <a:fld id="{700E87B3-A0BB-4F74-A016-48DBB516707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2-4F5D-443A-849F-DB70BBB2EDBC}"/>
                </c:ext>
              </c:extLst>
            </c:dLbl>
            <c:dLbl>
              <c:idx val="34"/>
              <c:tx>
                <c:rich>
                  <a:bodyPr/>
                  <a:lstStyle/>
                  <a:p>
                    <a:fld id="{13789CD9-EFCE-4BE7-92C1-EC453B2FCD4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4F5D-443A-849F-DB70BBB2EDBC}"/>
                </c:ext>
              </c:extLst>
            </c:dLbl>
            <c:dLbl>
              <c:idx val="35"/>
              <c:tx>
                <c:rich>
                  <a:bodyPr/>
                  <a:lstStyle/>
                  <a:p>
                    <a:fld id="{A5154B72-3079-411F-8628-9938F829066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4-4F5D-443A-849F-DB70BBB2EDBC}"/>
                </c:ext>
              </c:extLst>
            </c:dLbl>
            <c:dLbl>
              <c:idx val="36"/>
              <c:tx>
                <c:rich>
                  <a:bodyPr/>
                  <a:lstStyle/>
                  <a:p>
                    <a:fld id="{8E173276-CC04-4424-9A17-A8A22B29C1F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4F5D-443A-849F-DB70BBB2EDBC}"/>
                </c:ext>
              </c:extLst>
            </c:dLbl>
            <c:dLbl>
              <c:idx val="37"/>
              <c:tx>
                <c:rich>
                  <a:bodyPr/>
                  <a:lstStyle/>
                  <a:p>
                    <a:fld id="{F0E8D456-E777-4C67-8B33-E10ED86A64C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6-4F5D-443A-849F-DB70BBB2EDBC}"/>
                </c:ext>
              </c:extLst>
            </c:dLbl>
            <c:dLbl>
              <c:idx val="38"/>
              <c:tx>
                <c:rich>
                  <a:bodyPr/>
                  <a:lstStyle/>
                  <a:p>
                    <a:fld id="{90412003-0642-412A-ACB5-9E8258346C6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7-4F5D-443A-849F-DB70BBB2EDBC}"/>
                </c:ext>
              </c:extLst>
            </c:dLbl>
            <c:dLbl>
              <c:idx val="39"/>
              <c:tx>
                <c:rich>
                  <a:bodyPr/>
                  <a:lstStyle/>
                  <a:p>
                    <a:fld id="{B062B2A4-213A-48F2-B863-77B34EA66A3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8-4F5D-443A-849F-DB70BBB2EDBC}"/>
                </c:ext>
              </c:extLst>
            </c:dLbl>
            <c:dLbl>
              <c:idx val="40"/>
              <c:tx>
                <c:rich>
                  <a:bodyPr/>
                  <a:lstStyle/>
                  <a:p>
                    <a:fld id="{E4208C0F-25F5-4679-975A-0AE4891678A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9-4F5D-443A-849F-DB70BBB2EDBC}"/>
                </c:ext>
              </c:extLst>
            </c:dLbl>
            <c:dLbl>
              <c:idx val="41"/>
              <c:tx>
                <c:rich>
                  <a:bodyPr/>
                  <a:lstStyle/>
                  <a:p>
                    <a:fld id="{505B2396-9D10-45E5-A0B6-884A12274FC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A-4F5D-443A-849F-DB70BBB2EDBC}"/>
                </c:ext>
              </c:extLst>
            </c:dLbl>
            <c:dLbl>
              <c:idx val="42"/>
              <c:tx>
                <c:rich>
                  <a:bodyPr/>
                  <a:lstStyle/>
                  <a:p>
                    <a:fld id="{7A9EFFD0-6651-4FF0-B796-7D8ACDE30F4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B-4F5D-443A-849F-DB70BBB2EDBC}"/>
                </c:ext>
              </c:extLst>
            </c:dLbl>
            <c:dLbl>
              <c:idx val="43"/>
              <c:tx>
                <c:rich>
                  <a:bodyPr/>
                  <a:lstStyle/>
                  <a:p>
                    <a:fld id="{171C8408-2AB7-412A-B7D1-0474D2C2093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C-4F5D-443A-849F-DB70BBB2EDBC}"/>
                </c:ext>
              </c:extLst>
            </c:dLbl>
            <c:dLbl>
              <c:idx val="44"/>
              <c:tx>
                <c:rich>
                  <a:bodyPr/>
                  <a:lstStyle/>
                  <a:p>
                    <a:fld id="{6BAA6D9C-D487-4CD2-A6B2-511D0EFBC3C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D-4F5D-443A-849F-DB70BBB2EDBC}"/>
                </c:ext>
              </c:extLst>
            </c:dLbl>
            <c:dLbl>
              <c:idx val="45"/>
              <c:tx>
                <c:rich>
                  <a:bodyPr/>
                  <a:lstStyle/>
                  <a:p>
                    <a:fld id="{31F1673F-4038-4F1A-BBB0-4AA94FD7F11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E-4F5D-443A-849F-DB70BBB2EDBC}"/>
                </c:ext>
              </c:extLst>
            </c:dLbl>
            <c:dLbl>
              <c:idx val="46"/>
              <c:tx>
                <c:rich>
                  <a:bodyPr/>
                  <a:lstStyle/>
                  <a:p>
                    <a:fld id="{49A37B7E-D95C-4E8B-82F7-FB6154ED160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F-4F5D-443A-849F-DB70BBB2EDBC}"/>
                </c:ext>
              </c:extLst>
            </c:dLbl>
            <c:dLbl>
              <c:idx val="47"/>
              <c:tx>
                <c:rich>
                  <a:bodyPr/>
                  <a:lstStyle/>
                  <a:p>
                    <a:fld id="{9C7351DE-2F96-4ECA-8C75-470747D6732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0-4F5D-443A-849F-DB70BBB2EDBC}"/>
                </c:ext>
              </c:extLst>
            </c:dLbl>
            <c:dLbl>
              <c:idx val="48"/>
              <c:tx>
                <c:rich>
                  <a:bodyPr/>
                  <a:lstStyle/>
                  <a:p>
                    <a:fld id="{ACF2E31B-6E49-4B00-8E3A-E989E49C98F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1-4F5D-443A-849F-DB70BBB2EDBC}"/>
                </c:ext>
              </c:extLst>
            </c:dLbl>
            <c:dLbl>
              <c:idx val="49"/>
              <c:tx>
                <c:rich>
                  <a:bodyPr/>
                  <a:lstStyle/>
                  <a:p>
                    <a:fld id="{D67016A0-0005-4EAD-A312-97787AD5598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2-4F5D-443A-849F-DB70BBB2EDBC}"/>
                </c:ext>
              </c:extLst>
            </c:dLbl>
            <c:dLbl>
              <c:idx val="50"/>
              <c:tx>
                <c:rich>
                  <a:bodyPr/>
                  <a:lstStyle/>
                  <a:p>
                    <a:fld id="{3EE0EED4-89A3-417B-B31D-5FBC3D00E90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3-4F5D-443A-849F-DB70BBB2EDBC}"/>
                </c:ext>
              </c:extLst>
            </c:dLbl>
            <c:dLbl>
              <c:idx val="51"/>
              <c:tx>
                <c:rich>
                  <a:bodyPr/>
                  <a:lstStyle/>
                  <a:p>
                    <a:fld id="{C971F4D9-3CC5-4783-BB7D-847F5D767A7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4-4F5D-443A-849F-DB70BBB2EDBC}"/>
                </c:ext>
              </c:extLst>
            </c:dLbl>
            <c:dLbl>
              <c:idx val="52"/>
              <c:tx>
                <c:rich>
                  <a:bodyPr/>
                  <a:lstStyle/>
                  <a:p>
                    <a:fld id="{84E177AB-93FC-4DD0-BC4C-DEC5FD3137A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5-4F5D-443A-849F-DB70BBB2EDBC}"/>
                </c:ext>
              </c:extLst>
            </c:dLbl>
            <c:dLbl>
              <c:idx val="53"/>
              <c:tx>
                <c:rich>
                  <a:bodyPr/>
                  <a:lstStyle/>
                  <a:p>
                    <a:fld id="{5BDC4584-3B93-4409-9699-BEA6BB39094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6-4F5D-443A-849F-DB70BBB2EDBC}"/>
                </c:ext>
              </c:extLst>
            </c:dLbl>
            <c:dLbl>
              <c:idx val="54"/>
              <c:tx>
                <c:rich>
                  <a:bodyPr/>
                  <a:lstStyle/>
                  <a:p>
                    <a:fld id="{A3D4049A-CB86-4D12-9C15-5EF438A095C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7-4F5D-443A-849F-DB70BBB2EDBC}"/>
                </c:ext>
              </c:extLst>
            </c:dLbl>
            <c:dLbl>
              <c:idx val="55"/>
              <c:tx>
                <c:rich>
                  <a:bodyPr/>
                  <a:lstStyle/>
                  <a:p>
                    <a:fld id="{724C57DA-C8B5-4E59-97AF-0C88D7BC526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8-4F5D-443A-849F-DB70BBB2EDBC}"/>
                </c:ext>
              </c:extLst>
            </c:dLbl>
            <c:dLbl>
              <c:idx val="56"/>
              <c:tx>
                <c:rich>
                  <a:bodyPr/>
                  <a:lstStyle/>
                  <a:p>
                    <a:fld id="{FBE34C6B-3A68-43E5-898B-95EA8C6F21F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9-4F5D-443A-849F-DB70BBB2EDBC}"/>
                </c:ext>
              </c:extLst>
            </c:dLbl>
            <c:dLbl>
              <c:idx val="57"/>
              <c:tx>
                <c:rich>
                  <a:bodyPr/>
                  <a:lstStyle/>
                  <a:p>
                    <a:fld id="{16824AD1-9FFA-4E23-B0B8-6F0894CE3E2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A-4F5D-443A-849F-DB70BBB2EDBC}"/>
                </c:ext>
              </c:extLst>
            </c:dLbl>
            <c:dLbl>
              <c:idx val="58"/>
              <c:tx>
                <c:rich>
                  <a:bodyPr/>
                  <a:lstStyle/>
                  <a:p>
                    <a:fld id="{575010FA-06C5-40B8-8D69-27EAD6703D0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B-4F5D-443A-849F-DB70BBB2EDBC}"/>
                </c:ext>
              </c:extLst>
            </c:dLbl>
            <c:dLbl>
              <c:idx val="59"/>
              <c:tx>
                <c:rich>
                  <a:bodyPr/>
                  <a:lstStyle/>
                  <a:p>
                    <a:fld id="{0931B70F-0B9E-4B36-AB5B-7754340A171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C-4F5D-443A-849F-DB70BBB2EDBC}"/>
                </c:ext>
              </c:extLst>
            </c:dLbl>
            <c:dLbl>
              <c:idx val="60"/>
              <c:tx>
                <c:rich>
                  <a:bodyPr/>
                  <a:lstStyle/>
                  <a:p>
                    <a:fld id="{1068D737-43B0-4BD1-B12A-0107F52F63A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D-4F5D-443A-849F-DB70BBB2EDBC}"/>
                </c:ext>
              </c:extLst>
            </c:dLbl>
            <c:dLbl>
              <c:idx val="61"/>
              <c:tx>
                <c:rich>
                  <a:bodyPr/>
                  <a:lstStyle/>
                  <a:p>
                    <a:fld id="{D1FFEF7E-3AE1-48F8-B2EE-D04C6D5726A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E-4F5D-443A-849F-DB70BBB2EDBC}"/>
                </c:ext>
              </c:extLst>
            </c:dLbl>
            <c:dLbl>
              <c:idx val="62"/>
              <c:tx>
                <c:rich>
                  <a:bodyPr/>
                  <a:lstStyle/>
                  <a:p>
                    <a:fld id="{42B75A1B-2786-4705-81A6-7CF3E7097BC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F-4F5D-443A-849F-DB70BBB2EDBC}"/>
                </c:ext>
              </c:extLst>
            </c:dLbl>
            <c:dLbl>
              <c:idx val="63"/>
              <c:tx>
                <c:rich>
                  <a:bodyPr/>
                  <a:lstStyle/>
                  <a:p>
                    <a:fld id="{14B31C16-F290-48A6-8EEE-2CC36206117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0-4F5D-443A-849F-DB70BBB2EDBC}"/>
                </c:ext>
              </c:extLst>
            </c:dLbl>
            <c:dLbl>
              <c:idx val="64"/>
              <c:tx>
                <c:rich>
                  <a:bodyPr/>
                  <a:lstStyle/>
                  <a:p>
                    <a:fld id="{CBA04C80-6FE9-487B-B02A-90850F5C0D2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1-4F5D-443A-849F-DB70BBB2EDBC}"/>
                </c:ext>
              </c:extLst>
            </c:dLbl>
            <c:dLbl>
              <c:idx val="65"/>
              <c:tx>
                <c:rich>
                  <a:bodyPr/>
                  <a:lstStyle/>
                  <a:p>
                    <a:fld id="{A1D11A8B-2377-4593-97E3-B4E556FD876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2-4F5D-443A-849F-DB70BBB2EDBC}"/>
                </c:ext>
              </c:extLst>
            </c:dLbl>
            <c:dLbl>
              <c:idx val="66"/>
              <c:tx>
                <c:rich>
                  <a:bodyPr/>
                  <a:lstStyle/>
                  <a:p>
                    <a:fld id="{406C6688-B306-4E59-8820-2803CD8D9F0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3-4F5D-443A-849F-DB70BBB2EDBC}"/>
                </c:ext>
              </c:extLst>
            </c:dLbl>
            <c:dLbl>
              <c:idx val="67"/>
              <c:tx>
                <c:rich>
                  <a:bodyPr/>
                  <a:lstStyle/>
                  <a:p>
                    <a:fld id="{7C51CDBF-9055-4CA0-82C7-9285C331254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4-4F5D-443A-849F-DB70BBB2EDBC}"/>
                </c:ext>
              </c:extLst>
            </c:dLbl>
            <c:dLbl>
              <c:idx val="68"/>
              <c:tx>
                <c:rich>
                  <a:bodyPr/>
                  <a:lstStyle/>
                  <a:p>
                    <a:fld id="{805329F6-82D0-42EE-9AAB-890385E305F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5-4F5D-443A-849F-DB70BBB2EDBC}"/>
                </c:ext>
              </c:extLst>
            </c:dLbl>
            <c:dLbl>
              <c:idx val="69"/>
              <c:tx>
                <c:rich>
                  <a:bodyPr/>
                  <a:lstStyle/>
                  <a:p>
                    <a:fld id="{B55337D8-9E60-45D2-AD28-68194DAE8EC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6-4F5D-443A-849F-DB70BBB2EDBC}"/>
                </c:ext>
              </c:extLst>
            </c:dLbl>
            <c:dLbl>
              <c:idx val="70"/>
              <c:tx>
                <c:rich>
                  <a:bodyPr/>
                  <a:lstStyle/>
                  <a:p>
                    <a:fld id="{F2103223-973B-440E-94BC-B2D6BB7B044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7-4F5D-443A-849F-DB70BBB2EDBC}"/>
                </c:ext>
              </c:extLst>
            </c:dLbl>
            <c:dLbl>
              <c:idx val="71"/>
              <c:tx>
                <c:rich>
                  <a:bodyPr/>
                  <a:lstStyle/>
                  <a:p>
                    <a:fld id="{24FFE31A-8B9F-41C9-80A9-C3DE9209867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8-4F5D-443A-849F-DB70BBB2EDBC}"/>
                </c:ext>
              </c:extLst>
            </c:dLbl>
            <c:dLbl>
              <c:idx val="72"/>
              <c:tx>
                <c:rich>
                  <a:bodyPr/>
                  <a:lstStyle/>
                  <a:p>
                    <a:fld id="{DA58AFD8-0F39-4433-B7BA-7940A69A152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9-4F5D-443A-849F-DB70BBB2EDBC}"/>
                </c:ext>
              </c:extLst>
            </c:dLbl>
            <c:dLbl>
              <c:idx val="73"/>
              <c:tx>
                <c:rich>
                  <a:bodyPr/>
                  <a:lstStyle/>
                  <a:p>
                    <a:fld id="{E4F7ADFD-BD8E-4728-A933-AA0E20F26B1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A-4F5D-443A-849F-DB70BBB2EDBC}"/>
                </c:ext>
              </c:extLst>
            </c:dLbl>
            <c:dLbl>
              <c:idx val="74"/>
              <c:tx>
                <c:rich>
                  <a:bodyPr/>
                  <a:lstStyle/>
                  <a:p>
                    <a:fld id="{46018B07-DDD9-4EA0-A0CC-8F0B63BD70A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B-4F5D-443A-849F-DB70BBB2EDBC}"/>
                </c:ext>
              </c:extLst>
            </c:dLbl>
            <c:dLbl>
              <c:idx val="75"/>
              <c:tx>
                <c:rich>
                  <a:bodyPr/>
                  <a:lstStyle/>
                  <a:p>
                    <a:fld id="{BDA7ACCE-992F-41D0-9056-46912B49975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C-4F5D-443A-849F-DB70BBB2EDBC}"/>
                </c:ext>
              </c:extLst>
            </c:dLbl>
            <c:dLbl>
              <c:idx val="76"/>
              <c:tx>
                <c:rich>
                  <a:bodyPr/>
                  <a:lstStyle/>
                  <a:p>
                    <a:fld id="{7E16F729-CB10-40A9-8CCB-8F0DA7F13E1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D-4F5D-443A-849F-DB70BBB2EDBC}"/>
                </c:ext>
              </c:extLst>
            </c:dLbl>
            <c:dLbl>
              <c:idx val="77"/>
              <c:tx>
                <c:rich>
                  <a:bodyPr/>
                  <a:lstStyle/>
                  <a:p>
                    <a:fld id="{D494382D-D271-4712-84D0-D4D3914DF55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E-4F5D-443A-849F-DB70BBB2EDBC}"/>
                </c:ext>
              </c:extLst>
            </c:dLbl>
            <c:dLbl>
              <c:idx val="78"/>
              <c:tx>
                <c:rich>
                  <a:bodyPr/>
                  <a:lstStyle/>
                  <a:p>
                    <a:fld id="{58DFFF46-FA74-465E-83C9-B3F2FB66E96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F-4F5D-443A-849F-DB70BBB2EDBC}"/>
                </c:ext>
              </c:extLst>
            </c:dLbl>
            <c:dLbl>
              <c:idx val="79"/>
              <c:tx>
                <c:rich>
                  <a:bodyPr/>
                  <a:lstStyle/>
                  <a:p>
                    <a:fld id="{47D2E40B-26A8-4A2C-A660-AE4151534CF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0-4F5D-443A-849F-DB70BBB2EDBC}"/>
                </c:ext>
              </c:extLst>
            </c:dLbl>
            <c:dLbl>
              <c:idx val="80"/>
              <c:tx>
                <c:rich>
                  <a:bodyPr/>
                  <a:lstStyle/>
                  <a:p>
                    <a:fld id="{F0197D5D-80D4-42AA-8109-97F884CE652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1-4F5D-443A-849F-DB70BBB2EDBC}"/>
                </c:ext>
              </c:extLst>
            </c:dLbl>
            <c:dLbl>
              <c:idx val="81"/>
              <c:tx>
                <c:rich>
                  <a:bodyPr/>
                  <a:lstStyle/>
                  <a:p>
                    <a:fld id="{97A681C8-8CF9-4111-8009-382D0281C08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2-4F5D-443A-849F-DB70BBB2EDBC}"/>
                </c:ext>
              </c:extLst>
            </c:dLbl>
            <c:dLbl>
              <c:idx val="82"/>
              <c:tx>
                <c:rich>
                  <a:bodyPr/>
                  <a:lstStyle/>
                  <a:p>
                    <a:fld id="{E6D52734-AA4A-4740-BC51-48A9D690BBE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3-4F5D-443A-849F-DB70BBB2EDBC}"/>
                </c:ext>
              </c:extLst>
            </c:dLbl>
            <c:dLbl>
              <c:idx val="83"/>
              <c:tx>
                <c:rich>
                  <a:bodyPr/>
                  <a:lstStyle/>
                  <a:p>
                    <a:fld id="{DBD251B1-5451-412A-B57C-95381131AA3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4-4F5D-443A-849F-DB70BBB2EDBC}"/>
                </c:ext>
              </c:extLst>
            </c:dLbl>
            <c:dLbl>
              <c:idx val="84"/>
              <c:tx>
                <c:rich>
                  <a:bodyPr/>
                  <a:lstStyle/>
                  <a:p>
                    <a:fld id="{71D07A8D-A553-490D-8F82-B697BEF1F58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5-4F5D-443A-849F-DB70BBB2EDBC}"/>
                </c:ext>
              </c:extLst>
            </c:dLbl>
            <c:dLbl>
              <c:idx val="85"/>
              <c:tx>
                <c:rich>
                  <a:bodyPr/>
                  <a:lstStyle/>
                  <a:p>
                    <a:fld id="{3A3576D6-CBFC-47A0-88D9-1C7B605B7BA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6-4F5D-443A-849F-DB70BBB2EDBC}"/>
                </c:ext>
              </c:extLst>
            </c:dLbl>
            <c:dLbl>
              <c:idx val="86"/>
              <c:tx>
                <c:rich>
                  <a:bodyPr/>
                  <a:lstStyle/>
                  <a:p>
                    <a:fld id="{984F11A2-C6DB-4B7A-AC24-2BBAA209A5E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7-4F5D-443A-849F-DB70BBB2EDBC}"/>
                </c:ext>
              </c:extLst>
            </c:dLbl>
            <c:dLbl>
              <c:idx val="87"/>
              <c:tx>
                <c:rich>
                  <a:bodyPr/>
                  <a:lstStyle/>
                  <a:p>
                    <a:fld id="{17AA4F2F-8183-416E-90DD-C311F087F3C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8-4F5D-443A-849F-DB70BBB2EDBC}"/>
                </c:ext>
              </c:extLst>
            </c:dLbl>
            <c:dLbl>
              <c:idx val="88"/>
              <c:tx>
                <c:rich>
                  <a:bodyPr/>
                  <a:lstStyle/>
                  <a:p>
                    <a:fld id="{53752389-352B-420D-A164-3CDD4E5F5B8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9-4F5D-443A-849F-DB70BBB2EDBC}"/>
                </c:ext>
              </c:extLst>
            </c:dLbl>
            <c:dLbl>
              <c:idx val="89"/>
              <c:tx>
                <c:rich>
                  <a:bodyPr/>
                  <a:lstStyle/>
                  <a:p>
                    <a:fld id="{C0FDDC3F-5C23-4187-ABBD-E2E76E35423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A-4F5D-443A-849F-DB70BBB2EDBC}"/>
                </c:ext>
              </c:extLst>
            </c:dLbl>
            <c:dLbl>
              <c:idx val="90"/>
              <c:tx>
                <c:rich>
                  <a:bodyPr/>
                  <a:lstStyle/>
                  <a:p>
                    <a:fld id="{EB35595D-5962-442B-BAAD-DF270ADBC1D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B-4F5D-443A-849F-DB70BBB2EDBC}"/>
                </c:ext>
              </c:extLst>
            </c:dLbl>
            <c:dLbl>
              <c:idx val="91"/>
              <c:tx>
                <c:rich>
                  <a:bodyPr/>
                  <a:lstStyle/>
                  <a:p>
                    <a:fld id="{EA94C10C-5CE5-4552-A32F-5B283F0782F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C-4F5D-443A-849F-DB70BBB2EDBC}"/>
                </c:ext>
              </c:extLst>
            </c:dLbl>
            <c:dLbl>
              <c:idx val="92"/>
              <c:tx>
                <c:rich>
                  <a:bodyPr/>
                  <a:lstStyle/>
                  <a:p>
                    <a:fld id="{E3E96C0B-471B-405C-A45E-5EE5D049682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D-4F5D-443A-849F-DB70BBB2EDBC}"/>
                </c:ext>
              </c:extLst>
            </c:dLbl>
            <c:dLbl>
              <c:idx val="93"/>
              <c:tx>
                <c:rich>
                  <a:bodyPr/>
                  <a:lstStyle/>
                  <a:p>
                    <a:fld id="{5C9B3A8F-D7D2-4EB9-8466-D123DBF81E0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E-4F5D-443A-849F-DB70BBB2EDBC}"/>
                </c:ext>
              </c:extLst>
            </c:dLbl>
            <c:dLbl>
              <c:idx val="94"/>
              <c:tx>
                <c:rich>
                  <a:bodyPr/>
                  <a:lstStyle/>
                  <a:p>
                    <a:fld id="{CB2000D7-8D49-4A15-9EE3-92289626366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F-4F5D-443A-849F-DB70BBB2EDBC}"/>
                </c:ext>
              </c:extLst>
            </c:dLbl>
            <c:dLbl>
              <c:idx val="95"/>
              <c:tx>
                <c:rich>
                  <a:bodyPr/>
                  <a:lstStyle/>
                  <a:p>
                    <a:fld id="{293F5351-384C-4326-B329-04D23225A2C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0-4F5D-443A-849F-DB70BBB2EDBC}"/>
                </c:ext>
              </c:extLst>
            </c:dLbl>
            <c:dLbl>
              <c:idx val="96"/>
              <c:tx>
                <c:rich>
                  <a:bodyPr/>
                  <a:lstStyle/>
                  <a:p>
                    <a:fld id="{60019ED5-49EA-4544-960B-9979364A46E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1-4F5D-443A-849F-DB70BBB2EDBC}"/>
                </c:ext>
              </c:extLst>
            </c:dLbl>
            <c:dLbl>
              <c:idx val="97"/>
              <c:tx>
                <c:rich>
                  <a:bodyPr/>
                  <a:lstStyle/>
                  <a:p>
                    <a:fld id="{B9CCE2AD-14F5-4717-BE92-2ED1D72C3D4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2-4F5D-443A-849F-DB70BBB2EDBC}"/>
                </c:ext>
              </c:extLst>
            </c:dLbl>
            <c:dLbl>
              <c:idx val="98"/>
              <c:tx>
                <c:rich>
                  <a:bodyPr/>
                  <a:lstStyle/>
                  <a:p>
                    <a:fld id="{131C9705-714B-48FF-A3EE-C03E8D7BC29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3-4F5D-443A-849F-DB70BBB2EDBC}"/>
                </c:ext>
              </c:extLst>
            </c:dLbl>
            <c:dLbl>
              <c:idx val="99"/>
              <c:tx>
                <c:rich>
                  <a:bodyPr/>
                  <a:lstStyle/>
                  <a:p>
                    <a:fld id="{E0057383-E071-4C80-99DC-95E859F1C7C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4-4F5D-443A-849F-DB70BBB2EDBC}"/>
                </c:ext>
              </c:extLst>
            </c:dLbl>
            <c:dLbl>
              <c:idx val="100"/>
              <c:tx>
                <c:rich>
                  <a:bodyPr/>
                  <a:lstStyle/>
                  <a:p>
                    <a:fld id="{6F5324C7-F513-4A8E-9679-74EAB044356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5-4F5D-443A-849F-DB70BBB2EDBC}"/>
                </c:ext>
              </c:extLst>
            </c:dLbl>
            <c:dLbl>
              <c:idx val="101"/>
              <c:tx>
                <c:rich>
                  <a:bodyPr/>
                  <a:lstStyle/>
                  <a:p>
                    <a:fld id="{6F91A7D8-D539-4CB8-8DB8-AE4D622ED77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6-4F5D-443A-849F-DB70BBB2EDBC}"/>
                </c:ext>
              </c:extLst>
            </c:dLbl>
            <c:dLbl>
              <c:idx val="102"/>
              <c:tx>
                <c:rich>
                  <a:bodyPr/>
                  <a:lstStyle/>
                  <a:p>
                    <a:fld id="{203073D4-2221-4172-A35E-037E76870E8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7-4F5D-443A-849F-DB70BBB2EDBC}"/>
                </c:ext>
              </c:extLst>
            </c:dLbl>
            <c:dLbl>
              <c:idx val="103"/>
              <c:tx>
                <c:rich>
                  <a:bodyPr/>
                  <a:lstStyle/>
                  <a:p>
                    <a:fld id="{65675D49-E131-4F9D-A01C-A81BD1C3C4C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8-4F5D-443A-849F-DB70BBB2EDBC}"/>
                </c:ext>
              </c:extLst>
            </c:dLbl>
            <c:dLbl>
              <c:idx val="104"/>
              <c:tx>
                <c:rich>
                  <a:bodyPr/>
                  <a:lstStyle/>
                  <a:p>
                    <a:fld id="{C9229AAE-CA82-4E37-9099-C0806A54403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9-4F5D-443A-849F-DB70BBB2EDBC}"/>
                </c:ext>
              </c:extLst>
            </c:dLbl>
            <c:dLbl>
              <c:idx val="105"/>
              <c:tx>
                <c:rich>
                  <a:bodyPr/>
                  <a:lstStyle/>
                  <a:p>
                    <a:fld id="{311F0EAF-AC88-479F-B0A3-4096DDEFF58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A-4F5D-443A-849F-DB70BBB2EDBC}"/>
                </c:ext>
              </c:extLst>
            </c:dLbl>
            <c:dLbl>
              <c:idx val="106"/>
              <c:tx>
                <c:rich>
                  <a:bodyPr/>
                  <a:lstStyle/>
                  <a:p>
                    <a:fld id="{17EB3D78-E321-480A-92EC-0280F803234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B-4F5D-443A-849F-DB70BBB2EDBC}"/>
                </c:ext>
              </c:extLst>
            </c:dLbl>
            <c:dLbl>
              <c:idx val="107"/>
              <c:tx>
                <c:rich>
                  <a:bodyPr/>
                  <a:lstStyle/>
                  <a:p>
                    <a:fld id="{0095A847-462F-4B00-A147-67A8D64A802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C-4F5D-443A-849F-DB70BBB2EDBC}"/>
                </c:ext>
              </c:extLst>
            </c:dLbl>
            <c:dLbl>
              <c:idx val="108"/>
              <c:tx>
                <c:rich>
                  <a:bodyPr/>
                  <a:lstStyle/>
                  <a:p>
                    <a:fld id="{1FF412DB-2AB2-43B0-9E15-DF36075A9D5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D-4F5D-443A-849F-DB70BBB2EDBC}"/>
                </c:ext>
              </c:extLst>
            </c:dLbl>
            <c:dLbl>
              <c:idx val="109"/>
              <c:tx>
                <c:rich>
                  <a:bodyPr/>
                  <a:lstStyle/>
                  <a:p>
                    <a:fld id="{3E020493-7E41-49A7-BEAF-5D21874BC8C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E-4F5D-443A-849F-DB70BBB2EDBC}"/>
                </c:ext>
              </c:extLst>
            </c:dLbl>
            <c:dLbl>
              <c:idx val="110"/>
              <c:tx>
                <c:rich>
                  <a:bodyPr/>
                  <a:lstStyle/>
                  <a:p>
                    <a:fld id="{12E692F8-DD30-4DCA-8AA9-B339C18015E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F-4F5D-443A-849F-DB70BBB2EDBC}"/>
                </c:ext>
              </c:extLst>
            </c:dLbl>
            <c:dLbl>
              <c:idx val="111"/>
              <c:tx>
                <c:rich>
                  <a:bodyPr/>
                  <a:lstStyle/>
                  <a:p>
                    <a:fld id="{1C9F01CB-CFB3-4E73-94EA-9D386DE79CE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0-4F5D-443A-849F-DB70BBB2EDBC}"/>
                </c:ext>
              </c:extLst>
            </c:dLbl>
            <c:dLbl>
              <c:idx val="112"/>
              <c:tx>
                <c:rich>
                  <a:bodyPr/>
                  <a:lstStyle/>
                  <a:p>
                    <a:fld id="{5F322A29-0176-45A1-BF4D-87670A4C321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1-4F5D-443A-849F-DB70BBB2EDBC}"/>
                </c:ext>
              </c:extLst>
            </c:dLbl>
            <c:dLbl>
              <c:idx val="113"/>
              <c:tx>
                <c:rich>
                  <a:bodyPr/>
                  <a:lstStyle/>
                  <a:p>
                    <a:fld id="{3E7E1B0B-A553-4B86-B837-CF2E652D7A3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2-4F5D-443A-849F-DB70BBB2EDBC}"/>
                </c:ext>
              </c:extLst>
            </c:dLbl>
            <c:dLbl>
              <c:idx val="114"/>
              <c:tx>
                <c:rich>
                  <a:bodyPr/>
                  <a:lstStyle/>
                  <a:p>
                    <a:fld id="{83A8BA98-3749-403D-BADA-325A0E4B607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3-4F5D-443A-849F-DB70BBB2EDBC}"/>
                </c:ext>
              </c:extLst>
            </c:dLbl>
            <c:dLbl>
              <c:idx val="115"/>
              <c:tx>
                <c:rich>
                  <a:bodyPr/>
                  <a:lstStyle/>
                  <a:p>
                    <a:fld id="{B6422223-70A7-4E5C-B49B-FD120630E3B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4-4F5D-443A-849F-DB70BBB2EDBC}"/>
                </c:ext>
              </c:extLst>
            </c:dLbl>
            <c:dLbl>
              <c:idx val="116"/>
              <c:tx>
                <c:rich>
                  <a:bodyPr/>
                  <a:lstStyle/>
                  <a:p>
                    <a:fld id="{6B456704-543E-482E-B4C3-D792FB9EB18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5-4F5D-443A-849F-DB70BBB2EDBC}"/>
                </c:ext>
              </c:extLst>
            </c:dLbl>
            <c:dLbl>
              <c:idx val="117"/>
              <c:tx>
                <c:rich>
                  <a:bodyPr/>
                  <a:lstStyle/>
                  <a:p>
                    <a:fld id="{B2081DEF-CCF4-4BD0-82FF-C9086B3EAF1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6-4F5D-443A-849F-DB70BBB2EDBC}"/>
                </c:ext>
              </c:extLst>
            </c:dLbl>
            <c:dLbl>
              <c:idx val="118"/>
              <c:tx>
                <c:rich>
                  <a:bodyPr/>
                  <a:lstStyle/>
                  <a:p>
                    <a:fld id="{B0C6D7CA-E39D-45C9-8DAD-CB5AA567518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7-4F5D-443A-849F-DB70BBB2EDBC}"/>
                </c:ext>
              </c:extLst>
            </c:dLbl>
            <c:dLbl>
              <c:idx val="119"/>
              <c:tx>
                <c:rich>
                  <a:bodyPr/>
                  <a:lstStyle/>
                  <a:p>
                    <a:fld id="{DDAD3DFB-2691-4351-887C-E7B847B8E78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8-4F5D-443A-849F-DB70BBB2EDBC}"/>
                </c:ext>
              </c:extLst>
            </c:dLbl>
            <c:dLbl>
              <c:idx val="120"/>
              <c:tx>
                <c:rich>
                  <a:bodyPr/>
                  <a:lstStyle/>
                  <a:p>
                    <a:fld id="{4F17F90E-EE7B-4B1D-ACF0-E77C458447C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9-4F5D-443A-849F-DB70BBB2EDBC}"/>
                </c:ext>
              </c:extLst>
            </c:dLbl>
            <c:dLbl>
              <c:idx val="121"/>
              <c:tx>
                <c:rich>
                  <a:bodyPr/>
                  <a:lstStyle/>
                  <a:p>
                    <a:fld id="{F5CBD7B1-9505-4DC2-BC40-A882D3A382C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A-4F5D-443A-849F-DB70BBB2EDBC}"/>
                </c:ext>
              </c:extLst>
            </c:dLbl>
            <c:dLbl>
              <c:idx val="122"/>
              <c:tx>
                <c:rich>
                  <a:bodyPr/>
                  <a:lstStyle/>
                  <a:p>
                    <a:fld id="{15DD7DA0-E8CD-4690-9157-7714167066F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B-4F5D-443A-849F-DB70BBB2EDBC}"/>
                </c:ext>
              </c:extLst>
            </c:dLbl>
            <c:dLbl>
              <c:idx val="123"/>
              <c:tx>
                <c:rich>
                  <a:bodyPr/>
                  <a:lstStyle/>
                  <a:p>
                    <a:fld id="{B11C5A18-9E9E-427A-AD7D-EB50E999FFE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C-4F5D-443A-849F-DB70BBB2EDBC}"/>
                </c:ext>
              </c:extLst>
            </c:dLbl>
            <c:dLbl>
              <c:idx val="124"/>
              <c:tx>
                <c:rich>
                  <a:bodyPr/>
                  <a:lstStyle/>
                  <a:p>
                    <a:fld id="{58C8ED2C-8844-4D33-9D46-078A8EA54D0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D-4F5D-443A-849F-DB70BBB2EDBC}"/>
                </c:ext>
              </c:extLst>
            </c:dLbl>
            <c:dLbl>
              <c:idx val="125"/>
              <c:tx>
                <c:rich>
                  <a:bodyPr/>
                  <a:lstStyle/>
                  <a:p>
                    <a:fld id="{40AA2F3A-8A1B-40DF-B385-72064A9664B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E-4F5D-443A-849F-DB70BBB2EDBC}"/>
                </c:ext>
              </c:extLst>
            </c:dLbl>
            <c:dLbl>
              <c:idx val="126"/>
              <c:tx>
                <c:rich>
                  <a:bodyPr/>
                  <a:lstStyle/>
                  <a:p>
                    <a:fld id="{BFEF5149-1C1D-49DE-B495-0164EDEC87E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F-4F5D-443A-849F-DB70BBB2EDBC}"/>
                </c:ext>
              </c:extLst>
            </c:dLbl>
            <c:dLbl>
              <c:idx val="127"/>
              <c:tx>
                <c:rich>
                  <a:bodyPr/>
                  <a:lstStyle/>
                  <a:p>
                    <a:fld id="{AFEB3ED8-DB95-45EF-8946-E697740F5AB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0-4F5D-443A-849F-DB70BBB2EDBC}"/>
                </c:ext>
              </c:extLst>
            </c:dLbl>
            <c:dLbl>
              <c:idx val="128"/>
              <c:tx>
                <c:rich>
                  <a:bodyPr/>
                  <a:lstStyle/>
                  <a:p>
                    <a:fld id="{A9011F48-68AC-4CB0-BCBE-6CAA654DA83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1-4F5D-443A-849F-DB70BBB2EDBC}"/>
                </c:ext>
              </c:extLst>
            </c:dLbl>
            <c:dLbl>
              <c:idx val="129"/>
              <c:tx>
                <c:rich>
                  <a:bodyPr/>
                  <a:lstStyle/>
                  <a:p>
                    <a:fld id="{082719F3-528A-4162-978F-2AE901ECB1D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2-4F5D-443A-849F-DB70BBB2EDBC}"/>
                </c:ext>
              </c:extLst>
            </c:dLbl>
            <c:dLbl>
              <c:idx val="130"/>
              <c:tx>
                <c:rich>
                  <a:bodyPr/>
                  <a:lstStyle/>
                  <a:p>
                    <a:fld id="{A5977436-B0C8-48F8-AB06-244837F0650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3-4F5D-443A-849F-DB70BBB2EDBC}"/>
                </c:ext>
              </c:extLst>
            </c:dLbl>
            <c:dLbl>
              <c:idx val="131"/>
              <c:tx>
                <c:rich>
                  <a:bodyPr/>
                  <a:lstStyle/>
                  <a:p>
                    <a:fld id="{0EB75590-C01C-43DF-8012-450A624E208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4-4F5D-443A-849F-DB70BBB2EDBC}"/>
                </c:ext>
              </c:extLst>
            </c:dLbl>
            <c:dLbl>
              <c:idx val="132"/>
              <c:tx>
                <c:rich>
                  <a:bodyPr/>
                  <a:lstStyle/>
                  <a:p>
                    <a:fld id="{45B53B54-8BB7-40BF-A6F7-E5F32C75681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5-4F5D-443A-849F-DB70BBB2EDBC}"/>
                </c:ext>
              </c:extLst>
            </c:dLbl>
            <c:dLbl>
              <c:idx val="133"/>
              <c:tx>
                <c:rich>
                  <a:bodyPr/>
                  <a:lstStyle/>
                  <a:p>
                    <a:fld id="{005DFDEE-D617-4486-A6C9-197B6F88251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6-4F5D-443A-849F-DB70BBB2EDBC}"/>
                </c:ext>
              </c:extLst>
            </c:dLbl>
            <c:dLbl>
              <c:idx val="134"/>
              <c:tx>
                <c:rich>
                  <a:bodyPr/>
                  <a:lstStyle/>
                  <a:p>
                    <a:fld id="{19EFADA0-B066-4CF0-B850-40B2044D2A0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7-4F5D-443A-849F-DB70BBB2EDBC}"/>
                </c:ext>
              </c:extLst>
            </c:dLbl>
            <c:dLbl>
              <c:idx val="135"/>
              <c:tx>
                <c:rich>
                  <a:bodyPr/>
                  <a:lstStyle/>
                  <a:p>
                    <a:fld id="{36C4A68A-652C-45DA-A797-583F1C35AE1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8-4F5D-443A-849F-DB70BBB2EDBC}"/>
                </c:ext>
              </c:extLst>
            </c:dLbl>
            <c:dLbl>
              <c:idx val="136"/>
              <c:tx>
                <c:rich>
                  <a:bodyPr/>
                  <a:lstStyle/>
                  <a:p>
                    <a:fld id="{7E052622-37F8-4BF9-A4F9-EB517A639AE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9-4F5D-443A-849F-DB70BBB2EDBC}"/>
                </c:ext>
              </c:extLst>
            </c:dLbl>
            <c:dLbl>
              <c:idx val="137"/>
              <c:tx>
                <c:rich>
                  <a:bodyPr/>
                  <a:lstStyle/>
                  <a:p>
                    <a:fld id="{310B180A-ED7F-4C0E-8B04-4D5D8667CE3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A-4F5D-443A-849F-DB70BBB2EDBC}"/>
                </c:ext>
              </c:extLst>
            </c:dLbl>
            <c:dLbl>
              <c:idx val="138"/>
              <c:tx>
                <c:rich>
                  <a:bodyPr/>
                  <a:lstStyle/>
                  <a:p>
                    <a:fld id="{113B11A4-9829-4E47-84EA-44FDF163B56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B-4F5D-443A-849F-DB70BBB2EDBC}"/>
                </c:ext>
              </c:extLst>
            </c:dLbl>
            <c:dLbl>
              <c:idx val="139"/>
              <c:tx>
                <c:rich>
                  <a:bodyPr/>
                  <a:lstStyle/>
                  <a:p>
                    <a:fld id="{AC770108-5FA7-42FD-A63F-1B784441C57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C-4F5D-443A-849F-DB70BBB2EDBC}"/>
                </c:ext>
              </c:extLst>
            </c:dLbl>
            <c:dLbl>
              <c:idx val="140"/>
              <c:tx>
                <c:rich>
                  <a:bodyPr/>
                  <a:lstStyle/>
                  <a:p>
                    <a:fld id="{397205E0-4AB5-410E-8A73-305465A2C8F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D-4F5D-443A-849F-DB70BBB2EDBC}"/>
                </c:ext>
              </c:extLst>
            </c:dLbl>
            <c:dLbl>
              <c:idx val="141"/>
              <c:tx>
                <c:rich>
                  <a:bodyPr/>
                  <a:lstStyle/>
                  <a:p>
                    <a:fld id="{A3436B83-96EF-4EA6-A740-6FC9947FF9A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E-4F5D-443A-849F-DB70BBB2EDBC}"/>
                </c:ext>
              </c:extLst>
            </c:dLbl>
            <c:dLbl>
              <c:idx val="142"/>
              <c:tx>
                <c:rich>
                  <a:bodyPr/>
                  <a:lstStyle/>
                  <a:p>
                    <a:fld id="{DD998261-A343-4380-B936-1E07078D6C2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F-4F5D-443A-849F-DB70BBB2EDBC}"/>
                </c:ext>
              </c:extLst>
            </c:dLbl>
            <c:dLbl>
              <c:idx val="143"/>
              <c:tx>
                <c:rich>
                  <a:bodyPr/>
                  <a:lstStyle/>
                  <a:p>
                    <a:fld id="{CBFF593C-E90D-4219-91F3-BE945D766D3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0-4F5D-443A-849F-DB70BBB2EDBC}"/>
                </c:ext>
              </c:extLst>
            </c:dLbl>
            <c:dLbl>
              <c:idx val="144"/>
              <c:tx>
                <c:rich>
                  <a:bodyPr/>
                  <a:lstStyle/>
                  <a:p>
                    <a:fld id="{2BA65F68-CBF5-4053-B234-84BB6BD9192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1-4F5D-443A-849F-DB70BBB2EDBC}"/>
                </c:ext>
              </c:extLst>
            </c:dLbl>
            <c:dLbl>
              <c:idx val="145"/>
              <c:tx>
                <c:rich>
                  <a:bodyPr/>
                  <a:lstStyle/>
                  <a:p>
                    <a:fld id="{05D7E1C0-447A-4303-BC5F-48CC6F3090D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2-4F5D-443A-849F-DB70BBB2EDBC}"/>
                </c:ext>
              </c:extLst>
            </c:dLbl>
            <c:dLbl>
              <c:idx val="146"/>
              <c:tx>
                <c:rich>
                  <a:bodyPr/>
                  <a:lstStyle/>
                  <a:p>
                    <a:fld id="{9687C61B-09F7-4BD6-A49D-F1AA18B4D8B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3-4F5D-443A-849F-DB70BBB2EDBC}"/>
                </c:ext>
              </c:extLst>
            </c:dLbl>
            <c:dLbl>
              <c:idx val="147"/>
              <c:tx>
                <c:rich>
                  <a:bodyPr/>
                  <a:lstStyle/>
                  <a:p>
                    <a:fld id="{A05CF253-E635-4DD7-9D5C-F9DDED85369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4-4F5D-443A-849F-DB70BBB2EDBC}"/>
                </c:ext>
              </c:extLst>
            </c:dLbl>
            <c:dLbl>
              <c:idx val="148"/>
              <c:tx>
                <c:rich>
                  <a:bodyPr/>
                  <a:lstStyle/>
                  <a:p>
                    <a:fld id="{EB25879B-45CE-48B2-814E-453F725C0D6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5-4F5D-443A-849F-DB70BBB2EDBC}"/>
                </c:ext>
              </c:extLst>
            </c:dLbl>
            <c:dLbl>
              <c:idx val="149"/>
              <c:tx>
                <c:rich>
                  <a:bodyPr/>
                  <a:lstStyle/>
                  <a:p>
                    <a:fld id="{5EB2AFFF-50F0-45A6-A7E3-F30CD18FFFC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6-4F5D-443A-849F-DB70BBB2EDBC}"/>
                </c:ext>
              </c:extLst>
            </c:dLbl>
            <c:dLbl>
              <c:idx val="150"/>
              <c:tx>
                <c:rich>
                  <a:bodyPr/>
                  <a:lstStyle/>
                  <a:p>
                    <a:fld id="{E0DA5DEA-8056-407D-8EDB-EF09AF08D34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7-4F5D-443A-849F-DB70BBB2EDBC}"/>
                </c:ext>
              </c:extLst>
            </c:dLbl>
            <c:dLbl>
              <c:idx val="151"/>
              <c:tx>
                <c:rich>
                  <a:bodyPr/>
                  <a:lstStyle/>
                  <a:p>
                    <a:fld id="{1CF12E89-4D60-46BB-B175-E4F72B4A820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8-4F5D-443A-849F-DB70BBB2EDBC}"/>
                </c:ext>
              </c:extLst>
            </c:dLbl>
            <c:dLbl>
              <c:idx val="152"/>
              <c:tx>
                <c:rich>
                  <a:bodyPr/>
                  <a:lstStyle/>
                  <a:p>
                    <a:fld id="{55560B1B-84F7-443D-9F33-900BDE29FC2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9-4F5D-443A-849F-DB70BBB2EDBC}"/>
                </c:ext>
              </c:extLst>
            </c:dLbl>
            <c:dLbl>
              <c:idx val="153"/>
              <c:tx>
                <c:rich>
                  <a:bodyPr/>
                  <a:lstStyle/>
                  <a:p>
                    <a:fld id="{0CEB9147-51C5-4269-9C1A-6AA46030337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A-4F5D-443A-849F-DB70BBB2EDBC}"/>
                </c:ext>
              </c:extLst>
            </c:dLbl>
            <c:dLbl>
              <c:idx val="154"/>
              <c:tx>
                <c:rich>
                  <a:bodyPr/>
                  <a:lstStyle/>
                  <a:p>
                    <a:fld id="{9E7E6172-A462-4769-9B4A-E0574F96A36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B-4F5D-443A-849F-DB70BBB2EDBC}"/>
                </c:ext>
              </c:extLst>
            </c:dLbl>
            <c:dLbl>
              <c:idx val="155"/>
              <c:tx>
                <c:rich>
                  <a:bodyPr/>
                  <a:lstStyle/>
                  <a:p>
                    <a:fld id="{CE840607-D79D-4213-A3B1-D9A2C8DD29F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C-4F5D-443A-849F-DB70BBB2EDBC}"/>
                </c:ext>
              </c:extLst>
            </c:dLbl>
            <c:dLbl>
              <c:idx val="156"/>
              <c:tx>
                <c:rich>
                  <a:bodyPr/>
                  <a:lstStyle/>
                  <a:p>
                    <a:fld id="{2ED80C08-6598-40D3-93A0-7664E58F81E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D-4F5D-443A-849F-DB70BBB2EDBC}"/>
                </c:ext>
              </c:extLst>
            </c:dLbl>
            <c:dLbl>
              <c:idx val="157"/>
              <c:tx>
                <c:rich>
                  <a:bodyPr/>
                  <a:lstStyle/>
                  <a:p>
                    <a:fld id="{00691D23-D8AC-49D9-9FAE-FF663DE40BF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E-4F5D-443A-849F-DB70BBB2EDBC}"/>
                </c:ext>
              </c:extLst>
            </c:dLbl>
            <c:dLbl>
              <c:idx val="158"/>
              <c:tx>
                <c:rich>
                  <a:bodyPr/>
                  <a:lstStyle/>
                  <a:p>
                    <a:fld id="{391A20C7-7446-4DFD-847E-EB47E8EDBE2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F-4F5D-443A-849F-DB70BBB2EDBC}"/>
                </c:ext>
              </c:extLst>
            </c:dLbl>
            <c:dLbl>
              <c:idx val="159"/>
              <c:tx>
                <c:rich>
                  <a:bodyPr/>
                  <a:lstStyle/>
                  <a:p>
                    <a:fld id="{5D21EA2C-0784-415F-87D3-A50FDE87E6B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0-4F5D-443A-849F-DB70BBB2EDBC}"/>
                </c:ext>
              </c:extLst>
            </c:dLbl>
            <c:dLbl>
              <c:idx val="160"/>
              <c:tx>
                <c:rich>
                  <a:bodyPr/>
                  <a:lstStyle/>
                  <a:p>
                    <a:fld id="{F68F358A-9B87-48E0-9C49-54ED84AAF0D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1-4F5D-443A-849F-DB70BBB2EDBC}"/>
                </c:ext>
              </c:extLst>
            </c:dLbl>
            <c:dLbl>
              <c:idx val="161"/>
              <c:tx>
                <c:rich>
                  <a:bodyPr/>
                  <a:lstStyle/>
                  <a:p>
                    <a:fld id="{C1C297EF-6978-40BD-B2CA-47F1BE99641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2-4F5D-443A-849F-DB70BBB2EDBC}"/>
                </c:ext>
              </c:extLst>
            </c:dLbl>
            <c:dLbl>
              <c:idx val="162"/>
              <c:tx>
                <c:rich>
                  <a:bodyPr/>
                  <a:lstStyle/>
                  <a:p>
                    <a:fld id="{F22D7067-7E57-419D-A68A-BF695F94271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3-4F5D-443A-849F-DB70BBB2EDBC}"/>
                </c:ext>
              </c:extLst>
            </c:dLbl>
            <c:dLbl>
              <c:idx val="163"/>
              <c:tx>
                <c:rich>
                  <a:bodyPr/>
                  <a:lstStyle/>
                  <a:p>
                    <a:fld id="{002A8182-D12D-481C-8DCC-950D82B071E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4-4F5D-443A-849F-DB70BBB2EDBC}"/>
                </c:ext>
              </c:extLst>
            </c:dLbl>
            <c:dLbl>
              <c:idx val="164"/>
              <c:tx>
                <c:rich>
                  <a:bodyPr/>
                  <a:lstStyle/>
                  <a:p>
                    <a:fld id="{6DE7D152-9D1B-4095-A707-8033C2666B3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5-4F5D-443A-849F-DB70BBB2EDBC}"/>
                </c:ext>
              </c:extLst>
            </c:dLbl>
            <c:dLbl>
              <c:idx val="165"/>
              <c:tx>
                <c:rich>
                  <a:bodyPr/>
                  <a:lstStyle/>
                  <a:p>
                    <a:fld id="{16B688AD-5D39-462E-B4BE-58701A557C2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6-4F5D-443A-849F-DB70BBB2EDBC}"/>
                </c:ext>
              </c:extLst>
            </c:dLbl>
            <c:dLbl>
              <c:idx val="166"/>
              <c:tx>
                <c:rich>
                  <a:bodyPr/>
                  <a:lstStyle/>
                  <a:p>
                    <a:fld id="{85E05A87-1FAC-4662-A396-36E0AF4BA97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7-4F5D-443A-849F-DB70BBB2EDBC}"/>
                </c:ext>
              </c:extLst>
            </c:dLbl>
            <c:dLbl>
              <c:idx val="167"/>
              <c:tx>
                <c:rich>
                  <a:bodyPr/>
                  <a:lstStyle/>
                  <a:p>
                    <a:fld id="{A3562FFE-7C8C-455F-BE39-34E6D216BFB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8-4F5D-443A-849F-DB70BBB2EDBC}"/>
                </c:ext>
              </c:extLst>
            </c:dLbl>
            <c:dLbl>
              <c:idx val="168"/>
              <c:tx>
                <c:rich>
                  <a:bodyPr/>
                  <a:lstStyle/>
                  <a:p>
                    <a:fld id="{9899988B-DE00-45F3-9CC7-979463D6A0B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9-4F5D-443A-849F-DB70BBB2EDBC}"/>
                </c:ext>
              </c:extLst>
            </c:dLbl>
            <c:dLbl>
              <c:idx val="169"/>
              <c:tx>
                <c:rich>
                  <a:bodyPr/>
                  <a:lstStyle/>
                  <a:p>
                    <a:fld id="{A4B6417E-DF05-4DE9-9BDE-F46F45B0C11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A-4F5D-443A-849F-DB70BBB2EDBC}"/>
                </c:ext>
              </c:extLst>
            </c:dLbl>
            <c:dLbl>
              <c:idx val="170"/>
              <c:tx>
                <c:rich>
                  <a:bodyPr/>
                  <a:lstStyle/>
                  <a:p>
                    <a:fld id="{F12DF7F1-927C-4D7B-88BD-917CA271681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B-4F5D-443A-849F-DB70BBB2EDBC}"/>
                </c:ext>
              </c:extLst>
            </c:dLbl>
            <c:dLbl>
              <c:idx val="171"/>
              <c:tx>
                <c:rich>
                  <a:bodyPr/>
                  <a:lstStyle/>
                  <a:p>
                    <a:fld id="{90BAAE01-5FF4-4B4E-A45B-30265D23C28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C-4F5D-443A-849F-DB70BBB2EDBC}"/>
                </c:ext>
              </c:extLst>
            </c:dLbl>
            <c:dLbl>
              <c:idx val="172"/>
              <c:tx>
                <c:rich>
                  <a:bodyPr/>
                  <a:lstStyle/>
                  <a:p>
                    <a:fld id="{0CCEED45-CF69-445E-943C-EFE2A902745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D-4F5D-443A-849F-DB70BBB2EDBC}"/>
                </c:ext>
              </c:extLst>
            </c:dLbl>
            <c:dLbl>
              <c:idx val="173"/>
              <c:tx>
                <c:rich>
                  <a:bodyPr/>
                  <a:lstStyle/>
                  <a:p>
                    <a:fld id="{02E8A4C3-A4BE-41AC-8184-9AB0E390C55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E-4F5D-443A-849F-DB70BBB2EDBC}"/>
                </c:ext>
              </c:extLst>
            </c:dLbl>
            <c:dLbl>
              <c:idx val="174"/>
              <c:tx>
                <c:rich>
                  <a:bodyPr/>
                  <a:lstStyle/>
                  <a:p>
                    <a:fld id="{3CFA6E14-AE60-4F17-9215-932979777F8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F-4F5D-443A-849F-DB70BBB2EDBC}"/>
                </c:ext>
              </c:extLst>
            </c:dLbl>
            <c:dLbl>
              <c:idx val="175"/>
              <c:tx>
                <c:rich>
                  <a:bodyPr/>
                  <a:lstStyle/>
                  <a:p>
                    <a:fld id="{441C2929-77CB-47AC-829C-530DC27740A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0-4F5D-443A-849F-DB70BBB2EDBC}"/>
                </c:ext>
              </c:extLst>
            </c:dLbl>
            <c:dLbl>
              <c:idx val="176"/>
              <c:tx>
                <c:rich>
                  <a:bodyPr/>
                  <a:lstStyle/>
                  <a:p>
                    <a:fld id="{535BE044-2392-45A6-B4FB-18843FDC978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1-4F5D-443A-849F-DB70BBB2EDBC}"/>
                </c:ext>
              </c:extLst>
            </c:dLbl>
            <c:dLbl>
              <c:idx val="177"/>
              <c:tx>
                <c:rich>
                  <a:bodyPr/>
                  <a:lstStyle/>
                  <a:p>
                    <a:fld id="{3ED43155-43A7-4F76-B169-FA72E388019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2-4F5D-443A-849F-DB70BBB2EDBC}"/>
                </c:ext>
              </c:extLst>
            </c:dLbl>
            <c:dLbl>
              <c:idx val="178"/>
              <c:tx>
                <c:rich>
                  <a:bodyPr/>
                  <a:lstStyle/>
                  <a:p>
                    <a:fld id="{BFA88F9D-8FD9-449C-A21D-879FA59C925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3-4F5D-443A-849F-DB70BBB2EDBC}"/>
                </c:ext>
              </c:extLst>
            </c:dLbl>
            <c:dLbl>
              <c:idx val="179"/>
              <c:tx>
                <c:rich>
                  <a:bodyPr/>
                  <a:lstStyle/>
                  <a:p>
                    <a:fld id="{860D97F5-5055-40CC-B53A-546833825C5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4-4F5D-443A-849F-DB70BBB2EDBC}"/>
                </c:ext>
              </c:extLst>
            </c:dLbl>
            <c:dLbl>
              <c:idx val="180"/>
              <c:tx>
                <c:rich>
                  <a:bodyPr/>
                  <a:lstStyle/>
                  <a:p>
                    <a:fld id="{9A42CB3D-B8FD-4072-B10E-AD22AE34F16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5-4F5D-443A-849F-DB70BBB2EDBC}"/>
                </c:ext>
              </c:extLst>
            </c:dLbl>
            <c:dLbl>
              <c:idx val="181"/>
              <c:tx>
                <c:rich>
                  <a:bodyPr/>
                  <a:lstStyle/>
                  <a:p>
                    <a:fld id="{50AD0323-264C-4ECD-9123-FA335AA40FE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6-4F5D-443A-849F-DB70BBB2EDBC}"/>
                </c:ext>
              </c:extLst>
            </c:dLbl>
            <c:dLbl>
              <c:idx val="182"/>
              <c:tx>
                <c:rich>
                  <a:bodyPr/>
                  <a:lstStyle/>
                  <a:p>
                    <a:fld id="{0F479138-B547-454F-B24C-CE68F5F2683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7-4F5D-443A-849F-DB70BBB2EDBC}"/>
                </c:ext>
              </c:extLst>
            </c:dLbl>
            <c:dLbl>
              <c:idx val="183"/>
              <c:tx>
                <c:rich>
                  <a:bodyPr/>
                  <a:lstStyle/>
                  <a:p>
                    <a:fld id="{46BABBE3-BFC8-45C7-AEAB-52EFDA041EA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8-4F5D-443A-849F-DB70BBB2EDBC}"/>
                </c:ext>
              </c:extLst>
            </c:dLbl>
            <c:dLbl>
              <c:idx val="184"/>
              <c:tx>
                <c:rich>
                  <a:bodyPr/>
                  <a:lstStyle/>
                  <a:p>
                    <a:fld id="{D88D86DC-8FC4-4BE2-A17A-E95AC28A857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9-4F5D-443A-849F-DB70BBB2EDBC}"/>
                </c:ext>
              </c:extLst>
            </c:dLbl>
            <c:dLbl>
              <c:idx val="185"/>
              <c:tx>
                <c:rich>
                  <a:bodyPr/>
                  <a:lstStyle/>
                  <a:p>
                    <a:fld id="{73658B2B-238E-415E-A00C-047257F8F3D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A-4F5D-443A-849F-DB70BBB2EDBC}"/>
                </c:ext>
              </c:extLst>
            </c:dLbl>
            <c:dLbl>
              <c:idx val="186"/>
              <c:tx>
                <c:rich>
                  <a:bodyPr/>
                  <a:lstStyle/>
                  <a:p>
                    <a:fld id="{E84ABC48-92BC-4047-9DBF-228FE099206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B-4F5D-443A-849F-DB70BBB2EDBC}"/>
                </c:ext>
              </c:extLst>
            </c:dLbl>
            <c:dLbl>
              <c:idx val="187"/>
              <c:tx>
                <c:rich>
                  <a:bodyPr/>
                  <a:lstStyle/>
                  <a:p>
                    <a:fld id="{88C021AB-AEFF-4A1A-AD94-ECC62C5B303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C-4F5D-443A-849F-DB70BBB2EDBC}"/>
                </c:ext>
              </c:extLst>
            </c:dLbl>
            <c:dLbl>
              <c:idx val="188"/>
              <c:tx>
                <c:rich>
                  <a:bodyPr/>
                  <a:lstStyle/>
                  <a:p>
                    <a:fld id="{D2D70AB1-C9EF-4459-A099-6B9E576D93F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D-4F5D-443A-849F-DB70BBB2EDBC}"/>
                </c:ext>
              </c:extLst>
            </c:dLbl>
            <c:dLbl>
              <c:idx val="189"/>
              <c:tx>
                <c:rich>
                  <a:bodyPr/>
                  <a:lstStyle/>
                  <a:p>
                    <a:fld id="{21F2A877-BDFC-4E97-8B0B-DC818659FC0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E-4F5D-443A-849F-DB70BBB2EDBC}"/>
                </c:ext>
              </c:extLst>
            </c:dLbl>
            <c:dLbl>
              <c:idx val="190"/>
              <c:tx>
                <c:rich>
                  <a:bodyPr/>
                  <a:lstStyle/>
                  <a:p>
                    <a:fld id="{A28BC6D3-1049-4C3C-85C8-FFD04EF459F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F-4F5D-443A-849F-DB70BBB2EDBC}"/>
                </c:ext>
              </c:extLst>
            </c:dLbl>
            <c:dLbl>
              <c:idx val="191"/>
              <c:tx>
                <c:rich>
                  <a:bodyPr/>
                  <a:lstStyle/>
                  <a:p>
                    <a:fld id="{71BCA910-3F7E-469F-8EDD-71C8A52A522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0-4F5D-443A-849F-DB70BBB2EDBC}"/>
                </c:ext>
              </c:extLst>
            </c:dLbl>
            <c:dLbl>
              <c:idx val="192"/>
              <c:tx>
                <c:rich>
                  <a:bodyPr/>
                  <a:lstStyle/>
                  <a:p>
                    <a:fld id="{5FEC1AC2-7D57-4BCA-BD26-63398C5A51E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1-4F5D-443A-849F-DB70BBB2EDBC}"/>
                </c:ext>
              </c:extLst>
            </c:dLbl>
            <c:dLbl>
              <c:idx val="193"/>
              <c:tx>
                <c:rich>
                  <a:bodyPr/>
                  <a:lstStyle/>
                  <a:p>
                    <a:fld id="{CECD3D88-6220-4BC9-8632-7D488319B3B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2-4F5D-443A-849F-DB70BBB2EDBC}"/>
                </c:ext>
              </c:extLst>
            </c:dLbl>
            <c:dLbl>
              <c:idx val="194"/>
              <c:tx>
                <c:rich>
                  <a:bodyPr/>
                  <a:lstStyle/>
                  <a:p>
                    <a:fld id="{AF84E97A-1B1D-4115-91CD-0FEC437BA3D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3-4F5D-443A-849F-DB70BBB2EDBC}"/>
                </c:ext>
              </c:extLst>
            </c:dLbl>
            <c:dLbl>
              <c:idx val="195"/>
              <c:tx>
                <c:rich>
                  <a:bodyPr/>
                  <a:lstStyle/>
                  <a:p>
                    <a:fld id="{5F43557D-66E2-4E2A-B77B-471531A589E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4-4F5D-443A-849F-DB70BBB2EDBC}"/>
                </c:ext>
              </c:extLst>
            </c:dLbl>
            <c:dLbl>
              <c:idx val="196"/>
              <c:tx>
                <c:rich>
                  <a:bodyPr/>
                  <a:lstStyle/>
                  <a:p>
                    <a:fld id="{D26DCAC2-8B23-49D1-B8B3-F560F0ADC26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5-4F5D-443A-849F-DB70BBB2EDBC}"/>
                </c:ext>
              </c:extLst>
            </c:dLbl>
            <c:dLbl>
              <c:idx val="197"/>
              <c:tx>
                <c:rich>
                  <a:bodyPr/>
                  <a:lstStyle/>
                  <a:p>
                    <a:fld id="{CD185FA5-2947-4605-8629-6C5268DCCE6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6-4F5D-443A-849F-DB70BBB2EDBC}"/>
                </c:ext>
              </c:extLst>
            </c:dLbl>
            <c:dLbl>
              <c:idx val="198"/>
              <c:tx>
                <c:rich>
                  <a:bodyPr/>
                  <a:lstStyle/>
                  <a:p>
                    <a:fld id="{DE725F17-1FD2-423A-B556-94AB14A8918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7-4F5D-443A-849F-DB70BBB2EDBC}"/>
                </c:ext>
              </c:extLst>
            </c:dLbl>
            <c:dLbl>
              <c:idx val="199"/>
              <c:tx>
                <c:rich>
                  <a:bodyPr/>
                  <a:lstStyle/>
                  <a:p>
                    <a:fld id="{197ED202-6BBD-477B-BDF7-D879D42D313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8-4F5D-443A-849F-DB70BBB2EDBC}"/>
                </c:ext>
              </c:extLst>
            </c:dLbl>
            <c:dLbl>
              <c:idx val="200"/>
              <c:tx>
                <c:rich>
                  <a:bodyPr/>
                  <a:lstStyle/>
                  <a:p>
                    <a:fld id="{E862F76B-C11B-4365-B422-2A0C136D8E3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9-4F5D-443A-849F-DB70BBB2EDBC}"/>
                </c:ext>
              </c:extLst>
            </c:dLbl>
            <c:dLbl>
              <c:idx val="201"/>
              <c:tx>
                <c:rich>
                  <a:bodyPr/>
                  <a:lstStyle/>
                  <a:p>
                    <a:fld id="{F8998074-97D0-4E94-96E9-51F44E8019C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A-4F5D-443A-849F-DB70BBB2EDBC}"/>
                </c:ext>
              </c:extLst>
            </c:dLbl>
            <c:dLbl>
              <c:idx val="202"/>
              <c:tx>
                <c:rich>
                  <a:bodyPr/>
                  <a:lstStyle/>
                  <a:p>
                    <a:fld id="{303A4248-480F-46F5-A7ED-03AC42B5EF6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B-4F5D-443A-849F-DB70BBB2EDBC}"/>
                </c:ext>
              </c:extLst>
            </c:dLbl>
            <c:dLbl>
              <c:idx val="203"/>
              <c:tx>
                <c:rich>
                  <a:bodyPr/>
                  <a:lstStyle/>
                  <a:p>
                    <a:fld id="{F0E46CDE-78CB-43D3-8BB2-86A0A734BDD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C-4F5D-443A-849F-DB70BBB2EDBC}"/>
                </c:ext>
              </c:extLst>
            </c:dLbl>
            <c:dLbl>
              <c:idx val="204"/>
              <c:tx>
                <c:rich>
                  <a:bodyPr/>
                  <a:lstStyle/>
                  <a:p>
                    <a:fld id="{778F25FB-ABE2-40B6-A10B-B41E3EF05DA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D-4F5D-443A-849F-DB70BBB2EDBC}"/>
                </c:ext>
              </c:extLst>
            </c:dLbl>
            <c:dLbl>
              <c:idx val="205"/>
              <c:tx>
                <c:rich>
                  <a:bodyPr/>
                  <a:lstStyle/>
                  <a:p>
                    <a:fld id="{F12FF274-9118-4EFF-8BE8-C60798779CE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E-4F5D-443A-849F-DB70BBB2EDBC}"/>
                </c:ext>
              </c:extLst>
            </c:dLbl>
            <c:dLbl>
              <c:idx val="206"/>
              <c:tx>
                <c:rich>
                  <a:bodyPr/>
                  <a:lstStyle/>
                  <a:p>
                    <a:fld id="{590FA30D-BAEA-47BB-AD2C-82E6E1C2E01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F-4F5D-443A-849F-DB70BBB2EDBC}"/>
                </c:ext>
              </c:extLst>
            </c:dLbl>
            <c:dLbl>
              <c:idx val="207"/>
              <c:tx>
                <c:rich>
                  <a:bodyPr/>
                  <a:lstStyle/>
                  <a:p>
                    <a:fld id="{6122AC9B-B2BF-4D22-A399-3A4F00CFA27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0-4F5D-443A-849F-DB70BBB2EDBC}"/>
                </c:ext>
              </c:extLst>
            </c:dLbl>
            <c:dLbl>
              <c:idx val="208"/>
              <c:tx>
                <c:rich>
                  <a:bodyPr/>
                  <a:lstStyle/>
                  <a:p>
                    <a:fld id="{E832A0FB-9752-4BF5-83F5-FB30C6EA5DC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1-4F5D-443A-849F-DB70BBB2EDBC}"/>
                </c:ext>
              </c:extLst>
            </c:dLbl>
            <c:dLbl>
              <c:idx val="209"/>
              <c:tx>
                <c:rich>
                  <a:bodyPr/>
                  <a:lstStyle/>
                  <a:p>
                    <a:fld id="{378217A5-4DCE-4E52-B125-B89166EC5DB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2-4F5D-443A-849F-DB70BBB2EDBC}"/>
                </c:ext>
              </c:extLst>
            </c:dLbl>
            <c:dLbl>
              <c:idx val="210"/>
              <c:tx>
                <c:rich>
                  <a:bodyPr/>
                  <a:lstStyle/>
                  <a:p>
                    <a:fld id="{DA452C65-6EAB-4FC3-AD48-AD8A58971B4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3-4F5D-443A-849F-DB70BBB2EDBC}"/>
                </c:ext>
              </c:extLst>
            </c:dLbl>
            <c:dLbl>
              <c:idx val="211"/>
              <c:tx>
                <c:rich>
                  <a:bodyPr/>
                  <a:lstStyle/>
                  <a:p>
                    <a:fld id="{33B900F1-08F9-47C3-8C9A-71695ABE39D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4-4F5D-443A-849F-DB70BBB2EDBC}"/>
                </c:ext>
              </c:extLst>
            </c:dLbl>
            <c:dLbl>
              <c:idx val="212"/>
              <c:tx>
                <c:rich>
                  <a:bodyPr/>
                  <a:lstStyle/>
                  <a:p>
                    <a:fld id="{A88CB10A-D5CC-4B4D-BADF-3975924B49A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5-4F5D-443A-849F-DB70BBB2EDBC}"/>
                </c:ext>
              </c:extLst>
            </c:dLbl>
            <c:dLbl>
              <c:idx val="213"/>
              <c:tx>
                <c:rich>
                  <a:bodyPr/>
                  <a:lstStyle/>
                  <a:p>
                    <a:fld id="{FF1F7159-C8CE-45CD-9430-8A5F7E3F363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6-4F5D-443A-849F-DB70BBB2EDBC}"/>
                </c:ext>
              </c:extLst>
            </c:dLbl>
            <c:dLbl>
              <c:idx val="214"/>
              <c:tx>
                <c:rich>
                  <a:bodyPr/>
                  <a:lstStyle/>
                  <a:p>
                    <a:fld id="{4E19BDCF-E13F-47EA-9170-5DE5257D51F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7-4F5D-443A-849F-DB70BBB2EDBC}"/>
                </c:ext>
              </c:extLst>
            </c:dLbl>
            <c:dLbl>
              <c:idx val="215"/>
              <c:tx>
                <c:rich>
                  <a:bodyPr/>
                  <a:lstStyle/>
                  <a:p>
                    <a:fld id="{F4C66B75-8AEF-458E-8C58-132EA969329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8-4F5D-443A-849F-DB70BBB2EDBC}"/>
                </c:ext>
              </c:extLst>
            </c:dLbl>
            <c:dLbl>
              <c:idx val="216"/>
              <c:tx>
                <c:rich>
                  <a:bodyPr/>
                  <a:lstStyle/>
                  <a:p>
                    <a:fld id="{076ED967-7B0A-4A51-94A6-35D5DCD17EE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9-4F5D-443A-849F-DB70BBB2EDBC}"/>
                </c:ext>
              </c:extLst>
            </c:dLbl>
            <c:dLbl>
              <c:idx val="217"/>
              <c:tx>
                <c:rich>
                  <a:bodyPr/>
                  <a:lstStyle/>
                  <a:p>
                    <a:fld id="{4121F26B-49A2-4E4D-BDFE-46448414A2E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A-4F5D-443A-849F-DB70BBB2EDBC}"/>
                </c:ext>
              </c:extLst>
            </c:dLbl>
            <c:dLbl>
              <c:idx val="218"/>
              <c:tx>
                <c:rich>
                  <a:bodyPr/>
                  <a:lstStyle/>
                  <a:p>
                    <a:fld id="{C2B9D673-3278-4E69-9117-157AD3C08E7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B-4F5D-443A-849F-DB70BBB2EDBC}"/>
                </c:ext>
              </c:extLst>
            </c:dLbl>
            <c:dLbl>
              <c:idx val="219"/>
              <c:tx>
                <c:rich>
                  <a:bodyPr/>
                  <a:lstStyle/>
                  <a:p>
                    <a:fld id="{BD04DA4B-7FE4-43A6-8360-4ACFACD9C48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C-4F5D-443A-849F-DB70BBB2EDBC}"/>
                </c:ext>
              </c:extLst>
            </c:dLbl>
            <c:dLbl>
              <c:idx val="220"/>
              <c:tx>
                <c:rich>
                  <a:bodyPr/>
                  <a:lstStyle/>
                  <a:p>
                    <a:fld id="{E8D92B8E-9117-4F32-ADE5-EE95AD7A725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D-4F5D-443A-849F-DB70BBB2EDBC}"/>
                </c:ext>
              </c:extLst>
            </c:dLbl>
            <c:dLbl>
              <c:idx val="221"/>
              <c:tx>
                <c:rich>
                  <a:bodyPr/>
                  <a:lstStyle/>
                  <a:p>
                    <a:fld id="{8AF9DE22-1C6C-4284-9E24-56E53DFC5B6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E-4F5D-443A-849F-DB70BBB2EDBC}"/>
                </c:ext>
              </c:extLst>
            </c:dLbl>
            <c:dLbl>
              <c:idx val="222"/>
              <c:tx>
                <c:rich>
                  <a:bodyPr/>
                  <a:lstStyle/>
                  <a:p>
                    <a:fld id="{A5227CE9-1478-4A5D-8992-5AE0ABE50B8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F-4F5D-443A-849F-DB70BBB2EDBC}"/>
                </c:ext>
              </c:extLst>
            </c:dLbl>
            <c:dLbl>
              <c:idx val="223"/>
              <c:tx>
                <c:rich>
                  <a:bodyPr/>
                  <a:lstStyle/>
                  <a:p>
                    <a:fld id="{DB645247-F675-4625-BC45-DFC2898E327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0-4F5D-443A-849F-DB70BBB2EDBC}"/>
                </c:ext>
              </c:extLst>
            </c:dLbl>
            <c:dLbl>
              <c:idx val="224"/>
              <c:tx>
                <c:rich>
                  <a:bodyPr/>
                  <a:lstStyle/>
                  <a:p>
                    <a:fld id="{709C4225-179C-4A87-B3C3-AD1760E1294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1-4F5D-443A-849F-DB70BBB2EDBC}"/>
                </c:ext>
              </c:extLst>
            </c:dLbl>
            <c:dLbl>
              <c:idx val="225"/>
              <c:tx>
                <c:rich>
                  <a:bodyPr/>
                  <a:lstStyle/>
                  <a:p>
                    <a:fld id="{016A2968-5B5E-4DF8-8277-4CBE85D14DB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2-4F5D-443A-849F-DB70BBB2EDBC}"/>
                </c:ext>
              </c:extLst>
            </c:dLbl>
            <c:dLbl>
              <c:idx val="22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3-4F5D-443A-849F-DB70BBB2EDBC}"/>
                </c:ext>
              </c:extLst>
            </c:dLbl>
            <c:dLbl>
              <c:idx val="22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4-4F5D-443A-849F-DB70BBB2EDBC}"/>
                </c:ext>
              </c:extLst>
            </c:dLbl>
            <c:dLbl>
              <c:idx val="22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5-4F5D-443A-849F-DB70BBB2EDBC}"/>
                </c:ext>
              </c:extLst>
            </c:dLbl>
            <c:dLbl>
              <c:idx val="22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6-4F5D-443A-849F-DB70BBB2EDBC}"/>
                </c:ext>
              </c:extLst>
            </c:dLbl>
            <c:dLbl>
              <c:idx val="23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7-4F5D-443A-849F-DB70BBB2EDBC}"/>
                </c:ext>
              </c:extLst>
            </c:dLbl>
            <c:dLbl>
              <c:idx val="23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8-4F5D-443A-849F-DB70BBB2EDBC}"/>
                </c:ext>
              </c:extLst>
            </c:dLbl>
            <c:dLbl>
              <c:idx val="23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9-4F5D-443A-849F-DB70BBB2EDBC}"/>
                </c:ext>
              </c:extLst>
            </c:dLbl>
            <c:dLbl>
              <c:idx val="23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A-4F5D-443A-849F-DB70BBB2EDBC}"/>
                </c:ext>
              </c:extLst>
            </c:dLbl>
            <c:dLbl>
              <c:idx val="23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B-4F5D-443A-849F-DB70BBB2EDBC}"/>
                </c:ext>
              </c:extLst>
            </c:dLbl>
            <c:dLbl>
              <c:idx val="23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C-4F5D-443A-849F-DB70BBB2EDBC}"/>
                </c:ext>
              </c:extLst>
            </c:dLbl>
            <c:dLbl>
              <c:idx val="23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D-4F5D-443A-849F-DB70BBB2EDBC}"/>
                </c:ext>
              </c:extLst>
            </c:dLbl>
            <c:dLbl>
              <c:idx val="23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E-4F5D-443A-849F-DB70BBB2EDBC}"/>
                </c:ext>
              </c:extLst>
            </c:dLbl>
            <c:dLbl>
              <c:idx val="23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F-4F5D-443A-849F-DB70BBB2EDBC}"/>
                </c:ext>
              </c:extLst>
            </c:dLbl>
            <c:dLbl>
              <c:idx val="23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0-4F5D-443A-849F-DB70BBB2EDBC}"/>
                </c:ext>
              </c:extLst>
            </c:dLbl>
            <c:dLbl>
              <c:idx val="24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1-4F5D-443A-849F-DB70BBB2EDBC}"/>
                </c:ext>
              </c:extLst>
            </c:dLbl>
            <c:dLbl>
              <c:idx val="24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2-4F5D-443A-849F-DB70BBB2EDBC}"/>
                </c:ext>
              </c:extLst>
            </c:dLbl>
            <c:dLbl>
              <c:idx val="24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3-4F5D-443A-849F-DB70BBB2EDBC}"/>
                </c:ext>
              </c:extLst>
            </c:dLbl>
            <c:dLbl>
              <c:idx val="24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4-4F5D-443A-849F-DB70BBB2EDBC}"/>
                </c:ext>
              </c:extLst>
            </c:dLbl>
            <c:dLbl>
              <c:idx val="24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5-4F5D-443A-849F-DB70BBB2EDBC}"/>
                </c:ext>
              </c:extLst>
            </c:dLbl>
            <c:dLbl>
              <c:idx val="24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6-4F5D-443A-849F-DB70BBB2EDBC}"/>
                </c:ext>
              </c:extLst>
            </c:dLbl>
            <c:dLbl>
              <c:idx val="24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7-4F5D-443A-849F-DB70BBB2EDBC}"/>
                </c:ext>
              </c:extLst>
            </c:dLbl>
            <c:dLbl>
              <c:idx val="24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8-4F5D-443A-849F-DB70BBB2EDBC}"/>
                </c:ext>
              </c:extLst>
            </c:dLbl>
            <c:dLbl>
              <c:idx val="24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9-4F5D-443A-849F-DB70BBB2EDBC}"/>
                </c:ext>
              </c:extLst>
            </c:dLbl>
            <c:dLbl>
              <c:idx val="24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A-4F5D-443A-849F-DB70BBB2EDBC}"/>
                </c:ext>
              </c:extLst>
            </c:dLbl>
            <c:dLbl>
              <c:idx val="25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B-4F5D-443A-849F-DB70BBB2EDBC}"/>
                </c:ext>
              </c:extLst>
            </c:dLbl>
            <c:dLbl>
              <c:idx val="25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C-4F5D-443A-849F-DB70BBB2EDBC}"/>
                </c:ext>
              </c:extLst>
            </c:dLbl>
            <c:dLbl>
              <c:idx val="25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D-4F5D-443A-849F-DB70BBB2EDBC}"/>
                </c:ext>
              </c:extLst>
            </c:dLbl>
            <c:dLbl>
              <c:idx val="25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E-4F5D-443A-849F-DB70BBB2EDBC}"/>
                </c:ext>
              </c:extLst>
            </c:dLbl>
            <c:dLbl>
              <c:idx val="25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F-4F5D-443A-849F-DB70BBB2EDBC}"/>
                </c:ext>
              </c:extLst>
            </c:dLbl>
            <c:dLbl>
              <c:idx val="25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0-4F5D-443A-849F-DB70BBB2EDBC}"/>
                </c:ext>
              </c:extLst>
            </c:dLbl>
            <c:dLbl>
              <c:idx val="25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1-4F5D-443A-849F-DB70BBB2EDBC}"/>
                </c:ext>
              </c:extLst>
            </c:dLbl>
            <c:dLbl>
              <c:idx val="25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2-4F5D-443A-849F-DB70BBB2EDBC}"/>
                </c:ext>
              </c:extLst>
            </c:dLbl>
            <c:dLbl>
              <c:idx val="25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3-4F5D-443A-849F-DB70BBB2EDBC}"/>
                </c:ext>
              </c:extLst>
            </c:dLbl>
            <c:dLbl>
              <c:idx val="25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4-4F5D-443A-849F-DB70BBB2EDBC}"/>
                </c:ext>
              </c:extLst>
            </c:dLbl>
            <c:dLbl>
              <c:idx val="26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5-4F5D-443A-849F-DB70BBB2EDBC}"/>
                </c:ext>
              </c:extLst>
            </c:dLbl>
            <c:dLbl>
              <c:idx val="26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6-4F5D-443A-849F-DB70BBB2EDBC}"/>
                </c:ext>
              </c:extLst>
            </c:dLbl>
            <c:dLbl>
              <c:idx val="26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7-4F5D-443A-849F-DB70BBB2EDBC}"/>
                </c:ext>
              </c:extLst>
            </c:dLbl>
            <c:dLbl>
              <c:idx val="26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8-4F5D-443A-849F-DB70BBB2EDBC}"/>
                </c:ext>
              </c:extLst>
            </c:dLbl>
            <c:dLbl>
              <c:idx val="26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9-4F5D-443A-849F-DB70BBB2EDBC}"/>
                </c:ext>
              </c:extLst>
            </c:dLbl>
            <c:dLbl>
              <c:idx val="26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A-4F5D-443A-849F-DB70BBB2EDBC}"/>
                </c:ext>
              </c:extLst>
            </c:dLbl>
            <c:dLbl>
              <c:idx val="26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B-4F5D-443A-849F-DB70BBB2EDBC}"/>
                </c:ext>
              </c:extLst>
            </c:dLbl>
            <c:dLbl>
              <c:idx val="26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C-4F5D-443A-849F-DB70BBB2EDBC}"/>
                </c:ext>
              </c:extLst>
            </c:dLbl>
            <c:dLbl>
              <c:idx val="26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D-4F5D-443A-849F-DB70BBB2EDBC}"/>
                </c:ext>
              </c:extLst>
            </c:dLbl>
            <c:dLbl>
              <c:idx val="26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E-4F5D-443A-849F-DB70BBB2EDBC}"/>
                </c:ext>
              </c:extLst>
            </c:dLbl>
            <c:dLbl>
              <c:idx val="27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F-4F5D-443A-849F-DB70BBB2EDBC}"/>
                </c:ext>
              </c:extLst>
            </c:dLbl>
            <c:dLbl>
              <c:idx val="27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0-4F5D-443A-849F-DB70BBB2EDBC}"/>
                </c:ext>
              </c:extLst>
            </c:dLbl>
            <c:dLbl>
              <c:idx val="27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1-4F5D-443A-849F-DB70BBB2EDBC}"/>
                </c:ext>
              </c:extLst>
            </c:dLbl>
            <c:dLbl>
              <c:idx val="27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2-4F5D-443A-849F-DB70BBB2EDBC}"/>
                </c:ext>
              </c:extLst>
            </c:dLbl>
            <c:dLbl>
              <c:idx val="27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3-4F5D-443A-849F-DB70BBB2EDBC}"/>
                </c:ext>
              </c:extLst>
            </c:dLbl>
            <c:dLbl>
              <c:idx val="27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4-4F5D-443A-849F-DB70BBB2EDBC}"/>
                </c:ext>
              </c:extLst>
            </c:dLbl>
            <c:dLbl>
              <c:idx val="27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5-4F5D-443A-849F-DB70BBB2EDBC}"/>
                </c:ext>
              </c:extLst>
            </c:dLbl>
            <c:dLbl>
              <c:idx val="27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6-4F5D-443A-849F-DB70BBB2EDBC}"/>
                </c:ext>
              </c:extLst>
            </c:dLbl>
            <c:dLbl>
              <c:idx val="27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7-4F5D-443A-849F-DB70BBB2EDBC}"/>
                </c:ext>
              </c:extLst>
            </c:dLbl>
            <c:dLbl>
              <c:idx val="27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8-4F5D-443A-849F-DB70BBB2EDBC}"/>
                </c:ext>
              </c:extLst>
            </c:dLbl>
            <c:dLbl>
              <c:idx val="28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9-4F5D-443A-849F-DB70BBB2EDBC}"/>
                </c:ext>
              </c:extLst>
            </c:dLbl>
            <c:dLbl>
              <c:idx val="28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A-4F5D-443A-849F-DB70BBB2EDBC}"/>
                </c:ext>
              </c:extLst>
            </c:dLbl>
            <c:dLbl>
              <c:idx val="28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B-4F5D-443A-849F-DB70BBB2EDBC}"/>
                </c:ext>
              </c:extLst>
            </c:dLbl>
            <c:dLbl>
              <c:idx val="28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C-4F5D-443A-849F-DB70BBB2EDBC}"/>
                </c:ext>
              </c:extLst>
            </c:dLbl>
            <c:dLbl>
              <c:idx val="28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D-4F5D-443A-849F-DB70BBB2EDBC}"/>
                </c:ext>
              </c:extLst>
            </c:dLbl>
            <c:dLbl>
              <c:idx val="28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E-4F5D-443A-849F-DB70BBB2EDBC}"/>
                </c:ext>
              </c:extLst>
            </c:dLbl>
            <c:dLbl>
              <c:idx val="28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F-4F5D-443A-849F-DB70BBB2EDBC}"/>
                </c:ext>
              </c:extLst>
            </c:dLbl>
            <c:dLbl>
              <c:idx val="28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0-4F5D-443A-849F-DB70BBB2EDBC}"/>
                </c:ext>
              </c:extLst>
            </c:dLbl>
            <c:dLbl>
              <c:idx val="28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1-4F5D-443A-849F-DB70BBB2EDBC}"/>
                </c:ext>
              </c:extLst>
            </c:dLbl>
            <c:dLbl>
              <c:idx val="28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2-4F5D-443A-849F-DB70BBB2EDBC}"/>
                </c:ext>
              </c:extLst>
            </c:dLbl>
            <c:dLbl>
              <c:idx val="29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3-4F5D-443A-849F-DB70BBB2EDBC}"/>
                </c:ext>
              </c:extLst>
            </c:dLbl>
            <c:dLbl>
              <c:idx val="29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4-4F5D-443A-849F-DB70BBB2EDBC}"/>
                </c:ext>
              </c:extLst>
            </c:dLbl>
            <c:dLbl>
              <c:idx val="29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5-4F5D-443A-849F-DB70BBB2EDBC}"/>
                </c:ext>
              </c:extLst>
            </c:dLbl>
            <c:dLbl>
              <c:idx val="29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6-4F5D-443A-849F-DB70BBB2EDBC}"/>
                </c:ext>
              </c:extLst>
            </c:dLbl>
            <c:dLbl>
              <c:idx val="29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7-4F5D-443A-849F-DB70BBB2EDBC}"/>
                </c:ext>
              </c:extLst>
            </c:dLbl>
            <c:dLbl>
              <c:idx val="29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8-4F5D-443A-849F-DB70BBB2EDBC}"/>
                </c:ext>
              </c:extLst>
            </c:dLbl>
            <c:dLbl>
              <c:idx val="29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9-4F5D-443A-849F-DB70BBB2EDBC}"/>
                </c:ext>
              </c:extLst>
            </c:dLbl>
            <c:dLbl>
              <c:idx val="29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A-4F5D-443A-849F-DB70BBB2EDBC}"/>
                </c:ext>
              </c:extLst>
            </c:dLbl>
            <c:dLbl>
              <c:idx val="29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B-4F5D-443A-849F-DB70BBB2EDBC}"/>
                </c:ext>
              </c:extLst>
            </c:dLbl>
            <c:spPr>
              <a:noFill/>
              <a:ln>
                <a:noFill/>
              </a:ln>
              <a:effectLst/>
            </c:spPr>
            <c:txPr>
              <a:bodyPr rot="-5400000" vert="horz" wrap="square" lIns="38100" tIns="19050" rIns="38100" bIns="19050" anchor="ctr">
                <a:spAutoFit/>
              </a:bodyPr>
              <a:lstStyle/>
              <a:p>
                <a:pPr>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ext>
            </c:extLst>
          </c:dLbls>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NormalisedUVVisData!$B$2:$B$300</c:f>
              <c:numCache>
                <c:formatCode>General</c:formatCode>
                <c:ptCount val="299"/>
                <c:pt idx="0">
                  <c:v>49.995948791503906</c:v>
                </c:pt>
                <c:pt idx="1">
                  <c:v>51.197731018066406</c:v>
                </c:pt>
                <c:pt idx="2">
                  <c:v>52.685466766357422</c:v>
                </c:pt>
                <c:pt idx="3">
                  <c:v>54.454357147216797</c:v>
                </c:pt>
                <c:pt idx="4">
                  <c:v>56.408950805664063</c:v>
                </c:pt>
                <c:pt idx="5">
                  <c:v>58.509708404541016</c:v>
                </c:pt>
                <c:pt idx="6">
                  <c:v>60.669681549072266</c:v>
                </c:pt>
                <c:pt idx="7">
                  <c:v>62.330951690673828</c:v>
                </c:pt>
                <c:pt idx="8">
                  <c:v>63.035209655761719</c:v>
                </c:pt>
                <c:pt idx="9">
                  <c:v>62.603805541992188</c:v>
                </c:pt>
                <c:pt idx="10">
                  <c:v>60.937458038330078</c:v>
                </c:pt>
                <c:pt idx="11">
                  <c:v>58.023994445800781</c:v>
                </c:pt>
                <c:pt idx="12">
                  <c:v>54.092147827148438</c:v>
                </c:pt>
                <c:pt idx="13">
                  <c:v>49.421573638916016</c:v>
                </c:pt>
                <c:pt idx="14">
                  <c:v>44.726978302001953</c:v>
                </c:pt>
                <c:pt idx="15">
                  <c:v>41.136070251464844</c:v>
                </c:pt>
                <c:pt idx="16">
                  <c:v>39.676124572753906</c:v>
                </c:pt>
                <c:pt idx="17">
                  <c:v>40.525470733642578</c:v>
                </c:pt>
                <c:pt idx="18">
                  <c:v>43.790531158447266</c:v>
                </c:pt>
                <c:pt idx="19">
                  <c:v>49.356376647949219</c:v>
                </c:pt>
                <c:pt idx="20">
                  <c:v>56.466224670410156</c:v>
                </c:pt>
                <c:pt idx="21">
                  <c:v>64.757926940917969</c:v>
                </c:pt>
                <c:pt idx="22">
                  <c:v>73.919776916503906</c:v>
                </c:pt>
                <c:pt idx="23">
                  <c:v>82.703781127929688</c:v>
                </c:pt>
                <c:pt idx="24">
                  <c:v>90.78814697265625</c:v>
                </c:pt>
                <c:pt idx="25">
                  <c:v>96.892677307128906</c:v>
                </c:pt>
                <c:pt idx="26">
                  <c:v>99.999992370605469</c:v>
                </c:pt>
                <c:pt idx="27">
                  <c:v>99.054580688476563</c:v>
                </c:pt>
                <c:pt idx="28">
                  <c:v>94.238136291503906</c:v>
                </c:pt>
                <c:pt idx="29">
                  <c:v>87.308197021484375</c:v>
                </c:pt>
                <c:pt idx="30">
                  <c:v>80.10394287109375</c:v>
                </c:pt>
                <c:pt idx="31">
                  <c:v>74.613975524902344</c:v>
                </c:pt>
                <c:pt idx="32">
                  <c:v>70.887580871582031</c:v>
                </c:pt>
                <c:pt idx="33">
                  <c:v>68.533699035644531</c:v>
                </c:pt>
                <c:pt idx="34">
                  <c:v>66.681121826171875</c:v>
                </c:pt>
                <c:pt idx="35">
                  <c:v>64.452835083007813</c:v>
                </c:pt>
                <c:pt idx="36">
                  <c:v>61.346591949462891</c:v>
                </c:pt>
                <c:pt idx="37">
                  <c:v>57.145668029785156</c:v>
                </c:pt>
                <c:pt idx="38">
                  <c:v>52.158771514892578</c:v>
                </c:pt>
                <c:pt idx="39">
                  <c:v>46.575481414794922</c:v>
                </c:pt>
                <c:pt idx="40">
                  <c:v>41.187259674072266</c:v>
                </c:pt>
                <c:pt idx="41">
                  <c:v>36.693603515625</c:v>
                </c:pt>
                <c:pt idx="42">
                  <c:v>33.426021575927734</c:v>
                </c:pt>
                <c:pt idx="43">
                  <c:v>31.331571578979492</c:v>
                </c:pt>
                <c:pt idx="44">
                  <c:v>30.24261474609375</c:v>
                </c:pt>
                <c:pt idx="45">
                  <c:v>29.837001800537109</c:v>
                </c:pt>
                <c:pt idx="46">
                  <c:v>29.802043914794922</c:v>
                </c:pt>
                <c:pt idx="47">
                  <c:v>29.834489822387695</c:v>
                </c:pt>
                <c:pt idx="48">
                  <c:v>29.741342544555664</c:v>
                </c:pt>
                <c:pt idx="49">
                  <c:v>29.390016555786133</c:v>
                </c:pt>
                <c:pt idx="50">
                  <c:v>28.762887954711914</c:v>
                </c:pt>
                <c:pt idx="51">
                  <c:v>27.760770797729492</c:v>
                </c:pt>
                <c:pt idx="52">
                  <c:v>26.369327545166016</c:v>
                </c:pt>
                <c:pt idx="53">
                  <c:v>24.593545913696289</c:v>
                </c:pt>
                <c:pt idx="54">
                  <c:v>22.599353790283203</c:v>
                </c:pt>
                <c:pt idx="55">
                  <c:v>20.573047637939453</c:v>
                </c:pt>
                <c:pt idx="56">
                  <c:v>18.609165191650391</c:v>
                </c:pt>
                <c:pt idx="57">
                  <c:v>16.843379974365234</c:v>
                </c:pt>
                <c:pt idx="58">
                  <c:v>15.294055938720703</c:v>
                </c:pt>
                <c:pt idx="59">
                  <c:v>14.102557182312012</c:v>
                </c:pt>
                <c:pt idx="60">
                  <c:v>13.286131858825684</c:v>
                </c:pt>
                <c:pt idx="61">
                  <c:v>12.88902759552002</c:v>
                </c:pt>
                <c:pt idx="62">
                  <c:v>12.872271537780762</c:v>
                </c:pt>
                <c:pt idx="63">
                  <c:v>13.16230583190918</c:v>
                </c:pt>
                <c:pt idx="64">
                  <c:v>13.784439086914063</c:v>
                </c:pt>
                <c:pt idx="65">
                  <c:v>14.706076622009277</c:v>
                </c:pt>
                <c:pt idx="66">
                  <c:v>15.644208908081055</c:v>
                </c:pt>
                <c:pt idx="67">
                  <c:v>16.736114501953125</c:v>
                </c:pt>
                <c:pt idx="68">
                  <c:v>17.934324264526367</c:v>
                </c:pt>
                <c:pt idx="69">
                  <c:v>19.252473831176758</c:v>
                </c:pt>
                <c:pt idx="70">
                  <c:v>20.711812973022461</c:v>
                </c:pt>
                <c:pt idx="71">
                  <c:v>22.091739654541016</c:v>
                </c:pt>
                <c:pt idx="72">
                  <c:v>23.475191116333008</c:v>
                </c:pt>
                <c:pt idx="73">
                  <c:v>24.906841278076172</c:v>
                </c:pt>
                <c:pt idx="74">
                  <c:v>26.293315887451172</c:v>
                </c:pt>
                <c:pt idx="75">
                  <c:v>27.556547164916992</c:v>
                </c:pt>
                <c:pt idx="76">
                  <c:v>28.76228141784668</c:v>
                </c:pt>
                <c:pt idx="77">
                  <c:v>29.821224212646484</c:v>
                </c:pt>
                <c:pt idx="78">
                  <c:v>30.763740539550781</c:v>
                </c:pt>
                <c:pt idx="79">
                  <c:v>31.633968353271484</c:v>
                </c:pt>
                <c:pt idx="80">
                  <c:v>32.325607299804688</c:v>
                </c:pt>
                <c:pt idx="81">
                  <c:v>32.820827484130859</c:v>
                </c:pt>
                <c:pt idx="82">
                  <c:v>33.162460327148438</c:v>
                </c:pt>
                <c:pt idx="83">
                  <c:v>33.112686157226563</c:v>
                </c:pt>
                <c:pt idx="84">
                  <c:v>32.8577880859375</c:v>
                </c:pt>
                <c:pt idx="85">
                  <c:v>32.512336730957031</c:v>
                </c:pt>
                <c:pt idx="86">
                  <c:v>31.948637008666992</c:v>
                </c:pt>
                <c:pt idx="87">
                  <c:v>31.126008987426758</c:v>
                </c:pt>
                <c:pt idx="88">
                  <c:v>30.095897674560547</c:v>
                </c:pt>
                <c:pt idx="89">
                  <c:v>29.028627395629883</c:v>
                </c:pt>
                <c:pt idx="90">
                  <c:v>27.845037460327148</c:v>
                </c:pt>
                <c:pt idx="91">
                  <c:v>26.353580474853516</c:v>
                </c:pt>
                <c:pt idx="92">
                  <c:v>24.820201873779297</c:v>
                </c:pt>
                <c:pt idx="93">
                  <c:v>23.258893966674805</c:v>
                </c:pt>
                <c:pt idx="94">
                  <c:v>21.647005081176758</c:v>
                </c:pt>
                <c:pt idx="95">
                  <c:v>20.066156387329102</c:v>
                </c:pt>
                <c:pt idx="96">
                  <c:v>18.347665786743164</c:v>
                </c:pt>
                <c:pt idx="97">
                  <c:v>16.8597412109375</c:v>
                </c:pt>
                <c:pt idx="98">
                  <c:v>15.396976470947266</c:v>
                </c:pt>
                <c:pt idx="99">
                  <c:v>13.97023868560791</c:v>
                </c:pt>
                <c:pt idx="100">
                  <c:v>12.535508155822754</c:v>
                </c:pt>
                <c:pt idx="101">
                  <c:v>11.234574317932129</c:v>
                </c:pt>
                <c:pt idx="102">
                  <c:v>10.132328033447266</c:v>
                </c:pt>
                <c:pt idx="103">
                  <c:v>9.0198383331298828</c:v>
                </c:pt>
                <c:pt idx="104">
                  <c:v>8.0537223815917969</c:v>
                </c:pt>
                <c:pt idx="105">
                  <c:v>7.2283434867858887</c:v>
                </c:pt>
                <c:pt idx="106">
                  <c:v>6.4771528244018555</c:v>
                </c:pt>
                <c:pt idx="107">
                  <c:v>5.8789968490600586</c:v>
                </c:pt>
                <c:pt idx="108">
                  <c:v>5.3575015068054199</c:v>
                </c:pt>
                <c:pt idx="109">
                  <c:v>4.9361257553100586</c:v>
                </c:pt>
                <c:pt idx="110">
                  <c:v>4.6515121459960938</c:v>
                </c:pt>
                <c:pt idx="111">
                  <c:v>4.342503547668457</c:v>
                </c:pt>
                <c:pt idx="112">
                  <c:v>4.1015143394470215</c:v>
                </c:pt>
                <c:pt idx="113">
                  <c:v>3.9109835624694824</c:v>
                </c:pt>
                <c:pt idx="114">
                  <c:v>3.7934994697570801</c:v>
                </c:pt>
                <c:pt idx="115">
                  <c:v>3.748971700668335</c:v>
                </c:pt>
                <c:pt idx="116">
                  <c:v>3.699425220489502</c:v>
                </c:pt>
                <c:pt idx="117">
                  <c:v>3.6392333507537842</c:v>
                </c:pt>
                <c:pt idx="118">
                  <c:v>3.5926685333251953</c:v>
                </c:pt>
                <c:pt idx="119">
                  <c:v>3.5783760547637939</c:v>
                </c:pt>
                <c:pt idx="120">
                  <c:v>3.6042253971099854</c:v>
                </c:pt>
                <c:pt idx="121">
                  <c:v>3.628021240234375</c:v>
                </c:pt>
                <c:pt idx="122">
                  <c:v>3.6285140514373779</c:v>
                </c:pt>
                <c:pt idx="123">
                  <c:v>3.6448516845703125</c:v>
                </c:pt>
                <c:pt idx="124">
                  <c:v>3.5478613376617432</c:v>
                </c:pt>
                <c:pt idx="125">
                  <c:v>3.5135271549224854</c:v>
                </c:pt>
                <c:pt idx="126">
                  <c:v>3.669813871383667</c:v>
                </c:pt>
                <c:pt idx="127">
                  <c:v>3.6649265289306641</c:v>
                </c:pt>
                <c:pt idx="128">
                  <c:v>3.4720301628112793</c:v>
                </c:pt>
                <c:pt idx="129">
                  <c:v>3.4803261756896973</c:v>
                </c:pt>
                <c:pt idx="130">
                  <c:v>3.5476806163787842</c:v>
                </c:pt>
                <c:pt idx="131">
                  <c:v>3.4671182632446289</c:v>
                </c:pt>
                <c:pt idx="132">
                  <c:v>3.4944541454315186</c:v>
                </c:pt>
                <c:pt idx="133">
                  <c:v>3.6167681217193604</c:v>
                </c:pt>
                <c:pt idx="134">
                  <c:v>3.5783185958862305</c:v>
                </c:pt>
                <c:pt idx="135">
                  <c:v>3.5085246562957764</c:v>
                </c:pt>
                <c:pt idx="136">
                  <c:v>2.5822622776031494</c:v>
                </c:pt>
                <c:pt idx="137">
                  <c:v>2</c:v>
                </c:pt>
                <c:pt idx="138">
                  <c:v>2.909752368927002</c:v>
                </c:pt>
                <c:pt idx="139">
                  <c:v>3.5017235279083252</c:v>
                </c:pt>
                <c:pt idx="140">
                  <c:v>3.4009220600128174</c:v>
                </c:pt>
                <c:pt idx="141">
                  <c:v>3.5476148128509521</c:v>
                </c:pt>
                <c:pt idx="142">
                  <c:v>3.5990588665008545</c:v>
                </c:pt>
                <c:pt idx="143">
                  <c:v>3.4844415187835693</c:v>
                </c:pt>
                <c:pt idx="144">
                  <c:v>3.4843592643737793</c:v>
                </c:pt>
                <c:pt idx="145">
                  <c:v>3.5332815647125244</c:v>
                </c:pt>
                <c:pt idx="146">
                  <c:v>3.5688726902008057</c:v>
                </c:pt>
                <c:pt idx="147">
                  <c:v>3.5886929035186768</c:v>
                </c:pt>
                <c:pt idx="148">
                  <c:v>3.5631721019744873</c:v>
                </c:pt>
                <c:pt idx="149">
                  <c:v>3.5528390407562256</c:v>
                </c:pt>
                <c:pt idx="150">
                  <c:v>3.5854401588439941</c:v>
                </c:pt>
                <c:pt idx="151">
                  <c:v>3.5607655048370361</c:v>
                </c:pt>
                <c:pt idx="152">
                  <c:v>3.5343329906463623</c:v>
                </c:pt>
                <c:pt idx="153">
                  <c:v>3.5087957382202148</c:v>
                </c:pt>
                <c:pt idx="154">
                  <c:v>3.6058683395385742</c:v>
                </c:pt>
                <c:pt idx="155">
                  <c:v>3.6081929206848145</c:v>
                </c:pt>
                <c:pt idx="156">
                  <c:v>3.4921624660491943</c:v>
                </c:pt>
                <c:pt idx="157">
                  <c:v>3.4141628742218018</c:v>
                </c:pt>
                <c:pt idx="158">
                  <c:v>3.4344103336334229</c:v>
                </c:pt>
                <c:pt idx="159">
                  <c:v>3.5541696548461914</c:v>
                </c:pt>
                <c:pt idx="160">
                  <c:v>3.6238486766815186</c:v>
                </c:pt>
                <c:pt idx="161">
                  <c:v>3.6684832572937012</c:v>
                </c:pt>
                <c:pt idx="162">
                  <c:v>3.5930874347686768</c:v>
                </c:pt>
                <c:pt idx="163">
                  <c:v>3.416323184967041</c:v>
                </c:pt>
                <c:pt idx="164">
                  <c:v>3.3692736625671387</c:v>
                </c:pt>
                <c:pt idx="165">
                  <c:v>3.5622687339782715</c:v>
                </c:pt>
                <c:pt idx="166">
                  <c:v>3.6426339149475098</c:v>
                </c:pt>
                <c:pt idx="167">
                  <c:v>3.5280656814575195</c:v>
                </c:pt>
                <c:pt idx="168">
                  <c:v>3.5755751132965088</c:v>
                </c:pt>
                <c:pt idx="169">
                  <c:v>3.449474573135376</c:v>
                </c:pt>
                <c:pt idx="170">
                  <c:v>3.275043249130249</c:v>
                </c:pt>
                <c:pt idx="171">
                  <c:v>3.4319460391998291</c:v>
                </c:pt>
                <c:pt idx="172">
                  <c:v>3.5459227561950684</c:v>
                </c:pt>
                <c:pt idx="173">
                  <c:v>3.5618579387664795</c:v>
                </c:pt>
                <c:pt idx="174">
                  <c:v>3.5353515148162842</c:v>
                </c:pt>
                <c:pt idx="175">
                  <c:v>3.424602746963501</c:v>
                </c:pt>
                <c:pt idx="176">
                  <c:v>3.5035059452056885</c:v>
                </c:pt>
                <c:pt idx="177">
                  <c:v>3.5541532039642334</c:v>
                </c:pt>
                <c:pt idx="178">
                  <c:v>3.5880687236785889</c:v>
                </c:pt>
                <c:pt idx="179">
                  <c:v>3.5994367599487305</c:v>
                </c:pt>
                <c:pt idx="180">
                  <c:v>3.4793405532836914</c:v>
                </c:pt>
                <c:pt idx="181">
                  <c:v>3.5039825439453125</c:v>
                </c:pt>
                <c:pt idx="182">
                  <c:v>3.6051619052886963</c:v>
                </c:pt>
                <c:pt idx="183">
                  <c:v>3.4997687339782715</c:v>
                </c:pt>
                <c:pt idx="184">
                  <c:v>3.4791023731231689</c:v>
                </c:pt>
                <c:pt idx="185">
                  <c:v>3.5429084300994873</c:v>
                </c:pt>
                <c:pt idx="186">
                  <c:v>3.5319015979766846</c:v>
                </c:pt>
                <c:pt idx="187">
                  <c:v>3.4967951774597168</c:v>
                </c:pt>
                <c:pt idx="188">
                  <c:v>3.4884908199310303</c:v>
                </c:pt>
                <c:pt idx="189">
                  <c:v>3.4921214580535889</c:v>
                </c:pt>
                <c:pt idx="190">
                  <c:v>3.5736696720123291</c:v>
                </c:pt>
                <c:pt idx="191">
                  <c:v>3.5732998847961426</c:v>
                </c:pt>
                <c:pt idx="192">
                  <c:v>3.5646998882293701</c:v>
                </c:pt>
                <c:pt idx="193">
                  <c:v>3.5247390270233154</c:v>
                </c:pt>
                <c:pt idx="194">
                  <c:v>3.5421197414398193</c:v>
                </c:pt>
                <c:pt idx="195">
                  <c:v>3.5912802219390869</c:v>
                </c:pt>
                <c:pt idx="196">
                  <c:v>3.5973668098449707</c:v>
                </c:pt>
                <c:pt idx="197">
                  <c:v>3.5249691009521484</c:v>
                </c:pt>
                <c:pt idx="198">
                  <c:v>3.4829957485198975</c:v>
                </c:pt>
                <c:pt idx="199">
                  <c:v>3.5689876079559326</c:v>
                </c:pt>
                <c:pt idx="200">
                  <c:v>3.5704169273376465</c:v>
                </c:pt>
                <c:pt idx="201">
                  <c:v>3.6293766498565674</c:v>
                </c:pt>
                <c:pt idx="202">
                  <c:v>3.6013424396514893</c:v>
                </c:pt>
                <c:pt idx="203">
                  <c:v>3.6313314437866211</c:v>
                </c:pt>
                <c:pt idx="204">
                  <c:v>3.578474760055542</c:v>
                </c:pt>
                <c:pt idx="205">
                  <c:v>3.5417337417602539</c:v>
                </c:pt>
                <c:pt idx="206">
                  <c:v>3.5412163734436035</c:v>
                </c:pt>
                <c:pt idx="207">
                  <c:v>3.5566501617431641</c:v>
                </c:pt>
                <c:pt idx="208">
                  <c:v>3.5301601886749268</c:v>
                </c:pt>
                <c:pt idx="209">
                  <c:v>3.5779409408569336</c:v>
                </c:pt>
                <c:pt idx="210">
                  <c:v>3.5970053672790527</c:v>
                </c:pt>
                <c:pt idx="211">
                  <c:v>3.5020439624786377</c:v>
                </c:pt>
                <c:pt idx="212">
                  <c:v>3.6363174915313721</c:v>
                </c:pt>
                <c:pt idx="213">
                  <c:v>3.6619777679443359</c:v>
                </c:pt>
                <c:pt idx="214">
                  <c:v>3.5541532039642334</c:v>
                </c:pt>
                <c:pt idx="215">
                  <c:v>3.4863388538360596</c:v>
                </c:pt>
                <c:pt idx="216">
                  <c:v>3.6054000854492188</c:v>
                </c:pt>
                <c:pt idx="217">
                  <c:v>3.6129570007324219</c:v>
                </c:pt>
                <c:pt idx="218">
                  <c:v>3.5434422492980957</c:v>
                </c:pt>
                <c:pt idx="219">
                  <c:v>3.611149787902832</c:v>
                </c:pt>
                <c:pt idx="220">
                  <c:v>3.5568146705627441</c:v>
                </c:pt>
                <c:pt idx="221">
                  <c:v>3.6044964790344238</c:v>
                </c:pt>
                <c:pt idx="222">
                  <c:v>3.508237361907959</c:v>
                </c:pt>
                <c:pt idx="223">
                  <c:v>3.5845365524291992</c:v>
                </c:pt>
                <c:pt idx="224">
                  <c:v>3.8497157096862793</c:v>
                </c:pt>
                <c:pt idx="225">
                  <c:v>3.6554064750671387</c:v>
                </c:pt>
              </c:numCache>
            </c:numRef>
          </c:yVal>
          <c:smooth val="1"/>
          <c:extLst>
            <c:ext xmlns:c15="http://schemas.microsoft.com/office/drawing/2012/chart" uri="{02D57815-91ED-43cb-92C2-25804820EDAC}">
              <c15:datalabelsRange>
                <c15:f>PeakLabels!$B$2:$B$300</c15:f>
                <c15:dlblRangeCache>
                  <c:ptCount val="299"/>
                  <c:pt idx="8">
                    <c:v>206</c:v>
                  </c:pt>
                  <c:pt idx="26">
                    <c:v>242</c:v>
                  </c:pt>
                  <c:pt idx="47">
                    <c:v>284</c:v>
                  </c:pt>
                  <c:pt idx="82">
                    <c:v>354</c:v>
                  </c:pt>
                </c15:dlblRangeCache>
              </c15:datalabelsRange>
            </c:ext>
            <c:ext xmlns:c16="http://schemas.microsoft.com/office/drawing/2014/chart" uri="{C3380CC4-5D6E-409C-BE32-E72D297353CC}">
              <c16:uniqueId val="{00000000-1334-4622-AA79-3BC73312FDB2}"/>
            </c:ext>
          </c:extLst>
        </c:ser>
        <c:ser>
          <c:idx val="1"/>
          <c:order val="1"/>
          <c:spPr>
            <a:ln>
              <a:noFill/>
            </a:ln>
          </c:spPr>
          <c:marker>
            <c:symbol val="star"/>
            <c:size val="2"/>
            <c:spPr>
              <a:solidFill>
                <a:srgbClr val="000000"/>
              </a:solidFill>
              <a:ln>
                <a:noFill/>
              </a:ln>
            </c:spPr>
          </c:marker>
          <c:dLbls>
            <c:dLbl>
              <c:idx val="0"/>
              <c:tx>
                <c:rich>
                  <a:bodyPr/>
                  <a:lstStyle/>
                  <a:p>
                    <a:fld id="{F3C7F190-1D01-439B-95EB-53426E9401CC}" type="CELLRANGE">
                      <a:rPr lang="en-US"/>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1334-4622-AA79-3BC73312FDB2}"/>
                </c:ext>
              </c:extLst>
            </c:dLbl>
            <c:dLbl>
              <c:idx val="1"/>
              <c:tx>
                <c:rich>
                  <a:bodyPr/>
                  <a:lstStyle/>
                  <a:p>
                    <a:fld id="{A068E32B-A575-4293-8046-109C0FFC3101}"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1334-4622-AA79-3BC73312FDB2}"/>
                </c:ext>
              </c:extLst>
            </c:dLbl>
            <c:dLbl>
              <c:idx val="2"/>
              <c:tx>
                <c:rich>
                  <a:bodyPr/>
                  <a:lstStyle/>
                  <a:p>
                    <a:fld id="{0CBA9030-B628-49A2-9089-E76B84404D55}"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1334-4622-AA79-3BC73312FDB2}"/>
                </c:ext>
              </c:extLst>
            </c:dLbl>
            <c:dLbl>
              <c:idx val="3"/>
              <c:tx>
                <c:rich>
                  <a:bodyPr/>
                  <a:lstStyle/>
                  <a:p>
                    <a:fld id="{9FD284E3-FBF7-4109-89B7-255DD6D1D81F}"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1334-4622-AA79-3BC73312FDB2}"/>
                </c:ext>
              </c:extLst>
            </c:dLbl>
            <c:dLbl>
              <c:idx val="4"/>
              <c:tx>
                <c:rich>
                  <a:bodyPr/>
                  <a:lstStyle/>
                  <a:p>
                    <a:fld id="{26842EBD-406E-4911-9829-89CF29C52BA9}"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1334-4622-AA79-3BC73312FDB2}"/>
                </c:ext>
              </c:extLst>
            </c:dLbl>
            <c:spPr>
              <a:noFill/>
              <a:ln>
                <a:noFill/>
              </a:ln>
              <a:effectLst/>
            </c:spPr>
            <c:txPr>
              <a:bodyPr wrap="square" lIns="38100" tIns="19050" rIns="38100" bIns="19050" anchor="ctr">
                <a:spAutoFit/>
              </a:bodyPr>
              <a:lstStyle/>
              <a:p>
                <a:pPr>
                  <a:defRPr sz="1100"/>
                </a:pPr>
                <a:endParaRPr lang="en-US"/>
              </a:p>
            </c:txPr>
            <c:dLblPos val="b"/>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ext>
            </c:extLst>
          </c:dLbls>
          <c:xVal>
            <c:numRef>
              <c:f>PeakLabels!$CY$2:$CY$6</c:f>
              <c:numCache>
                <c:formatCode>General</c:formatCode>
                <c:ptCount val="5"/>
                <c:pt idx="0">
                  <c:v>200</c:v>
                </c:pt>
                <c:pt idx="1">
                  <c:v>300</c:v>
                </c:pt>
                <c:pt idx="2">
                  <c:v>400</c:v>
                </c:pt>
                <c:pt idx="3">
                  <c:v>500</c:v>
                </c:pt>
                <c:pt idx="4">
                  <c:v>600</c:v>
                </c:pt>
              </c:numCache>
            </c:numRef>
          </c:xVal>
          <c:yVal>
            <c:numRef>
              <c:f>PeakLabels!$CZ$2:$CZ$6</c:f>
              <c:numCache>
                <c:formatCode>General</c:formatCode>
                <c:ptCount val="5"/>
                <c:pt idx="0">
                  <c:v>0</c:v>
                </c:pt>
                <c:pt idx="1">
                  <c:v>0</c:v>
                </c:pt>
                <c:pt idx="2">
                  <c:v>0</c:v>
                </c:pt>
                <c:pt idx="3">
                  <c:v>0</c:v>
                </c:pt>
                <c:pt idx="4">
                  <c:v>0</c:v>
                </c:pt>
              </c:numCache>
            </c:numRef>
          </c:yVal>
          <c:smooth val="1"/>
          <c:extLst>
            <c:ext xmlns:c15="http://schemas.microsoft.com/office/drawing/2012/chart" uri="{02D57815-91ED-43cb-92C2-25804820EDAC}">
              <c15:datalabelsRange>
                <c15:f>PeakLabels!$CY$2:$CY$7</c15:f>
                <c15:dlblRangeCache>
                  <c:ptCount val="6"/>
                  <c:pt idx="0">
                    <c:v>200</c:v>
                  </c:pt>
                  <c:pt idx="1">
                    <c:v>300</c:v>
                  </c:pt>
                  <c:pt idx="2">
                    <c:v>400</c:v>
                  </c:pt>
                  <c:pt idx="3">
                    <c:v>500</c:v>
                  </c:pt>
                  <c:pt idx="4">
                    <c:v>600</c:v>
                  </c:pt>
                </c15:dlblRangeCache>
              </c15:datalabelsRange>
            </c:ext>
            <c:ext xmlns:c16="http://schemas.microsoft.com/office/drawing/2014/chart" uri="{C3380CC4-5D6E-409C-BE32-E72D297353CC}">
              <c16:uniqueId val="{00000006-1334-4622-AA79-3BC73312FDB2}"/>
            </c:ext>
          </c:extLst>
        </c:ser>
        <c:dLbls>
          <c:showLegendKey val="0"/>
          <c:showVal val="0"/>
          <c:showCatName val="0"/>
          <c:showSerName val="0"/>
          <c:showPercent val="0"/>
          <c:showBubbleSize val="0"/>
        </c:dLbls>
        <c:axId val="1569264112"/>
        <c:axId val="1569264656"/>
      </c:scatterChart>
      <c:valAx>
        <c:axId val="1569264112"/>
        <c:scaling>
          <c:orientation val="minMax"/>
          <c:max val="610"/>
          <c:min val="190"/>
        </c:scaling>
        <c:delete val="0"/>
        <c:axPos val="b"/>
        <c:majorGridlines>
          <c:spPr>
            <a:ln w="9525" cap="flat" cmpd="sng" algn="ctr">
              <a:noFill/>
              <a:round/>
            </a:ln>
            <a:effectLst/>
          </c:spPr>
        </c:majorGridlines>
        <c:numFmt formatCode="General" sourceLinked="1"/>
        <c:majorTickMark val="none"/>
        <c:minorTickMark val="none"/>
        <c:tickLblPos val="none"/>
        <c:spPr>
          <a:noFill/>
          <a:ln w="12700" cap="flat" cmpd="sng" algn="ctr">
            <a:solidFill>
              <a:sysClr val="windowText" lastClr="000000">
                <a:lumMod val="100000"/>
              </a:sysClr>
            </a:solidFill>
            <a:prstDash val="solid"/>
            <a:round/>
            <a:headEnd type="none" w="med" len="med"/>
            <a:tailEnd type="none" w="med" len="med"/>
          </a:ln>
          <a:effectLst/>
        </c:spPr>
        <c:txPr>
          <a:bodyPr rot="0" vert="horz"/>
          <a:lstStyle/>
          <a:p>
            <a:pPr>
              <a:defRPr sz="800" b="0" i="0" u="none" strike="noStrike" baseline="0">
                <a:solidFill>
                  <a:srgbClr val="333333"/>
                </a:solidFill>
                <a:latin typeface="Calibri"/>
                <a:ea typeface="Calibri"/>
                <a:cs typeface="Calibri"/>
              </a:defRPr>
            </a:pPr>
            <a:endParaRPr lang="en-US"/>
          </a:p>
        </c:txPr>
        <c:crossAx val="1569264656"/>
        <c:crossesAt val="0"/>
        <c:crossBetween val="midCat"/>
        <c:majorUnit val="100"/>
      </c:valAx>
      <c:valAx>
        <c:axId val="1569264656"/>
        <c:scaling>
          <c:orientation val="minMax"/>
          <c:max val="124"/>
          <c:min val="0"/>
        </c:scaling>
        <c:delete val="0"/>
        <c:axPos val="l"/>
        <c:majorGridlines>
          <c:spPr>
            <a:ln w="9525" cap="flat" cmpd="sng" algn="ctr">
              <a:noFill/>
              <a:round/>
            </a:ln>
            <a:effectLst/>
          </c:spPr>
        </c:majorGridlines>
        <c:numFmt formatCode="General" sourceLinked="1"/>
        <c:majorTickMark val="out"/>
        <c:minorTickMark val="none"/>
        <c:tickLblPos val="nextTo"/>
        <c:spPr>
          <a:ln w="12700" cap="flat" cmpd="sng" algn="ctr">
            <a:solidFill>
              <a:sysClr val="windowText" lastClr="000000">
                <a:lumMod val="100000"/>
              </a:sysClr>
            </a:solidFill>
            <a:prstDash val="solid"/>
            <a:round/>
            <a:headEnd type="none" w="med" len="med"/>
            <a:tailEnd type="none" w="med" len="med"/>
          </a:ln>
        </c:spPr>
        <c:crossAx val="1569264112"/>
        <c:crosses val="autoZero"/>
        <c:crossBetween val="midCat"/>
        <c:majorUnit val="25"/>
        <c:minorUnit val="5"/>
      </c:valAx>
      <c:spPr>
        <a:noFill/>
        <a:ln>
          <a:solidFill>
            <a:schemeClr val="tx1"/>
          </a:solid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01447595124229"/>
          <c:y val="2.8268540749732153E-2"/>
          <c:w val="0.79415100719771992"/>
          <c:h val="0.81774581759149068"/>
        </c:manualLayout>
      </c:layout>
      <c:scatterChart>
        <c:scatterStyle val="smoothMarker"/>
        <c:varyColors val="0"/>
        <c:ser>
          <c:idx val="0"/>
          <c:order val="0"/>
          <c:spPr>
            <a:ln w="19050" cap="rnd" cmpd="sng" algn="ctr">
              <a:solidFill>
                <a:srgbClr val="0000FF"/>
              </a:solidFill>
              <a:prstDash val="solid"/>
              <a:round/>
              <a:headEnd type="none" w="med" len="med"/>
              <a:tailEnd type="none" w="med" len="med"/>
            </a:ln>
          </c:spPr>
          <c:marker>
            <c:symbol val="none"/>
          </c:marker>
          <c:dLbls>
            <c:dLbl>
              <c:idx val="0"/>
              <c:tx>
                <c:rich>
                  <a:bodyPr/>
                  <a:lstStyle/>
                  <a:p>
                    <a:fld id="{3EA1A0B9-3697-4245-BE00-021EF39C709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AF6A-48E8-BE4F-F8C4EACB3B5B}"/>
                </c:ext>
              </c:extLst>
            </c:dLbl>
            <c:dLbl>
              <c:idx val="1"/>
              <c:tx>
                <c:rich>
                  <a:bodyPr/>
                  <a:lstStyle/>
                  <a:p>
                    <a:fld id="{9EFDE329-E264-4FC3-B3C9-8FE773FD799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AF6A-48E8-BE4F-F8C4EACB3B5B}"/>
                </c:ext>
              </c:extLst>
            </c:dLbl>
            <c:dLbl>
              <c:idx val="2"/>
              <c:tx>
                <c:rich>
                  <a:bodyPr/>
                  <a:lstStyle/>
                  <a:p>
                    <a:fld id="{63AB7151-598B-4C25-AE33-C5F7162FDFD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AF6A-48E8-BE4F-F8C4EACB3B5B}"/>
                </c:ext>
              </c:extLst>
            </c:dLbl>
            <c:dLbl>
              <c:idx val="3"/>
              <c:tx>
                <c:rich>
                  <a:bodyPr/>
                  <a:lstStyle/>
                  <a:p>
                    <a:fld id="{B10FFED4-AB8D-4E24-99AA-75CF7060641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AF6A-48E8-BE4F-F8C4EACB3B5B}"/>
                </c:ext>
              </c:extLst>
            </c:dLbl>
            <c:dLbl>
              <c:idx val="4"/>
              <c:tx>
                <c:rich>
                  <a:bodyPr/>
                  <a:lstStyle/>
                  <a:p>
                    <a:fld id="{7149EE88-F062-42BB-ADAD-73FC789653B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AF6A-48E8-BE4F-F8C4EACB3B5B}"/>
                </c:ext>
              </c:extLst>
            </c:dLbl>
            <c:dLbl>
              <c:idx val="5"/>
              <c:tx>
                <c:rich>
                  <a:bodyPr/>
                  <a:lstStyle/>
                  <a:p>
                    <a:fld id="{7DFEA017-811D-4744-AAEB-1154A249E37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AF6A-48E8-BE4F-F8C4EACB3B5B}"/>
                </c:ext>
              </c:extLst>
            </c:dLbl>
            <c:dLbl>
              <c:idx val="6"/>
              <c:tx>
                <c:rich>
                  <a:bodyPr/>
                  <a:lstStyle/>
                  <a:p>
                    <a:fld id="{BBC6A2B3-126A-464E-B6A9-EB3EBCE395C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AF6A-48E8-BE4F-F8C4EACB3B5B}"/>
                </c:ext>
              </c:extLst>
            </c:dLbl>
            <c:dLbl>
              <c:idx val="7"/>
              <c:tx>
                <c:rich>
                  <a:bodyPr/>
                  <a:lstStyle/>
                  <a:p>
                    <a:fld id="{5FFA4297-C429-470F-802C-CF122216E1A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AF6A-48E8-BE4F-F8C4EACB3B5B}"/>
                </c:ext>
              </c:extLst>
            </c:dLbl>
            <c:dLbl>
              <c:idx val="8"/>
              <c:tx>
                <c:rich>
                  <a:bodyPr/>
                  <a:lstStyle/>
                  <a:p>
                    <a:fld id="{ADDBDE04-F450-428A-A68C-56AE4A2ECA9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AF6A-48E8-BE4F-F8C4EACB3B5B}"/>
                </c:ext>
              </c:extLst>
            </c:dLbl>
            <c:dLbl>
              <c:idx val="9"/>
              <c:tx>
                <c:rich>
                  <a:bodyPr/>
                  <a:lstStyle/>
                  <a:p>
                    <a:fld id="{D52FA108-649C-413D-94E8-85FB1902861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AF6A-48E8-BE4F-F8C4EACB3B5B}"/>
                </c:ext>
              </c:extLst>
            </c:dLbl>
            <c:dLbl>
              <c:idx val="10"/>
              <c:tx>
                <c:rich>
                  <a:bodyPr/>
                  <a:lstStyle/>
                  <a:p>
                    <a:fld id="{A2AE6CB6-6B3F-4E2C-AB99-4CED6779045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AF6A-48E8-BE4F-F8C4EACB3B5B}"/>
                </c:ext>
              </c:extLst>
            </c:dLbl>
            <c:dLbl>
              <c:idx val="11"/>
              <c:tx>
                <c:rich>
                  <a:bodyPr/>
                  <a:lstStyle/>
                  <a:p>
                    <a:fld id="{FE5074FA-9C60-4929-91A0-49913E48DD1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AF6A-48E8-BE4F-F8C4EACB3B5B}"/>
                </c:ext>
              </c:extLst>
            </c:dLbl>
            <c:dLbl>
              <c:idx val="12"/>
              <c:tx>
                <c:rich>
                  <a:bodyPr/>
                  <a:lstStyle/>
                  <a:p>
                    <a:fld id="{99D20CA9-FF9F-42A8-89C5-2948BDC6FCB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AF6A-48E8-BE4F-F8C4EACB3B5B}"/>
                </c:ext>
              </c:extLst>
            </c:dLbl>
            <c:dLbl>
              <c:idx val="13"/>
              <c:tx>
                <c:rich>
                  <a:bodyPr/>
                  <a:lstStyle/>
                  <a:p>
                    <a:fld id="{93E6D5BD-49B4-45FB-8845-33215C95FEA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AF6A-48E8-BE4F-F8C4EACB3B5B}"/>
                </c:ext>
              </c:extLst>
            </c:dLbl>
            <c:dLbl>
              <c:idx val="14"/>
              <c:tx>
                <c:rich>
                  <a:bodyPr/>
                  <a:lstStyle/>
                  <a:p>
                    <a:fld id="{9C64D74A-292B-4905-AF96-464650F752B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AF6A-48E8-BE4F-F8C4EACB3B5B}"/>
                </c:ext>
              </c:extLst>
            </c:dLbl>
            <c:dLbl>
              <c:idx val="15"/>
              <c:tx>
                <c:rich>
                  <a:bodyPr/>
                  <a:lstStyle/>
                  <a:p>
                    <a:fld id="{52648889-D222-45D5-B165-B38F0401F30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AF6A-48E8-BE4F-F8C4EACB3B5B}"/>
                </c:ext>
              </c:extLst>
            </c:dLbl>
            <c:dLbl>
              <c:idx val="16"/>
              <c:tx>
                <c:rich>
                  <a:bodyPr/>
                  <a:lstStyle/>
                  <a:p>
                    <a:fld id="{D57B0B45-0CB3-459C-863B-10959724866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AF6A-48E8-BE4F-F8C4EACB3B5B}"/>
                </c:ext>
              </c:extLst>
            </c:dLbl>
            <c:dLbl>
              <c:idx val="17"/>
              <c:tx>
                <c:rich>
                  <a:bodyPr/>
                  <a:lstStyle/>
                  <a:p>
                    <a:fld id="{C7E2DFC5-557B-4B49-863C-62E5DAA293D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AF6A-48E8-BE4F-F8C4EACB3B5B}"/>
                </c:ext>
              </c:extLst>
            </c:dLbl>
            <c:dLbl>
              <c:idx val="18"/>
              <c:tx>
                <c:rich>
                  <a:bodyPr/>
                  <a:lstStyle/>
                  <a:p>
                    <a:fld id="{ADFC2BED-9C03-4E52-98FA-5D5E14A4995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AF6A-48E8-BE4F-F8C4EACB3B5B}"/>
                </c:ext>
              </c:extLst>
            </c:dLbl>
            <c:dLbl>
              <c:idx val="19"/>
              <c:tx>
                <c:rich>
                  <a:bodyPr/>
                  <a:lstStyle/>
                  <a:p>
                    <a:fld id="{E851C7D5-910A-4426-A4A1-29A0CF09ED7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AF6A-48E8-BE4F-F8C4EACB3B5B}"/>
                </c:ext>
              </c:extLst>
            </c:dLbl>
            <c:dLbl>
              <c:idx val="20"/>
              <c:tx>
                <c:rich>
                  <a:bodyPr/>
                  <a:lstStyle/>
                  <a:p>
                    <a:fld id="{3BCFE2A0-36ED-4A62-BC71-AD0ED5BB56D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AF6A-48E8-BE4F-F8C4EACB3B5B}"/>
                </c:ext>
              </c:extLst>
            </c:dLbl>
            <c:dLbl>
              <c:idx val="21"/>
              <c:tx>
                <c:rich>
                  <a:bodyPr/>
                  <a:lstStyle/>
                  <a:p>
                    <a:fld id="{3337E3E7-2A82-492C-82DA-4B0DD29A2F7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AF6A-48E8-BE4F-F8C4EACB3B5B}"/>
                </c:ext>
              </c:extLst>
            </c:dLbl>
            <c:dLbl>
              <c:idx val="22"/>
              <c:tx>
                <c:rich>
                  <a:bodyPr/>
                  <a:lstStyle/>
                  <a:p>
                    <a:fld id="{E9DD1BC1-E948-4BE8-A0B4-7B67E5ECF98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AF6A-48E8-BE4F-F8C4EACB3B5B}"/>
                </c:ext>
              </c:extLst>
            </c:dLbl>
            <c:dLbl>
              <c:idx val="23"/>
              <c:tx>
                <c:rich>
                  <a:bodyPr/>
                  <a:lstStyle/>
                  <a:p>
                    <a:fld id="{A099977F-910E-4E18-B2A0-FCA559F0D82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AF6A-48E8-BE4F-F8C4EACB3B5B}"/>
                </c:ext>
              </c:extLst>
            </c:dLbl>
            <c:dLbl>
              <c:idx val="24"/>
              <c:tx>
                <c:rich>
                  <a:bodyPr/>
                  <a:lstStyle/>
                  <a:p>
                    <a:fld id="{8D0A6C10-AD8B-49F1-B712-7D2F77161FF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AF6A-48E8-BE4F-F8C4EACB3B5B}"/>
                </c:ext>
              </c:extLst>
            </c:dLbl>
            <c:dLbl>
              <c:idx val="25"/>
              <c:tx>
                <c:rich>
                  <a:bodyPr/>
                  <a:lstStyle/>
                  <a:p>
                    <a:fld id="{EB853302-9CED-4461-89D6-E23A47A5F1A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AF6A-48E8-BE4F-F8C4EACB3B5B}"/>
                </c:ext>
              </c:extLst>
            </c:dLbl>
            <c:dLbl>
              <c:idx val="26"/>
              <c:tx>
                <c:rich>
                  <a:bodyPr/>
                  <a:lstStyle/>
                  <a:p>
                    <a:fld id="{83A4690B-9E10-43E4-A20A-25FA584D8FD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AF6A-48E8-BE4F-F8C4EACB3B5B}"/>
                </c:ext>
              </c:extLst>
            </c:dLbl>
            <c:dLbl>
              <c:idx val="27"/>
              <c:tx>
                <c:rich>
                  <a:bodyPr/>
                  <a:lstStyle/>
                  <a:p>
                    <a:fld id="{7F69BAED-4235-41E5-A476-00E5642BFCA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AF6A-48E8-BE4F-F8C4EACB3B5B}"/>
                </c:ext>
              </c:extLst>
            </c:dLbl>
            <c:dLbl>
              <c:idx val="28"/>
              <c:tx>
                <c:rich>
                  <a:bodyPr/>
                  <a:lstStyle/>
                  <a:p>
                    <a:fld id="{957A3B30-1403-4F4E-8EB4-6D48DA7D4EA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AF6A-48E8-BE4F-F8C4EACB3B5B}"/>
                </c:ext>
              </c:extLst>
            </c:dLbl>
            <c:dLbl>
              <c:idx val="29"/>
              <c:tx>
                <c:rich>
                  <a:bodyPr/>
                  <a:lstStyle/>
                  <a:p>
                    <a:fld id="{67ED323F-CDDD-4659-9B18-BFB489AAA20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AF6A-48E8-BE4F-F8C4EACB3B5B}"/>
                </c:ext>
              </c:extLst>
            </c:dLbl>
            <c:dLbl>
              <c:idx val="30"/>
              <c:tx>
                <c:rich>
                  <a:bodyPr/>
                  <a:lstStyle/>
                  <a:p>
                    <a:fld id="{07F75317-EE84-4C3F-A44F-CF7FD753229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AF6A-48E8-BE4F-F8C4EACB3B5B}"/>
                </c:ext>
              </c:extLst>
            </c:dLbl>
            <c:dLbl>
              <c:idx val="31"/>
              <c:tx>
                <c:rich>
                  <a:bodyPr/>
                  <a:lstStyle/>
                  <a:p>
                    <a:fld id="{0EB494CF-8CED-4C0D-A86C-C5CFBAF8AE9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0-AF6A-48E8-BE4F-F8C4EACB3B5B}"/>
                </c:ext>
              </c:extLst>
            </c:dLbl>
            <c:dLbl>
              <c:idx val="32"/>
              <c:tx>
                <c:rich>
                  <a:bodyPr/>
                  <a:lstStyle/>
                  <a:p>
                    <a:fld id="{D576532B-EA7A-4389-B6BE-0FFECDA30CF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AF6A-48E8-BE4F-F8C4EACB3B5B}"/>
                </c:ext>
              </c:extLst>
            </c:dLbl>
            <c:dLbl>
              <c:idx val="33"/>
              <c:tx>
                <c:rich>
                  <a:bodyPr/>
                  <a:lstStyle/>
                  <a:p>
                    <a:fld id="{39875510-6CFB-4666-B87C-D200C16F2E7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2-AF6A-48E8-BE4F-F8C4EACB3B5B}"/>
                </c:ext>
              </c:extLst>
            </c:dLbl>
            <c:dLbl>
              <c:idx val="34"/>
              <c:tx>
                <c:rich>
                  <a:bodyPr/>
                  <a:lstStyle/>
                  <a:p>
                    <a:fld id="{EA1FE65C-F897-4AF4-9F87-1B5B2B7B1B8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AF6A-48E8-BE4F-F8C4EACB3B5B}"/>
                </c:ext>
              </c:extLst>
            </c:dLbl>
            <c:dLbl>
              <c:idx val="35"/>
              <c:tx>
                <c:rich>
                  <a:bodyPr/>
                  <a:lstStyle/>
                  <a:p>
                    <a:fld id="{CC6B486D-3AE7-48CF-BDA4-9CBAB62EFF3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4-AF6A-48E8-BE4F-F8C4EACB3B5B}"/>
                </c:ext>
              </c:extLst>
            </c:dLbl>
            <c:dLbl>
              <c:idx val="36"/>
              <c:tx>
                <c:rich>
                  <a:bodyPr/>
                  <a:lstStyle/>
                  <a:p>
                    <a:fld id="{3E77D338-CBFE-42A0-89C4-3E773AD93BB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AF6A-48E8-BE4F-F8C4EACB3B5B}"/>
                </c:ext>
              </c:extLst>
            </c:dLbl>
            <c:dLbl>
              <c:idx val="37"/>
              <c:tx>
                <c:rich>
                  <a:bodyPr/>
                  <a:lstStyle/>
                  <a:p>
                    <a:fld id="{B5E7B027-2BCF-4B61-B173-D2FC531D59F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6-AF6A-48E8-BE4F-F8C4EACB3B5B}"/>
                </c:ext>
              </c:extLst>
            </c:dLbl>
            <c:dLbl>
              <c:idx val="38"/>
              <c:tx>
                <c:rich>
                  <a:bodyPr/>
                  <a:lstStyle/>
                  <a:p>
                    <a:fld id="{4CBF4A3F-8E27-479E-BF9B-275762CBA4C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7-AF6A-48E8-BE4F-F8C4EACB3B5B}"/>
                </c:ext>
              </c:extLst>
            </c:dLbl>
            <c:dLbl>
              <c:idx val="39"/>
              <c:tx>
                <c:rich>
                  <a:bodyPr/>
                  <a:lstStyle/>
                  <a:p>
                    <a:fld id="{514B631C-7951-4EA7-83A1-863B47187E4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8-AF6A-48E8-BE4F-F8C4EACB3B5B}"/>
                </c:ext>
              </c:extLst>
            </c:dLbl>
            <c:dLbl>
              <c:idx val="40"/>
              <c:tx>
                <c:rich>
                  <a:bodyPr/>
                  <a:lstStyle/>
                  <a:p>
                    <a:fld id="{3693F9AC-D891-45F0-B2F0-76334910347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9-AF6A-48E8-BE4F-F8C4EACB3B5B}"/>
                </c:ext>
              </c:extLst>
            </c:dLbl>
            <c:dLbl>
              <c:idx val="41"/>
              <c:tx>
                <c:rich>
                  <a:bodyPr/>
                  <a:lstStyle/>
                  <a:p>
                    <a:fld id="{57C4D864-7006-4DF5-97E1-158214A95C2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A-AF6A-48E8-BE4F-F8C4EACB3B5B}"/>
                </c:ext>
              </c:extLst>
            </c:dLbl>
            <c:dLbl>
              <c:idx val="42"/>
              <c:tx>
                <c:rich>
                  <a:bodyPr/>
                  <a:lstStyle/>
                  <a:p>
                    <a:fld id="{12304AA6-B68D-4C25-BFDE-101A6822386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B-AF6A-48E8-BE4F-F8C4EACB3B5B}"/>
                </c:ext>
              </c:extLst>
            </c:dLbl>
            <c:dLbl>
              <c:idx val="43"/>
              <c:tx>
                <c:rich>
                  <a:bodyPr/>
                  <a:lstStyle/>
                  <a:p>
                    <a:fld id="{DB14AB83-8D10-4FF1-BAC3-3B54DF8F870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C-AF6A-48E8-BE4F-F8C4EACB3B5B}"/>
                </c:ext>
              </c:extLst>
            </c:dLbl>
            <c:dLbl>
              <c:idx val="44"/>
              <c:tx>
                <c:rich>
                  <a:bodyPr/>
                  <a:lstStyle/>
                  <a:p>
                    <a:fld id="{765A4C99-56D4-4FF3-B8E9-EB272E7822B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D-AF6A-48E8-BE4F-F8C4EACB3B5B}"/>
                </c:ext>
              </c:extLst>
            </c:dLbl>
            <c:dLbl>
              <c:idx val="45"/>
              <c:tx>
                <c:rich>
                  <a:bodyPr/>
                  <a:lstStyle/>
                  <a:p>
                    <a:fld id="{BFE550A1-0BE9-4702-B7D4-39787B5AB85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E-AF6A-48E8-BE4F-F8C4EACB3B5B}"/>
                </c:ext>
              </c:extLst>
            </c:dLbl>
            <c:dLbl>
              <c:idx val="46"/>
              <c:tx>
                <c:rich>
                  <a:bodyPr/>
                  <a:lstStyle/>
                  <a:p>
                    <a:fld id="{7EDA483A-0430-4D92-86CE-97D7D7FF7AC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F-AF6A-48E8-BE4F-F8C4EACB3B5B}"/>
                </c:ext>
              </c:extLst>
            </c:dLbl>
            <c:dLbl>
              <c:idx val="47"/>
              <c:tx>
                <c:rich>
                  <a:bodyPr/>
                  <a:lstStyle/>
                  <a:p>
                    <a:fld id="{0BBB617A-7EC2-49B7-AEDD-7F5E71C5581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0-AF6A-48E8-BE4F-F8C4EACB3B5B}"/>
                </c:ext>
              </c:extLst>
            </c:dLbl>
            <c:dLbl>
              <c:idx val="48"/>
              <c:tx>
                <c:rich>
                  <a:bodyPr/>
                  <a:lstStyle/>
                  <a:p>
                    <a:fld id="{49BEAB95-3E2E-4CDD-847D-BB3AEF16677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1-AF6A-48E8-BE4F-F8C4EACB3B5B}"/>
                </c:ext>
              </c:extLst>
            </c:dLbl>
            <c:dLbl>
              <c:idx val="49"/>
              <c:tx>
                <c:rich>
                  <a:bodyPr/>
                  <a:lstStyle/>
                  <a:p>
                    <a:fld id="{57EA978A-DAE5-433C-B01D-6C98A76909C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2-AF6A-48E8-BE4F-F8C4EACB3B5B}"/>
                </c:ext>
              </c:extLst>
            </c:dLbl>
            <c:dLbl>
              <c:idx val="50"/>
              <c:tx>
                <c:rich>
                  <a:bodyPr/>
                  <a:lstStyle/>
                  <a:p>
                    <a:fld id="{6D0347DE-A9FB-4E68-9A9C-3131410177F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3-AF6A-48E8-BE4F-F8C4EACB3B5B}"/>
                </c:ext>
              </c:extLst>
            </c:dLbl>
            <c:dLbl>
              <c:idx val="51"/>
              <c:tx>
                <c:rich>
                  <a:bodyPr/>
                  <a:lstStyle/>
                  <a:p>
                    <a:fld id="{8C4D4A75-0F2A-4BA7-A235-EE9EF2F951F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4-AF6A-48E8-BE4F-F8C4EACB3B5B}"/>
                </c:ext>
              </c:extLst>
            </c:dLbl>
            <c:dLbl>
              <c:idx val="52"/>
              <c:tx>
                <c:rich>
                  <a:bodyPr/>
                  <a:lstStyle/>
                  <a:p>
                    <a:fld id="{C02C498E-3792-466E-B580-4FDC8DEC86A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5-AF6A-48E8-BE4F-F8C4EACB3B5B}"/>
                </c:ext>
              </c:extLst>
            </c:dLbl>
            <c:dLbl>
              <c:idx val="53"/>
              <c:tx>
                <c:rich>
                  <a:bodyPr/>
                  <a:lstStyle/>
                  <a:p>
                    <a:fld id="{FF552562-B4D5-4E5D-9B57-E0F8CB7BBD1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6-AF6A-48E8-BE4F-F8C4EACB3B5B}"/>
                </c:ext>
              </c:extLst>
            </c:dLbl>
            <c:dLbl>
              <c:idx val="54"/>
              <c:tx>
                <c:rich>
                  <a:bodyPr/>
                  <a:lstStyle/>
                  <a:p>
                    <a:fld id="{0A526D60-443F-4CB0-9BA9-23BA68F6C7B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7-AF6A-48E8-BE4F-F8C4EACB3B5B}"/>
                </c:ext>
              </c:extLst>
            </c:dLbl>
            <c:dLbl>
              <c:idx val="55"/>
              <c:tx>
                <c:rich>
                  <a:bodyPr/>
                  <a:lstStyle/>
                  <a:p>
                    <a:fld id="{91C48D09-0263-4EA8-A2F3-D7B29A2BF7F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8-AF6A-48E8-BE4F-F8C4EACB3B5B}"/>
                </c:ext>
              </c:extLst>
            </c:dLbl>
            <c:dLbl>
              <c:idx val="56"/>
              <c:tx>
                <c:rich>
                  <a:bodyPr/>
                  <a:lstStyle/>
                  <a:p>
                    <a:fld id="{4264B438-72E6-476A-A4A0-F05DAD23B8C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9-AF6A-48E8-BE4F-F8C4EACB3B5B}"/>
                </c:ext>
              </c:extLst>
            </c:dLbl>
            <c:dLbl>
              <c:idx val="57"/>
              <c:tx>
                <c:rich>
                  <a:bodyPr/>
                  <a:lstStyle/>
                  <a:p>
                    <a:fld id="{5E7E9C63-6EE8-428D-AA91-3E5611E59BF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A-AF6A-48E8-BE4F-F8C4EACB3B5B}"/>
                </c:ext>
              </c:extLst>
            </c:dLbl>
            <c:dLbl>
              <c:idx val="58"/>
              <c:tx>
                <c:rich>
                  <a:bodyPr/>
                  <a:lstStyle/>
                  <a:p>
                    <a:fld id="{8DC9D126-6C66-4820-8298-1C9A54E6994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B-AF6A-48E8-BE4F-F8C4EACB3B5B}"/>
                </c:ext>
              </c:extLst>
            </c:dLbl>
            <c:dLbl>
              <c:idx val="59"/>
              <c:tx>
                <c:rich>
                  <a:bodyPr/>
                  <a:lstStyle/>
                  <a:p>
                    <a:fld id="{91B6C366-8E9B-4000-8AB6-2E7C8FA0BC1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C-AF6A-48E8-BE4F-F8C4EACB3B5B}"/>
                </c:ext>
              </c:extLst>
            </c:dLbl>
            <c:dLbl>
              <c:idx val="60"/>
              <c:tx>
                <c:rich>
                  <a:bodyPr/>
                  <a:lstStyle/>
                  <a:p>
                    <a:fld id="{9D8B0AEB-59C8-4613-9359-B90539BB63D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D-AF6A-48E8-BE4F-F8C4EACB3B5B}"/>
                </c:ext>
              </c:extLst>
            </c:dLbl>
            <c:dLbl>
              <c:idx val="61"/>
              <c:tx>
                <c:rich>
                  <a:bodyPr/>
                  <a:lstStyle/>
                  <a:p>
                    <a:fld id="{73147B17-A147-457A-901A-BBC42255272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E-AF6A-48E8-BE4F-F8C4EACB3B5B}"/>
                </c:ext>
              </c:extLst>
            </c:dLbl>
            <c:dLbl>
              <c:idx val="62"/>
              <c:tx>
                <c:rich>
                  <a:bodyPr/>
                  <a:lstStyle/>
                  <a:p>
                    <a:fld id="{D3A2AC3F-E179-4DBE-B99D-AB592E40CEB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F-AF6A-48E8-BE4F-F8C4EACB3B5B}"/>
                </c:ext>
              </c:extLst>
            </c:dLbl>
            <c:dLbl>
              <c:idx val="63"/>
              <c:tx>
                <c:rich>
                  <a:bodyPr/>
                  <a:lstStyle/>
                  <a:p>
                    <a:fld id="{331A1679-A1C9-4F48-8997-A434689E8A6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0-AF6A-48E8-BE4F-F8C4EACB3B5B}"/>
                </c:ext>
              </c:extLst>
            </c:dLbl>
            <c:dLbl>
              <c:idx val="64"/>
              <c:tx>
                <c:rich>
                  <a:bodyPr/>
                  <a:lstStyle/>
                  <a:p>
                    <a:fld id="{6C8FE139-3121-482D-85BB-E2709AE49BE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1-AF6A-48E8-BE4F-F8C4EACB3B5B}"/>
                </c:ext>
              </c:extLst>
            </c:dLbl>
            <c:dLbl>
              <c:idx val="65"/>
              <c:tx>
                <c:rich>
                  <a:bodyPr/>
                  <a:lstStyle/>
                  <a:p>
                    <a:fld id="{7969D01C-925B-4E9C-A804-782D147B9FF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2-AF6A-48E8-BE4F-F8C4EACB3B5B}"/>
                </c:ext>
              </c:extLst>
            </c:dLbl>
            <c:dLbl>
              <c:idx val="66"/>
              <c:tx>
                <c:rich>
                  <a:bodyPr/>
                  <a:lstStyle/>
                  <a:p>
                    <a:fld id="{E2388D03-0F17-4A47-AF5D-3EA95E2AB59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3-AF6A-48E8-BE4F-F8C4EACB3B5B}"/>
                </c:ext>
              </c:extLst>
            </c:dLbl>
            <c:dLbl>
              <c:idx val="67"/>
              <c:tx>
                <c:rich>
                  <a:bodyPr/>
                  <a:lstStyle/>
                  <a:p>
                    <a:fld id="{23FA029F-4F2B-44B0-99F3-A7A5D00F381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4-AF6A-48E8-BE4F-F8C4EACB3B5B}"/>
                </c:ext>
              </c:extLst>
            </c:dLbl>
            <c:dLbl>
              <c:idx val="68"/>
              <c:tx>
                <c:rich>
                  <a:bodyPr/>
                  <a:lstStyle/>
                  <a:p>
                    <a:fld id="{0A444417-16E1-4C94-AEAD-DBFE9EB8483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5-AF6A-48E8-BE4F-F8C4EACB3B5B}"/>
                </c:ext>
              </c:extLst>
            </c:dLbl>
            <c:dLbl>
              <c:idx val="69"/>
              <c:tx>
                <c:rich>
                  <a:bodyPr/>
                  <a:lstStyle/>
                  <a:p>
                    <a:fld id="{E1D67690-166A-4463-8D7C-D1C70F76A2B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6-AF6A-48E8-BE4F-F8C4EACB3B5B}"/>
                </c:ext>
              </c:extLst>
            </c:dLbl>
            <c:dLbl>
              <c:idx val="70"/>
              <c:tx>
                <c:rich>
                  <a:bodyPr/>
                  <a:lstStyle/>
                  <a:p>
                    <a:fld id="{238B913F-E134-48BB-802E-32D0EB22D8A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7-AF6A-48E8-BE4F-F8C4EACB3B5B}"/>
                </c:ext>
              </c:extLst>
            </c:dLbl>
            <c:dLbl>
              <c:idx val="71"/>
              <c:tx>
                <c:rich>
                  <a:bodyPr/>
                  <a:lstStyle/>
                  <a:p>
                    <a:fld id="{FB0C8868-80D9-4F78-8B1D-F3EA2AFC8D5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8-AF6A-48E8-BE4F-F8C4EACB3B5B}"/>
                </c:ext>
              </c:extLst>
            </c:dLbl>
            <c:dLbl>
              <c:idx val="72"/>
              <c:tx>
                <c:rich>
                  <a:bodyPr/>
                  <a:lstStyle/>
                  <a:p>
                    <a:fld id="{10A3A5DC-9190-4FDD-B501-0286FBD325A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9-AF6A-48E8-BE4F-F8C4EACB3B5B}"/>
                </c:ext>
              </c:extLst>
            </c:dLbl>
            <c:dLbl>
              <c:idx val="73"/>
              <c:tx>
                <c:rich>
                  <a:bodyPr/>
                  <a:lstStyle/>
                  <a:p>
                    <a:fld id="{C4CDA584-92AC-422E-94B5-7E3E1F67A4D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A-AF6A-48E8-BE4F-F8C4EACB3B5B}"/>
                </c:ext>
              </c:extLst>
            </c:dLbl>
            <c:dLbl>
              <c:idx val="74"/>
              <c:tx>
                <c:rich>
                  <a:bodyPr/>
                  <a:lstStyle/>
                  <a:p>
                    <a:fld id="{3BC447E0-623A-4BAA-AF6F-478A9E54773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B-AF6A-48E8-BE4F-F8C4EACB3B5B}"/>
                </c:ext>
              </c:extLst>
            </c:dLbl>
            <c:dLbl>
              <c:idx val="75"/>
              <c:tx>
                <c:rich>
                  <a:bodyPr/>
                  <a:lstStyle/>
                  <a:p>
                    <a:fld id="{41B51808-1A2B-4758-97CB-E48C3C87EAC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C-AF6A-48E8-BE4F-F8C4EACB3B5B}"/>
                </c:ext>
              </c:extLst>
            </c:dLbl>
            <c:dLbl>
              <c:idx val="76"/>
              <c:tx>
                <c:rich>
                  <a:bodyPr/>
                  <a:lstStyle/>
                  <a:p>
                    <a:fld id="{0A9F2D98-FDEE-4512-8679-BF683BA450C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D-AF6A-48E8-BE4F-F8C4EACB3B5B}"/>
                </c:ext>
              </c:extLst>
            </c:dLbl>
            <c:dLbl>
              <c:idx val="77"/>
              <c:tx>
                <c:rich>
                  <a:bodyPr/>
                  <a:lstStyle/>
                  <a:p>
                    <a:fld id="{8E979F47-A684-4548-9AA9-E98EE0CFF21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E-AF6A-48E8-BE4F-F8C4EACB3B5B}"/>
                </c:ext>
              </c:extLst>
            </c:dLbl>
            <c:dLbl>
              <c:idx val="78"/>
              <c:tx>
                <c:rich>
                  <a:bodyPr/>
                  <a:lstStyle/>
                  <a:p>
                    <a:fld id="{0D808674-D512-41F3-BEC1-C6846A16D4B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F-AF6A-48E8-BE4F-F8C4EACB3B5B}"/>
                </c:ext>
              </c:extLst>
            </c:dLbl>
            <c:dLbl>
              <c:idx val="79"/>
              <c:tx>
                <c:rich>
                  <a:bodyPr/>
                  <a:lstStyle/>
                  <a:p>
                    <a:fld id="{14A8E17A-6865-4FC6-9A79-F10195CE447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0-AF6A-48E8-BE4F-F8C4EACB3B5B}"/>
                </c:ext>
              </c:extLst>
            </c:dLbl>
            <c:dLbl>
              <c:idx val="80"/>
              <c:tx>
                <c:rich>
                  <a:bodyPr/>
                  <a:lstStyle/>
                  <a:p>
                    <a:fld id="{2CA74F5F-4D2D-4505-9B21-9497A8AEF0F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1-AF6A-48E8-BE4F-F8C4EACB3B5B}"/>
                </c:ext>
              </c:extLst>
            </c:dLbl>
            <c:dLbl>
              <c:idx val="81"/>
              <c:tx>
                <c:rich>
                  <a:bodyPr/>
                  <a:lstStyle/>
                  <a:p>
                    <a:fld id="{2C1F649D-F0F5-4C15-AF32-29A062A2EC3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2-AF6A-48E8-BE4F-F8C4EACB3B5B}"/>
                </c:ext>
              </c:extLst>
            </c:dLbl>
            <c:dLbl>
              <c:idx val="82"/>
              <c:tx>
                <c:rich>
                  <a:bodyPr/>
                  <a:lstStyle/>
                  <a:p>
                    <a:fld id="{9A1E6354-5697-4643-9255-4E6E00B1975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3-AF6A-48E8-BE4F-F8C4EACB3B5B}"/>
                </c:ext>
              </c:extLst>
            </c:dLbl>
            <c:dLbl>
              <c:idx val="83"/>
              <c:tx>
                <c:rich>
                  <a:bodyPr/>
                  <a:lstStyle/>
                  <a:p>
                    <a:fld id="{D1EF4EFE-C596-49DC-A117-AE31B59E801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4-AF6A-48E8-BE4F-F8C4EACB3B5B}"/>
                </c:ext>
              </c:extLst>
            </c:dLbl>
            <c:dLbl>
              <c:idx val="84"/>
              <c:tx>
                <c:rich>
                  <a:bodyPr/>
                  <a:lstStyle/>
                  <a:p>
                    <a:fld id="{687B5FA4-5A98-4834-8E73-5AE2D23CD70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5-AF6A-48E8-BE4F-F8C4EACB3B5B}"/>
                </c:ext>
              </c:extLst>
            </c:dLbl>
            <c:dLbl>
              <c:idx val="85"/>
              <c:tx>
                <c:rich>
                  <a:bodyPr/>
                  <a:lstStyle/>
                  <a:p>
                    <a:fld id="{F7203A6D-7DA7-4B07-8BE6-1119441C11F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6-AF6A-48E8-BE4F-F8C4EACB3B5B}"/>
                </c:ext>
              </c:extLst>
            </c:dLbl>
            <c:dLbl>
              <c:idx val="86"/>
              <c:tx>
                <c:rich>
                  <a:bodyPr/>
                  <a:lstStyle/>
                  <a:p>
                    <a:fld id="{FFF401A2-6FBD-494A-86F3-5834CC953A0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7-AF6A-48E8-BE4F-F8C4EACB3B5B}"/>
                </c:ext>
              </c:extLst>
            </c:dLbl>
            <c:dLbl>
              <c:idx val="87"/>
              <c:tx>
                <c:rich>
                  <a:bodyPr/>
                  <a:lstStyle/>
                  <a:p>
                    <a:fld id="{28EFAF0B-3682-4954-871D-6D2184DFA43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8-AF6A-48E8-BE4F-F8C4EACB3B5B}"/>
                </c:ext>
              </c:extLst>
            </c:dLbl>
            <c:dLbl>
              <c:idx val="88"/>
              <c:tx>
                <c:rich>
                  <a:bodyPr/>
                  <a:lstStyle/>
                  <a:p>
                    <a:fld id="{1CBE4FD8-E065-484F-B043-74EC29C4321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9-AF6A-48E8-BE4F-F8C4EACB3B5B}"/>
                </c:ext>
              </c:extLst>
            </c:dLbl>
            <c:dLbl>
              <c:idx val="89"/>
              <c:tx>
                <c:rich>
                  <a:bodyPr/>
                  <a:lstStyle/>
                  <a:p>
                    <a:fld id="{35FF5206-3507-4740-87B9-900895F56F4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A-AF6A-48E8-BE4F-F8C4EACB3B5B}"/>
                </c:ext>
              </c:extLst>
            </c:dLbl>
            <c:dLbl>
              <c:idx val="90"/>
              <c:tx>
                <c:rich>
                  <a:bodyPr/>
                  <a:lstStyle/>
                  <a:p>
                    <a:fld id="{D2D39BB2-F6E9-4B6E-9740-A81781288BE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B-AF6A-48E8-BE4F-F8C4EACB3B5B}"/>
                </c:ext>
              </c:extLst>
            </c:dLbl>
            <c:dLbl>
              <c:idx val="91"/>
              <c:tx>
                <c:rich>
                  <a:bodyPr/>
                  <a:lstStyle/>
                  <a:p>
                    <a:fld id="{A86984D1-4AA4-4341-AF0E-FC9EBF090B2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C-AF6A-48E8-BE4F-F8C4EACB3B5B}"/>
                </c:ext>
              </c:extLst>
            </c:dLbl>
            <c:dLbl>
              <c:idx val="92"/>
              <c:tx>
                <c:rich>
                  <a:bodyPr/>
                  <a:lstStyle/>
                  <a:p>
                    <a:fld id="{03F3FB63-A910-448E-873F-CFCD06104A1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D-AF6A-48E8-BE4F-F8C4EACB3B5B}"/>
                </c:ext>
              </c:extLst>
            </c:dLbl>
            <c:dLbl>
              <c:idx val="93"/>
              <c:tx>
                <c:rich>
                  <a:bodyPr/>
                  <a:lstStyle/>
                  <a:p>
                    <a:fld id="{F2F8E420-ADB7-4FFA-BD8C-2034A610386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E-AF6A-48E8-BE4F-F8C4EACB3B5B}"/>
                </c:ext>
              </c:extLst>
            </c:dLbl>
            <c:dLbl>
              <c:idx val="94"/>
              <c:tx>
                <c:rich>
                  <a:bodyPr/>
                  <a:lstStyle/>
                  <a:p>
                    <a:fld id="{099E7E98-4085-4CA9-BD8A-27D42876424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F-AF6A-48E8-BE4F-F8C4EACB3B5B}"/>
                </c:ext>
              </c:extLst>
            </c:dLbl>
            <c:dLbl>
              <c:idx val="95"/>
              <c:tx>
                <c:rich>
                  <a:bodyPr/>
                  <a:lstStyle/>
                  <a:p>
                    <a:fld id="{158DEEE2-C396-45F5-8D1D-3EFACE3BCC3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0-AF6A-48E8-BE4F-F8C4EACB3B5B}"/>
                </c:ext>
              </c:extLst>
            </c:dLbl>
            <c:dLbl>
              <c:idx val="96"/>
              <c:tx>
                <c:rich>
                  <a:bodyPr/>
                  <a:lstStyle/>
                  <a:p>
                    <a:fld id="{7DC0F625-D8CF-4593-B8F7-9A3A9620B3D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1-AF6A-48E8-BE4F-F8C4EACB3B5B}"/>
                </c:ext>
              </c:extLst>
            </c:dLbl>
            <c:dLbl>
              <c:idx val="97"/>
              <c:tx>
                <c:rich>
                  <a:bodyPr/>
                  <a:lstStyle/>
                  <a:p>
                    <a:fld id="{68729415-C063-4A2E-AA10-7B063D7EBF0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2-AF6A-48E8-BE4F-F8C4EACB3B5B}"/>
                </c:ext>
              </c:extLst>
            </c:dLbl>
            <c:dLbl>
              <c:idx val="98"/>
              <c:tx>
                <c:rich>
                  <a:bodyPr/>
                  <a:lstStyle/>
                  <a:p>
                    <a:fld id="{A057D55D-DCBB-40BC-8204-37266ECCCF2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3-AF6A-48E8-BE4F-F8C4EACB3B5B}"/>
                </c:ext>
              </c:extLst>
            </c:dLbl>
            <c:dLbl>
              <c:idx val="99"/>
              <c:tx>
                <c:rich>
                  <a:bodyPr/>
                  <a:lstStyle/>
                  <a:p>
                    <a:fld id="{96B2C449-4E2A-40C7-92B8-37B6094034F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4-AF6A-48E8-BE4F-F8C4EACB3B5B}"/>
                </c:ext>
              </c:extLst>
            </c:dLbl>
            <c:dLbl>
              <c:idx val="100"/>
              <c:tx>
                <c:rich>
                  <a:bodyPr/>
                  <a:lstStyle/>
                  <a:p>
                    <a:fld id="{2C768CD6-880C-46C8-A62E-1DDD6077557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5-AF6A-48E8-BE4F-F8C4EACB3B5B}"/>
                </c:ext>
              </c:extLst>
            </c:dLbl>
            <c:dLbl>
              <c:idx val="101"/>
              <c:tx>
                <c:rich>
                  <a:bodyPr/>
                  <a:lstStyle/>
                  <a:p>
                    <a:fld id="{4A27655E-BAE4-4AF1-9022-952AC9330B4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6-AF6A-48E8-BE4F-F8C4EACB3B5B}"/>
                </c:ext>
              </c:extLst>
            </c:dLbl>
            <c:dLbl>
              <c:idx val="102"/>
              <c:tx>
                <c:rich>
                  <a:bodyPr/>
                  <a:lstStyle/>
                  <a:p>
                    <a:fld id="{48BF597D-3717-4DC0-9EE8-9175A33CDC6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7-AF6A-48E8-BE4F-F8C4EACB3B5B}"/>
                </c:ext>
              </c:extLst>
            </c:dLbl>
            <c:dLbl>
              <c:idx val="103"/>
              <c:tx>
                <c:rich>
                  <a:bodyPr/>
                  <a:lstStyle/>
                  <a:p>
                    <a:fld id="{61176D14-55BC-4A2C-8B07-5057A9582F7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8-AF6A-48E8-BE4F-F8C4EACB3B5B}"/>
                </c:ext>
              </c:extLst>
            </c:dLbl>
            <c:dLbl>
              <c:idx val="104"/>
              <c:tx>
                <c:rich>
                  <a:bodyPr/>
                  <a:lstStyle/>
                  <a:p>
                    <a:fld id="{147CEAB3-6F96-4C7A-BAEB-F2EA3075702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9-AF6A-48E8-BE4F-F8C4EACB3B5B}"/>
                </c:ext>
              </c:extLst>
            </c:dLbl>
            <c:dLbl>
              <c:idx val="105"/>
              <c:tx>
                <c:rich>
                  <a:bodyPr/>
                  <a:lstStyle/>
                  <a:p>
                    <a:fld id="{8578D8CA-2731-4FB9-B06D-CDA20FC09BB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A-AF6A-48E8-BE4F-F8C4EACB3B5B}"/>
                </c:ext>
              </c:extLst>
            </c:dLbl>
            <c:dLbl>
              <c:idx val="106"/>
              <c:tx>
                <c:rich>
                  <a:bodyPr/>
                  <a:lstStyle/>
                  <a:p>
                    <a:fld id="{A6428E98-1523-4498-8B5E-4372A326D02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B-AF6A-48E8-BE4F-F8C4EACB3B5B}"/>
                </c:ext>
              </c:extLst>
            </c:dLbl>
            <c:dLbl>
              <c:idx val="107"/>
              <c:tx>
                <c:rich>
                  <a:bodyPr/>
                  <a:lstStyle/>
                  <a:p>
                    <a:fld id="{438519D1-7478-44AE-BE0F-20E82F580FF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C-AF6A-48E8-BE4F-F8C4EACB3B5B}"/>
                </c:ext>
              </c:extLst>
            </c:dLbl>
            <c:dLbl>
              <c:idx val="108"/>
              <c:tx>
                <c:rich>
                  <a:bodyPr/>
                  <a:lstStyle/>
                  <a:p>
                    <a:fld id="{B8FFBEA5-2B1E-46B8-852C-2092EFE16F7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D-AF6A-48E8-BE4F-F8C4EACB3B5B}"/>
                </c:ext>
              </c:extLst>
            </c:dLbl>
            <c:dLbl>
              <c:idx val="109"/>
              <c:tx>
                <c:rich>
                  <a:bodyPr/>
                  <a:lstStyle/>
                  <a:p>
                    <a:fld id="{FFEC66B2-6EFC-4E93-84C1-E9D1C8CAE6F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E-AF6A-48E8-BE4F-F8C4EACB3B5B}"/>
                </c:ext>
              </c:extLst>
            </c:dLbl>
            <c:dLbl>
              <c:idx val="110"/>
              <c:tx>
                <c:rich>
                  <a:bodyPr/>
                  <a:lstStyle/>
                  <a:p>
                    <a:fld id="{E7C19D68-3BD7-4BB9-80DA-9996A078C6B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F-AF6A-48E8-BE4F-F8C4EACB3B5B}"/>
                </c:ext>
              </c:extLst>
            </c:dLbl>
            <c:dLbl>
              <c:idx val="111"/>
              <c:tx>
                <c:rich>
                  <a:bodyPr/>
                  <a:lstStyle/>
                  <a:p>
                    <a:fld id="{2223FE2A-F785-4DAC-A497-3D92DED88A6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0-AF6A-48E8-BE4F-F8C4EACB3B5B}"/>
                </c:ext>
              </c:extLst>
            </c:dLbl>
            <c:dLbl>
              <c:idx val="112"/>
              <c:tx>
                <c:rich>
                  <a:bodyPr/>
                  <a:lstStyle/>
                  <a:p>
                    <a:fld id="{3BAE4049-68F5-4F15-AC8E-A7D98D699EC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1-AF6A-48E8-BE4F-F8C4EACB3B5B}"/>
                </c:ext>
              </c:extLst>
            </c:dLbl>
            <c:dLbl>
              <c:idx val="113"/>
              <c:tx>
                <c:rich>
                  <a:bodyPr/>
                  <a:lstStyle/>
                  <a:p>
                    <a:fld id="{B9AB54DC-17CB-44F1-ACA5-F0D7A17C096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2-AF6A-48E8-BE4F-F8C4EACB3B5B}"/>
                </c:ext>
              </c:extLst>
            </c:dLbl>
            <c:dLbl>
              <c:idx val="114"/>
              <c:tx>
                <c:rich>
                  <a:bodyPr/>
                  <a:lstStyle/>
                  <a:p>
                    <a:fld id="{0B2F1604-7F65-47AD-B660-E38DB9A4BA6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3-AF6A-48E8-BE4F-F8C4EACB3B5B}"/>
                </c:ext>
              </c:extLst>
            </c:dLbl>
            <c:dLbl>
              <c:idx val="115"/>
              <c:tx>
                <c:rich>
                  <a:bodyPr/>
                  <a:lstStyle/>
                  <a:p>
                    <a:fld id="{FA284980-1B0B-4421-9751-42EED69B043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4-AF6A-48E8-BE4F-F8C4EACB3B5B}"/>
                </c:ext>
              </c:extLst>
            </c:dLbl>
            <c:dLbl>
              <c:idx val="116"/>
              <c:tx>
                <c:rich>
                  <a:bodyPr/>
                  <a:lstStyle/>
                  <a:p>
                    <a:fld id="{91AF5DEC-EE05-44B1-A979-CCC26046713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5-AF6A-48E8-BE4F-F8C4EACB3B5B}"/>
                </c:ext>
              </c:extLst>
            </c:dLbl>
            <c:dLbl>
              <c:idx val="117"/>
              <c:tx>
                <c:rich>
                  <a:bodyPr/>
                  <a:lstStyle/>
                  <a:p>
                    <a:fld id="{4B9DF2A4-2F4B-434F-877A-0A6606BC2AE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6-AF6A-48E8-BE4F-F8C4EACB3B5B}"/>
                </c:ext>
              </c:extLst>
            </c:dLbl>
            <c:dLbl>
              <c:idx val="118"/>
              <c:tx>
                <c:rich>
                  <a:bodyPr/>
                  <a:lstStyle/>
                  <a:p>
                    <a:fld id="{4E301BA6-22C5-4CC2-B015-BEDE85E3FB3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7-AF6A-48E8-BE4F-F8C4EACB3B5B}"/>
                </c:ext>
              </c:extLst>
            </c:dLbl>
            <c:dLbl>
              <c:idx val="119"/>
              <c:tx>
                <c:rich>
                  <a:bodyPr/>
                  <a:lstStyle/>
                  <a:p>
                    <a:fld id="{4C50C81B-5FD6-44B9-9B42-E4DA394F02D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8-AF6A-48E8-BE4F-F8C4EACB3B5B}"/>
                </c:ext>
              </c:extLst>
            </c:dLbl>
            <c:dLbl>
              <c:idx val="120"/>
              <c:tx>
                <c:rich>
                  <a:bodyPr/>
                  <a:lstStyle/>
                  <a:p>
                    <a:fld id="{62570840-F60F-46C2-BE70-8CEFAA3EC8D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9-AF6A-48E8-BE4F-F8C4EACB3B5B}"/>
                </c:ext>
              </c:extLst>
            </c:dLbl>
            <c:dLbl>
              <c:idx val="121"/>
              <c:tx>
                <c:rich>
                  <a:bodyPr/>
                  <a:lstStyle/>
                  <a:p>
                    <a:fld id="{8310EE53-77D9-4A22-9E19-88309935083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A-AF6A-48E8-BE4F-F8C4EACB3B5B}"/>
                </c:ext>
              </c:extLst>
            </c:dLbl>
            <c:dLbl>
              <c:idx val="122"/>
              <c:tx>
                <c:rich>
                  <a:bodyPr/>
                  <a:lstStyle/>
                  <a:p>
                    <a:fld id="{ED3DAD46-2EFA-4FFF-A64A-48EEFC75C0B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B-AF6A-48E8-BE4F-F8C4EACB3B5B}"/>
                </c:ext>
              </c:extLst>
            </c:dLbl>
            <c:dLbl>
              <c:idx val="123"/>
              <c:tx>
                <c:rich>
                  <a:bodyPr/>
                  <a:lstStyle/>
                  <a:p>
                    <a:fld id="{4E28378A-C257-4002-96AD-1059DA85AFC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C-AF6A-48E8-BE4F-F8C4EACB3B5B}"/>
                </c:ext>
              </c:extLst>
            </c:dLbl>
            <c:dLbl>
              <c:idx val="124"/>
              <c:tx>
                <c:rich>
                  <a:bodyPr/>
                  <a:lstStyle/>
                  <a:p>
                    <a:fld id="{E15F62E6-9F04-402B-9ED6-1294D55F07F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D-AF6A-48E8-BE4F-F8C4EACB3B5B}"/>
                </c:ext>
              </c:extLst>
            </c:dLbl>
            <c:dLbl>
              <c:idx val="125"/>
              <c:tx>
                <c:rich>
                  <a:bodyPr/>
                  <a:lstStyle/>
                  <a:p>
                    <a:fld id="{2438007C-7CA1-4057-A772-3F7EB0473CD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E-AF6A-48E8-BE4F-F8C4EACB3B5B}"/>
                </c:ext>
              </c:extLst>
            </c:dLbl>
            <c:dLbl>
              <c:idx val="126"/>
              <c:tx>
                <c:rich>
                  <a:bodyPr/>
                  <a:lstStyle/>
                  <a:p>
                    <a:fld id="{746F1AD9-AB75-4AD0-8034-AEC1B675D3E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F-AF6A-48E8-BE4F-F8C4EACB3B5B}"/>
                </c:ext>
              </c:extLst>
            </c:dLbl>
            <c:dLbl>
              <c:idx val="127"/>
              <c:tx>
                <c:rich>
                  <a:bodyPr/>
                  <a:lstStyle/>
                  <a:p>
                    <a:fld id="{0F240357-906E-4AE3-932E-B9AA5C59791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0-AF6A-48E8-BE4F-F8C4EACB3B5B}"/>
                </c:ext>
              </c:extLst>
            </c:dLbl>
            <c:dLbl>
              <c:idx val="128"/>
              <c:tx>
                <c:rich>
                  <a:bodyPr/>
                  <a:lstStyle/>
                  <a:p>
                    <a:fld id="{98E71E28-701E-4934-BCF3-B28789DEFE9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1-AF6A-48E8-BE4F-F8C4EACB3B5B}"/>
                </c:ext>
              </c:extLst>
            </c:dLbl>
            <c:dLbl>
              <c:idx val="129"/>
              <c:tx>
                <c:rich>
                  <a:bodyPr/>
                  <a:lstStyle/>
                  <a:p>
                    <a:fld id="{D2AE0C34-33E5-48E9-94AC-398BB11E780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2-AF6A-48E8-BE4F-F8C4EACB3B5B}"/>
                </c:ext>
              </c:extLst>
            </c:dLbl>
            <c:dLbl>
              <c:idx val="130"/>
              <c:tx>
                <c:rich>
                  <a:bodyPr/>
                  <a:lstStyle/>
                  <a:p>
                    <a:fld id="{FB9C513B-2648-4589-9CCE-41CEB0B6014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3-AF6A-48E8-BE4F-F8C4EACB3B5B}"/>
                </c:ext>
              </c:extLst>
            </c:dLbl>
            <c:dLbl>
              <c:idx val="131"/>
              <c:tx>
                <c:rich>
                  <a:bodyPr/>
                  <a:lstStyle/>
                  <a:p>
                    <a:fld id="{F6C923CF-87D5-4E3A-9B5D-69A15CC125B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4-AF6A-48E8-BE4F-F8C4EACB3B5B}"/>
                </c:ext>
              </c:extLst>
            </c:dLbl>
            <c:dLbl>
              <c:idx val="132"/>
              <c:tx>
                <c:rich>
                  <a:bodyPr/>
                  <a:lstStyle/>
                  <a:p>
                    <a:fld id="{90026D0E-EDC3-41C4-81C5-4F7C1FA2EE0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5-AF6A-48E8-BE4F-F8C4EACB3B5B}"/>
                </c:ext>
              </c:extLst>
            </c:dLbl>
            <c:dLbl>
              <c:idx val="133"/>
              <c:tx>
                <c:rich>
                  <a:bodyPr/>
                  <a:lstStyle/>
                  <a:p>
                    <a:fld id="{F397EB99-99FA-47B2-9CC7-F3E5F98DE13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6-AF6A-48E8-BE4F-F8C4EACB3B5B}"/>
                </c:ext>
              </c:extLst>
            </c:dLbl>
            <c:dLbl>
              <c:idx val="134"/>
              <c:tx>
                <c:rich>
                  <a:bodyPr/>
                  <a:lstStyle/>
                  <a:p>
                    <a:fld id="{C3004DFF-F5A6-4B94-9BD8-6BEDB8A92A3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7-AF6A-48E8-BE4F-F8C4EACB3B5B}"/>
                </c:ext>
              </c:extLst>
            </c:dLbl>
            <c:dLbl>
              <c:idx val="135"/>
              <c:tx>
                <c:rich>
                  <a:bodyPr/>
                  <a:lstStyle/>
                  <a:p>
                    <a:fld id="{52611ACE-2610-4855-9089-0BD56813ECE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8-AF6A-48E8-BE4F-F8C4EACB3B5B}"/>
                </c:ext>
              </c:extLst>
            </c:dLbl>
            <c:dLbl>
              <c:idx val="136"/>
              <c:tx>
                <c:rich>
                  <a:bodyPr/>
                  <a:lstStyle/>
                  <a:p>
                    <a:fld id="{F2E8C30A-B00B-43B9-8E67-B330705147F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9-AF6A-48E8-BE4F-F8C4EACB3B5B}"/>
                </c:ext>
              </c:extLst>
            </c:dLbl>
            <c:dLbl>
              <c:idx val="137"/>
              <c:tx>
                <c:rich>
                  <a:bodyPr/>
                  <a:lstStyle/>
                  <a:p>
                    <a:fld id="{4F4550C0-FCBD-41CE-AE9D-D225DC92CAC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A-AF6A-48E8-BE4F-F8C4EACB3B5B}"/>
                </c:ext>
              </c:extLst>
            </c:dLbl>
            <c:dLbl>
              <c:idx val="138"/>
              <c:tx>
                <c:rich>
                  <a:bodyPr/>
                  <a:lstStyle/>
                  <a:p>
                    <a:fld id="{293759A0-BBD9-450E-A6D6-14BC6E3A579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B-AF6A-48E8-BE4F-F8C4EACB3B5B}"/>
                </c:ext>
              </c:extLst>
            </c:dLbl>
            <c:dLbl>
              <c:idx val="139"/>
              <c:tx>
                <c:rich>
                  <a:bodyPr/>
                  <a:lstStyle/>
                  <a:p>
                    <a:fld id="{CFB8F7F8-FC6A-4241-BD97-438175D5C4C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C-AF6A-48E8-BE4F-F8C4EACB3B5B}"/>
                </c:ext>
              </c:extLst>
            </c:dLbl>
            <c:dLbl>
              <c:idx val="140"/>
              <c:tx>
                <c:rich>
                  <a:bodyPr/>
                  <a:lstStyle/>
                  <a:p>
                    <a:fld id="{466D2FBE-622E-4B35-918F-80801A67D76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D-AF6A-48E8-BE4F-F8C4EACB3B5B}"/>
                </c:ext>
              </c:extLst>
            </c:dLbl>
            <c:dLbl>
              <c:idx val="141"/>
              <c:tx>
                <c:rich>
                  <a:bodyPr/>
                  <a:lstStyle/>
                  <a:p>
                    <a:fld id="{4A6DB47C-FB39-4B16-864A-0DE7D8CCE33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E-AF6A-48E8-BE4F-F8C4EACB3B5B}"/>
                </c:ext>
              </c:extLst>
            </c:dLbl>
            <c:dLbl>
              <c:idx val="142"/>
              <c:tx>
                <c:rich>
                  <a:bodyPr/>
                  <a:lstStyle/>
                  <a:p>
                    <a:fld id="{D3B56B5C-B0B5-42A8-ABC1-C835A8A05F9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F-AF6A-48E8-BE4F-F8C4EACB3B5B}"/>
                </c:ext>
              </c:extLst>
            </c:dLbl>
            <c:dLbl>
              <c:idx val="143"/>
              <c:tx>
                <c:rich>
                  <a:bodyPr/>
                  <a:lstStyle/>
                  <a:p>
                    <a:fld id="{F0AD45D8-7B10-4A8F-A84E-FDC1DDA0283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0-AF6A-48E8-BE4F-F8C4EACB3B5B}"/>
                </c:ext>
              </c:extLst>
            </c:dLbl>
            <c:dLbl>
              <c:idx val="144"/>
              <c:tx>
                <c:rich>
                  <a:bodyPr/>
                  <a:lstStyle/>
                  <a:p>
                    <a:fld id="{01EFB3F4-E6E0-431F-9F3A-A41A7930E12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1-AF6A-48E8-BE4F-F8C4EACB3B5B}"/>
                </c:ext>
              </c:extLst>
            </c:dLbl>
            <c:dLbl>
              <c:idx val="145"/>
              <c:tx>
                <c:rich>
                  <a:bodyPr/>
                  <a:lstStyle/>
                  <a:p>
                    <a:fld id="{96E67907-791F-4FA3-9095-B0D8BC8A4B0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2-AF6A-48E8-BE4F-F8C4EACB3B5B}"/>
                </c:ext>
              </c:extLst>
            </c:dLbl>
            <c:dLbl>
              <c:idx val="146"/>
              <c:tx>
                <c:rich>
                  <a:bodyPr/>
                  <a:lstStyle/>
                  <a:p>
                    <a:fld id="{53C7BD5E-5607-4FC6-96A0-6BEE5615555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3-AF6A-48E8-BE4F-F8C4EACB3B5B}"/>
                </c:ext>
              </c:extLst>
            </c:dLbl>
            <c:dLbl>
              <c:idx val="147"/>
              <c:tx>
                <c:rich>
                  <a:bodyPr/>
                  <a:lstStyle/>
                  <a:p>
                    <a:fld id="{B54B8819-CEE1-4901-930F-1EFBC15B792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4-AF6A-48E8-BE4F-F8C4EACB3B5B}"/>
                </c:ext>
              </c:extLst>
            </c:dLbl>
            <c:dLbl>
              <c:idx val="148"/>
              <c:tx>
                <c:rich>
                  <a:bodyPr/>
                  <a:lstStyle/>
                  <a:p>
                    <a:fld id="{5640C775-CE84-41AE-BF2E-DE8EC319F7B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5-AF6A-48E8-BE4F-F8C4EACB3B5B}"/>
                </c:ext>
              </c:extLst>
            </c:dLbl>
            <c:dLbl>
              <c:idx val="149"/>
              <c:tx>
                <c:rich>
                  <a:bodyPr/>
                  <a:lstStyle/>
                  <a:p>
                    <a:fld id="{819F397E-02DC-4B97-B1DB-7401B4AC03D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6-AF6A-48E8-BE4F-F8C4EACB3B5B}"/>
                </c:ext>
              </c:extLst>
            </c:dLbl>
            <c:dLbl>
              <c:idx val="150"/>
              <c:tx>
                <c:rich>
                  <a:bodyPr/>
                  <a:lstStyle/>
                  <a:p>
                    <a:fld id="{FB54FE4A-DF3F-4BCC-B9F3-8BE688F50C1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7-AF6A-48E8-BE4F-F8C4EACB3B5B}"/>
                </c:ext>
              </c:extLst>
            </c:dLbl>
            <c:dLbl>
              <c:idx val="151"/>
              <c:tx>
                <c:rich>
                  <a:bodyPr/>
                  <a:lstStyle/>
                  <a:p>
                    <a:fld id="{8E282FC2-61DF-47F4-B76B-C75B8146A83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8-AF6A-48E8-BE4F-F8C4EACB3B5B}"/>
                </c:ext>
              </c:extLst>
            </c:dLbl>
            <c:dLbl>
              <c:idx val="152"/>
              <c:tx>
                <c:rich>
                  <a:bodyPr/>
                  <a:lstStyle/>
                  <a:p>
                    <a:fld id="{3ACAEB01-3355-4D14-A157-DCD84F3BAA6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9-AF6A-48E8-BE4F-F8C4EACB3B5B}"/>
                </c:ext>
              </c:extLst>
            </c:dLbl>
            <c:dLbl>
              <c:idx val="153"/>
              <c:tx>
                <c:rich>
                  <a:bodyPr/>
                  <a:lstStyle/>
                  <a:p>
                    <a:fld id="{7EC70F23-BCAD-4B0C-8DCD-BB7B2CD646D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A-AF6A-48E8-BE4F-F8C4EACB3B5B}"/>
                </c:ext>
              </c:extLst>
            </c:dLbl>
            <c:dLbl>
              <c:idx val="154"/>
              <c:tx>
                <c:rich>
                  <a:bodyPr/>
                  <a:lstStyle/>
                  <a:p>
                    <a:fld id="{29B33247-F7E3-4ED2-9BC0-6831497ED57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B-AF6A-48E8-BE4F-F8C4EACB3B5B}"/>
                </c:ext>
              </c:extLst>
            </c:dLbl>
            <c:dLbl>
              <c:idx val="155"/>
              <c:tx>
                <c:rich>
                  <a:bodyPr/>
                  <a:lstStyle/>
                  <a:p>
                    <a:fld id="{E0BF71E9-B329-4B87-AC6C-705D49459BC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C-AF6A-48E8-BE4F-F8C4EACB3B5B}"/>
                </c:ext>
              </c:extLst>
            </c:dLbl>
            <c:dLbl>
              <c:idx val="156"/>
              <c:tx>
                <c:rich>
                  <a:bodyPr/>
                  <a:lstStyle/>
                  <a:p>
                    <a:fld id="{57FE3873-AF40-4EC5-ABB8-162D329DA6C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D-AF6A-48E8-BE4F-F8C4EACB3B5B}"/>
                </c:ext>
              </c:extLst>
            </c:dLbl>
            <c:dLbl>
              <c:idx val="157"/>
              <c:tx>
                <c:rich>
                  <a:bodyPr/>
                  <a:lstStyle/>
                  <a:p>
                    <a:fld id="{5050E013-3C92-4F53-8635-F85A4062F16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E-AF6A-48E8-BE4F-F8C4EACB3B5B}"/>
                </c:ext>
              </c:extLst>
            </c:dLbl>
            <c:dLbl>
              <c:idx val="158"/>
              <c:tx>
                <c:rich>
                  <a:bodyPr/>
                  <a:lstStyle/>
                  <a:p>
                    <a:fld id="{67948B1B-0B04-4719-921E-E4130402886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F-AF6A-48E8-BE4F-F8C4EACB3B5B}"/>
                </c:ext>
              </c:extLst>
            </c:dLbl>
            <c:dLbl>
              <c:idx val="159"/>
              <c:tx>
                <c:rich>
                  <a:bodyPr/>
                  <a:lstStyle/>
                  <a:p>
                    <a:fld id="{8D7FD5BE-D2B0-4093-9071-1461F67B919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0-AF6A-48E8-BE4F-F8C4EACB3B5B}"/>
                </c:ext>
              </c:extLst>
            </c:dLbl>
            <c:dLbl>
              <c:idx val="160"/>
              <c:tx>
                <c:rich>
                  <a:bodyPr/>
                  <a:lstStyle/>
                  <a:p>
                    <a:fld id="{F227C625-43BF-425D-AE08-66497AB55FB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1-AF6A-48E8-BE4F-F8C4EACB3B5B}"/>
                </c:ext>
              </c:extLst>
            </c:dLbl>
            <c:dLbl>
              <c:idx val="161"/>
              <c:tx>
                <c:rich>
                  <a:bodyPr/>
                  <a:lstStyle/>
                  <a:p>
                    <a:fld id="{12B80D8F-19DF-4227-8698-6A27978596F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2-AF6A-48E8-BE4F-F8C4EACB3B5B}"/>
                </c:ext>
              </c:extLst>
            </c:dLbl>
            <c:dLbl>
              <c:idx val="162"/>
              <c:tx>
                <c:rich>
                  <a:bodyPr/>
                  <a:lstStyle/>
                  <a:p>
                    <a:fld id="{184E75A3-AA6E-40A9-AE3E-B4BE11972B5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3-AF6A-48E8-BE4F-F8C4EACB3B5B}"/>
                </c:ext>
              </c:extLst>
            </c:dLbl>
            <c:dLbl>
              <c:idx val="163"/>
              <c:tx>
                <c:rich>
                  <a:bodyPr/>
                  <a:lstStyle/>
                  <a:p>
                    <a:fld id="{77090C76-475F-4921-AA9C-9A10806B91F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4-AF6A-48E8-BE4F-F8C4EACB3B5B}"/>
                </c:ext>
              </c:extLst>
            </c:dLbl>
            <c:dLbl>
              <c:idx val="164"/>
              <c:tx>
                <c:rich>
                  <a:bodyPr/>
                  <a:lstStyle/>
                  <a:p>
                    <a:fld id="{7A969D7C-21D4-4EAF-8BAF-40B3E1553A8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5-AF6A-48E8-BE4F-F8C4EACB3B5B}"/>
                </c:ext>
              </c:extLst>
            </c:dLbl>
            <c:dLbl>
              <c:idx val="165"/>
              <c:tx>
                <c:rich>
                  <a:bodyPr/>
                  <a:lstStyle/>
                  <a:p>
                    <a:fld id="{FE89FF3D-E173-476A-8012-505C6085B7E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6-AF6A-48E8-BE4F-F8C4EACB3B5B}"/>
                </c:ext>
              </c:extLst>
            </c:dLbl>
            <c:dLbl>
              <c:idx val="166"/>
              <c:tx>
                <c:rich>
                  <a:bodyPr/>
                  <a:lstStyle/>
                  <a:p>
                    <a:fld id="{CCFD51FE-8E27-41D5-B7EE-725B3197F1B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7-AF6A-48E8-BE4F-F8C4EACB3B5B}"/>
                </c:ext>
              </c:extLst>
            </c:dLbl>
            <c:dLbl>
              <c:idx val="167"/>
              <c:tx>
                <c:rich>
                  <a:bodyPr/>
                  <a:lstStyle/>
                  <a:p>
                    <a:fld id="{72926D3A-CE70-4EFD-B311-66295993532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8-AF6A-48E8-BE4F-F8C4EACB3B5B}"/>
                </c:ext>
              </c:extLst>
            </c:dLbl>
            <c:dLbl>
              <c:idx val="168"/>
              <c:tx>
                <c:rich>
                  <a:bodyPr/>
                  <a:lstStyle/>
                  <a:p>
                    <a:fld id="{967476C1-68FD-4CCF-A04C-1002D64C9C1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9-AF6A-48E8-BE4F-F8C4EACB3B5B}"/>
                </c:ext>
              </c:extLst>
            </c:dLbl>
            <c:dLbl>
              <c:idx val="169"/>
              <c:tx>
                <c:rich>
                  <a:bodyPr/>
                  <a:lstStyle/>
                  <a:p>
                    <a:fld id="{8C60CE45-C9C8-4D16-AF11-0DF07075423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A-AF6A-48E8-BE4F-F8C4EACB3B5B}"/>
                </c:ext>
              </c:extLst>
            </c:dLbl>
            <c:dLbl>
              <c:idx val="170"/>
              <c:tx>
                <c:rich>
                  <a:bodyPr/>
                  <a:lstStyle/>
                  <a:p>
                    <a:fld id="{D76B52E5-E789-44E6-9EF1-A345C4CC865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B-AF6A-48E8-BE4F-F8C4EACB3B5B}"/>
                </c:ext>
              </c:extLst>
            </c:dLbl>
            <c:dLbl>
              <c:idx val="171"/>
              <c:tx>
                <c:rich>
                  <a:bodyPr/>
                  <a:lstStyle/>
                  <a:p>
                    <a:fld id="{15AE9CF6-A7E7-428A-B3BE-E48B75AA5EE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C-AF6A-48E8-BE4F-F8C4EACB3B5B}"/>
                </c:ext>
              </c:extLst>
            </c:dLbl>
            <c:dLbl>
              <c:idx val="172"/>
              <c:tx>
                <c:rich>
                  <a:bodyPr/>
                  <a:lstStyle/>
                  <a:p>
                    <a:fld id="{56A02DF6-2B2B-4BBA-88EC-83BF0181E10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D-AF6A-48E8-BE4F-F8C4EACB3B5B}"/>
                </c:ext>
              </c:extLst>
            </c:dLbl>
            <c:dLbl>
              <c:idx val="173"/>
              <c:tx>
                <c:rich>
                  <a:bodyPr/>
                  <a:lstStyle/>
                  <a:p>
                    <a:fld id="{87147A81-BBE0-48B4-A62F-2B6522C07B5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E-AF6A-48E8-BE4F-F8C4EACB3B5B}"/>
                </c:ext>
              </c:extLst>
            </c:dLbl>
            <c:dLbl>
              <c:idx val="174"/>
              <c:tx>
                <c:rich>
                  <a:bodyPr/>
                  <a:lstStyle/>
                  <a:p>
                    <a:fld id="{9B53CB37-B06F-46F4-948F-63B56D24102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F-AF6A-48E8-BE4F-F8C4EACB3B5B}"/>
                </c:ext>
              </c:extLst>
            </c:dLbl>
            <c:dLbl>
              <c:idx val="175"/>
              <c:tx>
                <c:rich>
                  <a:bodyPr/>
                  <a:lstStyle/>
                  <a:p>
                    <a:fld id="{9646BEDF-7EA1-4E94-B8EE-302D00750D4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0-AF6A-48E8-BE4F-F8C4EACB3B5B}"/>
                </c:ext>
              </c:extLst>
            </c:dLbl>
            <c:dLbl>
              <c:idx val="176"/>
              <c:tx>
                <c:rich>
                  <a:bodyPr/>
                  <a:lstStyle/>
                  <a:p>
                    <a:fld id="{02F7692D-9530-4C57-8A78-AC87640F15A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1-AF6A-48E8-BE4F-F8C4EACB3B5B}"/>
                </c:ext>
              </c:extLst>
            </c:dLbl>
            <c:dLbl>
              <c:idx val="177"/>
              <c:tx>
                <c:rich>
                  <a:bodyPr/>
                  <a:lstStyle/>
                  <a:p>
                    <a:fld id="{1F5A7747-E350-45E1-BFD9-080F08BF1CB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2-AF6A-48E8-BE4F-F8C4EACB3B5B}"/>
                </c:ext>
              </c:extLst>
            </c:dLbl>
            <c:dLbl>
              <c:idx val="178"/>
              <c:tx>
                <c:rich>
                  <a:bodyPr/>
                  <a:lstStyle/>
                  <a:p>
                    <a:fld id="{8ED6AAD3-CAE2-4A29-97CF-7A142FAD53D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3-AF6A-48E8-BE4F-F8C4EACB3B5B}"/>
                </c:ext>
              </c:extLst>
            </c:dLbl>
            <c:dLbl>
              <c:idx val="179"/>
              <c:tx>
                <c:rich>
                  <a:bodyPr/>
                  <a:lstStyle/>
                  <a:p>
                    <a:fld id="{33C4E8F8-5EB2-4C06-8632-ACE9A94B287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4-AF6A-48E8-BE4F-F8C4EACB3B5B}"/>
                </c:ext>
              </c:extLst>
            </c:dLbl>
            <c:dLbl>
              <c:idx val="180"/>
              <c:tx>
                <c:rich>
                  <a:bodyPr/>
                  <a:lstStyle/>
                  <a:p>
                    <a:fld id="{45E06002-2F25-4C7D-ACEF-5F089D26695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5-AF6A-48E8-BE4F-F8C4EACB3B5B}"/>
                </c:ext>
              </c:extLst>
            </c:dLbl>
            <c:dLbl>
              <c:idx val="181"/>
              <c:tx>
                <c:rich>
                  <a:bodyPr/>
                  <a:lstStyle/>
                  <a:p>
                    <a:fld id="{75873083-6D3B-4474-8AF1-61483E6E572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6-AF6A-48E8-BE4F-F8C4EACB3B5B}"/>
                </c:ext>
              </c:extLst>
            </c:dLbl>
            <c:dLbl>
              <c:idx val="182"/>
              <c:tx>
                <c:rich>
                  <a:bodyPr/>
                  <a:lstStyle/>
                  <a:p>
                    <a:fld id="{4B5434D0-003E-4810-AA37-FE67EE6826D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7-AF6A-48E8-BE4F-F8C4EACB3B5B}"/>
                </c:ext>
              </c:extLst>
            </c:dLbl>
            <c:dLbl>
              <c:idx val="183"/>
              <c:tx>
                <c:rich>
                  <a:bodyPr/>
                  <a:lstStyle/>
                  <a:p>
                    <a:fld id="{595EE685-D341-48E1-ACBA-185F416C73E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8-AF6A-48E8-BE4F-F8C4EACB3B5B}"/>
                </c:ext>
              </c:extLst>
            </c:dLbl>
            <c:dLbl>
              <c:idx val="184"/>
              <c:tx>
                <c:rich>
                  <a:bodyPr/>
                  <a:lstStyle/>
                  <a:p>
                    <a:fld id="{EB7A58FB-6DCB-4F49-8AD1-84E5FADC07A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9-AF6A-48E8-BE4F-F8C4EACB3B5B}"/>
                </c:ext>
              </c:extLst>
            </c:dLbl>
            <c:dLbl>
              <c:idx val="185"/>
              <c:tx>
                <c:rich>
                  <a:bodyPr/>
                  <a:lstStyle/>
                  <a:p>
                    <a:fld id="{5B208EB0-1F1C-4EE2-A69F-44C86EC6734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A-AF6A-48E8-BE4F-F8C4EACB3B5B}"/>
                </c:ext>
              </c:extLst>
            </c:dLbl>
            <c:dLbl>
              <c:idx val="186"/>
              <c:tx>
                <c:rich>
                  <a:bodyPr/>
                  <a:lstStyle/>
                  <a:p>
                    <a:fld id="{8A79EA61-6D50-4649-A7BD-17927A711FA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B-AF6A-48E8-BE4F-F8C4EACB3B5B}"/>
                </c:ext>
              </c:extLst>
            </c:dLbl>
            <c:dLbl>
              <c:idx val="187"/>
              <c:tx>
                <c:rich>
                  <a:bodyPr/>
                  <a:lstStyle/>
                  <a:p>
                    <a:fld id="{41BE2D68-F865-4EAF-9867-9413E27DB2F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C-AF6A-48E8-BE4F-F8C4EACB3B5B}"/>
                </c:ext>
              </c:extLst>
            </c:dLbl>
            <c:dLbl>
              <c:idx val="188"/>
              <c:tx>
                <c:rich>
                  <a:bodyPr/>
                  <a:lstStyle/>
                  <a:p>
                    <a:fld id="{18A8657F-EE27-4EFD-818E-5F4B64E4656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D-AF6A-48E8-BE4F-F8C4EACB3B5B}"/>
                </c:ext>
              </c:extLst>
            </c:dLbl>
            <c:dLbl>
              <c:idx val="189"/>
              <c:tx>
                <c:rich>
                  <a:bodyPr/>
                  <a:lstStyle/>
                  <a:p>
                    <a:fld id="{5401516D-3DDE-4933-9135-9D06BF991BC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E-AF6A-48E8-BE4F-F8C4EACB3B5B}"/>
                </c:ext>
              </c:extLst>
            </c:dLbl>
            <c:dLbl>
              <c:idx val="190"/>
              <c:tx>
                <c:rich>
                  <a:bodyPr/>
                  <a:lstStyle/>
                  <a:p>
                    <a:fld id="{CE641A44-96BB-458B-B8B5-FE726EE6A03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F-AF6A-48E8-BE4F-F8C4EACB3B5B}"/>
                </c:ext>
              </c:extLst>
            </c:dLbl>
            <c:dLbl>
              <c:idx val="191"/>
              <c:tx>
                <c:rich>
                  <a:bodyPr/>
                  <a:lstStyle/>
                  <a:p>
                    <a:fld id="{6F2A268F-9FA6-406A-94C6-43DACB5E122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0-AF6A-48E8-BE4F-F8C4EACB3B5B}"/>
                </c:ext>
              </c:extLst>
            </c:dLbl>
            <c:dLbl>
              <c:idx val="192"/>
              <c:tx>
                <c:rich>
                  <a:bodyPr/>
                  <a:lstStyle/>
                  <a:p>
                    <a:fld id="{AC2E6715-8B13-4ACE-9B55-32D45794D72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1-AF6A-48E8-BE4F-F8C4EACB3B5B}"/>
                </c:ext>
              </c:extLst>
            </c:dLbl>
            <c:dLbl>
              <c:idx val="193"/>
              <c:tx>
                <c:rich>
                  <a:bodyPr/>
                  <a:lstStyle/>
                  <a:p>
                    <a:fld id="{ADEF3C68-5899-4F40-94B8-2688F65CA60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2-AF6A-48E8-BE4F-F8C4EACB3B5B}"/>
                </c:ext>
              </c:extLst>
            </c:dLbl>
            <c:dLbl>
              <c:idx val="194"/>
              <c:tx>
                <c:rich>
                  <a:bodyPr/>
                  <a:lstStyle/>
                  <a:p>
                    <a:fld id="{C23A0C88-80D7-4124-B857-4F990FD158B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3-AF6A-48E8-BE4F-F8C4EACB3B5B}"/>
                </c:ext>
              </c:extLst>
            </c:dLbl>
            <c:dLbl>
              <c:idx val="195"/>
              <c:tx>
                <c:rich>
                  <a:bodyPr/>
                  <a:lstStyle/>
                  <a:p>
                    <a:fld id="{6A5A2137-1161-4655-B780-A1F8F85CC87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4-AF6A-48E8-BE4F-F8C4EACB3B5B}"/>
                </c:ext>
              </c:extLst>
            </c:dLbl>
            <c:dLbl>
              <c:idx val="196"/>
              <c:tx>
                <c:rich>
                  <a:bodyPr/>
                  <a:lstStyle/>
                  <a:p>
                    <a:fld id="{E70B515C-0E19-488B-8B44-5DB61AFF97A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5-AF6A-48E8-BE4F-F8C4EACB3B5B}"/>
                </c:ext>
              </c:extLst>
            </c:dLbl>
            <c:dLbl>
              <c:idx val="197"/>
              <c:tx>
                <c:rich>
                  <a:bodyPr/>
                  <a:lstStyle/>
                  <a:p>
                    <a:fld id="{C67E98A5-D561-45A9-A021-42B5600DA3F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6-AF6A-48E8-BE4F-F8C4EACB3B5B}"/>
                </c:ext>
              </c:extLst>
            </c:dLbl>
            <c:dLbl>
              <c:idx val="198"/>
              <c:tx>
                <c:rich>
                  <a:bodyPr/>
                  <a:lstStyle/>
                  <a:p>
                    <a:fld id="{1174C6CD-5EB0-4403-84BA-C0C84035074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7-AF6A-48E8-BE4F-F8C4EACB3B5B}"/>
                </c:ext>
              </c:extLst>
            </c:dLbl>
            <c:dLbl>
              <c:idx val="199"/>
              <c:tx>
                <c:rich>
                  <a:bodyPr/>
                  <a:lstStyle/>
                  <a:p>
                    <a:fld id="{CAA5BB8B-2185-400F-9EA8-05A7F8D1909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8-AF6A-48E8-BE4F-F8C4EACB3B5B}"/>
                </c:ext>
              </c:extLst>
            </c:dLbl>
            <c:dLbl>
              <c:idx val="200"/>
              <c:tx>
                <c:rich>
                  <a:bodyPr/>
                  <a:lstStyle/>
                  <a:p>
                    <a:fld id="{D3F4A4F0-96F6-4EF0-BF2D-68BD8D9B74E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9-AF6A-48E8-BE4F-F8C4EACB3B5B}"/>
                </c:ext>
              </c:extLst>
            </c:dLbl>
            <c:dLbl>
              <c:idx val="201"/>
              <c:tx>
                <c:rich>
                  <a:bodyPr/>
                  <a:lstStyle/>
                  <a:p>
                    <a:fld id="{8397B98A-7029-4BC3-9011-D970F4F1A9A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A-AF6A-48E8-BE4F-F8C4EACB3B5B}"/>
                </c:ext>
              </c:extLst>
            </c:dLbl>
            <c:dLbl>
              <c:idx val="202"/>
              <c:tx>
                <c:rich>
                  <a:bodyPr/>
                  <a:lstStyle/>
                  <a:p>
                    <a:fld id="{CA9DBF97-7031-41A9-81BD-F556FCF3D2A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B-AF6A-48E8-BE4F-F8C4EACB3B5B}"/>
                </c:ext>
              </c:extLst>
            </c:dLbl>
            <c:dLbl>
              <c:idx val="203"/>
              <c:tx>
                <c:rich>
                  <a:bodyPr/>
                  <a:lstStyle/>
                  <a:p>
                    <a:fld id="{9E272C67-4D56-4176-8F97-BE3A3EC93B0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C-AF6A-48E8-BE4F-F8C4EACB3B5B}"/>
                </c:ext>
              </c:extLst>
            </c:dLbl>
            <c:dLbl>
              <c:idx val="204"/>
              <c:tx>
                <c:rich>
                  <a:bodyPr/>
                  <a:lstStyle/>
                  <a:p>
                    <a:fld id="{10FF278C-D2E8-412D-A057-934273CC09E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D-AF6A-48E8-BE4F-F8C4EACB3B5B}"/>
                </c:ext>
              </c:extLst>
            </c:dLbl>
            <c:dLbl>
              <c:idx val="205"/>
              <c:tx>
                <c:rich>
                  <a:bodyPr/>
                  <a:lstStyle/>
                  <a:p>
                    <a:fld id="{20B076DA-D7A1-47C7-B83C-9D4D5FEED7C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E-AF6A-48E8-BE4F-F8C4EACB3B5B}"/>
                </c:ext>
              </c:extLst>
            </c:dLbl>
            <c:dLbl>
              <c:idx val="206"/>
              <c:tx>
                <c:rich>
                  <a:bodyPr/>
                  <a:lstStyle/>
                  <a:p>
                    <a:fld id="{536613CA-FECF-4EE7-B0D8-7ADC07A7724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F-AF6A-48E8-BE4F-F8C4EACB3B5B}"/>
                </c:ext>
              </c:extLst>
            </c:dLbl>
            <c:dLbl>
              <c:idx val="207"/>
              <c:tx>
                <c:rich>
                  <a:bodyPr/>
                  <a:lstStyle/>
                  <a:p>
                    <a:fld id="{26ED7E82-1525-456A-81BB-5973E8D511D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0-AF6A-48E8-BE4F-F8C4EACB3B5B}"/>
                </c:ext>
              </c:extLst>
            </c:dLbl>
            <c:dLbl>
              <c:idx val="208"/>
              <c:tx>
                <c:rich>
                  <a:bodyPr/>
                  <a:lstStyle/>
                  <a:p>
                    <a:fld id="{ED9C5B32-9F53-4054-8EC8-CA0156CCEBD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1-AF6A-48E8-BE4F-F8C4EACB3B5B}"/>
                </c:ext>
              </c:extLst>
            </c:dLbl>
            <c:dLbl>
              <c:idx val="209"/>
              <c:tx>
                <c:rich>
                  <a:bodyPr/>
                  <a:lstStyle/>
                  <a:p>
                    <a:fld id="{10DB977C-1CB4-4555-820B-90A8EFBBACA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2-AF6A-48E8-BE4F-F8C4EACB3B5B}"/>
                </c:ext>
              </c:extLst>
            </c:dLbl>
            <c:dLbl>
              <c:idx val="210"/>
              <c:tx>
                <c:rich>
                  <a:bodyPr/>
                  <a:lstStyle/>
                  <a:p>
                    <a:fld id="{74616F0F-C853-45D4-B246-FC1AF803BC8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3-AF6A-48E8-BE4F-F8C4EACB3B5B}"/>
                </c:ext>
              </c:extLst>
            </c:dLbl>
            <c:dLbl>
              <c:idx val="211"/>
              <c:tx>
                <c:rich>
                  <a:bodyPr/>
                  <a:lstStyle/>
                  <a:p>
                    <a:fld id="{690D6482-FA7D-48E6-B90D-AC407CC92D2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4-AF6A-48E8-BE4F-F8C4EACB3B5B}"/>
                </c:ext>
              </c:extLst>
            </c:dLbl>
            <c:dLbl>
              <c:idx val="212"/>
              <c:tx>
                <c:rich>
                  <a:bodyPr/>
                  <a:lstStyle/>
                  <a:p>
                    <a:fld id="{0978089C-61D3-4638-8F97-AB062D4C809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5-AF6A-48E8-BE4F-F8C4EACB3B5B}"/>
                </c:ext>
              </c:extLst>
            </c:dLbl>
            <c:dLbl>
              <c:idx val="213"/>
              <c:tx>
                <c:rich>
                  <a:bodyPr/>
                  <a:lstStyle/>
                  <a:p>
                    <a:fld id="{BC6A2B9D-4B52-44B0-B24C-0A6AE2443EA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6-AF6A-48E8-BE4F-F8C4EACB3B5B}"/>
                </c:ext>
              </c:extLst>
            </c:dLbl>
            <c:dLbl>
              <c:idx val="214"/>
              <c:tx>
                <c:rich>
                  <a:bodyPr/>
                  <a:lstStyle/>
                  <a:p>
                    <a:fld id="{32CCB987-986E-4813-8522-5C21F6F1A3A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7-AF6A-48E8-BE4F-F8C4EACB3B5B}"/>
                </c:ext>
              </c:extLst>
            </c:dLbl>
            <c:dLbl>
              <c:idx val="215"/>
              <c:tx>
                <c:rich>
                  <a:bodyPr/>
                  <a:lstStyle/>
                  <a:p>
                    <a:fld id="{AB7E425A-2A76-4B81-BD5E-6FD9D702E2C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8-AF6A-48E8-BE4F-F8C4EACB3B5B}"/>
                </c:ext>
              </c:extLst>
            </c:dLbl>
            <c:dLbl>
              <c:idx val="216"/>
              <c:tx>
                <c:rich>
                  <a:bodyPr/>
                  <a:lstStyle/>
                  <a:p>
                    <a:fld id="{C22E5051-36A9-4CD7-903D-776D8E02A4D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9-AF6A-48E8-BE4F-F8C4EACB3B5B}"/>
                </c:ext>
              </c:extLst>
            </c:dLbl>
            <c:dLbl>
              <c:idx val="217"/>
              <c:tx>
                <c:rich>
                  <a:bodyPr/>
                  <a:lstStyle/>
                  <a:p>
                    <a:fld id="{924E677A-4DF1-483D-A35C-A806D81EFC4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A-AF6A-48E8-BE4F-F8C4EACB3B5B}"/>
                </c:ext>
              </c:extLst>
            </c:dLbl>
            <c:dLbl>
              <c:idx val="218"/>
              <c:tx>
                <c:rich>
                  <a:bodyPr/>
                  <a:lstStyle/>
                  <a:p>
                    <a:fld id="{E9A46793-717A-4694-9D92-0AA09C74AC9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B-AF6A-48E8-BE4F-F8C4EACB3B5B}"/>
                </c:ext>
              </c:extLst>
            </c:dLbl>
            <c:dLbl>
              <c:idx val="219"/>
              <c:tx>
                <c:rich>
                  <a:bodyPr/>
                  <a:lstStyle/>
                  <a:p>
                    <a:fld id="{B842D63C-324D-4DC3-85CE-2890A38C46E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C-AF6A-48E8-BE4F-F8C4EACB3B5B}"/>
                </c:ext>
              </c:extLst>
            </c:dLbl>
            <c:dLbl>
              <c:idx val="220"/>
              <c:tx>
                <c:rich>
                  <a:bodyPr/>
                  <a:lstStyle/>
                  <a:p>
                    <a:fld id="{537B573D-6BB8-4295-9574-87762A0CA20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D-AF6A-48E8-BE4F-F8C4EACB3B5B}"/>
                </c:ext>
              </c:extLst>
            </c:dLbl>
            <c:dLbl>
              <c:idx val="221"/>
              <c:tx>
                <c:rich>
                  <a:bodyPr/>
                  <a:lstStyle/>
                  <a:p>
                    <a:fld id="{307C5CEA-AA06-474B-86E1-65D273ED08D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E-AF6A-48E8-BE4F-F8C4EACB3B5B}"/>
                </c:ext>
              </c:extLst>
            </c:dLbl>
            <c:dLbl>
              <c:idx val="222"/>
              <c:tx>
                <c:rich>
                  <a:bodyPr/>
                  <a:lstStyle/>
                  <a:p>
                    <a:fld id="{C6EBFB4F-3824-45BA-A7D1-BF978ACA10D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F-AF6A-48E8-BE4F-F8C4EACB3B5B}"/>
                </c:ext>
              </c:extLst>
            </c:dLbl>
            <c:dLbl>
              <c:idx val="223"/>
              <c:tx>
                <c:rich>
                  <a:bodyPr/>
                  <a:lstStyle/>
                  <a:p>
                    <a:fld id="{DF59011B-98C5-42AF-AEBC-580B1292791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0-AF6A-48E8-BE4F-F8C4EACB3B5B}"/>
                </c:ext>
              </c:extLst>
            </c:dLbl>
            <c:dLbl>
              <c:idx val="224"/>
              <c:tx>
                <c:rich>
                  <a:bodyPr/>
                  <a:lstStyle/>
                  <a:p>
                    <a:fld id="{88F66E28-BB7D-43FC-A2C3-6518AF7C26C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1-AF6A-48E8-BE4F-F8C4EACB3B5B}"/>
                </c:ext>
              </c:extLst>
            </c:dLbl>
            <c:dLbl>
              <c:idx val="225"/>
              <c:tx>
                <c:rich>
                  <a:bodyPr/>
                  <a:lstStyle/>
                  <a:p>
                    <a:fld id="{6D71A016-31F3-4F72-9EC1-BAADDD98983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2-AF6A-48E8-BE4F-F8C4EACB3B5B}"/>
                </c:ext>
              </c:extLst>
            </c:dLbl>
            <c:dLbl>
              <c:idx val="22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3-AF6A-48E8-BE4F-F8C4EACB3B5B}"/>
                </c:ext>
              </c:extLst>
            </c:dLbl>
            <c:dLbl>
              <c:idx val="22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4-AF6A-48E8-BE4F-F8C4EACB3B5B}"/>
                </c:ext>
              </c:extLst>
            </c:dLbl>
            <c:dLbl>
              <c:idx val="22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5-AF6A-48E8-BE4F-F8C4EACB3B5B}"/>
                </c:ext>
              </c:extLst>
            </c:dLbl>
            <c:dLbl>
              <c:idx val="22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6-AF6A-48E8-BE4F-F8C4EACB3B5B}"/>
                </c:ext>
              </c:extLst>
            </c:dLbl>
            <c:dLbl>
              <c:idx val="23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7-AF6A-48E8-BE4F-F8C4EACB3B5B}"/>
                </c:ext>
              </c:extLst>
            </c:dLbl>
            <c:dLbl>
              <c:idx val="23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8-AF6A-48E8-BE4F-F8C4EACB3B5B}"/>
                </c:ext>
              </c:extLst>
            </c:dLbl>
            <c:dLbl>
              <c:idx val="23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9-AF6A-48E8-BE4F-F8C4EACB3B5B}"/>
                </c:ext>
              </c:extLst>
            </c:dLbl>
            <c:dLbl>
              <c:idx val="23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A-AF6A-48E8-BE4F-F8C4EACB3B5B}"/>
                </c:ext>
              </c:extLst>
            </c:dLbl>
            <c:dLbl>
              <c:idx val="23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B-AF6A-48E8-BE4F-F8C4EACB3B5B}"/>
                </c:ext>
              </c:extLst>
            </c:dLbl>
            <c:dLbl>
              <c:idx val="23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C-AF6A-48E8-BE4F-F8C4EACB3B5B}"/>
                </c:ext>
              </c:extLst>
            </c:dLbl>
            <c:dLbl>
              <c:idx val="23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D-AF6A-48E8-BE4F-F8C4EACB3B5B}"/>
                </c:ext>
              </c:extLst>
            </c:dLbl>
            <c:dLbl>
              <c:idx val="23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E-AF6A-48E8-BE4F-F8C4EACB3B5B}"/>
                </c:ext>
              </c:extLst>
            </c:dLbl>
            <c:dLbl>
              <c:idx val="23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F-AF6A-48E8-BE4F-F8C4EACB3B5B}"/>
                </c:ext>
              </c:extLst>
            </c:dLbl>
            <c:dLbl>
              <c:idx val="23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0-AF6A-48E8-BE4F-F8C4EACB3B5B}"/>
                </c:ext>
              </c:extLst>
            </c:dLbl>
            <c:dLbl>
              <c:idx val="24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1-AF6A-48E8-BE4F-F8C4EACB3B5B}"/>
                </c:ext>
              </c:extLst>
            </c:dLbl>
            <c:dLbl>
              <c:idx val="24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2-AF6A-48E8-BE4F-F8C4EACB3B5B}"/>
                </c:ext>
              </c:extLst>
            </c:dLbl>
            <c:dLbl>
              <c:idx val="24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3-AF6A-48E8-BE4F-F8C4EACB3B5B}"/>
                </c:ext>
              </c:extLst>
            </c:dLbl>
            <c:dLbl>
              <c:idx val="24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4-AF6A-48E8-BE4F-F8C4EACB3B5B}"/>
                </c:ext>
              </c:extLst>
            </c:dLbl>
            <c:dLbl>
              <c:idx val="24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5-AF6A-48E8-BE4F-F8C4EACB3B5B}"/>
                </c:ext>
              </c:extLst>
            </c:dLbl>
            <c:dLbl>
              <c:idx val="24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6-AF6A-48E8-BE4F-F8C4EACB3B5B}"/>
                </c:ext>
              </c:extLst>
            </c:dLbl>
            <c:dLbl>
              <c:idx val="24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7-AF6A-48E8-BE4F-F8C4EACB3B5B}"/>
                </c:ext>
              </c:extLst>
            </c:dLbl>
            <c:dLbl>
              <c:idx val="24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8-AF6A-48E8-BE4F-F8C4EACB3B5B}"/>
                </c:ext>
              </c:extLst>
            </c:dLbl>
            <c:dLbl>
              <c:idx val="24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9-AF6A-48E8-BE4F-F8C4EACB3B5B}"/>
                </c:ext>
              </c:extLst>
            </c:dLbl>
            <c:dLbl>
              <c:idx val="24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A-AF6A-48E8-BE4F-F8C4EACB3B5B}"/>
                </c:ext>
              </c:extLst>
            </c:dLbl>
            <c:dLbl>
              <c:idx val="25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B-AF6A-48E8-BE4F-F8C4EACB3B5B}"/>
                </c:ext>
              </c:extLst>
            </c:dLbl>
            <c:dLbl>
              <c:idx val="25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C-AF6A-48E8-BE4F-F8C4EACB3B5B}"/>
                </c:ext>
              </c:extLst>
            </c:dLbl>
            <c:dLbl>
              <c:idx val="25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D-AF6A-48E8-BE4F-F8C4EACB3B5B}"/>
                </c:ext>
              </c:extLst>
            </c:dLbl>
            <c:dLbl>
              <c:idx val="25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E-AF6A-48E8-BE4F-F8C4EACB3B5B}"/>
                </c:ext>
              </c:extLst>
            </c:dLbl>
            <c:dLbl>
              <c:idx val="25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F-AF6A-48E8-BE4F-F8C4EACB3B5B}"/>
                </c:ext>
              </c:extLst>
            </c:dLbl>
            <c:dLbl>
              <c:idx val="25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0-AF6A-48E8-BE4F-F8C4EACB3B5B}"/>
                </c:ext>
              </c:extLst>
            </c:dLbl>
            <c:dLbl>
              <c:idx val="25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1-AF6A-48E8-BE4F-F8C4EACB3B5B}"/>
                </c:ext>
              </c:extLst>
            </c:dLbl>
            <c:dLbl>
              <c:idx val="25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2-AF6A-48E8-BE4F-F8C4EACB3B5B}"/>
                </c:ext>
              </c:extLst>
            </c:dLbl>
            <c:dLbl>
              <c:idx val="25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3-AF6A-48E8-BE4F-F8C4EACB3B5B}"/>
                </c:ext>
              </c:extLst>
            </c:dLbl>
            <c:dLbl>
              <c:idx val="25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4-AF6A-48E8-BE4F-F8C4EACB3B5B}"/>
                </c:ext>
              </c:extLst>
            </c:dLbl>
            <c:dLbl>
              <c:idx val="26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5-AF6A-48E8-BE4F-F8C4EACB3B5B}"/>
                </c:ext>
              </c:extLst>
            </c:dLbl>
            <c:dLbl>
              <c:idx val="26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6-AF6A-48E8-BE4F-F8C4EACB3B5B}"/>
                </c:ext>
              </c:extLst>
            </c:dLbl>
            <c:dLbl>
              <c:idx val="26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7-AF6A-48E8-BE4F-F8C4EACB3B5B}"/>
                </c:ext>
              </c:extLst>
            </c:dLbl>
            <c:dLbl>
              <c:idx val="26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8-AF6A-48E8-BE4F-F8C4EACB3B5B}"/>
                </c:ext>
              </c:extLst>
            </c:dLbl>
            <c:dLbl>
              <c:idx val="26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9-AF6A-48E8-BE4F-F8C4EACB3B5B}"/>
                </c:ext>
              </c:extLst>
            </c:dLbl>
            <c:dLbl>
              <c:idx val="26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A-AF6A-48E8-BE4F-F8C4EACB3B5B}"/>
                </c:ext>
              </c:extLst>
            </c:dLbl>
            <c:dLbl>
              <c:idx val="26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B-AF6A-48E8-BE4F-F8C4EACB3B5B}"/>
                </c:ext>
              </c:extLst>
            </c:dLbl>
            <c:dLbl>
              <c:idx val="26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C-AF6A-48E8-BE4F-F8C4EACB3B5B}"/>
                </c:ext>
              </c:extLst>
            </c:dLbl>
            <c:dLbl>
              <c:idx val="26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D-AF6A-48E8-BE4F-F8C4EACB3B5B}"/>
                </c:ext>
              </c:extLst>
            </c:dLbl>
            <c:dLbl>
              <c:idx val="26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E-AF6A-48E8-BE4F-F8C4EACB3B5B}"/>
                </c:ext>
              </c:extLst>
            </c:dLbl>
            <c:dLbl>
              <c:idx val="27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F-AF6A-48E8-BE4F-F8C4EACB3B5B}"/>
                </c:ext>
              </c:extLst>
            </c:dLbl>
            <c:dLbl>
              <c:idx val="27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0-AF6A-48E8-BE4F-F8C4EACB3B5B}"/>
                </c:ext>
              </c:extLst>
            </c:dLbl>
            <c:dLbl>
              <c:idx val="27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1-AF6A-48E8-BE4F-F8C4EACB3B5B}"/>
                </c:ext>
              </c:extLst>
            </c:dLbl>
            <c:dLbl>
              <c:idx val="27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2-AF6A-48E8-BE4F-F8C4EACB3B5B}"/>
                </c:ext>
              </c:extLst>
            </c:dLbl>
            <c:dLbl>
              <c:idx val="27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3-AF6A-48E8-BE4F-F8C4EACB3B5B}"/>
                </c:ext>
              </c:extLst>
            </c:dLbl>
            <c:dLbl>
              <c:idx val="27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4-AF6A-48E8-BE4F-F8C4EACB3B5B}"/>
                </c:ext>
              </c:extLst>
            </c:dLbl>
            <c:dLbl>
              <c:idx val="27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5-AF6A-48E8-BE4F-F8C4EACB3B5B}"/>
                </c:ext>
              </c:extLst>
            </c:dLbl>
            <c:dLbl>
              <c:idx val="27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6-AF6A-48E8-BE4F-F8C4EACB3B5B}"/>
                </c:ext>
              </c:extLst>
            </c:dLbl>
            <c:dLbl>
              <c:idx val="27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7-AF6A-48E8-BE4F-F8C4EACB3B5B}"/>
                </c:ext>
              </c:extLst>
            </c:dLbl>
            <c:dLbl>
              <c:idx val="27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8-AF6A-48E8-BE4F-F8C4EACB3B5B}"/>
                </c:ext>
              </c:extLst>
            </c:dLbl>
            <c:dLbl>
              <c:idx val="28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9-AF6A-48E8-BE4F-F8C4EACB3B5B}"/>
                </c:ext>
              </c:extLst>
            </c:dLbl>
            <c:dLbl>
              <c:idx val="28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A-AF6A-48E8-BE4F-F8C4EACB3B5B}"/>
                </c:ext>
              </c:extLst>
            </c:dLbl>
            <c:dLbl>
              <c:idx val="28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B-AF6A-48E8-BE4F-F8C4EACB3B5B}"/>
                </c:ext>
              </c:extLst>
            </c:dLbl>
            <c:dLbl>
              <c:idx val="28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C-AF6A-48E8-BE4F-F8C4EACB3B5B}"/>
                </c:ext>
              </c:extLst>
            </c:dLbl>
            <c:dLbl>
              <c:idx val="28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D-AF6A-48E8-BE4F-F8C4EACB3B5B}"/>
                </c:ext>
              </c:extLst>
            </c:dLbl>
            <c:dLbl>
              <c:idx val="28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E-AF6A-48E8-BE4F-F8C4EACB3B5B}"/>
                </c:ext>
              </c:extLst>
            </c:dLbl>
            <c:dLbl>
              <c:idx val="28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F-AF6A-48E8-BE4F-F8C4EACB3B5B}"/>
                </c:ext>
              </c:extLst>
            </c:dLbl>
            <c:dLbl>
              <c:idx val="28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0-AF6A-48E8-BE4F-F8C4EACB3B5B}"/>
                </c:ext>
              </c:extLst>
            </c:dLbl>
            <c:dLbl>
              <c:idx val="28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1-AF6A-48E8-BE4F-F8C4EACB3B5B}"/>
                </c:ext>
              </c:extLst>
            </c:dLbl>
            <c:dLbl>
              <c:idx val="28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2-AF6A-48E8-BE4F-F8C4EACB3B5B}"/>
                </c:ext>
              </c:extLst>
            </c:dLbl>
            <c:dLbl>
              <c:idx val="29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3-AF6A-48E8-BE4F-F8C4EACB3B5B}"/>
                </c:ext>
              </c:extLst>
            </c:dLbl>
            <c:dLbl>
              <c:idx val="29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4-AF6A-48E8-BE4F-F8C4EACB3B5B}"/>
                </c:ext>
              </c:extLst>
            </c:dLbl>
            <c:dLbl>
              <c:idx val="29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5-AF6A-48E8-BE4F-F8C4EACB3B5B}"/>
                </c:ext>
              </c:extLst>
            </c:dLbl>
            <c:dLbl>
              <c:idx val="29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6-AF6A-48E8-BE4F-F8C4EACB3B5B}"/>
                </c:ext>
              </c:extLst>
            </c:dLbl>
            <c:dLbl>
              <c:idx val="29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7-AF6A-48E8-BE4F-F8C4EACB3B5B}"/>
                </c:ext>
              </c:extLst>
            </c:dLbl>
            <c:dLbl>
              <c:idx val="29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8-AF6A-48E8-BE4F-F8C4EACB3B5B}"/>
                </c:ext>
              </c:extLst>
            </c:dLbl>
            <c:dLbl>
              <c:idx val="29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9-AF6A-48E8-BE4F-F8C4EACB3B5B}"/>
                </c:ext>
              </c:extLst>
            </c:dLbl>
            <c:dLbl>
              <c:idx val="29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A-AF6A-48E8-BE4F-F8C4EACB3B5B}"/>
                </c:ext>
              </c:extLst>
            </c:dLbl>
            <c:dLbl>
              <c:idx val="29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B-AF6A-48E8-BE4F-F8C4EACB3B5B}"/>
                </c:ext>
              </c:extLst>
            </c:dLbl>
            <c:spPr>
              <a:noFill/>
              <a:ln>
                <a:noFill/>
              </a:ln>
              <a:effectLst/>
            </c:spPr>
            <c:txPr>
              <a:bodyPr rot="-5400000" vert="horz" wrap="square" lIns="38100" tIns="19050" rIns="38100" bIns="19050" anchor="ctr">
                <a:spAutoFit/>
              </a:bodyPr>
              <a:lstStyle/>
              <a:p>
                <a:pPr>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ext>
            </c:extLst>
          </c:dLbls>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NormalisedUVVisData!$C$2:$C$300</c:f>
              <c:numCache>
                <c:formatCode>General</c:formatCode>
                <c:ptCount val="299"/>
                <c:pt idx="0">
                  <c:v>100</c:v>
                </c:pt>
                <c:pt idx="1">
                  <c:v>91.294387817382813</c:v>
                </c:pt>
                <c:pt idx="2">
                  <c:v>82.17083740234375</c:v>
                </c:pt>
                <c:pt idx="3">
                  <c:v>74.127113342285156</c:v>
                </c:pt>
                <c:pt idx="4">
                  <c:v>67.934799194335938</c:v>
                </c:pt>
                <c:pt idx="5">
                  <c:v>63.919330596923828</c:v>
                </c:pt>
                <c:pt idx="6">
                  <c:v>61.788238525390625</c:v>
                </c:pt>
                <c:pt idx="7">
                  <c:v>61.091739654541016</c:v>
                </c:pt>
                <c:pt idx="8">
                  <c:v>61.226615905761719</c:v>
                </c:pt>
                <c:pt idx="9">
                  <c:v>61.924781799316406</c:v>
                </c:pt>
                <c:pt idx="10">
                  <c:v>62.069541931152344</c:v>
                </c:pt>
                <c:pt idx="11">
                  <c:v>61.261344909667969</c:v>
                </c:pt>
                <c:pt idx="12">
                  <c:v>59.378223419189453</c:v>
                </c:pt>
                <c:pt idx="13">
                  <c:v>56.124324798583984</c:v>
                </c:pt>
                <c:pt idx="14">
                  <c:v>51.952800750732422</c:v>
                </c:pt>
                <c:pt idx="15">
                  <c:v>47.308937072753906</c:v>
                </c:pt>
                <c:pt idx="16">
                  <c:v>42.560935974121094</c:v>
                </c:pt>
                <c:pt idx="17">
                  <c:v>37.230545043945313</c:v>
                </c:pt>
                <c:pt idx="18">
                  <c:v>31.853950500488281</c:v>
                </c:pt>
                <c:pt idx="19">
                  <c:v>27.250391006469727</c:v>
                </c:pt>
                <c:pt idx="20">
                  <c:v>24.05225944519043</c:v>
                </c:pt>
                <c:pt idx="21">
                  <c:v>21.937082290649414</c:v>
                </c:pt>
                <c:pt idx="22">
                  <c:v>20.537641525268555</c:v>
                </c:pt>
                <c:pt idx="23">
                  <c:v>19.665596008300781</c:v>
                </c:pt>
                <c:pt idx="24">
                  <c:v>19.134790420532227</c:v>
                </c:pt>
                <c:pt idx="25">
                  <c:v>18.757686614990234</c:v>
                </c:pt>
                <c:pt idx="26">
                  <c:v>18.511428833007813</c:v>
                </c:pt>
                <c:pt idx="27">
                  <c:v>18.55085563659668</c:v>
                </c:pt>
                <c:pt idx="28">
                  <c:v>18.82880973815918</c:v>
                </c:pt>
                <c:pt idx="29">
                  <c:v>19.072885513305664</c:v>
                </c:pt>
                <c:pt idx="30">
                  <c:v>19.200424194335938</c:v>
                </c:pt>
                <c:pt idx="31">
                  <c:v>18.990560531616211</c:v>
                </c:pt>
                <c:pt idx="32">
                  <c:v>18.466030120849609</c:v>
                </c:pt>
                <c:pt idx="33">
                  <c:v>17.729816436767578</c:v>
                </c:pt>
                <c:pt idx="34">
                  <c:v>16.721439361572266</c:v>
                </c:pt>
                <c:pt idx="35">
                  <c:v>15.336079597473145</c:v>
                </c:pt>
                <c:pt idx="36">
                  <c:v>13.738537788391113</c:v>
                </c:pt>
                <c:pt idx="37">
                  <c:v>12.076087951660156</c:v>
                </c:pt>
                <c:pt idx="38">
                  <c:v>10.610770225524902</c:v>
                </c:pt>
                <c:pt idx="39">
                  <c:v>9.5189170837402344</c:v>
                </c:pt>
                <c:pt idx="40">
                  <c:v>8.8901443481445313</c:v>
                </c:pt>
                <c:pt idx="41">
                  <c:v>8.4743728637695313</c:v>
                </c:pt>
                <c:pt idx="42">
                  <c:v>8.268768310546875</c:v>
                </c:pt>
                <c:pt idx="43">
                  <c:v>8.3771791458129883</c:v>
                </c:pt>
                <c:pt idx="44">
                  <c:v>8.5365962982177734</c:v>
                </c:pt>
                <c:pt idx="45">
                  <c:v>8.5648508071899414</c:v>
                </c:pt>
                <c:pt idx="46">
                  <c:v>8.7181901931762695</c:v>
                </c:pt>
                <c:pt idx="47">
                  <c:v>9.089503288269043</c:v>
                </c:pt>
                <c:pt idx="48">
                  <c:v>9.2806768417358398</c:v>
                </c:pt>
                <c:pt idx="49">
                  <c:v>9.3527383804321289</c:v>
                </c:pt>
                <c:pt idx="50">
                  <c:v>9.4830226898193359</c:v>
                </c:pt>
                <c:pt idx="51">
                  <c:v>9.5846271514892578</c:v>
                </c:pt>
                <c:pt idx="52">
                  <c:v>9.6064853668212891</c:v>
                </c:pt>
                <c:pt idx="53">
                  <c:v>9.6510953903198242</c:v>
                </c:pt>
                <c:pt idx="54">
                  <c:v>9.8825750350952148</c:v>
                </c:pt>
                <c:pt idx="55">
                  <c:v>10.036293029785156</c:v>
                </c:pt>
                <c:pt idx="56">
                  <c:v>10.085405349731445</c:v>
                </c:pt>
                <c:pt idx="57">
                  <c:v>10.169502258300781</c:v>
                </c:pt>
                <c:pt idx="58">
                  <c:v>10.16118049621582</c:v>
                </c:pt>
                <c:pt idx="59">
                  <c:v>10.113114356994629</c:v>
                </c:pt>
                <c:pt idx="60">
                  <c:v>10.07679557800293</c:v>
                </c:pt>
                <c:pt idx="61">
                  <c:v>10.071732521057129</c:v>
                </c:pt>
                <c:pt idx="62">
                  <c:v>9.9347944259643555</c:v>
                </c:pt>
                <c:pt idx="63">
                  <c:v>9.6442289352416992</c:v>
                </c:pt>
                <c:pt idx="64">
                  <c:v>9.3471908569335938</c:v>
                </c:pt>
                <c:pt idx="65">
                  <c:v>8.9910964965820313</c:v>
                </c:pt>
                <c:pt idx="66">
                  <c:v>8.6540260314941406</c:v>
                </c:pt>
                <c:pt idx="67">
                  <c:v>8.3547143936157227</c:v>
                </c:pt>
                <c:pt idx="68">
                  <c:v>8.1001338958740234</c:v>
                </c:pt>
                <c:pt idx="69">
                  <c:v>7.8671541213989258</c:v>
                </c:pt>
                <c:pt idx="70">
                  <c:v>7.6893191337585449</c:v>
                </c:pt>
                <c:pt idx="71">
                  <c:v>7.5671906471252441</c:v>
                </c:pt>
                <c:pt idx="72">
                  <c:v>7.3434720039367676</c:v>
                </c:pt>
                <c:pt idx="73">
                  <c:v>7.051633358001709</c:v>
                </c:pt>
                <c:pt idx="74">
                  <c:v>6.8410720825195313</c:v>
                </c:pt>
                <c:pt idx="75">
                  <c:v>6.7356777191162109</c:v>
                </c:pt>
                <c:pt idx="76">
                  <c:v>6.7314033508300781</c:v>
                </c:pt>
                <c:pt idx="77">
                  <c:v>6.7260375022888184</c:v>
                </c:pt>
                <c:pt idx="78">
                  <c:v>6.4589667320251465</c:v>
                </c:pt>
                <c:pt idx="79">
                  <c:v>6.1709175109863281</c:v>
                </c:pt>
                <c:pt idx="80">
                  <c:v>6.0222773551940918</c:v>
                </c:pt>
                <c:pt idx="81">
                  <c:v>5.9711036682128906</c:v>
                </c:pt>
                <c:pt idx="82">
                  <c:v>5.8469586372375488</c:v>
                </c:pt>
                <c:pt idx="83">
                  <c:v>5.785947322845459</c:v>
                </c:pt>
                <c:pt idx="84">
                  <c:v>5.6789159774780273</c:v>
                </c:pt>
                <c:pt idx="85">
                  <c:v>5.5519213676452637</c:v>
                </c:pt>
                <c:pt idx="86">
                  <c:v>5.5792970657348633</c:v>
                </c:pt>
                <c:pt idx="87">
                  <c:v>5.5860424041748047</c:v>
                </c:pt>
                <c:pt idx="88">
                  <c:v>5.5531339645385742</c:v>
                </c:pt>
                <c:pt idx="89">
                  <c:v>5.4842405319213867</c:v>
                </c:pt>
                <c:pt idx="90">
                  <c:v>5.3542294502258301</c:v>
                </c:pt>
                <c:pt idx="91">
                  <c:v>5.2840776443481445</c:v>
                </c:pt>
                <c:pt idx="92">
                  <c:v>5.4290041923522949</c:v>
                </c:pt>
                <c:pt idx="93">
                  <c:v>5.5898318290710449</c:v>
                </c:pt>
                <c:pt idx="94">
                  <c:v>5.6027770042419434</c:v>
                </c:pt>
                <c:pt idx="95">
                  <c:v>5.5009145736694336</c:v>
                </c:pt>
                <c:pt idx="96">
                  <c:v>5.4948511123657227</c:v>
                </c:pt>
                <c:pt idx="97">
                  <c:v>5.5272893905639648</c:v>
                </c:pt>
                <c:pt idx="98">
                  <c:v>5.3658103942871094</c:v>
                </c:pt>
                <c:pt idx="99">
                  <c:v>5.3075122833251953</c:v>
                </c:pt>
                <c:pt idx="100">
                  <c:v>5.320366382598877</c:v>
                </c:pt>
                <c:pt idx="101">
                  <c:v>5.0089883804321289</c:v>
                </c:pt>
                <c:pt idx="102">
                  <c:v>5.1249632835388184</c:v>
                </c:pt>
                <c:pt idx="103">
                  <c:v>5.4806480407714844</c:v>
                </c:pt>
                <c:pt idx="104">
                  <c:v>5.2520942687988281</c:v>
                </c:pt>
                <c:pt idx="105">
                  <c:v>5.1211433410644531</c:v>
                </c:pt>
                <c:pt idx="106">
                  <c:v>5.2272653579711914</c:v>
                </c:pt>
                <c:pt idx="107">
                  <c:v>5.4484372138977051</c:v>
                </c:pt>
                <c:pt idx="108">
                  <c:v>5.4603662490844727</c:v>
                </c:pt>
                <c:pt idx="109">
                  <c:v>5.3175621032714844</c:v>
                </c:pt>
                <c:pt idx="110">
                  <c:v>5.2659335136413574</c:v>
                </c:pt>
                <c:pt idx="111">
                  <c:v>5.1914920806884766</c:v>
                </c:pt>
                <c:pt idx="112">
                  <c:v>5.3635063171386719</c:v>
                </c:pt>
                <c:pt idx="113">
                  <c:v>5.3884563446044922</c:v>
                </c:pt>
                <c:pt idx="114">
                  <c:v>5.2750740051269531</c:v>
                </c:pt>
                <c:pt idx="115">
                  <c:v>5.2059531211853027</c:v>
                </c:pt>
                <c:pt idx="116">
                  <c:v>5.2174577713012695</c:v>
                </c:pt>
                <c:pt idx="117">
                  <c:v>5.2548527717590332</c:v>
                </c:pt>
                <c:pt idx="118">
                  <c:v>5.2096819877624512</c:v>
                </c:pt>
                <c:pt idx="119">
                  <c:v>5.5025515556335449</c:v>
                </c:pt>
                <c:pt idx="120">
                  <c:v>5.5028395652770996</c:v>
                </c:pt>
                <c:pt idx="121">
                  <c:v>4.9969682693481445</c:v>
                </c:pt>
                <c:pt idx="122">
                  <c:v>4.8290467262268066</c:v>
                </c:pt>
                <c:pt idx="123">
                  <c:v>4.932652473449707</c:v>
                </c:pt>
                <c:pt idx="124">
                  <c:v>4.9186916351318359</c:v>
                </c:pt>
                <c:pt idx="125">
                  <c:v>5.1507015228271484</c:v>
                </c:pt>
                <c:pt idx="126">
                  <c:v>5.3302946090698242</c:v>
                </c:pt>
                <c:pt idx="127">
                  <c:v>5.2530341148376465</c:v>
                </c:pt>
                <c:pt idx="128">
                  <c:v>4.9531764984130859</c:v>
                </c:pt>
                <c:pt idx="129">
                  <c:v>4.8861775398254395</c:v>
                </c:pt>
                <c:pt idx="130">
                  <c:v>5.0507035255432129</c:v>
                </c:pt>
                <c:pt idx="131">
                  <c:v>5.0108833312988281</c:v>
                </c:pt>
                <c:pt idx="132">
                  <c:v>4.8403396606445313</c:v>
                </c:pt>
                <c:pt idx="133">
                  <c:v>4.998044490814209</c:v>
                </c:pt>
                <c:pt idx="134">
                  <c:v>4.8866324424743652</c:v>
                </c:pt>
                <c:pt idx="135">
                  <c:v>4.4674501419067383</c:v>
                </c:pt>
                <c:pt idx="136">
                  <c:v>5.8068351745605469</c:v>
                </c:pt>
                <c:pt idx="137">
                  <c:v>7.187995433807373</c:v>
                </c:pt>
                <c:pt idx="138">
                  <c:v>6.0203371047973633</c:v>
                </c:pt>
                <c:pt idx="139">
                  <c:v>4.8419313430786133</c:v>
                </c:pt>
                <c:pt idx="140">
                  <c:v>5.094510555267334</c:v>
                </c:pt>
                <c:pt idx="141">
                  <c:v>5.396641731262207</c:v>
                </c:pt>
                <c:pt idx="142">
                  <c:v>4.9155540466308594</c:v>
                </c:pt>
                <c:pt idx="143">
                  <c:v>4.2813091278076172</c:v>
                </c:pt>
                <c:pt idx="144">
                  <c:v>4.7875895500183105</c:v>
                </c:pt>
                <c:pt idx="145">
                  <c:v>4.7487392425537109</c:v>
                </c:pt>
                <c:pt idx="146">
                  <c:v>2.3373434543609619</c:v>
                </c:pt>
                <c:pt idx="147">
                  <c:v>2</c:v>
                </c:pt>
                <c:pt idx="148">
                  <c:v>3.0491828918457031</c:v>
                </c:pt>
                <c:pt idx="149">
                  <c:v>3.7696473598480225</c:v>
                </c:pt>
                <c:pt idx="150">
                  <c:v>4.9714117050170898</c:v>
                </c:pt>
                <c:pt idx="151">
                  <c:v>5.3522439002990723</c:v>
                </c:pt>
                <c:pt idx="152">
                  <c:v>5.080716609954834</c:v>
                </c:pt>
                <c:pt idx="153">
                  <c:v>4.7770543098449707</c:v>
                </c:pt>
                <c:pt idx="154">
                  <c:v>4.807370662689209</c:v>
                </c:pt>
                <c:pt idx="155">
                  <c:v>4.6307182312011719</c:v>
                </c:pt>
                <c:pt idx="156">
                  <c:v>4.8312597274780273</c:v>
                </c:pt>
                <c:pt idx="157">
                  <c:v>5.3820595741271973</c:v>
                </c:pt>
                <c:pt idx="158">
                  <c:v>4.8537392616271973</c:v>
                </c:pt>
                <c:pt idx="159">
                  <c:v>4.6017966270446777</c:v>
                </c:pt>
                <c:pt idx="160">
                  <c:v>4.983189582824707</c:v>
                </c:pt>
                <c:pt idx="161">
                  <c:v>4.6273226737976074</c:v>
                </c:pt>
                <c:pt idx="162">
                  <c:v>4.8652896881103516</c:v>
                </c:pt>
                <c:pt idx="163">
                  <c:v>4.7222123146057129</c:v>
                </c:pt>
                <c:pt idx="164">
                  <c:v>4.1615142822265625</c:v>
                </c:pt>
                <c:pt idx="165">
                  <c:v>4.8893156051635742</c:v>
                </c:pt>
                <c:pt idx="166">
                  <c:v>4.4858827590942383</c:v>
                </c:pt>
                <c:pt idx="167">
                  <c:v>4.6089358329772949</c:v>
                </c:pt>
                <c:pt idx="168">
                  <c:v>5.1114120483398438</c:v>
                </c:pt>
                <c:pt idx="169">
                  <c:v>4.7836785316467285</c:v>
                </c:pt>
                <c:pt idx="170">
                  <c:v>5.1847014427185059</c:v>
                </c:pt>
                <c:pt idx="171">
                  <c:v>4.5296592712402344</c:v>
                </c:pt>
                <c:pt idx="172">
                  <c:v>4.6687045097351074</c:v>
                </c:pt>
                <c:pt idx="173">
                  <c:v>4.7263202667236328</c:v>
                </c:pt>
                <c:pt idx="174">
                  <c:v>4.8523902893066406</c:v>
                </c:pt>
                <c:pt idx="175">
                  <c:v>4.6435418128967285</c:v>
                </c:pt>
                <c:pt idx="176">
                  <c:v>4.2329392433166504</c:v>
                </c:pt>
                <c:pt idx="177">
                  <c:v>5.1277675628662109</c:v>
                </c:pt>
                <c:pt idx="178">
                  <c:v>4.9258008003234863</c:v>
                </c:pt>
                <c:pt idx="179">
                  <c:v>4.8839492797851563</c:v>
                </c:pt>
                <c:pt idx="180">
                  <c:v>5.305511474609375</c:v>
                </c:pt>
                <c:pt idx="181">
                  <c:v>5.1780319213867188</c:v>
                </c:pt>
                <c:pt idx="182">
                  <c:v>5.0406084060668945</c:v>
                </c:pt>
                <c:pt idx="183">
                  <c:v>4.7012944221496582</c:v>
                </c:pt>
                <c:pt idx="184">
                  <c:v>4.6156511306762695</c:v>
                </c:pt>
                <c:pt idx="185">
                  <c:v>4.886192798614502</c:v>
                </c:pt>
                <c:pt idx="186">
                  <c:v>5.086583137512207</c:v>
                </c:pt>
                <c:pt idx="187">
                  <c:v>5.071925163269043</c:v>
                </c:pt>
                <c:pt idx="188">
                  <c:v>4.2657718658447266</c:v>
                </c:pt>
                <c:pt idx="189">
                  <c:v>4.7496790885925293</c:v>
                </c:pt>
                <c:pt idx="190">
                  <c:v>4.5954303741455078</c:v>
                </c:pt>
                <c:pt idx="191">
                  <c:v>3.9217133522033691</c:v>
                </c:pt>
                <c:pt idx="192">
                  <c:v>4.2765946388244629</c:v>
                </c:pt>
                <c:pt idx="193">
                  <c:v>4.0438570976257324</c:v>
                </c:pt>
                <c:pt idx="194">
                  <c:v>4.8298048973083496</c:v>
                </c:pt>
                <c:pt idx="195">
                  <c:v>4.4167766571044922</c:v>
                </c:pt>
                <c:pt idx="196">
                  <c:v>5.885566234588623</c:v>
                </c:pt>
                <c:pt idx="197">
                  <c:v>5.5368843078613281</c:v>
                </c:pt>
                <c:pt idx="198">
                  <c:v>5.3343267440795898</c:v>
                </c:pt>
                <c:pt idx="199">
                  <c:v>5.0459895133972168</c:v>
                </c:pt>
                <c:pt idx="200">
                  <c:v>5.6815686225891113</c:v>
                </c:pt>
                <c:pt idx="201">
                  <c:v>4.9407467842102051</c:v>
                </c:pt>
                <c:pt idx="202">
                  <c:v>3.6065917015075684</c:v>
                </c:pt>
                <c:pt idx="203">
                  <c:v>4.8178448677062988</c:v>
                </c:pt>
                <c:pt idx="204">
                  <c:v>4.3486261367797852</c:v>
                </c:pt>
                <c:pt idx="205">
                  <c:v>5.8227968215942383</c:v>
                </c:pt>
                <c:pt idx="206">
                  <c:v>4.5181088447570801</c:v>
                </c:pt>
                <c:pt idx="207">
                  <c:v>5.9024219512939453</c:v>
                </c:pt>
                <c:pt idx="208">
                  <c:v>4.4172921180725098</c:v>
                </c:pt>
                <c:pt idx="209">
                  <c:v>4.7964115142822266</c:v>
                </c:pt>
                <c:pt idx="210">
                  <c:v>4.115267276763916</c:v>
                </c:pt>
                <c:pt idx="211">
                  <c:v>3.7940216064453125</c:v>
                </c:pt>
                <c:pt idx="212">
                  <c:v>5.4296407699584961</c:v>
                </c:pt>
                <c:pt idx="213">
                  <c:v>4.324251651763916</c:v>
                </c:pt>
                <c:pt idx="214">
                  <c:v>5.6330776214599609</c:v>
                </c:pt>
                <c:pt idx="215">
                  <c:v>3.9292013645172119</c:v>
                </c:pt>
                <c:pt idx="216">
                  <c:v>4.9663186073303223</c:v>
                </c:pt>
                <c:pt idx="217">
                  <c:v>4.887420654296875</c:v>
                </c:pt>
                <c:pt idx="218">
                  <c:v>4.5906252861022949</c:v>
                </c:pt>
                <c:pt idx="219">
                  <c:v>6.1325979232788086</c:v>
                </c:pt>
                <c:pt idx="220">
                  <c:v>3.3685033321380615</c:v>
                </c:pt>
                <c:pt idx="221">
                  <c:v>5.6829328536987305</c:v>
                </c:pt>
                <c:pt idx="222">
                  <c:v>4.3029699325561523</c:v>
                </c:pt>
                <c:pt idx="223">
                  <c:v>3.7901713848114014</c:v>
                </c:pt>
                <c:pt idx="224">
                  <c:v>5.706428050994873</c:v>
                </c:pt>
                <c:pt idx="225">
                  <c:v>2.8573875427246094</c:v>
                </c:pt>
              </c:numCache>
            </c:numRef>
          </c:yVal>
          <c:smooth val="1"/>
          <c:extLst>
            <c:ext xmlns:c15="http://schemas.microsoft.com/office/drawing/2012/chart" uri="{02D57815-91ED-43cb-92C2-25804820EDAC}">
              <c15:datalabelsRange>
                <c15:f>PeakLabels!$C$2:$C$300</c15:f>
                <c15:dlblRangeCache>
                  <c:ptCount val="299"/>
                  <c:pt idx="10">
                    <c:v>210</c:v>
                  </c:pt>
                  <c:pt idx="30">
                    <c:v>250</c:v>
                  </c:pt>
                  <c:pt idx="51">
                    <c:v>294s</c:v>
                  </c:pt>
                  <c:pt idx="57">
                    <c:v>304</c:v>
                  </c:pt>
                  <c:pt idx="64">
                    <c:v>320s</c:v>
                  </c:pt>
                  <c:pt idx="72">
                    <c:v>336s</c:v>
                  </c:pt>
                  <c:pt idx="78">
                    <c:v>348s</c:v>
                  </c:pt>
                  <c:pt idx="87">
                    <c:v>364</c:v>
                  </c:pt>
                  <c:pt idx="94">
                    <c:v>378</c:v>
                  </c:pt>
                  <c:pt idx="103">
                    <c:v>396</c:v>
                  </c:pt>
                  <c:pt idx="113">
                    <c:v>416</c:v>
                  </c:pt>
                  <c:pt idx="120">
                    <c:v>430</c:v>
                  </c:pt>
                  <c:pt idx="126">
                    <c:v>442</c:v>
                  </c:pt>
                  <c:pt idx="137">
                    <c:v>464</c:v>
                  </c:pt>
                  <c:pt idx="151">
                    <c:v>492</c:v>
                  </c:pt>
                  <c:pt idx="157">
                    <c:v>504</c:v>
                  </c:pt>
                  <c:pt idx="180">
                    <c:v>550</c:v>
                  </c:pt>
                  <c:pt idx="196">
                    <c:v>582</c:v>
                  </c:pt>
                  <c:pt idx="207">
                    <c:v>604</c:v>
                  </c:pt>
                  <c:pt idx="219">
                    <c:v>628</c:v>
                  </c:pt>
                </c15:dlblRangeCache>
              </c15:datalabelsRange>
            </c:ext>
            <c:ext xmlns:c16="http://schemas.microsoft.com/office/drawing/2014/chart" uri="{C3380CC4-5D6E-409C-BE32-E72D297353CC}">
              <c16:uniqueId val="{00000000-98A0-47F1-B2CE-1A7C52667A65}"/>
            </c:ext>
          </c:extLst>
        </c:ser>
        <c:ser>
          <c:idx val="1"/>
          <c:order val="1"/>
          <c:spPr>
            <a:ln w="19050" cap="rnd" cmpd="sng" algn="ctr">
              <a:noFill/>
              <a:prstDash val="solid"/>
              <a:round/>
            </a:ln>
            <a:effectLst/>
            <a:extLst>
              <a:ext uri="{91240B29-F687-4F45-9708-019B960494DF}">
                <a14:hiddenLine xmlns:a14="http://schemas.microsoft.com/office/drawing/2010/main" w="19050" cap="rnd" cmpd="sng" algn="ctr">
                  <a:solidFill>
                    <a:srgbClr val="ED7D31"/>
                  </a:solidFill>
                  <a:prstDash val="solid"/>
                  <a:round/>
                </a14:hiddenLine>
              </a:ext>
            </a:extLst>
          </c:spPr>
          <c:marker>
            <c:symbol val="star"/>
            <c:size val="2"/>
            <c:spPr>
              <a:solidFill>
                <a:srgbClr val="000000"/>
              </a:solidFill>
              <a:ln w="6350" cap="flat" cmpd="sng" algn="ctr">
                <a:noFill/>
                <a:prstDash val="solid"/>
                <a:round/>
              </a:ln>
              <a:effectLst/>
              <a:extLst>
                <a:ext uri="{91240B29-F687-4F45-9708-019B960494DF}">
                  <a14:hiddenLine xmlns:a14="http://schemas.microsoft.com/office/drawing/2010/main" w="6350" cap="flat" cmpd="sng" algn="ctr">
                    <a:solidFill>
                      <a:srgbClr val="ED7D31"/>
                    </a:solidFill>
                    <a:prstDash val="solid"/>
                    <a:round/>
                  </a14:hiddenLine>
                </a:ext>
              </a:extLst>
            </c:spPr>
          </c:marker>
          <c:dLbls>
            <c:dLbl>
              <c:idx val="0"/>
              <c:tx>
                <c:rich>
                  <a:bodyPr/>
                  <a:lstStyle/>
                  <a:p>
                    <a:fld id="{AFD26A43-CED5-48FE-BF27-4E2DC7F119A6}" type="CELLRANGE">
                      <a:rPr lang="en-US"/>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98A0-47F1-B2CE-1A7C52667A65}"/>
                </c:ext>
              </c:extLst>
            </c:dLbl>
            <c:dLbl>
              <c:idx val="1"/>
              <c:tx>
                <c:rich>
                  <a:bodyPr/>
                  <a:lstStyle/>
                  <a:p>
                    <a:fld id="{F48D36A6-F3B3-4463-9545-ECC658964B22}"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98A0-47F1-B2CE-1A7C52667A65}"/>
                </c:ext>
              </c:extLst>
            </c:dLbl>
            <c:dLbl>
              <c:idx val="2"/>
              <c:tx>
                <c:rich>
                  <a:bodyPr/>
                  <a:lstStyle/>
                  <a:p>
                    <a:fld id="{F8B191C8-07D7-4A56-A4C4-FDF669076470}"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98A0-47F1-B2CE-1A7C52667A65}"/>
                </c:ext>
              </c:extLst>
            </c:dLbl>
            <c:dLbl>
              <c:idx val="3"/>
              <c:tx>
                <c:rich>
                  <a:bodyPr/>
                  <a:lstStyle/>
                  <a:p>
                    <a:fld id="{F533ED9E-DDA9-449D-9A1A-BB0284556535}"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98A0-47F1-B2CE-1A7C52667A65}"/>
                </c:ext>
              </c:extLst>
            </c:dLbl>
            <c:dLbl>
              <c:idx val="4"/>
              <c:tx>
                <c:rich>
                  <a:bodyPr/>
                  <a:lstStyle/>
                  <a:p>
                    <a:fld id="{D113C665-2211-4C8D-A898-D1662CE906BE}"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98A0-47F1-B2CE-1A7C52667A65}"/>
                </c:ext>
              </c:extLst>
            </c:dLbl>
            <c:spPr>
              <a:noFill/>
              <a:ln>
                <a:noFill/>
              </a:ln>
              <a:effectLst/>
            </c:spPr>
            <c:txPr>
              <a:bodyPr wrap="square" lIns="38100" tIns="19050" rIns="38100" bIns="19050" anchor="ctr">
                <a:spAutoFit/>
              </a:bodyPr>
              <a:lstStyle/>
              <a:p>
                <a:pPr>
                  <a:defRPr sz="1100"/>
                </a:pPr>
                <a:endParaRPr lang="en-US"/>
              </a:p>
            </c:txPr>
            <c:dLblPos val="b"/>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ext>
            </c:extLst>
          </c:dLbls>
          <c:xVal>
            <c:numRef>
              <c:f>PeakLabels!$CY$2:$CY$6</c:f>
              <c:numCache>
                <c:formatCode>General</c:formatCode>
                <c:ptCount val="5"/>
                <c:pt idx="0">
                  <c:v>200</c:v>
                </c:pt>
                <c:pt idx="1">
                  <c:v>300</c:v>
                </c:pt>
                <c:pt idx="2">
                  <c:v>400</c:v>
                </c:pt>
                <c:pt idx="3">
                  <c:v>500</c:v>
                </c:pt>
                <c:pt idx="4">
                  <c:v>600</c:v>
                </c:pt>
              </c:numCache>
            </c:numRef>
          </c:xVal>
          <c:yVal>
            <c:numRef>
              <c:f>PeakLabels!$CZ$2:$CZ$6</c:f>
              <c:numCache>
                <c:formatCode>General</c:formatCode>
                <c:ptCount val="5"/>
                <c:pt idx="0">
                  <c:v>0</c:v>
                </c:pt>
                <c:pt idx="1">
                  <c:v>0</c:v>
                </c:pt>
                <c:pt idx="2">
                  <c:v>0</c:v>
                </c:pt>
                <c:pt idx="3">
                  <c:v>0</c:v>
                </c:pt>
                <c:pt idx="4">
                  <c:v>0</c:v>
                </c:pt>
              </c:numCache>
            </c:numRef>
          </c:yVal>
          <c:smooth val="1"/>
          <c:extLst>
            <c:ext xmlns:c15="http://schemas.microsoft.com/office/drawing/2012/chart" uri="{02D57815-91ED-43cb-92C2-25804820EDAC}">
              <c15:datalabelsRange>
                <c15:f>PeakLabels!$CY$2:$CY$7</c15:f>
                <c15:dlblRangeCache>
                  <c:ptCount val="6"/>
                  <c:pt idx="0">
                    <c:v>200</c:v>
                  </c:pt>
                  <c:pt idx="1">
                    <c:v>300</c:v>
                  </c:pt>
                  <c:pt idx="2">
                    <c:v>400</c:v>
                  </c:pt>
                  <c:pt idx="3">
                    <c:v>500</c:v>
                  </c:pt>
                  <c:pt idx="4">
                    <c:v>600</c:v>
                  </c:pt>
                </c15:dlblRangeCache>
              </c15:datalabelsRange>
            </c:ext>
            <c:ext xmlns:c16="http://schemas.microsoft.com/office/drawing/2014/chart" uri="{C3380CC4-5D6E-409C-BE32-E72D297353CC}">
              <c16:uniqueId val="{00000006-98A0-47F1-B2CE-1A7C52667A65}"/>
            </c:ext>
          </c:extLst>
        </c:ser>
        <c:dLbls>
          <c:showLegendKey val="0"/>
          <c:showVal val="0"/>
          <c:showCatName val="0"/>
          <c:showSerName val="0"/>
          <c:showPercent val="0"/>
          <c:showBubbleSize val="0"/>
        </c:dLbls>
        <c:axId val="1569267376"/>
        <c:axId val="1569265200"/>
      </c:scatterChart>
      <c:valAx>
        <c:axId val="1569267376"/>
        <c:scaling>
          <c:orientation val="minMax"/>
          <c:max val="610"/>
          <c:min val="190"/>
        </c:scaling>
        <c:delete val="0"/>
        <c:axPos val="b"/>
        <c:majorGridlines>
          <c:spPr>
            <a:ln w="9525" cap="flat" cmpd="sng" algn="ctr">
              <a:noFill/>
              <a:round/>
            </a:ln>
            <a:effectLst/>
          </c:spPr>
        </c:majorGridlines>
        <c:numFmt formatCode="General" sourceLinked="1"/>
        <c:majorTickMark val="none"/>
        <c:minorTickMark val="none"/>
        <c:tickLblPos val="none"/>
        <c:spPr>
          <a:noFill/>
          <a:ln w="9525" cap="flat" cmpd="sng" algn="ctr">
            <a:solidFill>
              <a:sysClr val="windowText" lastClr="000000">
                <a:lumMod val="100000"/>
              </a:sysClr>
            </a:solidFill>
            <a:prstDash val="solid"/>
            <a:round/>
            <a:headEnd type="none" w="med" len="med"/>
            <a:tailEnd type="none" w="med" len="med"/>
          </a:ln>
          <a:effectLst/>
        </c:spPr>
        <c:txPr>
          <a:bodyPr rot="0" vert="horz"/>
          <a:lstStyle/>
          <a:p>
            <a:pPr>
              <a:defRPr sz="800" b="0" i="0" u="none" strike="noStrike" baseline="0">
                <a:solidFill>
                  <a:srgbClr val="333333"/>
                </a:solidFill>
                <a:latin typeface="Calibri"/>
                <a:ea typeface="Calibri"/>
                <a:cs typeface="Calibri"/>
              </a:defRPr>
            </a:pPr>
            <a:endParaRPr lang="en-US"/>
          </a:p>
        </c:txPr>
        <c:crossAx val="1569265200"/>
        <c:crossesAt val="0"/>
        <c:crossBetween val="midCat"/>
        <c:majorUnit val="100"/>
      </c:valAx>
      <c:valAx>
        <c:axId val="1569265200"/>
        <c:scaling>
          <c:orientation val="minMax"/>
          <c:max val="124"/>
          <c:min val="0"/>
        </c:scaling>
        <c:delete val="0"/>
        <c:axPos val="l"/>
        <c:majorGridlines>
          <c:spPr>
            <a:ln w="9525" cap="flat" cmpd="sng" algn="ctr">
              <a:noFill/>
              <a:prstDash val="solid"/>
              <a:round/>
            </a:ln>
            <a:effectLst/>
            <a:extLst>
              <a:ext uri="{91240B29-F687-4F45-9708-019B960494DF}">
                <a14:hiddenLine xmlns:a14="http://schemas.microsoft.com/office/drawing/2010/main" w="9525" cap="flat" cmpd="sng" algn="ctr">
                  <a:solidFill>
                    <a:sysClr val="windowText" lastClr="000000">
                      <a:lumMod val="15000"/>
                      <a:lumOff val="85000"/>
                    </a:sysClr>
                  </a:solidFill>
                  <a:prstDash val="solid"/>
                  <a:round/>
                </a14:hiddenLine>
              </a:ext>
            </a:extLst>
          </c:spPr>
        </c:majorGridlines>
        <c:numFmt formatCode="General" sourceLinked="1"/>
        <c:majorTickMark val="out"/>
        <c:minorTickMark val="none"/>
        <c:tickLblPos val="nextTo"/>
        <c:spPr>
          <a:ln w="12700" cap="flat" cmpd="sng" algn="ctr">
            <a:solidFill>
              <a:sysClr val="windowText" lastClr="000000">
                <a:lumMod val="100000"/>
              </a:sysClr>
            </a:solidFill>
            <a:prstDash val="solid"/>
            <a:round/>
            <a:headEnd type="none" w="med" len="med"/>
            <a:tailEnd type="none" w="med" len="med"/>
          </a:ln>
        </c:spPr>
        <c:crossAx val="1569267376"/>
        <c:crosses val="autoZero"/>
        <c:crossBetween val="midCat"/>
        <c:majorUnit val="25"/>
        <c:minorUnit val="5"/>
      </c:valAx>
      <c:spPr>
        <a:noFill/>
        <a:ln>
          <a:solidFill>
            <a:schemeClr val="tx1"/>
          </a:solidFill>
        </a:ln>
        <a:effectLst/>
      </c:spPr>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lumMod val="15000"/>
              <a:lumOff val="85000"/>
            </a:sysClr>
          </a:solidFill>
          <a:prstDash val="solid"/>
          <a:round/>
        </a14:hiddenLine>
      </a:ext>
    </a:ex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01447595124229"/>
          <c:y val="2.8268540749732153E-2"/>
          <c:w val="0.79415100719771992"/>
          <c:h val="0.81774581759149068"/>
        </c:manualLayout>
      </c:layout>
      <c:scatterChart>
        <c:scatterStyle val="smoothMarker"/>
        <c:varyColors val="0"/>
        <c:ser>
          <c:idx val="0"/>
          <c:order val="0"/>
          <c:spPr>
            <a:ln w="19050" cap="rnd" cmpd="sng" algn="ctr">
              <a:solidFill>
                <a:srgbClr val="0000FF"/>
              </a:solidFill>
              <a:prstDash val="solid"/>
              <a:round/>
              <a:headEnd type="none" w="med" len="med"/>
              <a:tailEnd type="none" w="med" len="med"/>
            </a:ln>
          </c:spPr>
          <c:marker>
            <c:symbol val="none"/>
          </c:marker>
          <c:dLbls>
            <c:dLbl>
              <c:idx val="0"/>
              <c:tx>
                <c:rich>
                  <a:bodyPr/>
                  <a:lstStyle/>
                  <a:p>
                    <a:fld id="{62D3455B-DCD2-478B-BEBA-BA4A44B521A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0257-4020-A815-75F182867034}"/>
                </c:ext>
              </c:extLst>
            </c:dLbl>
            <c:dLbl>
              <c:idx val="1"/>
              <c:tx>
                <c:rich>
                  <a:bodyPr/>
                  <a:lstStyle/>
                  <a:p>
                    <a:fld id="{E034A76A-1097-453C-B9E7-175ECEA1BDF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0257-4020-A815-75F182867034}"/>
                </c:ext>
              </c:extLst>
            </c:dLbl>
            <c:dLbl>
              <c:idx val="2"/>
              <c:tx>
                <c:rich>
                  <a:bodyPr/>
                  <a:lstStyle/>
                  <a:p>
                    <a:fld id="{E960C8A8-E4DF-4E77-B882-EA7BEE2D339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0257-4020-A815-75F182867034}"/>
                </c:ext>
              </c:extLst>
            </c:dLbl>
            <c:dLbl>
              <c:idx val="3"/>
              <c:tx>
                <c:rich>
                  <a:bodyPr/>
                  <a:lstStyle/>
                  <a:p>
                    <a:fld id="{E609C435-1C18-4435-A830-CCA0410598C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0257-4020-A815-75F182867034}"/>
                </c:ext>
              </c:extLst>
            </c:dLbl>
            <c:dLbl>
              <c:idx val="4"/>
              <c:tx>
                <c:rich>
                  <a:bodyPr/>
                  <a:lstStyle/>
                  <a:p>
                    <a:fld id="{83FD2791-F841-4574-8501-FCADF641C62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0257-4020-A815-75F182867034}"/>
                </c:ext>
              </c:extLst>
            </c:dLbl>
            <c:dLbl>
              <c:idx val="5"/>
              <c:tx>
                <c:rich>
                  <a:bodyPr/>
                  <a:lstStyle/>
                  <a:p>
                    <a:fld id="{FB965EAA-1D69-40B7-B59F-FDE9AC910C8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0257-4020-A815-75F182867034}"/>
                </c:ext>
              </c:extLst>
            </c:dLbl>
            <c:dLbl>
              <c:idx val="6"/>
              <c:tx>
                <c:rich>
                  <a:bodyPr/>
                  <a:lstStyle/>
                  <a:p>
                    <a:fld id="{A19A346D-E226-4CC9-8548-EA1DC68654F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0257-4020-A815-75F182867034}"/>
                </c:ext>
              </c:extLst>
            </c:dLbl>
            <c:dLbl>
              <c:idx val="7"/>
              <c:tx>
                <c:rich>
                  <a:bodyPr/>
                  <a:lstStyle/>
                  <a:p>
                    <a:fld id="{C13EE8B9-2E3B-4668-96DC-4EC88E53C70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0257-4020-A815-75F182867034}"/>
                </c:ext>
              </c:extLst>
            </c:dLbl>
            <c:dLbl>
              <c:idx val="8"/>
              <c:tx>
                <c:rich>
                  <a:bodyPr/>
                  <a:lstStyle/>
                  <a:p>
                    <a:fld id="{8701891A-B39E-417D-86A0-E6655C39F21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0257-4020-A815-75F182867034}"/>
                </c:ext>
              </c:extLst>
            </c:dLbl>
            <c:dLbl>
              <c:idx val="9"/>
              <c:tx>
                <c:rich>
                  <a:bodyPr/>
                  <a:lstStyle/>
                  <a:p>
                    <a:fld id="{97FBF4B9-6CF8-4CFF-A517-01991468E9C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0257-4020-A815-75F182867034}"/>
                </c:ext>
              </c:extLst>
            </c:dLbl>
            <c:dLbl>
              <c:idx val="10"/>
              <c:tx>
                <c:rich>
                  <a:bodyPr/>
                  <a:lstStyle/>
                  <a:p>
                    <a:fld id="{A1206691-3614-4576-AF5F-C9C8802D7FD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0257-4020-A815-75F182867034}"/>
                </c:ext>
              </c:extLst>
            </c:dLbl>
            <c:dLbl>
              <c:idx val="11"/>
              <c:tx>
                <c:rich>
                  <a:bodyPr/>
                  <a:lstStyle/>
                  <a:p>
                    <a:fld id="{CA7C099D-2879-40A3-995D-81F8C5B8238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0257-4020-A815-75F182867034}"/>
                </c:ext>
              </c:extLst>
            </c:dLbl>
            <c:dLbl>
              <c:idx val="12"/>
              <c:tx>
                <c:rich>
                  <a:bodyPr/>
                  <a:lstStyle/>
                  <a:p>
                    <a:fld id="{234B7735-8F39-4E56-89EC-19F3C577C57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0257-4020-A815-75F182867034}"/>
                </c:ext>
              </c:extLst>
            </c:dLbl>
            <c:dLbl>
              <c:idx val="13"/>
              <c:tx>
                <c:rich>
                  <a:bodyPr/>
                  <a:lstStyle/>
                  <a:p>
                    <a:fld id="{BCA9233E-7B15-4E7F-9D09-0C2A66EE75F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0257-4020-A815-75F182867034}"/>
                </c:ext>
              </c:extLst>
            </c:dLbl>
            <c:dLbl>
              <c:idx val="14"/>
              <c:tx>
                <c:rich>
                  <a:bodyPr/>
                  <a:lstStyle/>
                  <a:p>
                    <a:fld id="{8CBA3858-7CC5-4B2A-8B65-2FA85005A02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0257-4020-A815-75F182867034}"/>
                </c:ext>
              </c:extLst>
            </c:dLbl>
            <c:dLbl>
              <c:idx val="15"/>
              <c:tx>
                <c:rich>
                  <a:bodyPr/>
                  <a:lstStyle/>
                  <a:p>
                    <a:fld id="{160111CB-7284-422D-A156-AEF845C51CB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0257-4020-A815-75F182867034}"/>
                </c:ext>
              </c:extLst>
            </c:dLbl>
            <c:dLbl>
              <c:idx val="16"/>
              <c:tx>
                <c:rich>
                  <a:bodyPr/>
                  <a:lstStyle/>
                  <a:p>
                    <a:fld id="{8EA284E9-F92A-42AC-A8A7-A9CAE1EB91D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0257-4020-A815-75F182867034}"/>
                </c:ext>
              </c:extLst>
            </c:dLbl>
            <c:dLbl>
              <c:idx val="17"/>
              <c:tx>
                <c:rich>
                  <a:bodyPr/>
                  <a:lstStyle/>
                  <a:p>
                    <a:fld id="{C00BA4C4-42B8-4183-9574-8E9B99C2AE6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0257-4020-A815-75F182867034}"/>
                </c:ext>
              </c:extLst>
            </c:dLbl>
            <c:dLbl>
              <c:idx val="18"/>
              <c:tx>
                <c:rich>
                  <a:bodyPr/>
                  <a:lstStyle/>
                  <a:p>
                    <a:fld id="{16DB324E-71DE-4959-AD77-0029264866A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0257-4020-A815-75F182867034}"/>
                </c:ext>
              </c:extLst>
            </c:dLbl>
            <c:dLbl>
              <c:idx val="19"/>
              <c:tx>
                <c:rich>
                  <a:bodyPr/>
                  <a:lstStyle/>
                  <a:p>
                    <a:fld id="{C948AEA8-FDB2-4296-BE4F-7AEAB5E08D7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0257-4020-A815-75F182867034}"/>
                </c:ext>
              </c:extLst>
            </c:dLbl>
            <c:dLbl>
              <c:idx val="20"/>
              <c:tx>
                <c:rich>
                  <a:bodyPr/>
                  <a:lstStyle/>
                  <a:p>
                    <a:fld id="{BA76CDA5-7520-4A41-BE9B-16A172CA625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0257-4020-A815-75F182867034}"/>
                </c:ext>
              </c:extLst>
            </c:dLbl>
            <c:dLbl>
              <c:idx val="21"/>
              <c:tx>
                <c:rich>
                  <a:bodyPr/>
                  <a:lstStyle/>
                  <a:p>
                    <a:fld id="{8DDFC70A-2AC6-4867-8ABF-8AE92089C64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0257-4020-A815-75F182867034}"/>
                </c:ext>
              </c:extLst>
            </c:dLbl>
            <c:dLbl>
              <c:idx val="22"/>
              <c:tx>
                <c:rich>
                  <a:bodyPr/>
                  <a:lstStyle/>
                  <a:p>
                    <a:fld id="{F070ACD7-0045-4D79-AE86-2CDA9C1BBA4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0257-4020-A815-75F182867034}"/>
                </c:ext>
              </c:extLst>
            </c:dLbl>
            <c:dLbl>
              <c:idx val="23"/>
              <c:tx>
                <c:rich>
                  <a:bodyPr/>
                  <a:lstStyle/>
                  <a:p>
                    <a:fld id="{9BBAB858-D148-4E34-A503-FA22BEA7F65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0257-4020-A815-75F182867034}"/>
                </c:ext>
              </c:extLst>
            </c:dLbl>
            <c:dLbl>
              <c:idx val="24"/>
              <c:tx>
                <c:rich>
                  <a:bodyPr/>
                  <a:lstStyle/>
                  <a:p>
                    <a:fld id="{E726FEAB-23E7-4C57-8119-0342F9348B1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0257-4020-A815-75F182867034}"/>
                </c:ext>
              </c:extLst>
            </c:dLbl>
            <c:dLbl>
              <c:idx val="25"/>
              <c:tx>
                <c:rich>
                  <a:bodyPr/>
                  <a:lstStyle/>
                  <a:p>
                    <a:fld id="{38CD6ED7-9F0D-4F0B-871C-840543A3E7C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0257-4020-A815-75F182867034}"/>
                </c:ext>
              </c:extLst>
            </c:dLbl>
            <c:dLbl>
              <c:idx val="26"/>
              <c:tx>
                <c:rich>
                  <a:bodyPr/>
                  <a:lstStyle/>
                  <a:p>
                    <a:fld id="{02C6B685-D9F1-4E58-93FF-4B43C05B334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0257-4020-A815-75F182867034}"/>
                </c:ext>
              </c:extLst>
            </c:dLbl>
            <c:dLbl>
              <c:idx val="27"/>
              <c:tx>
                <c:rich>
                  <a:bodyPr/>
                  <a:lstStyle/>
                  <a:p>
                    <a:fld id="{0D5F3EEC-DE43-485A-B270-5EBCD4CFB16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0257-4020-A815-75F182867034}"/>
                </c:ext>
              </c:extLst>
            </c:dLbl>
            <c:dLbl>
              <c:idx val="28"/>
              <c:tx>
                <c:rich>
                  <a:bodyPr/>
                  <a:lstStyle/>
                  <a:p>
                    <a:fld id="{F14563AE-0AF0-4F73-AC38-F7ECD5766F8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0257-4020-A815-75F182867034}"/>
                </c:ext>
              </c:extLst>
            </c:dLbl>
            <c:dLbl>
              <c:idx val="29"/>
              <c:tx>
                <c:rich>
                  <a:bodyPr/>
                  <a:lstStyle/>
                  <a:p>
                    <a:fld id="{C10ACA9B-B461-431E-9918-49EAADFFAF6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0257-4020-A815-75F182867034}"/>
                </c:ext>
              </c:extLst>
            </c:dLbl>
            <c:dLbl>
              <c:idx val="30"/>
              <c:tx>
                <c:rich>
                  <a:bodyPr/>
                  <a:lstStyle/>
                  <a:p>
                    <a:fld id="{46247140-268D-49C5-80F7-747173C61B4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0257-4020-A815-75F182867034}"/>
                </c:ext>
              </c:extLst>
            </c:dLbl>
            <c:dLbl>
              <c:idx val="31"/>
              <c:tx>
                <c:rich>
                  <a:bodyPr/>
                  <a:lstStyle/>
                  <a:p>
                    <a:fld id="{3D5E3CB2-7FD2-40BD-97AA-5B397CD1C15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0-0257-4020-A815-75F182867034}"/>
                </c:ext>
              </c:extLst>
            </c:dLbl>
            <c:dLbl>
              <c:idx val="32"/>
              <c:tx>
                <c:rich>
                  <a:bodyPr/>
                  <a:lstStyle/>
                  <a:p>
                    <a:fld id="{0AD73B51-91EF-4732-8641-EB9246D5421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0257-4020-A815-75F182867034}"/>
                </c:ext>
              </c:extLst>
            </c:dLbl>
            <c:dLbl>
              <c:idx val="33"/>
              <c:tx>
                <c:rich>
                  <a:bodyPr/>
                  <a:lstStyle/>
                  <a:p>
                    <a:fld id="{57EDBC59-F775-4EC6-BA15-68D5F016044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2-0257-4020-A815-75F182867034}"/>
                </c:ext>
              </c:extLst>
            </c:dLbl>
            <c:dLbl>
              <c:idx val="34"/>
              <c:tx>
                <c:rich>
                  <a:bodyPr/>
                  <a:lstStyle/>
                  <a:p>
                    <a:fld id="{D0FAE6AF-7788-4664-9DFF-D45E85B34BB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0257-4020-A815-75F182867034}"/>
                </c:ext>
              </c:extLst>
            </c:dLbl>
            <c:dLbl>
              <c:idx val="35"/>
              <c:tx>
                <c:rich>
                  <a:bodyPr/>
                  <a:lstStyle/>
                  <a:p>
                    <a:fld id="{F2F931DB-527A-485E-B0C9-999EE86AA7C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4-0257-4020-A815-75F182867034}"/>
                </c:ext>
              </c:extLst>
            </c:dLbl>
            <c:dLbl>
              <c:idx val="36"/>
              <c:tx>
                <c:rich>
                  <a:bodyPr/>
                  <a:lstStyle/>
                  <a:p>
                    <a:fld id="{FDA5765C-7CAD-43B7-B47B-AD18A756DDD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0257-4020-A815-75F182867034}"/>
                </c:ext>
              </c:extLst>
            </c:dLbl>
            <c:dLbl>
              <c:idx val="37"/>
              <c:tx>
                <c:rich>
                  <a:bodyPr/>
                  <a:lstStyle/>
                  <a:p>
                    <a:fld id="{07FC5F57-6A5B-49B3-929C-8AD5600C058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6-0257-4020-A815-75F182867034}"/>
                </c:ext>
              </c:extLst>
            </c:dLbl>
            <c:dLbl>
              <c:idx val="38"/>
              <c:tx>
                <c:rich>
                  <a:bodyPr/>
                  <a:lstStyle/>
                  <a:p>
                    <a:fld id="{E04D2648-F632-4652-9B40-D42A623231A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7-0257-4020-A815-75F182867034}"/>
                </c:ext>
              </c:extLst>
            </c:dLbl>
            <c:dLbl>
              <c:idx val="39"/>
              <c:tx>
                <c:rich>
                  <a:bodyPr/>
                  <a:lstStyle/>
                  <a:p>
                    <a:fld id="{F3899D47-1A2C-443B-AC30-E3F146CCF51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8-0257-4020-A815-75F182867034}"/>
                </c:ext>
              </c:extLst>
            </c:dLbl>
            <c:dLbl>
              <c:idx val="40"/>
              <c:tx>
                <c:rich>
                  <a:bodyPr/>
                  <a:lstStyle/>
                  <a:p>
                    <a:fld id="{BB5F5310-E13C-47E4-80C4-C669F2E0311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9-0257-4020-A815-75F182867034}"/>
                </c:ext>
              </c:extLst>
            </c:dLbl>
            <c:dLbl>
              <c:idx val="41"/>
              <c:tx>
                <c:rich>
                  <a:bodyPr/>
                  <a:lstStyle/>
                  <a:p>
                    <a:fld id="{404642A6-F74A-4252-A0F2-3E9ED4FF073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A-0257-4020-A815-75F182867034}"/>
                </c:ext>
              </c:extLst>
            </c:dLbl>
            <c:dLbl>
              <c:idx val="42"/>
              <c:tx>
                <c:rich>
                  <a:bodyPr/>
                  <a:lstStyle/>
                  <a:p>
                    <a:fld id="{DF02D13E-21C7-41D9-B6D2-E392FF5D6B5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B-0257-4020-A815-75F182867034}"/>
                </c:ext>
              </c:extLst>
            </c:dLbl>
            <c:dLbl>
              <c:idx val="43"/>
              <c:tx>
                <c:rich>
                  <a:bodyPr/>
                  <a:lstStyle/>
                  <a:p>
                    <a:fld id="{5C286B72-6E35-499D-B29A-2E78C761CCA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C-0257-4020-A815-75F182867034}"/>
                </c:ext>
              </c:extLst>
            </c:dLbl>
            <c:dLbl>
              <c:idx val="44"/>
              <c:tx>
                <c:rich>
                  <a:bodyPr/>
                  <a:lstStyle/>
                  <a:p>
                    <a:fld id="{4AA82CCD-372B-4690-A557-F1FCED3D494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D-0257-4020-A815-75F182867034}"/>
                </c:ext>
              </c:extLst>
            </c:dLbl>
            <c:dLbl>
              <c:idx val="45"/>
              <c:tx>
                <c:rich>
                  <a:bodyPr/>
                  <a:lstStyle/>
                  <a:p>
                    <a:fld id="{52F2BC27-E838-46FA-AA6F-92B366F676A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E-0257-4020-A815-75F182867034}"/>
                </c:ext>
              </c:extLst>
            </c:dLbl>
            <c:dLbl>
              <c:idx val="46"/>
              <c:tx>
                <c:rich>
                  <a:bodyPr/>
                  <a:lstStyle/>
                  <a:p>
                    <a:fld id="{6E784467-587F-49A3-92BD-A75476C132D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F-0257-4020-A815-75F182867034}"/>
                </c:ext>
              </c:extLst>
            </c:dLbl>
            <c:dLbl>
              <c:idx val="47"/>
              <c:tx>
                <c:rich>
                  <a:bodyPr/>
                  <a:lstStyle/>
                  <a:p>
                    <a:fld id="{F95E4ABB-280B-4C7F-89CE-AEDC56597C4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0-0257-4020-A815-75F182867034}"/>
                </c:ext>
              </c:extLst>
            </c:dLbl>
            <c:dLbl>
              <c:idx val="48"/>
              <c:tx>
                <c:rich>
                  <a:bodyPr/>
                  <a:lstStyle/>
                  <a:p>
                    <a:fld id="{2DD23CC9-90FD-45A7-BEB9-9D0EEBF461F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1-0257-4020-A815-75F182867034}"/>
                </c:ext>
              </c:extLst>
            </c:dLbl>
            <c:dLbl>
              <c:idx val="49"/>
              <c:tx>
                <c:rich>
                  <a:bodyPr/>
                  <a:lstStyle/>
                  <a:p>
                    <a:fld id="{20109520-28A3-4D98-A582-CC53C149A65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2-0257-4020-A815-75F182867034}"/>
                </c:ext>
              </c:extLst>
            </c:dLbl>
            <c:dLbl>
              <c:idx val="50"/>
              <c:tx>
                <c:rich>
                  <a:bodyPr/>
                  <a:lstStyle/>
                  <a:p>
                    <a:fld id="{44A14BB2-6188-4580-BDD8-4A12050446A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3-0257-4020-A815-75F182867034}"/>
                </c:ext>
              </c:extLst>
            </c:dLbl>
            <c:dLbl>
              <c:idx val="51"/>
              <c:tx>
                <c:rich>
                  <a:bodyPr/>
                  <a:lstStyle/>
                  <a:p>
                    <a:fld id="{8DFE576D-53D2-4A7E-803C-37A8E09D901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4-0257-4020-A815-75F182867034}"/>
                </c:ext>
              </c:extLst>
            </c:dLbl>
            <c:dLbl>
              <c:idx val="52"/>
              <c:tx>
                <c:rich>
                  <a:bodyPr/>
                  <a:lstStyle/>
                  <a:p>
                    <a:fld id="{C163D8D6-B9F4-4CD9-A564-216A2484D9E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5-0257-4020-A815-75F182867034}"/>
                </c:ext>
              </c:extLst>
            </c:dLbl>
            <c:dLbl>
              <c:idx val="53"/>
              <c:tx>
                <c:rich>
                  <a:bodyPr/>
                  <a:lstStyle/>
                  <a:p>
                    <a:fld id="{C0D009C8-491B-4403-9E80-62AB79E1D3E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6-0257-4020-A815-75F182867034}"/>
                </c:ext>
              </c:extLst>
            </c:dLbl>
            <c:dLbl>
              <c:idx val="54"/>
              <c:tx>
                <c:rich>
                  <a:bodyPr/>
                  <a:lstStyle/>
                  <a:p>
                    <a:fld id="{42EF865A-65D4-4A98-BA34-7149FFF1E6C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7-0257-4020-A815-75F182867034}"/>
                </c:ext>
              </c:extLst>
            </c:dLbl>
            <c:dLbl>
              <c:idx val="55"/>
              <c:tx>
                <c:rich>
                  <a:bodyPr/>
                  <a:lstStyle/>
                  <a:p>
                    <a:fld id="{B4C72E00-EC14-42D6-A414-F2B08FEB381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8-0257-4020-A815-75F182867034}"/>
                </c:ext>
              </c:extLst>
            </c:dLbl>
            <c:dLbl>
              <c:idx val="56"/>
              <c:tx>
                <c:rich>
                  <a:bodyPr/>
                  <a:lstStyle/>
                  <a:p>
                    <a:fld id="{08EE67A6-2B93-40AB-87A6-66E7B376197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9-0257-4020-A815-75F182867034}"/>
                </c:ext>
              </c:extLst>
            </c:dLbl>
            <c:dLbl>
              <c:idx val="57"/>
              <c:tx>
                <c:rich>
                  <a:bodyPr/>
                  <a:lstStyle/>
                  <a:p>
                    <a:fld id="{A22D7D46-4918-49D7-B905-5F209E2C89C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A-0257-4020-A815-75F182867034}"/>
                </c:ext>
              </c:extLst>
            </c:dLbl>
            <c:dLbl>
              <c:idx val="58"/>
              <c:tx>
                <c:rich>
                  <a:bodyPr/>
                  <a:lstStyle/>
                  <a:p>
                    <a:fld id="{E56CB6BB-02FF-4537-A903-23EC035D642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B-0257-4020-A815-75F182867034}"/>
                </c:ext>
              </c:extLst>
            </c:dLbl>
            <c:dLbl>
              <c:idx val="59"/>
              <c:tx>
                <c:rich>
                  <a:bodyPr/>
                  <a:lstStyle/>
                  <a:p>
                    <a:fld id="{2D214D9A-626B-450E-A6B0-47ECDB716DD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C-0257-4020-A815-75F182867034}"/>
                </c:ext>
              </c:extLst>
            </c:dLbl>
            <c:dLbl>
              <c:idx val="60"/>
              <c:tx>
                <c:rich>
                  <a:bodyPr/>
                  <a:lstStyle/>
                  <a:p>
                    <a:fld id="{FCF0E79C-7FBA-4704-8065-D5587D09A8E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D-0257-4020-A815-75F182867034}"/>
                </c:ext>
              </c:extLst>
            </c:dLbl>
            <c:dLbl>
              <c:idx val="61"/>
              <c:tx>
                <c:rich>
                  <a:bodyPr/>
                  <a:lstStyle/>
                  <a:p>
                    <a:fld id="{358F8B94-4E3B-4159-BAA0-57716B33956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E-0257-4020-A815-75F182867034}"/>
                </c:ext>
              </c:extLst>
            </c:dLbl>
            <c:dLbl>
              <c:idx val="62"/>
              <c:tx>
                <c:rich>
                  <a:bodyPr/>
                  <a:lstStyle/>
                  <a:p>
                    <a:fld id="{B546CC41-AD2F-411F-932A-09C170519D2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F-0257-4020-A815-75F182867034}"/>
                </c:ext>
              </c:extLst>
            </c:dLbl>
            <c:dLbl>
              <c:idx val="63"/>
              <c:tx>
                <c:rich>
                  <a:bodyPr/>
                  <a:lstStyle/>
                  <a:p>
                    <a:fld id="{6845F66D-1426-4A79-B70F-B5AFD38DB8C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0-0257-4020-A815-75F182867034}"/>
                </c:ext>
              </c:extLst>
            </c:dLbl>
            <c:dLbl>
              <c:idx val="64"/>
              <c:tx>
                <c:rich>
                  <a:bodyPr/>
                  <a:lstStyle/>
                  <a:p>
                    <a:fld id="{76196DBD-EB39-478C-8B30-6486BE01FD5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1-0257-4020-A815-75F182867034}"/>
                </c:ext>
              </c:extLst>
            </c:dLbl>
            <c:dLbl>
              <c:idx val="65"/>
              <c:tx>
                <c:rich>
                  <a:bodyPr/>
                  <a:lstStyle/>
                  <a:p>
                    <a:fld id="{45FCBEFE-045F-4975-9140-C2A3F7D9806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2-0257-4020-A815-75F182867034}"/>
                </c:ext>
              </c:extLst>
            </c:dLbl>
            <c:dLbl>
              <c:idx val="66"/>
              <c:tx>
                <c:rich>
                  <a:bodyPr/>
                  <a:lstStyle/>
                  <a:p>
                    <a:fld id="{806B6415-C828-4060-8D90-BE6DB487EE5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3-0257-4020-A815-75F182867034}"/>
                </c:ext>
              </c:extLst>
            </c:dLbl>
            <c:dLbl>
              <c:idx val="67"/>
              <c:tx>
                <c:rich>
                  <a:bodyPr/>
                  <a:lstStyle/>
                  <a:p>
                    <a:fld id="{45E24AB1-F64F-4D84-ACD8-C247CB10CDA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4-0257-4020-A815-75F182867034}"/>
                </c:ext>
              </c:extLst>
            </c:dLbl>
            <c:dLbl>
              <c:idx val="68"/>
              <c:tx>
                <c:rich>
                  <a:bodyPr/>
                  <a:lstStyle/>
                  <a:p>
                    <a:fld id="{1C7DFABA-7902-4E0A-9E32-BAFAF241748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5-0257-4020-A815-75F182867034}"/>
                </c:ext>
              </c:extLst>
            </c:dLbl>
            <c:dLbl>
              <c:idx val="69"/>
              <c:tx>
                <c:rich>
                  <a:bodyPr/>
                  <a:lstStyle/>
                  <a:p>
                    <a:fld id="{CA412280-1499-4E5C-A927-2DE1C58A04C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6-0257-4020-A815-75F182867034}"/>
                </c:ext>
              </c:extLst>
            </c:dLbl>
            <c:dLbl>
              <c:idx val="70"/>
              <c:tx>
                <c:rich>
                  <a:bodyPr/>
                  <a:lstStyle/>
                  <a:p>
                    <a:fld id="{E270D5C9-2FBE-40EF-836F-7F73E9BBB56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7-0257-4020-A815-75F182867034}"/>
                </c:ext>
              </c:extLst>
            </c:dLbl>
            <c:dLbl>
              <c:idx val="71"/>
              <c:tx>
                <c:rich>
                  <a:bodyPr/>
                  <a:lstStyle/>
                  <a:p>
                    <a:fld id="{2BDCFE12-DA25-4040-82E0-0D262FBB68C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8-0257-4020-A815-75F182867034}"/>
                </c:ext>
              </c:extLst>
            </c:dLbl>
            <c:dLbl>
              <c:idx val="72"/>
              <c:tx>
                <c:rich>
                  <a:bodyPr/>
                  <a:lstStyle/>
                  <a:p>
                    <a:fld id="{F451B4F3-A9C4-4E7C-9F1A-19DF72A1EA6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9-0257-4020-A815-75F182867034}"/>
                </c:ext>
              </c:extLst>
            </c:dLbl>
            <c:dLbl>
              <c:idx val="73"/>
              <c:tx>
                <c:rich>
                  <a:bodyPr/>
                  <a:lstStyle/>
                  <a:p>
                    <a:fld id="{E54A3445-EA02-43AC-AFA7-2FBDE14FA40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A-0257-4020-A815-75F182867034}"/>
                </c:ext>
              </c:extLst>
            </c:dLbl>
            <c:dLbl>
              <c:idx val="74"/>
              <c:tx>
                <c:rich>
                  <a:bodyPr/>
                  <a:lstStyle/>
                  <a:p>
                    <a:fld id="{8A10EF0D-93D8-4D9F-BEF6-07FB42A3FCD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B-0257-4020-A815-75F182867034}"/>
                </c:ext>
              </c:extLst>
            </c:dLbl>
            <c:dLbl>
              <c:idx val="75"/>
              <c:tx>
                <c:rich>
                  <a:bodyPr/>
                  <a:lstStyle/>
                  <a:p>
                    <a:fld id="{3D4886B9-26AC-4770-9B57-FA12D3374B6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C-0257-4020-A815-75F182867034}"/>
                </c:ext>
              </c:extLst>
            </c:dLbl>
            <c:dLbl>
              <c:idx val="76"/>
              <c:tx>
                <c:rich>
                  <a:bodyPr/>
                  <a:lstStyle/>
                  <a:p>
                    <a:fld id="{0E215EBE-4DC6-4BC3-8B5B-DD58DDC5B15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D-0257-4020-A815-75F182867034}"/>
                </c:ext>
              </c:extLst>
            </c:dLbl>
            <c:dLbl>
              <c:idx val="77"/>
              <c:tx>
                <c:rich>
                  <a:bodyPr/>
                  <a:lstStyle/>
                  <a:p>
                    <a:fld id="{90A0D233-DD19-47E6-ACE4-FF48BB1B7C0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E-0257-4020-A815-75F182867034}"/>
                </c:ext>
              </c:extLst>
            </c:dLbl>
            <c:dLbl>
              <c:idx val="78"/>
              <c:tx>
                <c:rich>
                  <a:bodyPr/>
                  <a:lstStyle/>
                  <a:p>
                    <a:fld id="{E15A6DA0-E345-43D1-A918-77230AC9095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F-0257-4020-A815-75F182867034}"/>
                </c:ext>
              </c:extLst>
            </c:dLbl>
            <c:dLbl>
              <c:idx val="79"/>
              <c:tx>
                <c:rich>
                  <a:bodyPr/>
                  <a:lstStyle/>
                  <a:p>
                    <a:fld id="{12D60F8F-F875-4049-B1C0-6DD2C14F2F7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0-0257-4020-A815-75F182867034}"/>
                </c:ext>
              </c:extLst>
            </c:dLbl>
            <c:dLbl>
              <c:idx val="80"/>
              <c:tx>
                <c:rich>
                  <a:bodyPr/>
                  <a:lstStyle/>
                  <a:p>
                    <a:fld id="{D5251684-6F25-415E-BAC5-E727B0369D6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1-0257-4020-A815-75F182867034}"/>
                </c:ext>
              </c:extLst>
            </c:dLbl>
            <c:dLbl>
              <c:idx val="81"/>
              <c:tx>
                <c:rich>
                  <a:bodyPr/>
                  <a:lstStyle/>
                  <a:p>
                    <a:fld id="{B6E745D1-FFAD-4DCF-A8B4-1E675D91422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2-0257-4020-A815-75F182867034}"/>
                </c:ext>
              </c:extLst>
            </c:dLbl>
            <c:dLbl>
              <c:idx val="82"/>
              <c:tx>
                <c:rich>
                  <a:bodyPr/>
                  <a:lstStyle/>
                  <a:p>
                    <a:fld id="{7F5CCFE1-D700-4C88-A9E9-FC087F194AF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3-0257-4020-A815-75F182867034}"/>
                </c:ext>
              </c:extLst>
            </c:dLbl>
            <c:dLbl>
              <c:idx val="83"/>
              <c:tx>
                <c:rich>
                  <a:bodyPr/>
                  <a:lstStyle/>
                  <a:p>
                    <a:fld id="{CA4E6296-31EB-4097-9967-865EA0424DF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4-0257-4020-A815-75F182867034}"/>
                </c:ext>
              </c:extLst>
            </c:dLbl>
            <c:dLbl>
              <c:idx val="84"/>
              <c:tx>
                <c:rich>
                  <a:bodyPr/>
                  <a:lstStyle/>
                  <a:p>
                    <a:fld id="{060EE117-6145-423D-81D9-8C4919311FF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5-0257-4020-A815-75F182867034}"/>
                </c:ext>
              </c:extLst>
            </c:dLbl>
            <c:dLbl>
              <c:idx val="85"/>
              <c:tx>
                <c:rich>
                  <a:bodyPr/>
                  <a:lstStyle/>
                  <a:p>
                    <a:fld id="{40BC88E3-3DFE-415A-AC91-90C4E95F9EF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6-0257-4020-A815-75F182867034}"/>
                </c:ext>
              </c:extLst>
            </c:dLbl>
            <c:dLbl>
              <c:idx val="86"/>
              <c:tx>
                <c:rich>
                  <a:bodyPr/>
                  <a:lstStyle/>
                  <a:p>
                    <a:fld id="{F3E69C64-6AF6-4489-A14C-38D75DA798A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7-0257-4020-A815-75F182867034}"/>
                </c:ext>
              </c:extLst>
            </c:dLbl>
            <c:dLbl>
              <c:idx val="87"/>
              <c:tx>
                <c:rich>
                  <a:bodyPr/>
                  <a:lstStyle/>
                  <a:p>
                    <a:fld id="{702302D3-B911-413E-AFA4-3961D2308D6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8-0257-4020-A815-75F182867034}"/>
                </c:ext>
              </c:extLst>
            </c:dLbl>
            <c:dLbl>
              <c:idx val="88"/>
              <c:tx>
                <c:rich>
                  <a:bodyPr/>
                  <a:lstStyle/>
                  <a:p>
                    <a:fld id="{ECC010D6-941E-4537-B4F0-9045B0027DB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9-0257-4020-A815-75F182867034}"/>
                </c:ext>
              </c:extLst>
            </c:dLbl>
            <c:dLbl>
              <c:idx val="89"/>
              <c:tx>
                <c:rich>
                  <a:bodyPr/>
                  <a:lstStyle/>
                  <a:p>
                    <a:fld id="{BAB5CC5D-758F-4E6F-9F7A-4EEB98F3F30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A-0257-4020-A815-75F182867034}"/>
                </c:ext>
              </c:extLst>
            </c:dLbl>
            <c:dLbl>
              <c:idx val="90"/>
              <c:tx>
                <c:rich>
                  <a:bodyPr/>
                  <a:lstStyle/>
                  <a:p>
                    <a:fld id="{8C8F0A54-C510-4608-8EE9-E068CEED638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B-0257-4020-A815-75F182867034}"/>
                </c:ext>
              </c:extLst>
            </c:dLbl>
            <c:dLbl>
              <c:idx val="91"/>
              <c:tx>
                <c:rich>
                  <a:bodyPr/>
                  <a:lstStyle/>
                  <a:p>
                    <a:fld id="{A3F559E9-F6C9-4711-BFF5-6CA1FEE692C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C-0257-4020-A815-75F182867034}"/>
                </c:ext>
              </c:extLst>
            </c:dLbl>
            <c:dLbl>
              <c:idx val="92"/>
              <c:tx>
                <c:rich>
                  <a:bodyPr/>
                  <a:lstStyle/>
                  <a:p>
                    <a:fld id="{02C04EEA-A1F8-457C-AB88-E2C63BE1949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D-0257-4020-A815-75F182867034}"/>
                </c:ext>
              </c:extLst>
            </c:dLbl>
            <c:dLbl>
              <c:idx val="93"/>
              <c:tx>
                <c:rich>
                  <a:bodyPr/>
                  <a:lstStyle/>
                  <a:p>
                    <a:fld id="{EB52139E-D8E8-4984-B704-0828ECAA109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E-0257-4020-A815-75F182867034}"/>
                </c:ext>
              </c:extLst>
            </c:dLbl>
            <c:dLbl>
              <c:idx val="94"/>
              <c:tx>
                <c:rich>
                  <a:bodyPr/>
                  <a:lstStyle/>
                  <a:p>
                    <a:fld id="{971E455E-A71E-4FE9-8062-23DCB50B40A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F-0257-4020-A815-75F182867034}"/>
                </c:ext>
              </c:extLst>
            </c:dLbl>
            <c:dLbl>
              <c:idx val="95"/>
              <c:tx>
                <c:rich>
                  <a:bodyPr/>
                  <a:lstStyle/>
                  <a:p>
                    <a:fld id="{309246C5-8808-46D9-B666-A12A5AC7BE2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0-0257-4020-A815-75F182867034}"/>
                </c:ext>
              </c:extLst>
            </c:dLbl>
            <c:dLbl>
              <c:idx val="96"/>
              <c:tx>
                <c:rich>
                  <a:bodyPr/>
                  <a:lstStyle/>
                  <a:p>
                    <a:fld id="{F70427D0-41CD-4840-8F1A-256801E09EC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1-0257-4020-A815-75F182867034}"/>
                </c:ext>
              </c:extLst>
            </c:dLbl>
            <c:dLbl>
              <c:idx val="97"/>
              <c:tx>
                <c:rich>
                  <a:bodyPr/>
                  <a:lstStyle/>
                  <a:p>
                    <a:fld id="{9042F015-4719-4BC1-81EA-0BC81DD59EC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2-0257-4020-A815-75F182867034}"/>
                </c:ext>
              </c:extLst>
            </c:dLbl>
            <c:dLbl>
              <c:idx val="98"/>
              <c:tx>
                <c:rich>
                  <a:bodyPr/>
                  <a:lstStyle/>
                  <a:p>
                    <a:fld id="{AD486F73-68D6-444E-9042-692058227BA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3-0257-4020-A815-75F182867034}"/>
                </c:ext>
              </c:extLst>
            </c:dLbl>
            <c:dLbl>
              <c:idx val="99"/>
              <c:tx>
                <c:rich>
                  <a:bodyPr/>
                  <a:lstStyle/>
                  <a:p>
                    <a:fld id="{40AA1E7D-CF7A-4496-964E-5CA95BEDC6D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4-0257-4020-A815-75F182867034}"/>
                </c:ext>
              </c:extLst>
            </c:dLbl>
            <c:dLbl>
              <c:idx val="100"/>
              <c:tx>
                <c:rich>
                  <a:bodyPr/>
                  <a:lstStyle/>
                  <a:p>
                    <a:fld id="{9B67452C-6C66-47A7-B9F4-7337DFEBF85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5-0257-4020-A815-75F182867034}"/>
                </c:ext>
              </c:extLst>
            </c:dLbl>
            <c:dLbl>
              <c:idx val="101"/>
              <c:tx>
                <c:rich>
                  <a:bodyPr/>
                  <a:lstStyle/>
                  <a:p>
                    <a:fld id="{C2544F9A-AF38-415E-89C9-15FBCCC6E1A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6-0257-4020-A815-75F182867034}"/>
                </c:ext>
              </c:extLst>
            </c:dLbl>
            <c:dLbl>
              <c:idx val="102"/>
              <c:tx>
                <c:rich>
                  <a:bodyPr/>
                  <a:lstStyle/>
                  <a:p>
                    <a:fld id="{D012DBD5-2A8F-464A-9652-24C5250CD81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7-0257-4020-A815-75F182867034}"/>
                </c:ext>
              </c:extLst>
            </c:dLbl>
            <c:dLbl>
              <c:idx val="103"/>
              <c:tx>
                <c:rich>
                  <a:bodyPr/>
                  <a:lstStyle/>
                  <a:p>
                    <a:fld id="{36AF80E0-5F58-4DB3-9855-B835DCBB9BD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8-0257-4020-A815-75F182867034}"/>
                </c:ext>
              </c:extLst>
            </c:dLbl>
            <c:dLbl>
              <c:idx val="104"/>
              <c:tx>
                <c:rich>
                  <a:bodyPr/>
                  <a:lstStyle/>
                  <a:p>
                    <a:fld id="{B50F2CC3-57E9-4B45-B944-EA53B3C666F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9-0257-4020-A815-75F182867034}"/>
                </c:ext>
              </c:extLst>
            </c:dLbl>
            <c:dLbl>
              <c:idx val="105"/>
              <c:tx>
                <c:rich>
                  <a:bodyPr/>
                  <a:lstStyle/>
                  <a:p>
                    <a:fld id="{342C4EA7-64EA-4214-B36A-8E9167BF699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A-0257-4020-A815-75F182867034}"/>
                </c:ext>
              </c:extLst>
            </c:dLbl>
            <c:dLbl>
              <c:idx val="106"/>
              <c:tx>
                <c:rich>
                  <a:bodyPr/>
                  <a:lstStyle/>
                  <a:p>
                    <a:fld id="{178BC96E-0901-4843-88EE-B65E612A3FD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B-0257-4020-A815-75F182867034}"/>
                </c:ext>
              </c:extLst>
            </c:dLbl>
            <c:dLbl>
              <c:idx val="107"/>
              <c:tx>
                <c:rich>
                  <a:bodyPr/>
                  <a:lstStyle/>
                  <a:p>
                    <a:fld id="{CB4BA5A6-4EC6-4B27-8481-2049B86FCD2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C-0257-4020-A815-75F182867034}"/>
                </c:ext>
              </c:extLst>
            </c:dLbl>
            <c:dLbl>
              <c:idx val="108"/>
              <c:tx>
                <c:rich>
                  <a:bodyPr/>
                  <a:lstStyle/>
                  <a:p>
                    <a:fld id="{A513EBB5-4DEF-4337-A4E8-FBB9E6554C1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D-0257-4020-A815-75F182867034}"/>
                </c:ext>
              </c:extLst>
            </c:dLbl>
            <c:dLbl>
              <c:idx val="109"/>
              <c:tx>
                <c:rich>
                  <a:bodyPr/>
                  <a:lstStyle/>
                  <a:p>
                    <a:fld id="{AAE592B9-F4CA-4BB9-9A5B-B140AD5416C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E-0257-4020-A815-75F182867034}"/>
                </c:ext>
              </c:extLst>
            </c:dLbl>
            <c:dLbl>
              <c:idx val="110"/>
              <c:tx>
                <c:rich>
                  <a:bodyPr/>
                  <a:lstStyle/>
                  <a:p>
                    <a:fld id="{661D94AF-58C2-4655-AE60-540EA003E2C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F-0257-4020-A815-75F182867034}"/>
                </c:ext>
              </c:extLst>
            </c:dLbl>
            <c:dLbl>
              <c:idx val="111"/>
              <c:tx>
                <c:rich>
                  <a:bodyPr/>
                  <a:lstStyle/>
                  <a:p>
                    <a:fld id="{633A2EEE-7553-4179-8FFD-6DDB816CBBE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0-0257-4020-A815-75F182867034}"/>
                </c:ext>
              </c:extLst>
            </c:dLbl>
            <c:dLbl>
              <c:idx val="112"/>
              <c:tx>
                <c:rich>
                  <a:bodyPr/>
                  <a:lstStyle/>
                  <a:p>
                    <a:fld id="{88564E7E-3DB3-41EB-84FF-7924651C7AF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1-0257-4020-A815-75F182867034}"/>
                </c:ext>
              </c:extLst>
            </c:dLbl>
            <c:dLbl>
              <c:idx val="113"/>
              <c:tx>
                <c:rich>
                  <a:bodyPr/>
                  <a:lstStyle/>
                  <a:p>
                    <a:fld id="{B20FB2D9-3510-4433-A3CC-0050B6D4081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2-0257-4020-A815-75F182867034}"/>
                </c:ext>
              </c:extLst>
            </c:dLbl>
            <c:dLbl>
              <c:idx val="114"/>
              <c:tx>
                <c:rich>
                  <a:bodyPr/>
                  <a:lstStyle/>
                  <a:p>
                    <a:fld id="{21E8462A-24C0-43FB-8E1B-2B78C1DD628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3-0257-4020-A815-75F182867034}"/>
                </c:ext>
              </c:extLst>
            </c:dLbl>
            <c:dLbl>
              <c:idx val="115"/>
              <c:tx>
                <c:rich>
                  <a:bodyPr/>
                  <a:lstStyle/>
                  <a:p>
                    <a:fld id="{FA632108-0BBB-46F1-9401-FF17FAE8F69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4-0257-4020-A815-75F182867034}"/>
                </c:ext>
              </c:extLst>
            </c:dLbl>
            <c:dLbl>
              <c:idx val="116"/>
              <c:tx>
                <c:rich>
                  <a:bodyPr/>
                  <a:lstStyle/>
                  <a:p>
                    <a:fld id="{952A921E-10CD-47EC-A904-83FCB58F1F0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5-0257-4020-A815-75F182867034}"/>
                </c:ext>
              </c:extLst>
            </c:dLbl>
            <c:dLbl>
              <c:idx val="117"/>
              <c:tx>
                <c:rich>
                  <a:bodyPr/>
                  <a:lstStyle/>
                  <a:p>
                    <a:fld id="{262D527D-F153-4D86-A1B2-3FB5240B307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6-0257-4020-A815-75F182867034}"/>
                </c:ext>
              </c:extLst>
            </c:dLbl>
            <c:dLbl>
              <c:idx val="118"/>
              <c:tx>
                <c:rich>
                  <a:bodyPr/>
                  <a:lstStyle/>
                  <a:p>
                    <a:fld id="{56F57FF1-D9BA-42CE-8A5E-CBE6B5B2154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7-0257-4020-A815-75F182867034}"/>
                </c:ext>
              </c:extLst>
            </c:dLbl>
            <c:dLbl>
              <c:idx val="119"/>
              <c:tx>
                <c:rich>
                  <a:bodyPr/>
                  <a:lstStyle/>
                  <a:p>
                    <a:fld id="{81E38328-D2AA-4184-8184-641A1934A46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8-0257-4020-A815-75F182867034}"/>
                </c:ext>
              </c:extLst>
            </c:dLbl>
            <c:dLbl>
              <c:idx val="120"/>
              <c:tx>
                <c:rich>
                  <a:bodyPr/>
                  <a:lstStyle/>
                  <a:p>
                    <a:fld id="{C218A3D9-80F8-453F-91CB-020516A0E81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9-0257-4020-A815-75F182867034}"/>
                </c:ext>
              </c:extLst>
            </c:dLbl>
            <c:dLbl>
              <c:idx val="121"/>
              <c:tx>
                <c:rich>
                  <a:bodyPr/>
                  <a:lstStyle/>
                  <a:p>
                    <a:fld id="{1DEE7F77-59CD-4E4F-B5B7-D2665E55E22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A-0257-4020-A815-75F182867034}"/>
                </c:ext>
              </c:extLst>
            </c:dLbl>
            <c:dLbl>
              <c:idx val="122"/>
              <c:tx>
                <c:rich>
                  <a:bodyPr/>
                  <a:lstStyle/>
                  <a:p>
                    <a:fld id="{FA139170-CDE8-4B1C-9685-014D1804D00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B-0257-4020-A815-75F182867034}"/>
                </c:ext>
              </c:extLst>
            </c:dLbl>
            <c:dLbl>
              <c:idx val="123"/>
              <c:tx>
                <c:rich>
                  <a:bodyPr/>
                  <a:lstStyle/>
                  <a:p>
                    <a:fld id="{F8EC584E-C493-4513-872B-303EF3E2FB3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C-0257-4020-A815-75F182867034}"/>
                </c:ext>
              </c:extLst>
            </c:dLbl>
            <c:dLbl>
              <c:idx val="124"/>
              <c:tx>
                <c:rich>
                  <a:bodyPr/>
                  <a:lstStyle/>
                  <a:p>
                    <a:fld id="{29F85C68-7B3E-4CB4-881B-CE43AB0BB89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D-0257-4020-A815-75F182867034}"/>
                </c:ext>
              </c:extLst>
            </c:dLbl>
            <c:dLbl>
              <c:idx val="125"/>
              <c:tx>
                <c:rich>
                  <a:bodyPr/>
                  <a:lstStyle/>
                  <a:p>
                    <a:fld id="{B8DD1EEB-23C3-49AC-92C3-BA7588CD6A1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E-0257-4020-A815-75F182867034}"/>
                </c:ext>
              </c:extLst>
            </c:dLbl>
            <c:dLbl>
              <c:idx val="126"/>
              <c:tx>
                <c:rich>
                  <a:bodyPr/>
                  <a:lstStyle/>
                  <a:p>
                    <a:fld id="{CD3027FB-69A5-4CA4-AAB4-B5C2F656EBF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F-0257-4020-A815-75F182867034}"/>
                </c:ext>
              </c:extLst>
            </c:dLbl>
            <c:dLbl>
              <c:idx val="127"/>
              <c:tx>
                <c:rich>
                  <a:bodyPr/>
                  <a:lstStyle/>
                  <a:p>
                    <a:fld id="{2BF36D30-158B-463D-BB29-681B5454A78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0-0257-4020-A815-75F182867034}"/>
                </c:ext>
              </c:extLst>
            </c:dLbl>
            <c:dLbl>
              <c:idx val="128"/>
              <c:tx>
                <c:rich>
                  <a:bodyPr/>
                  <a:lstStyle/>
                  <a:p>
                    <a:fld id="{42002B3E-765E-4831-B4F1-60B5A3577B0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1-0257-4020-A815-75F182867034}"/>
                </c:ext>
              </c:extLst>
            </c:dLbl>
            <c:dLbl>
              <c:idx val="129"/>
              <c:tx>
                <c:rich>
                  <a:bodyPr/>
                  <a:lstStyle/>
                  <a:p>
                    <a:fld id="{CA720432-B36F-4E05-808E-9D1FD079574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2-0257-4020-A815-75F182867034}"/>
                </c:ext>
              </c:extLst>
            </c:dLbl>
            <c:dLbl>
              <c:idx val="130"/>
              <c:tx>
                <c:rich>
                  <a:bodyPr/>
                  <a:lstStyle/>
                  <a:p>
                    <a:fld id="{1A8F882A-9E6C-4312-A68A-2F09B2DF8EC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3-0257-4020-A815-75F182867034}"/>
                </c:ext>
              </c:extLst>
            </c:dLbl>
            <c:dLbl>
              <c:idx val="131"/>
              <c:tx>
                <c:rich>
                  <a:bodyPr/>
                  <a:lstStyle/>
                  <a:p>
                    <a:fld id="{1C2DFEC5-1FCF-4795-9AC4-94DEEF100DC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4-0257-4020-A815-75F182867034}"/>
                </c:ext>
              </c:extLst>
            </c:dLbl>
            <c:dLbl>
              <c:idx val="132"/>
              <c:tx>
                <c:rich>
                  <a:bodyPr/>
                  <a:lstStyle/>
                  <a:p>
                    <a:fld id="{98ED7591-1A99-4C15-8C9F-BAC423715B5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5-0257-4020-A815-75F182867034}"/>
                </c:ext>
              </c:extLst>
            </c:dLbl>
            <c:dLbl>
              <c:idx val="133"/>
              <c:tx>
                <c:rich>
                  <a:bodyPr/>
                  <a:lstStyle/>
                  <a:p>
                    <a:fld id="{3E37F387-F162-4836-AB67-7B4DF2F3B6D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6-0257-4020-A815-75F182867034}"/>
                </c:ext>
              </c:extLst>
            </c:dLbl>
            <c:dLbl>
              <c:idx val="134"/>
              <c:tx>
                <c:rich>
                  <a:bodyPr/>
                  <a:lstStyle/>
                  <a:p>
                    <a:fld id="{E9DFB2BC-C6C3-41DB-BC95-69CB796D57C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7-0257-4020-A815-75F182867034}"/>
                </c:ext>
              </c:extLst>
            </c:dLbl>
            <c:dLbl>
              <c:idx val="135"/>
              <c:tx>
                <c:rich>
                  <a:bodyPr/>
                  <a:lstStyle/>
                  <a:p>
                    <a:fld id="{C26428EC-E295-457E-B898-4446D4609CB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8-0257-4020-A815-75F182867034}"/>
                </c:ext>
              </c:extLst>
            </c:dLbl>
            <c:dLbl>
              <c:idx val="136"/>
              <c:tx>
                <c:rich>
                  <a:bodyPr/>
                  <a:lstStyle/>
                  <a:p>
                    <a:fld id="{5AFB7753-F852-4871-AFD2-A314BD907B5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9-0257-4020-A815-75F182867034}"/>
                </c:ext>
              </c:extLst>
            </c:dLbl>
            <c:dLbl>
              <c:idx val="137"/>
              <c:tx>
                <c:rich>
                  <a:bodyPr/>
                  <a:lstStyle/>
                  <a:p>
                    <a:fld id="{A868BE54-DEDB-48FF-AE42-8DCFEA8F65A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A-0257-4020-A815-75F182867034}"/>
                </c:ext>
              </c:extLst>
            </c:dLbl>
            <c:dLbl>
              <c:idx val="138"/>
              <c:tx>
                <c:rich>
                  <a:bodyPr/>
                  <a:lstStyle/>
                  <a:p>
                    <a:fld id="{7142F053-6623-45D0-A508-B80FF771373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B-0257-4020-A815-75F182867034}"/>
                </c:ext>
              </c:extLst>
            </c:dLbl>
            <c:dLbl>
              <c:idx val="139"/>
              <c:tx>
                <c:rich>
                  <a:bodyPr/>
                  <a:lstStyle/>
                  <a:p>
                    <a:fld id="{936F421D-D9C1-48DF-9146-F4F4DCAA6BA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C-0257-4020-A815-75F182867034}"/>
                </c:ext>
              </c:extLst>
            </c:dLbl>
            <c:dLbl>
              <c:idx val="140"/>
              <c:tx>
                <c:rich>
                  <a:bodyPr/>
                  <a:lstStyle/>
                  <a:p>
                    <a:fld id="{1C6A2449-A11F-46DF-B1C5-A4CAF2C6E11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D-0257-4020-A815-75F182867034}"/>
                </c:ext>
              </c:extLst>
            </c:dLbl>
            <c:dLbl>
              <c:idx val="141"/>
              <c:tx>
                <c:rich>
                  <a:bodyPr/>
                  <a:lstStyle/>
                  <a:p>
                    <a:fld id="{7CDEE95A-EEE0-444D-8ABE-98F943E32D3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E-0257-4020-A815-75F182867034}"/>
                </c:ext>
              </c:extLst>
            </c:dLbl>
            <c:dLbl>
              <c:idx val="142"/>
              <c:tx>
                <c:rich>
                  <a:bodyPr/>
                  <a:lstStyle/>
                  <a:p>
                    <a:fld id="{8696FCD3-FCD0-4AEB-BB9B-E4129C1F81B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F-0257-4020-A815-75F182867034}"/>
                </c:ext>
              </c:extLst>
            </c:dLbl>
            <c:dLbl>
              <c:idx val="143"/>
              <c:tx>
                <c:rich>
                  <a:bodyPr/>
                  <a:lstStyle/>
                  <a:p>
                    <a:fld id="{FED7C190-07C7-4E45-B470-A5FBD999C1B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0-0257-4020-A815-75F182867034}"/>
                </c:ext>
              </c:extLst>
            </c:dLbl>
            <c:dLbl>
              <c:idx val="144"/>
              <c:tx>
                <c:rich>
                  <a:bodyPr/>
                  <a:lstStyle/>
                  <a:p>
                    <a:fld id="{729EBCC9-2716-417C-AD76-F821D1248B3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1-0257-4020-A815-75F182867034}"/>
                </c:ext>
              </c:extLst>
            </c:dLbl>
            <c:dLbl>
              <c:idx val="145"/>
              <c:tx>
                <c:rich>
                  <a:bodyPr/>
                  <a:lstStyle/>
                  <a:p>
                    <a:fld id="{C7D7FA7B-BD2C-4B15-B84A-2EC60734CE2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2-0257-4020-A815-75F182867034}"/>
                </c:ext>
              </c:extLst>
            </c:dLbl>
            <c:dLbl>
              <c:idx val="146"/>
              <c:tx>
                <c:rich>
                  <a:bodyPr/>
                  <a:lstStyle/>
                  <a:p>
                    <a:fld id="{C4C4E484-4E1F-4017-999E-861549D3E90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3-0257-4020-A815-75F182867034}"/>
                </c:ext>
              </c:extLst>
            </c:dLbl>
            <c:dLbl>
              <c:idx val="147"/>
              <c:tx>
                <c:rich>
                  <a:bodyPr/>
                  <a:lstStyle/>
                  <a:p>
                    <a:fld id="{B7B2AE4D-4926-4982-8E94-D80C461BBAF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4-0257-4020-A815-75F182867034}"/>
                </c:ext>
              </c:extLst>
            </c:dLbl>
            <c:dLbl>
              <c:idx val="148"/>
              <c:tx>
                <c:rich>
                  <a:bodyPr/>
                  <a:lstStyle/>
                  <a:p>
                    <a:fld id="{A65A0F17-48E8-45B9-A067-70C5D92DF4B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5-0257-4020-A815-75F182867034}"/>
                </c:ext>
              </c:extLst>
            </c:dLbl>
            <c:dLbl>
              <c:idx val="149"/>
              <c:tx>
                <c:rich>
                  <a:bodyPr/>
                  <a:lstStyle/>
                  <a:p>
                    <a:fld id="{2878FB37-95C1-4CEB-9E5D-A08BB396571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6-0257-4020-A815-75F182867034}"/>
                </c:ext>
              </c:extLst>
            </c:dLbl>
            <c:dLbl>
              <c:idx val="150"/>
              <c:tx>
                <c:rich>
                  <a:bodyPr/>
                  <a:lstStyle/>
                  <a:p>
                    <a:fld id="{D9837115-9B09-4BF6-A60E-753ABA07E43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7-0257-4020-A815-75F182867034}"/>
                </c:ext>
              </c:extLst>
            </c:dLbl>
            <c:dLbl>
              <c:idx val="151"/>
              <c:tx>
                <c:rich>
                  <a:bodyPr/>
                  <a:lstStyle/>
                  <a:p>
                    <a:fld id="{C8EEB261-8824-400E-8777-FE870504875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8-0257-4020-A815-75F182867034}"/>
                </c:ext>
              </c:extLst>
            </c:dLbl>
            <c:dLbl>
              <c:idx val="152"/>
              <c:tx>
                <c:rich>
                  <a:bodyPr/>
                  <a:lstStyle/>
                  <a:p>
                    <a:fld id="{B0D74293-490D-4E23-A843-D63CF7DBF90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9-0257-4020-A815-75F182867034}"/>
                </c:ext>
              </c:extLst>
            </c:dLbl>
            <c:dLbl>
              <c:idx val="153"/>
              <c:tx>
                <c:rich>
                  <a:bodyPr/>
                  <a:lstStyle/>
                  <a:p>
                    <a:fld id="{E8E97D47-6E82-4BD5-A4B9-70C8766583E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A-0257-4020-A815-75F182867034}"/>
                </c:ext>
              </c:extLst>
            </c:dLbl>
            <c:dLbl>
              <c:idx val="154"/>
              <c:tx>
                <c:rich>
                  <a:bodyPr/>
                  <a:lstStyle/>
                  <a:p>
                    <a:fld id="{29A0E8FE-487E-49E4-B422-CEA5D6F8559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B-0257-4020-A815-75F182867034}"/>
                </c:ext>
              </c:extLst>
            </c:dLbl>
            <c:dLbl>
              <c:idx val="155"/>
              <c:tx>
                <c:rich>
                  <a:bodyPr/>
                  <a:lstStyle/>
                  <a:p>
                    <a:fld id="{C65F45C1-F3C1-4D78-B1FA-9F97F6BE81D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C-0257-4020-A815-75F182867034}"/>
                </c:ext>
              </c:extLst>
            </c:dLbl>
            <c:dLbl>
              <c:idx val="156"/>
              <c:tx>
                <c:rich>
                  <a:bodyPr/>
                  <a:lstStyle/>
                  <a:p>
                    <a:fld id="{84C9ECE6-3776-4B81-BAA7-1995C916556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D-0257-4020-A815-75F182867034}"/>
                </c:ext>
              </c:extLst>
            </c:dLbl>
            <c:dLbl>
              <c:idx val="157"/>
              <c:tx>
                <c:rich>
                  <a:bodyPr/>
                  <a:lstStyle/>
                  <a:p>
                    <a:fld id="{A49E09D3-4344-48BF-92C4-CEF521180CC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E-0257-4020-A815-75F182867034}"/>
                </c:ext>
              </c:extLst>
            </c:dLbl>
            <c:dLbl>
              <c:idx val="158"/>
              <c:tx>
                <c:rich>
                  <a:bodyPr/>
                  <a:lstStyle/>
                  <a:p>
                    <a:fld id="{5E2447DA-11D9-4077-8410-892799409D7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F-0257-4020-A815-75F182867034}"/>
                </c:ext>
              </c:extLst>
            </c:dLbl>
            <c:dLbl>
              <c:idx val="159"/>
              <c:tx>
                <c:rich>
                  <a:bodyPr/>
                  <a:lstStyle/>
                  <a:p>
                    <a:fld id="{D05BDEC0-5661-4411-9E48-026C0CA35F2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0-0257-4020-A815-75F182867034}"/>
                </c:ext>
              </c:extLst>
            </c:dLbl>
            <c:dLbl>
              <c:idx val="160"/>
              <c:tx>
                <c:rich>
                  <a:bodyPr/>
                  <a:lstStyle/>
                  <a:p>
                    <a:fld id="{D8AB1B7E-79B9-4388-8497-9A3676E5501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1-0257-4020-A815-75F182867034}"/>
                </c:ext>
              </c:extLst>
            </c:dLbl>
            <c:dLbl>
              <c:idx val="161"/>
              <c:tx>
                <c:rich>
                  <a:bodyPr/>
                  <a:lstStyle/>
                  <a:p>
                    <a:fld id="{1AEAD448-C937-4F75-9EFE-4C9826D53E6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2-0257-4020-A815-75F182867034}"/>
                </c:ext>
              </c:extLst>
            </c:dLbl>
            <c:dLbl>
              <c:idx val="162"/>
              <c:tx>
                <c:rich>
                  <a:bodyPr/>
                  <a:lstStyle/>
                  <a:p>
                    <a:fld id="{319C2FB8-8596-4F31-9426-39365A8EDC2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3-0257-4020-A815-75F182867034}"/>
                </c:ext>
              </c:extLst>
            </c:dLbl>
            <c:dLbl>
              <c:idx val="163"/>
              <c:tx>
                <c:rich>
                  <a:bodyPr/>
                  <a:lstStyle/>
                  <a:p>
                    <a:fld id="{9624B933-8146-4CAA-81A0-3D9463B4D43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4-0257-4020-A815-75F182867034}"/>
                </c:ext>
              </c:extLst>
            </c:dLbl>
            <c:dLbl>
              <c:idx val="164"/>
              <c:tx>
                <c:rich>
                  <a:bodyPr/>
                  <a:lstStyle/>
                  <a:p>
                    <a:fld id="{73FFAEC9-D666-4E87-B160-7A40BA2E62C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5-0257-4020-A815-75F182867034}"/>
                </c:ext>
              </c:extLst>
            </c:dLbl>
            <c:dLbl>
              <c:idx val="165"/>
              <c:tx>
                <c:rich>
                  <a:bodyPr/>
                  <a:lstStyle/>
                  <a:p>
                    <a:fld id="{608675C3-5B3E-44D7-8DED-5C4A3ED08D2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6-0257-4020-A815-75F182867034}"/>
                </c:ext>
              </c:extLst>
            </c:dLbl>
            <c:dLbl>
              <c:idx val="166"/>
              <c:tx>
                <c:rich>
                  <a:bodyPr/>
                  <a:lstStyle/>
                  <a:p>
                    <a:fld id="{A2734436-793B-4258-8E26-889CD108F58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7-0257-4020-A815-75F182867034}"/>
                </c:ext>
              </c:extLst>
            </c:dLbl>
            <c:dLbl>
              <c:idx val="167"/>
              <c:tx>
                <c:rich>
                  <a:bodyPr/>
                  <a:lstStyle/>
                  <a:p>
                    <a:fld id="{06C037ED-D95D-41F6-9C30-8EB674C5ABE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8-0257-4020-A815-75F182867034}"/>
                </c:ext>
              </c:extLst>
            </c:dLbl>
            <c:dLbl>
              <c:idx val="168"/>
              <c:tx>
                <c:rich>
                  <a:bodyPr/>
                  <a:lstStyle/>
                  <a:p>
                    <a:fld id="{DA7235B1-2A9C-4FED-A62C-DD33E8C4AE2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9-0257-4020-A815-75F182867034}"/>
                </c:ext>
              </c:extLst>
            </c:dLbl>
            <c:dLbl>
              <c:idx val="169"/>
              <c:tx>
                <c:rich>
                  <a:bodyPr/>
                  <a:lstStyle/>
                  <a:p>
                    <a:fld id="{9F264183-B0EA-4F9F-8DAF-5619E45AFC9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A-0257-4020-A815-75F182867034}"/>
                </c:ext>
              </c:extLst>
            </c:dLbl>
            <c:dLbl>
              <c:idx val="170"/>
              <c:tx>
                <c:rich>
                  <a:bodyPr/>
                  <a:lstStyle/>
                  <a:p>
                    <a:fld id="{45BC8FF0-40E0-4367-BCAB-C5973AD2FA1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B-0257-4020-A815-75F182867034}"/>
                </c:ext>
              </c:extLst>
            </c:dLbl>
            <c:dLbl>
              <c:idx val="171"/>
              <c:tx>
                <c:rich>
                  <a:bodyPr/>
                  <a:lstStyle/>
                  <a:p>
                    <a:fld id="{4B73CE42-641E-4A95-A4D6-7DD730C9363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C-0257-4020-A815-75F182867034}"/>
                </c:ext>
              </c:extLst>
            </c:dLbl>
            <c:dLbl>
              <c:idx val="172"/>
              <c:tx>
                <c:rich>
                  <a:bodyPr/>
                  <a:lstStyle/>
                  <a:p>
                    <a:fld id="{E44AECEA-CA78-473D-B10A-16E19B0931F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D-0257-4020-A815-75F182867034}"/>
                </c:ext>
              </c:extLst>
            </c:dLbl>
            <c:dLbl>
              <c:idx val="173"/>
              <c:tx>
                <c:rich>
                  <a:bodyPr/>
                  <a:lstStyle/>
                  <a:p>
                    <a:fld id="{0827A902-3A5A-4481-87CB-1F4A4E8D616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E-0257-4020-A815-75F182867034}"/>
                </c:ext>
              </c:extLst>
            </c:dLbl>
            <c:dLbl>
              <c:idx val="174"/>
              <c:tx>
                <c:rich>
                  <a:bodyPr/>
                  <a:lstStyle/>
                  <a:p>
                    <a:fld id="{ED80B8E9-245D-4AE5-93F3-0123E05FB07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F-0257-4020-A815-75F182867034}"/>
                </c:ext>
              </c:extLst>
            </c:dLbl>
            <c:dLbl>
              <c:idx val="175"/>
              <c:tx>
                <c:rich>
                  <a:bodyPr/>
                  <a:lstStyle/>
                  <a:p>
                    <a:fld id="{F18C5C82-F217-441D-8806-9F6775488FF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0-0257-4020-A815-75F182867034}"/>
                </c:ext>
              </c:extLst>
            </c:dLbl>
            <c:dLbl>
              <c:idx val="176"/>
              <c:tx>
                <c:rich>
                  <a:bodyPr/>
                  <a:lstStyle/>
                  <a:p>
                    <a:fld id="{014F1AB6-A674-4444-A2BA-7F25C9A091C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1-0257-4020-A815-75F182867034}"/>
                </c:ext>
              </c:extLst>
            </c:dLbl>
            <c:dLbl>
              <c:idx val="177"/>
              <c:tx>
                <c:rich>
                  <a:bodyPr/>
                  <a:lstStyle/>
                  <a:p>
                    <a:fld id="{12EC5821-C01B-4EB3-87DE-7BD169DED2F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2-0257-4020-A815-75F182867034}"/>
                </c:ext>
              </c:extLst>
            </c:dLbl>
            <c:dLbl>
              <c:idx val="178"/>
              <c:tx>
                <c:rich>
                  <a:bodyPr/>
                  <a:lstStyle/>
                  <a:p>
                    <a:fld id="{BB5D22F9-DC4D-4096-8A10-C3B6F05CD04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3-0257-4020-A815-75F182867034}"/>
                </c:ext>
              </c:extLst>
            </c:dLbl>
            <c:dLbl>
              <c:idx val="179"/>
              <c:tx>
                <c:rich>
                  <a:bodyPr/>
                  <a:lstStyle/>
                  <a:p>
                    <a:fld id="{50E28CEE-6F62-4CD2-A5BB-FBE64AE93D8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4-0257-4020-A815-75F182867034}"/>
                </c:ext>
              </c:extLst>
            </c:dLbl>
            <c:dLbl>
              <c:idx val="180"/>
              <c:tx>
                <c:rich>
                  <a:bodyPr/>
                  <a:lstStyle/>
                  <a:p>
                    <a:fld id="{AC4C15A5-AA06-4631-82B7-F826ED7FEB1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5-0257-4020-A815-75F182867034}"/>
                </c:ext>
              </c:extLst>
            </c:dLbl>
            <c:dLbl>
              <c:idx val="181"/>
              <c:tx>
                <c:rich>
                  <a:bodyPr/>
                  <a:lstStyle/>
                  <a:p>
                    <a:fld id="{9B0AF542-A072-4813-8A72-351E1A39639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6-0257-4020-A815-75F182867034}"/>
                </c:ext>
              </c:extLst>
            </c:dLbl>
            <c:dLbl>
              <c:idx val="182"/>
              <c:tx>
                <c:rich>
                  <a:bodyPr/>
                  <a:lstStyle/>
                  <a:p>
                    <a:fld id="{CAD59827-4E81-44B8-9393-C334E0A0B96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7-0257-4020-A815-75F182867034}"/>
                </c:ext>
              </c:extLst>
            </c:dLbl>
            <c:dLbl>
              <c:idx val="183"/>
              <c:tx>
                <c:rich>
                  <a:bodyPr/>
                  <a:lstStyle/>
                  <a:p>
                    <a:fld id="{97BF027F-485D-4BE2-AB16-3E465B68F1E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8-0257-4020-A815-75F182867034}"/>
                </c:ext>
              </c:extLst>
            </c:dLbl>
            <c:dLbl>
              <c:idx val="184"/>
              <c:tx>
                <c:rich>
                  <a:bodyPr/>
                  <a:lstStyle/>
                  <a:p>
                    <a:fld id="{468A834E-3B90-4856-9458-CC09ECD62C6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9-0257-4020-A815-75F182867034}"/>
                </c:ext>
              </c:extLst>
            </c:dLbl>
            <c:dLbl>
              <c:idx val="185"/>
              <c:tx>
                <c:rich>
                  <a:bodyPr/>
                  <a:lstStyle/>
                  <a:p>
                    <a:fld id="{46FE9B69-E7D6-4955-AFDB-17BFD49FE7A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A-0257-4020-A815-75F182867034}"/>
                </c:ext>
              </c:extLst>
            </c:dLbl>
            <c:dLbl>
              <c:idx val="186"/>
              <c:tx>
                <c:rich>
                  <a:bodyPr/>
                  <a:lstStyle/>
                  <a:p>
                    <a:fld id="{8D2A8D32-A7EC-4CD6-8B19-68DE27EF85C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B-0257-4020-A815-75F182867034}"/>
                </c:ext>
              </c:extLst>
            </c:dLbl>
            <c:dLbl>
              <c:idx val="187"/>
              <c:tx>
                <c:rich>
                  <a:bodyPr/>
                  <a:lstStyle/>
                  <a:p>
                    <a:fld id="{88FB7BC6-0584-4A2D-8134-6C6CCF0D133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C-0257-4020-A815-75F182867034}"/>
                </c:ext>
              </c:extLst>
            </c:dLbl>
            <c:dLbl>
              <c:idx val="188"/>
              <c:tx>
                <c:rich>
                  <a:bodyPr/>
                  <a:lstStyle/>
                  <a:p>
                    <a:fld id="{C6AF198A-6022-4C6D-B359-B40861979A4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D-0257-4020-A815-75F182867034}"/>
                </c:ext>
              </c:extLst>
            </c:dLbl>
            <c:dLbl>
              <c:idx val="189"/>
              <c:tx>
                <c:rich>
                  <a:bodyPr/>
                  <a:lstStyle/>
                  <a:p>
                    <a:fld id="{6571C5BF-C24B-4675-836E-F43B6BA3847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E-0257-4020-A815-75F182867034}"/>
                </c:ext>
              </c:extLst>
            </c:dLbl>
            <c:dLbl>
              <c:idx val="190"/>
              <c:tx>
                <c:rich>
                  <a:bodyPr/>
                  <a:lstStyle/>
                  <a:p>
                    <a:fld id="{6D8B8097-85FF-4816-A00B-95CAF1D5AFC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F-0257-4020-A815-75F182867034}"/>
                </c:ext>
              </c:extLst>
            </c:dLbl>
            <c:dLbl>
              <c:idx val="191"/>
              <c:tx>
                <c:rich>
                  <a:bodyPr/>
                  <a:lstStyle/>
                  <a:p>
                    <a:fld id="{F0AA6EB6-BE2F-493A-9142-155E9C1E055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0-0257-4020-A815-75F182867034}"/>
                </c:ext>
              </c:extLst>
            </c:dLbl>
            <c:dLbl>
              <c:idx val="192"/>
              <c:tx>
                <c:rich>
                  <a:bodyPr/>
                  <a:lstStyle/>
                  <a:p>
                    <a:fld id="{4DC627EE-9B9C-4A31-BAFB-E00403FC779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1-0257-4020-A815-75F182867034}"/>
                </c:ext>
              </c:extLst>
            </c:dLbl>
            <c:dLbl>
              <c:idx val="193"/>
              <c:tx>
                <c:rich>
                  <a:bodyPr/>
                  <a:lstStyle/>
                  <a:p>
                    <a:fld id="{2704986E-F9DB-41C7-AEE2-14453BBB163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2-0257-4020-A815-75F182867034}"/>
                </c:ext>
              </c:extLst>
            </c:dLbl>
            <c:dLbl>
              <c:idx val="194"/>
              <c:tx>
                <c:rich>
                  <a:bodyPr/>
                  <a:lstStyle/>
                  <a:p>
                    <a:fld id="{D6D3C520-66FC-4532-9AAD-AA17472E8C0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3-0257-4020-A815-75F182867034}"/>
                </c:ext>
              </c:extLst>
            </c:dLbl>
            <c:dLbl>
              <c:idx val="195"/>
              <c:tx>
                <c:rich>
                  <a:bodyPr/>
                  <a:lstStyle/>
                  <a:p>
                    <a:fld id="{A43BE94E-299A-4E45-AD3F-2D13FBD1137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4-0257-4020-A815-75F182867034}"/>
                </c:ext>
              </c:extLst>
            </c:dLbl>
            <c:dLbl>
              <c:idx val="196"/>
              <c:tx>
                <c:rich>
                  <a:bodyPr/>
                  <a:lstStyle/>
                  <a:p>
                    <a:fld id="{8342DEE5-B630-4AB2-9BA0-8DBCB483946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5-0257-4020-A815-75F182867034}"/>
                </c:ext>
              </c:extLst>
            </c:dLbl>
            <c:dLbl>
              <c:idx val="197"/>
              <c:tx>
                <c:rich>
                  <a:bodyPr/>
                  <a:lstStyle/>
                  <a:p>
                    <a:fld id="{E5BF6D11-E826-4FBE-82EC-6012FC9A5E6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6-0257-4020-A815-75F182867034}"/>
                </c:ext>
              </c:extLst>
            </c:dLbl>
            <c:dLbl>
              <c:idx val="198"/>
              <c:tx>
                <c:rich>
                  <a:bodyPr/>
                  <a:lstStyle/>
                  <a:p>
                    <a:fld id="{E086D074-86BD-4156-BE0F-5B66ED8A506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7-0257-4020-A815-75F182867034}"/>
                </c:ext>
              </c:extLst>
            </c:dLbl>
            <c:dLbl>
              <c:idx val="199"/>
              <c:tx>
                <c:rich>
                  <a:bodyPr/>
                  <a:lstStyle/>
                  <a:p>
                    <a:fld id="{9ECE897F-9857-4748-83D0-8D7E2C5DAA0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8-0257-4020-A815-75F182867034}"/>
                </c:ext>
              </c:extLst>
            </c:dLbl>
            <c:dLbl>
              <c:idx val="200"/>
              <c:tx>
                <c:rich>
                  <a:bodyPr/>
                  <a:lstStyle/>
                  <a:p>
                    <a:fld id="{82E23266-CBF0-4E2F-8B7D-B59FB3D7700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9-0257-4020-A815-75F182867034}"/>
                </c:ext>
              </c:extLst>
            </c:dLbl>
            <c:dLbl>
              <c:idx val="201"/>
              <c:tx>
                <c:rich>
                  <a:bodyPr/>
                  <a:lstStyle/>
                  <a:p>
                    <a:fld id="{2BA331D6-BF31-4E4C-A57F-E1C9BAC2D80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A-0257-4020-A815-75F182867034}"/>
                </c:ext>
              </c:extLst>
            </c:dLbl>
            <c:dLbl>
              <c:idx val="202"/>
              <c:tx>
                <c:rich>
                  <a:bodyPr/>
                  <a:lstStyle/>
                  <a:p>
                    <a:fld id="{571D69D6-3F17-4D4A-9821-77E5BE71413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B-0257-4020-A815-75F182867034}"/>
                </c:ext>
              </c:extLst>
            </c:dLbl>
            <c:dLbl>
              <c:idx val="203"/>
              <c:tx>
                <c:rich>
                  <a:bodyPr/>
                  <a:lstStyle/>
                  <a:p>
                    <a:fld id="{FBAB59A5-A4EC-4F9A-818E-4474276C6B5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C-0257-4020-A815-75F182867034}"/>
                </c:ext>
              </c:extLst>
            </c:dLbl>
            <c:dLbl>
              <c:idx val="204"/>
              <c:tx>
                <c:rich>
                  <a:bodyPr/>
                  <a:lstStyle/>
                  <a:p>
                    <a:fld id="{56C6526F-F288-4ED5-84CE-DD9D5862E8B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D-0257-4020-A815-75F182867034}"/>
                </c:ext>
              </c:extLst>
            </c:dLbl>
            <c:dLbl>
              <c:idx val="205"/>
              <c:tx>
                <c:rich>
                  <a:bodyPr/>
                  <a:lstStyle/>
                  <a:p>
                    <a:fld id="{FFEF953F-18E9-4A43-A449-28986A66603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E-0257-4020-A815-75F182867034}"/>
                </c:ext>
              </c:extLst>
            </c:dLbl>
            <c:dLbl>
              <c:idx val="206"/>
              <c:tx>
                <c:rich>
                  <a:bodyPr/>
                  <a:lstStyle/>
                  <a:p>
                    <a:fld id="{0D8311AA-DC89-4840-8E96-1DAE056414B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F-0257-4020-A815-75F182867034}"/>
                </c:ext>
              </c:extLst>
            </c:dLbl>
            <c:dLbl>
              <c:idx val="207"/>
              <c:tx>
                <c:rich>
                  <a:bodyPr/>
                  <a:lstStyle/>
                  <a:p>
                    <a:fld id="{C227EAC8-47DE-41BA-9C0A-8773D36F0FD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0-0257-4020-A815-75F182867034}"/>
                </c:ext>
              </c:extLst>
            </c:dLbl>
            <c:dLbl>
              <c:idx val="208"/>
              <c:tx>
                <c:rich>
                  <a:bodyPr/>
                  <a:lstStyle/>
                  <a:p>
                    <a:fld id="{D807B659-9F38-423D-9E4B-B390D84B80D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1-0257-4020-A815-75F182867034}"/>
                </c:ext>
              </c:extLst>
            </c:dLbl>
            <c:dLbl>
              <c:idx val="209"/>
              <c:tx>
                <c:rich>
                  <a:bodyPr/>
                  <a:lstStyle/>
                  <a:p>
                    <a:fld id="{381C76E7-DA2B-4673-9FC0-6951F88A29A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2-0257-4020-A815-75F182867034}"/>
                </c:ext>
              </c:extLst>
            </c:dLbl>
            <c:dLbl>
              <c:idx val="210"/>
              <c:tx>
                <c:rich>
                  <a:bodyPr/>
                  <a:lstStyle/>
                  <a:p>
                    <a:fld id="{EF1BD77D-B17E-4F77-96FC-B474E8708E9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3-0257-4020-A815-75F182867034}"/>
                </c:ext>
              </c:extLst>
            </c:dLbl>
            <c:dLbl>
              <c:idx val="211"/>
              <c:tx>
                <c:rich>
                  <a:bodyPr/>
                  <a:lstStyle/>
                  <a:p>
                    <a:fld id="{DB407A40-402A-4377-A2E0-71682869F07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4-0257-4020-A815-75F182867034}"/>
                </c:ext>
              </c:extLst>
            </c:dLbl>
            <c:dLbl>
              <c:idx val="212"/>
              <c:tx>
                <c:rich>
                  <a:bodyPr/>
                  <a:lstStyle/>
                  <a:p>
                    <a:fld id="{913ACF24-6D5A-4550-B222-3929C75D170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5-0257-4020-A815-75F182867034}"/>
                </c:ext>
              </c:extLst>
            </c:dLbl>
            <c:dLbl>
              <c:idx val="213"/>
              <c:tx>
                <c:rich>
                  <a:bodyPr/>
                  <a:lstStyle/>
                  <a:p>
                    <a:fld id="{2DF61B07-7506-436F-B0D3-9A6FB6049EE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6-0257-4020-A815-75F182867034}"/>
                </c:ext>
              </c:extLst>
            </c:dLbl>
            <c:dLbl>
              <c:idx val="214"/>
              <c:tx>
                <c:rich>
                  <a:bodyPr/>
                  <a:lstStyle/>
                  <a:p>
                    <a:fld id="{B6D397BE-1CE6-4196-B240-1E64BE6F84E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7-0257-4020-A815-75F182867034}"/>
                </c:ext>
              </c:extLst>
            </c:dLbl>
            <c:dLbl>
              <c:idx val="215"/>
              <c:tx>
                <c:rich>
                  <a:bodyPr/>
                  <a:lstStyle/>
                  <a:p>
                    <a:fld id="{A8603B84-C8F1-488F-A5CB-1142642A779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8-0257-4020-A815-75F182867034}"/>
                </c:ext>
              </c:extLst>
            </c:dLbl>
            <c:dLbl>
              <c:idx val="216"/>
              <c:tx>
                <c:rich>
                  <a:bodyPr/>
                  <a:lstStyle/>
                  <a:p>
                    <a:fld id="{1C888735-0274-4ECD-84E6-AD6AEB7F94A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9-0257-4020-A815-75F182867034}"/>
                </c:ext>
              </c:extLst>
            </c:dLbl>
            <c:dLbl>
              <c:idx val="217"/>
              <c:tx>
                <c:rich>
                  <a:bodyPr/>
                  <a:lstStyle/>
                  <a:p>
                    <a:fld id="{BD9FEE6E-A75A-450F-B7C9-6E79CDB209B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A-0257-4020-A815-75F182867034}"/>
                </c:ext>
              </c:extLst>
            </c:dLbl>
            <c:dLbl>
              <c:idx val="218"/>
              <c:tx>
                <c:rich>
                  <a:bodyPr/>
                  <a:lstStyle/>
                  <a:p>
                    <a:fld id="{6D3D8DA9-0A9A-46BC-91AB-6C1D2ECA699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B-0257-4020-A815-75F182867034}"/>
                </c:ext>
              </c:extLst>
            </c:dLbl>
            <c:dLbl>
              <c:idx val="219"/>
              <c:tx>
                <c:rich>
                  <a:bodyPr/>
                  <a:lstStyle/>
                  <a:p>
                    <a:fld id="{51F86E6B-318F-4F08-A258-329691A56CA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C-0257-4020-A815-75F182867034}"/>
                </c:ext>
              </c:extLst>
            </c:dLbl>
            <c:dLbl>
              <c:idx val="220"/>
              <c:tx>
                <c:rich>
                  <a:bodyPr/>
                  <a:lstStyle/>
                  <a:p>
                    <a:fld id="{C7FE81C5-5AEA-434D-AD7B-4686711847A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D-0257-4020-A815-75F182867034}"/>
                </c:ext>
              </c:extLst>
            </c:dLbl>
            <c:dLbl>
              <c:idx val="221"/>
              <c:tx>
                <c:rich>
                  <a:bodyPr/>
                  <a:lstStyle/>
                  <a:p>
                    <a:fld id="{F51AE630-AD04-4573-8E52-E135CE8D0C0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E-0257-4020-A815-75F182867034}"/>
                </c:ext>
              </c:extLst>
            </c:dLbl>
            <c:dLbl>
              <c:idx val="222"/>
              <c:tx>
                <c:rich>
                  <a:bodyPr/>
                  <a:lstStyle/>
                  <a:p>
                    <a:fld id="{977A51BA-4C48-4E3E-BEB5-ACBB4994BB9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F-0257-4020-A815-75F182867034}"/>
                </c:ext>
              </c:extLst>
            </c:dLbl>
            <c:dLbl>
              <c:idx val="223"/>
              <c:tx>
                <c:rich>
                  <a:bodyPr/>
                  <a:lstStyle/>
                  <a:p>
                    <a:fld id="{04A5F662-0CF7-47F3-8F66-63EF32B9D8F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0-0257-4020-A815-75F182867034}"/>
                </c:ext>
              </c:extLst>
            </c:dLbl>
            <c:dLbl>
              <c:idx val="224"/>
              <c:tx>
                <c:rich>
                  <a:bodyPr/>
                  <a:lstStyle/>
                  <a:p>
                    <a:fld id="{D15E1027-8001-4A1F-8247-CF3485A2C99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1-0257-4020-A815-75F182867034}"/>
                </c:ext>
              </c:extLst>
            </c:dLbl>
            <c:dLbl>
              <c:idx val="225"/>
              <c:tx>
                <c:rich>
                  <a:bodyPr/>
                  <a:lstStyle/>
                  <a:p>
                    <a:fld id="{844B5C52-E6AE-4DD1-AAD0-791F15B63C2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2-0257-4020-A815-75F182867034}"/>
                </c:ext>
              </c:extLst>
            </c:dLbl>
            <c:dLbl>
              <c:idx val="22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3-0257-4020-A815-75F182867034}"/>
                </c:ext>
              </c:extLst>
            </c:dLbl>
            <c:dLbl>
              <c:idx val="22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4-0257-4020-A815-75F182867034}"/>
                </c:ext>
              </c:extLst>
            </c:dLbl>
            <c:dLbl>
              <c:idx val="22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5-0257-4020-A815-75F182867034}"/>
                </c:ext>
              </c:extLst>
            </c:dLbl>
            <c:dLbl>
              <c:idx val="22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6-0257-4020-A815-75F182867034}"/>
                </c:ext>
              </c:extLst>
            </c:dLbl>
            <c:dLbl>
              <c:idx val="23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7-0257-4020-A815-75F182867034}"/>
                </c:ext>
              </c:extLst>
            </c:dLbl>
            <c:dLbl>
              <c:idx val="23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8-0257-4020-A815-75F182867034}"/>
                </c:ext>
              </c:extLst>
            </c:dLbl>
            <c:dLbl>
              <c:idx val="23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9-0257-4020-A815-75F182867034}"/>
                </c:ext>
              </c:extLst>
            </c:dLbl>
            <c:dLbl>
              <c:idx val="23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A-0257-4020-A815-75F182867034}"/>
                </c:ext>
              </c:extLst>
            </c:dLbl>
            <c:dLbl>
              <c:idx val="23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B-0257-4020-A815-75F182867034}"/>
                </c:ext>
              </c:extLst>
            </c:dLbl>
            <c:dLbl>
              <c:idx val="23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C-0257-4020-A815-75F182867034}"/>
                </c:ext>
              </c:extLst>
            </c:dLbl>
            <c:dLbl>
              <c:idx val="23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D-0257-4020-A815-75F182867034}"/>
                </c:ext>
              </c:extLst>
            </c:dLbl>
            <c:dLbl>
              <c:idx val="23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E-0257-4020-A815-75F182867034}"/>
                </c:ext>
              </c:extLst>
            </c:dLbl>
            <c:dLbl>
              <c:idx val="23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F-0257-4020-A815-75F182867034}"/>
                </c:ext>
              </c:extLst>
            </c:dLbl>
            <c:dLbl>
              <c:idx val="23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0-0257-4020-A815-75F182867034}"/>
                </c:ext>
              </c:extLst>
            </c:dLbl>
            <c:dLbl>
              <c:idx val="24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1-0257-4020-A815-75F182867034}"/>
                </c:ext>
              </c:extLst>
            </c:dLbl>
            <c:dLbl>
              <c:idx val="24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2-0257-4020-A815-75F182867034}"/>
                </c:ext>
              </c:extLst>
            </c:dLbl>
            <c:dLbl>
              <c:idx val="24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3-0257-4020-A815-75F182867034}"/>
                </c:ext>
              </c:extLst>
            </c:dLbl>
            <c:dLbl>
              <c:idx val="24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4-0257-4020-A815-75F182867034}"/>
                </c:ext>
              </c:extLst>
            </c:dLbl>
            <c:dLbl>
              <c:idx val="24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5-0257-4020-A815-75F182867034}"/>
                </c:ext>
              </c:extLst>
            </c:dLbl>
            <c:dLbl>
              <c:idx val="24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6-0257-4020-A815-75F182867034}"/>
                </c:ext>
              </c:extLst>
            </c:dLbl>
            <c:dLbl>
              <c:idx val="24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7-0257-4020-A815-75F182867034}"/>
                </c:ext>
              </c:extLst>
            </c:dLbl>
            <c:dLbl>
              <c:idx val="24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8-0257-4020-A815-75F182867034}"/>
                </c:ext>
              </c:extLst>
            </c:dLbl>
            <c:dLbl>
              <c:idx val="24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9-0257-4020-A815-75F182867034}"/>
                </c:ext>
              </c:extLst>
            </c:dLbl>
            <c:dLbl>
              <c:idx val="24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A-0257-4020-A815-75F182867034}"/>
                </c:ext>
              </c:extLst>
            </c:dLbl>
            <c:dLbl>
              <c:idx val="25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B-0257-4020-A815-75F182867034}"/>
                </c:ext>
              </c:extLst>
            </c:dLbl>
            <c:dLbl>
              <c:idx val="25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C-0257-4020-A815-75F182867034}"/>
                </c:ext>
              </c:extLst>
            </c:dLbl>
            <c:dLbl>
              <c:idx val="25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D-0257-4020-A815-75F182867034}"/>
                </c:ext>
              </c:extLst>
            </c:dLbl>
            <c:dLbl>
              <c:idx val="25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E-0257-4020-A815-75F182867034}"/>
                </c:ext>
              </c:extLst>
            </c:dLbl>
            <c:dLbl>
              <c:idx val="25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F-0257-4020-A815-75F182867034}"/>
                </c:ext>
              </c:extLst>
            </c:dLbl>
            <c:dLbl>
              <c:idx val="25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0-0257-4020-A815-75F182867034}"/>
                </c:ext>
              </c:extLst>
            </c:dLbl>
            <c:dLbl>
              <c:idx val="25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1-0257-4020-A815-75F182867034}"/>
                </c:ext>
              </c:extLst>
            </c:dLbl>
            <c:dLbl>
              <c:idx val="25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2-0257-4020-A815-75F182867034}"/>
                </c:ext>
              </c:extLst>
            </c:dLbl>
            <c:dLbl>
              <c:idx val="25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3-0257-4020-A815-75F182867034}"/>
                </c:ext>
              </c:extLst>
            </c:dLbl>
            <c:dLbl>
              <c:idx val="25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4-0257-4020-A815-75F182867034}"/>
                </c:ext>
              </c:extLst>
            </c:dLbl>
            <c:dLbl>
              <c:idx val="26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5-0257-4020-A815-75F182867034}"/>
                </c:ext>
              </c:extLst>
            </c:dLbl>
            <c:dLbl>
              <c:idx val="26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6-0257-4020-A815-75F182867034}"/>
                </c:ext>
              </c:extLst>
            </c:dLbl>
            <c:dLbl>
              <c:idx val="26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7-0257-4020-A815-75F182867034}"/>
                </c:ext>
              </c:extLst>
            </c:dLbl>
            <c:dLbl>
              <c:idx val="26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8-0257-4020-A815-75F182867034}"/>
                </c:ext>
              </c:extLst>
            </c:dLbl>
            <c:dLbl>
              <c:idx val="26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9-0257-4020-A815-75F182867034}"/>
                </c:ext>
              </c:extLst>
            </c:dLbl>
            <c:dLbl>
              <c:idx val="26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A-0257-4020-A815-75F182867034}"/>
                </c:ext>
              </c:extLst>
            </c:dLbl>
            <c:dLbl>
              <c:idx val="26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B-0257-4020-A815-75F182867034}"/>
                </c:ext>
              </c:extLst>
            </c:dLbl>
            <c:dLbl>
              <c:idx val="26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C-0257-4020-A815-75F182867034}"/>
                </c:ext>
              </c:extLst>
            </c:dLbl>
            <c:dLbl>
              <c:idx val="26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D-0257-4020-A815-75F182867034}"/>
                </c:ext>
              </c:extLst>
            </c:dLbl>
            <c:dLbl>
              <c:idx val="26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E-0257-4020-A815-75F182867034}"/>
                </c:ext>
              </c:extLst>
            </c:dLbl>
            <c:dLbl>
              <c:idx val="27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F-0257-4020-A815-75F182867034}"/>
                </c:ext>
              </c:extLst>
            </c:dLbl>
            <c:dLbl>
              <c:idx val="27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0-0257-4020-A815-75F182867034}"/>
                </c:ext>
              </c:extLst>
            </c:dLbl>
            <c:dLbl>
              <c:idx val="27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1-0257-4020-A815-75F182867034}"/>
                </c:ext>
              </c:extLst>
            </c:dLbl>
            <c:dLbl>
              <c:idx val="27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2-0257-4020-A815-75F182867034}"/>
                </c:ext>
              </c:extLst>
            </c:dLbl>
            <c:dLbl>
              <c:idx val="27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3-0257-4020-A815-75F182867034}"/>
                </c:ext>
              </c:extLst>
            </c:dLbl>
            <c:dLbl>
              <c:idx val="27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4-0257-4020-A815-75F182867034}"/>
                </c:ext>
              </c:extLst>
            </c:dLbl>
            <c:dLbl>
              <c:idx val="27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5-0257-4020-A815-75F182867034}"/>
                </c:ext>
              </c:extLst>
            </c:dLbl>
            <c:dLbl>
              <c:idx val="27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6-0257-4020-A815-75F182867034}"/>
                </c:ext>
              </c:extLst>
            </c:dLbl>
            <c:dLbl>
              <c:idx val="27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7-0257-4020-A815-75F182867034}"/>
                </c:ext>
              </c:extLst>
            </c:dLbl>
            <c:dLbl>
              <c:idx val="27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8-0257-4020-A815-75F182867034}"/>
                </c:ext>
              </c:extLst>
            </c:dLbl>
            <c:dLbl>
              <c:idx val="28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9-0257-4020-A815-75F182867034}"/>
                </c:ext>
              </c:extLst>
            </c:dLbl>
            <c:dLbl>
              <c:idx val="28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A-0257-4020-A815-75F182867034}"/>
                </c:ext>
              </c:extLst>
            </c:dLbl>
            <c:dLbl>
              <c:idx val="28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B-0257-4020-A815-75F182867034}"/>
                </c:ext>
              </c:extLst>
            </c:dLbl>
            <c:dLbl>
              <c:idx val="28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C-0257-4020-A815-75F182867034}"/>
                </c:ext>
              </c:extLst>
            </c:dLbl>
            <c:dLbl>
              <c:idx val="28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D-0257-4020-A815-75F182867034}"/>
                </c:ext>
              </c:extLst>
            </c:dLbl>
            <c:dLbl>
              <c:idx val="28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E-0257-4020-A815-75F182867034}"/>
                </c:ext>
              </c:extLst>
            </c:dLbl>
            <c:dLbl>
              <c:idx val="28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F-0257-4020-A815-75F182867034}"/>
                </c:ext>
              </c:extLst>
            </c:dLbl>
            <c:dLbl>
              <c:idx val="28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0-0257-4020-A815-75F182867034}"/>
                </c:ext>
              </c:extLst>
            </c:dLbl>
            <c:dLbl>
              <c:idx val="28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1-0257-4020-A815-75F182867034}"/>
                </c:ext>
              </c:extLst>
            </c:dLbl>
            <c:dLbl>
              <c:idx val="28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2-0257-4020-A815-75F182867034}"/>
                </c:ext>
              </c:extLst>
            </c:dLbl>
            <c:dLbl>
              <c:idx val="29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3-0257-4020-A815-75F182867034}"/>
                </c:ext>
              </c:extLst>
            </c:dLbl>
            <c:dLbl>
              <c:idx val="29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4-0257-4020-A815-75F182867034}"/>
                </c:ext>
              </c:extLst>
            </c:dLbl>
            <c:dLbl>
              <c:idx val="29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5-0257-4020-A815-75F182867034}"/>
                </c:ext>
              </c:extLst>
            </c:dLbl>
            <c:dLbl>
              <c:idx val="29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6-0257-4020-A815-75F182867034}"/>
                </c:ext>
              </c:extLst>
            </c:dLbl>
            <c:dLbl>
              <c:idx val="29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7-0257-4020-A815-75F182867034}"/>
                </c:ext>
              </c:extLst>
            </c:dLbl>
            <c:dLbl>
              <c:idx val="29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8-0257-4020-A815-75F182867034}"/>
                </c:ext>
              </c:extLst>
            </c:dLbl>
            <c:dLbl>
              <c:idx val="29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9-0257-4020-A815-75F182867034}"/>
                </c:ext>
              </c:extLst>
            </c:dLbl>
            <c:dLbl>
              <c:idx val="29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A-0257-4020-A815-75F182867034}"/>
                </c:ext>
              </c:extLst>
            </c:dLbl>
            <c:dLbl>
              <c:idx val="29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B-0257-4020-A815-75F182867034}"/>
                </c:ext>
              </c:extLst>
            </c:dLbl>
            <c:spPr>
              <a:noFill/>
              <a:ln>
                <a:noFill/>
              </a:ln>
              <a:effectLst/>
            </c:spPr>
            <c:txPr>
              <a:bodyPr rot="-5400000" vert="horz" wrap="square" lIns="38100" tIns="19050" rIns="38100" bIns="19050" anchor="ctr">
                <a:spAutoFit/>
              </a:bodyPr>
              <a:lstStyle/>
              <a:p>
                <a:pPr>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ext>
            </c:extLst>
          </c:dLbls>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NormalisedUVVisData!$D$2:$D$300</c:f>
              <c:numCache>
                <c:formatCode>General</c:formatCode>
                <c:ptCount val="299"/>
                <c:pt idx="0">
                  <c:v>90.214912414550781</c:v>
                </c:pt>
                <c:pt idx="1">
                  <c:v>87.832244873046875</c:v>
                </c:pt>
                <c:pt idx="2">
                  <c:v>86.265533447265625</c:v>
                </c:pt>
                <c:pt idx="3">
                  <c:v>85.73760986328125</c:v>
                </c:pt>
                <c:pt idx="4">
                  <c:v>86.456336975097656</c:v>
                </c:pt>
                <c:pt idx="5">
                  <c:v>87.664329528808594</c:v>
                </c:pt>
                <c:pt idx="6">
                  <c:v>89.713165283203125</c:v>
                </c:pt>
                <c:pt idx="7">
                  <c:v>91.381065368652344</c:v>
                </c:pt>
                <c:pt idx="8">
                  <c:v>91.332389831542969</c:v>
                </c:pt>
                <c:pt idx="9">
                  <c:v>89.641883850097656</c:v>
                </c:pt>
                <c:pt idx="10">
                  <c:v>86.999580383300781</c:v>
                </c:pt>
                <c:pt idx="11">
                  <c:v>83.482376098632813</c:v>
                </c:pt>
                <c:pt idx="12">
                  <c:v>79.648681640625</c:v>
                </c:pt>
                <c:pt idx="13">
                  <c:v>75.718391418457031</c:v>
                </c:pt>
                <c:pt idx="14">
                  <c:v>71.421066284179688</c:v>
                </c:pt>
                <c:pt idx="15">
                  <c:v>67.16839599609375</c:v>
                </c:pt>
                <c:pt idx="16">
                  <c:v>64.479843139648438</c:v>
                </c:pt>
                <c:pt idx="17">
                  <c:v>63.305683135986328</c:v>
                </c:pt>
                <c:pt idx="18">
                  <c:v>63.719974517822266</c:v>
                </c:pt>
                <c:pt idx="19">
                  <c:v>65.867912292480469</c:v>
                </c:pt>
                <c:pt idx="20">
                  <c:v>69.508209228515625</c:v>
                </c:pt>
                <c:pt idx="21">
                  <c:v>74.385307312011719</c:v>
                </c:pt>
                <c:pt idx="22">
                  <c:v>80.260200500488281</c:v>
                </c:pt>
                <c:pt idx="23">
                  <c:v>86.439971923828125</c:v>
                </c:pt>
                <c:pt idx="24">
                  <c:v>92.661041259765625</c:v>
                </c:pt>
                <c:pt idx="25">
                  <c:v>97.393241882324219</c:v>
                </c:pt>
                <c:pt idx="26">
                  <c:v>100</c:v>
                </c:pt>
                <c:pt idx="27">
                  <c:v>99.169769287109375</c:v>
                </c:pt>
                <c:pt idx="28">
                  <c:v>93.220527648925781</c:v>
                </c:pt>
                <c:pt idx="29">
                  <c:v>82.201103210449219</c:v>
                </c:pt>
                <c:pt idx="30">
                  <c:v>67.761238098144531</c:v>
                </c:pt>
                <c:pt idx="31">
                  <c:v>54.250518798828125</c:v>
                </c:pt>
                <c:pt idx="32">
                  <c:v>43.615985870361328</c:v>
                </c:pt>
                <c:pt idx="33">
                  <c:v>37.236713409423828</c:v>
                </c:pt>
                <c:pt idx="34">
                  <c:v>34.269275665283203</c:v>
                </c:pt>
                <c:pt idx="35">
                  <c:v>33.505893707275391</c:v>
                </c:pt>
                <c:pt idx="36">
                  <c:v>34.171821594238281</c:v>
                </c:pt>
                <c:pt idx="37">
                  <c:v>35.427360534667969</c:v>
                </c:pt>
                <c:pt idx="38">
                  <c:v>36.852523803710938</c:v>
                </c:pt>
                <c:pt idx="39">
                  <c:v>38.545684814453125</c:v>
                </c:pt>
                <c:pt idx="40">
                  <c:v>39.908523559570313</c:v>
                </c:pt>
                <c:pt idx="41">
                  <c:v>40.805637359619141</c:v>
                </c:pt>
                <c:pt idx="42">
                  <c:v>41.404556274414063</c:v>
                </c:pt>
                <c:pt idx="43">
                  <c:v>41.122028350830078</c:v>
                </c:pt>
                <c:pt idx="44">
                  <c:v>40.313003540039063</c:v>
                </c:pt>
                <c:pt idx="45">
                  <c:v>39.268901824951172</c:v>
                </c:pt>
                <c:pt idx="46">
                  <c:v>37.776287078857422</c:v>
                </c:pt>
                <c:pt idx="47">
                  <c:v>36.279937744140625</c:v>
                </c:pt>
                <c:pt idx="48">
                  <c:v>34.810558319091797</c:v>
                </c:pt>
                <c:pt idx="49">
                  <c:v>33.601863861083984</c:v>
                </c:pt>
                <c:pt idx="50">
                  <c:v>32.933528900146484</c:v>
                </c:pt>
                <c:pt idx="51">
                  <c:v>32.689651489257813</c:v>
                </c:pt>
                <c:pt idx="52">
                  <c:v>32.718486785888672</c:v>
                </c:pt>
                <c:pt idx="53">
                  <c:v>32.8271484375</c:v>
                </c:pt>
                <c:pt idx="54">
                  <c:v>32.830410003662109</c:v>
                </c:pt>
                <c:pt idx="55">
                  <c:v>32.777011871337891</c:v>
                </c:pt>
                <c:pt idx="56">
                  <c:v>32.82373046875</c:v>
                </c:pt>
                <c:pt idx="57">
                  <c:v>32.496257781982422</c:v>
                </c:pt>
                <c:pt idx="58">
                  <c:v>31.719802856445313</c:v>
                </c:pt>
                <c:pt idx="59">
                  <c:v>30.66987419128418</c:v>
                </c:pt>
                <c:pt idx="60">
                  <c:v>28.909643173217773</c:v>
                </c:pt>
                <c:pt idx="61">
                  <c:v>26.918195724487305</c:v>
                </c:pt>
                <c:pt idx="62">
                  <c:v>24.867620468139648</c:v>
                </c:pt>
                <c:pt idx="63">
                  <c:v>22.769124984741211</c:v>
                </c:pt>
                <c:pt idx="64">
                  <c:v>20.54582405090332</c:v>
                </c:pt>
                <c:pt idx="65">
                  <c:v>18.380321502685547</c:v>
                </c:pt>
                <c:pt idx="66">
                  <c:v>16.604454040527344</c:v>
                </c:pt>
                <c:pt idx="67">
                  <c:v>15.051353454589844</c:v>
                </c:pt>
                <c:pt idx="68">
                  <c:v>14.101446151733398</c:v>
                </c:pt>
                <c:pt idx="69">
                  <c:v>13.253836631774902</c:v>
                </c:pt>
                <c:pt idx="70">
                  <c:v>12.623771667480469</c:v>
                </c:pt>
                <c:pt idx="71">
                  <c:v>12.500741004943848</c:v>
                </c:pt>
                <c:pt idx="72">
                  <c:v>12.551953315734863</c:v>
                </c:pt>
                <c:pt idx="73">
                  <c:v>12.782317161560059</c:v>
                </c:pt>
                <c:pt idx="74">
                  <c:v>13.386332511901855</c:v>
                </c:pt>
                <c:pt idx="75">
                  <c:v>14.20925235748291</c:v>
                </c:pt>
                <c:pt idx="76">
                  <c:v>15.180588722229004</c:v>
                </c:pt>
                <c:pt idx="77">
                  <c:v>16.264986038208008</c:v>
                </c:pt>
                <c:pt idx="78">
                  <c:v>17.60468864440918</c:v>
                </c:pt>
                <c:pt idx="79">
                  <c:v>18.892070770263672</c:v>
                </c:pt>
                <c:pt idx="80">
                  <c:v>20.185878753662109</c:v>
                </c:pt>
                <c:pt idx="81">
                  <c:v>21.660703659057617</c:v>
                </c:pt>
                <c:pt idx="82">
                  <c:v>23.092353820800781</c:v>
                </c:pt>
                <c:pt idx="83">
                  <c:v>25.189046859741211</c:v>
                </c:pt>
                <c:pt idx="84">
                  <c:v>27.10307502746582</c:v>
                </c:pt>
                <c:pt idx="85">
                  <c:v>28.767051696777344</c:v>
                </c:pt>
                <c:pt idx="86">
                  <c:v>30.964111328125</c:v>
                </c:pt>
                <c:pt idx="87">
                  <c:v>32.839744567871094</c:v>
                </c:pt>
                <c:pt idx="88">
                  <c:v>34.685310363769531</c:v>
                </c:pt>
                <c:pt idx="89">
                  <c:v>36.564426422119141</c:v>
                </c:pt>
                <c:pt idx="90">
                  <c:v>38.33282470703125</c:v>
                </c:pt>
                <c:pt idx="91">
                  <c:v>40.012310028076172</c:v>
                </c:pt>
                <c:pt idx="92">
                  <c:v>41.40496826171875</c:v>
                </c:pt>
                <c:pt idx="93">
                  <c:v>42.928123474121094</c:v>
                </c:pt>
                <c:pt idx="94">
                  <c:v>44.247032165527344</c:v>
                </c:pt>
                <c:pt idx="95">
                  <c:v>45.221851348876953</c:v>
                </c:pt>
                <c:pt idx="96">
                  <c:v>46.294914245605469</c:v>
                </c:pt>
                <c:pt idx="97">
                  <c:v>47.265174865722656</c:v>
                </c:pt>
                <c:pt idx="98">
                  <c:v>47.853237152099609</c:v>
                </c:pt>
                <c:pt idx="99">
                  <c:v>48.05084228515625</c:v>
                </c:pt>
                <c:pt idx="100">
                  <c:v>47.233142852783203</c:v>
                </c:pt>
                <c:pt idx="101">
                  <c:v>46.186573028564453</c:v>
                </c:pt>
                <c:pt idx="102">
                  <c:v>45.296928405761719</c:v>
                </c:pt>
                <c:pt idx="103">
                  <c:v>44.235195159912109</c:v>
                </c:pt>
                <c:pt idx="104">
                  <c:v>43.054828643798828</c:v>
                </c:pt>
                <c:pt idx="105">
                  <c:v>41.309154510498047</c:v>
                </c:pt>
                <c:pt idx="106">
                  <c:v>39.733489990234375</c:v>
                </c:pt>
                <c:pt idx="107">
                  <c:v>38.393280029296875</c:v>
                </c:pt>
                <c:pt idx="108">
                  <c:v>36.690719604492188</c:v>
                </c:pt>
                <c:pt idx="109">
                  <c:v>34.403354644775391</c:v>
                </c:pt>
                <c:pt idx="110">
                  <c:v>31.666753768920898</c:v>
                </c:pt>
                <c:pt idx="111">
                  <c:v>28.964908599853516</c:v>
                </c:pt>
                <c:pt idx="112">
                  <c:v>25.904571533203125</c:v>
                </c:pt>
                <c:pt idx="113">
                  <c:v>22.503944396972656</c:v>
                </c:pt>
                <c:pt idx="114">
                  <c:v>18.72950553894043</c:v>
                </c:pt>
                <c:pt idx="115">
                  <c:v>15.239524841308594</c:v>
                </c:pt>
                <c:pt idx="116">
                  <c:v>12.864517211914063</c:v>
                </c:pt>
                <c:pt idx="117">
                  <c:v>10.954793930053711</c:v>
                </c:pt>
                <c:pt idx="118">
                  <c:v>9.0110445022583008</c:v>
                </c:pt>
                <c:pt idx="119">
                  <c:v>7.521090030670166</c:v>
                </c:pt>
                <c:pt idx="120">
                  <c:v>6.187401294708252</c:v>
                </c:pt>
                <c:pt idx="121">
                  <c:v>5.2695250511169434</c:v>
                </c:pt>
                <c:pt idx="122">
                  <c:v>4.8239598274230957</c:v>
                </c:pt>
                <c:pt idx="123">
                  <c:v>4.2151017189025879</c:v>
                </c:pt>
                <c:pt idx="124">
                  <c:v>3.9389698505401611</c:v>
                </c:pt>
                <c:pt idx="125">
                  <c:v>3.9389381408691406</c:v>
                </c:pt>
                <c:pt idx="126">
                  <c:v>3.7757089138031006</c:v>
                </c:pt>
                <c:pt idx="127">
                  <c:v>3.5966851711273193</c:v>
                </c:pt>
                <c:pt idx="128">
                  <c:v>3.6744539737701416</c:v>
                </c:pt>
                <c:pt idx="129">
                  <c:v>3.8537626266479492</c:v>
                </c:pt>
                <c:pt idx="130">
                  <c:v>4.2330169677734375</c:v>
                </c:pt>
                <c:pt idx="131">
                  <c:v>4.1750936508178711</c:v>
                </c:pt>
                <c:pt idx="132">
                  <c:v>3.5543346405029297</c:v>
                </c:pt>
                <c:pt idx="133">
                  <c:v>3.5522456169128418</c:v>
                </c:pt>
                <c:pt idx="134">
                  <c:v>4.1929769515991211</c:v>
                </c:pt>
                <c:pt idx="135">
                  <c:v>4.370734691619873</c:v>
                </c:pt>
                <c:pt idx="136">
                  <c:v>5.6779623031616211</c:v>
                </c:pt>
                <c:pt idx="137">
                  <c:v>6.2731146812438965</c:v>
                </c:pt>
                <c:pt idx="138">
                  <c:v>4.7907567024230957</c:v>
                </c:pt>
                <c:pt idx="139">
                  <c:v>3.8632898330688477</c:v>
                </c:pt>
                <c:pt idx="140">
                  <c:v>3.8077723979949951</c:v>
                </c:pt>
                <c:pt idx="141">
                  <c:v>4.186678409576416</c:v>
                </c:pt>
                <c:pt idx="142">
                  <c:v>4.6434483528137207</c:v>
                </c:pt>
                <c:pt idx="143">
                  <c:v>4.263181209564209</c:v>
                </c:pt>
                <c:pt idx="144">
                  <c:v>3.783400297164917</c:v>
                </c:pt>
                <c:pt idx="145">
                  <c:v>4.7004537582397461</c:v>
                </c:pt>
                <c:pt idx="146">
                  <c:v>4.7227368354797363</c:v>
                </c:pt>
                <c:pt idx="147">
                  <c:v>5.0843291282653809</c:v>
                </c:pt>
                <c:pt idx="148">
                  <c:v>6.7721085548400879</c:v>
                </c:pt>
                <c:pt idx="149">
                  <c:v>6.8150606155395508</c:v>
                </c:pt>
                <c:pt idx="150">
                  <c:v>4.5283932685852051</c:v>
                </c:pt>
                <c:pt idx="151">
                  <c:v>4.1567039489746094</c:v>
                </c:pt>
                <c:pt idx="152">
                  <c:v>4.0189542770385742</c:v>
                </c:pt>
                <c:pt idx="153">
                  <c:v>4.1426506042480469</c:v>
                </c:pt>
                <c:pt idx="154">
                  <c:v>3.9983172416687012</c:v>
                </c:pt>
                <c:pt idx="155">
                  <c:v>4.8427610397338867</c:v>
                </c:pt>
                <c:pt idx="156">
                  <c:v>5.3849596977233887</c:v>
                </c:pt>
                <c:pt idx="157">
                  <c:v>4.377476692199707</c:v>
                </c:pt>
                <c:pt idx="158">
                  <c:v>4.6330032348632813</c:v>
                </c:pt>
                <c:pt idx="159">
                  <c:v>4.7738547325134277</c:v>
                </c:pt>
                <c:pt idx="160">
                  <c:v>4.0644068717956543</c:v>
                </c:pt>
                <c:pt idx="161">
                  <c:v>3.9904043674468994</c:v>
                </c:pt>
                <c:pt idx="162">
                  <c:v>3.9379253387451172</c:v>
                </c:pt>
                <c:pt idx="163">
                  <c:v>4.4540109634399414</c:v>
                </c:pt>
                <c:pt idx="164">
                  <c:v>4.4762625694274902</c:v>
                </c:pt>
                <c:pt idx="165">
                  <c:v>3.9433693885803223</c:v>
                </c:pt>
                <c:pt idx="166">
                  <c:v>4.2825837135314941</c:v>
                </c:pt>
                <c:pt idx="167">
                  <c:v>4.0169920921325684</c:v>
                </c:pt>
                <c:pt idx="168">
                  <c:v>4.126096248626709</c:v>
                </c:pt>
                <c:pt idx="169">
                  <c:v>3.4397227764129639</c:v>
                </c:pt>
                <c:pt idx="170">
                  <c:v>3.5182831287384033</c:v>
                </c:pt>
                <c:pt idx="171">
                  <c:v>4.8455147743225098</c:v>
                </c:pt>
                <c:pt idx="172">
                  <c:v>4.2186470031738281</c:v>
                </c:pt>
                <c:pt idx="173">
                  <c:v>3.5023305416107178</c:v>
                </c:pt>
                <c:pt idx="174">
                  <c:v>3.3215343952178955</c:v>
                </c:pt>
                <c:pt idx="175">
                  <c:v>4.0187010765075684</c:v>
                </c:pt>
                <c:pt idx="176">
                  <c:v>4.2062077522277832</c:v>
                </c:pt>
                <c:pt idx="177">
                  <c:v>3.694521427154541</c:v>
                </c:pt>
                <c:pt idx="178">
                  <c:v>3.9508075714111328</c:v>
                </c:pt>
                <c:pt idx="179">
                  <c:v>4.5194358825683594</c:v>
                </c:pt>
                <c:pt idx="180">
                  <c:v>4.5222845077514648</c:v>
                </c:pt>
                <c:pt idx="181">
                  <c:v>4.5394082069396973</c:v>
                </c:pt>
                <c:pt idx="182">
                  <c:v>4.4808201789855957</c:v>
                </c:pt>
                <c:pt idx="183">
                  <c:v>4.1090993881225586</c:v>
                </c:pt>
                <c:pt idx="184">
                  <c:v>3.7398471832275391</c:v>
                </c:pt>
                <c:pt idx="185">
                  <c:v>3.5674386024475098</c:v>
                </c:pt>
                <c:pt idx="186">
                  <c:v>3.6312491893768311</c:v>
                </c:pt>
                <c:pt idx="187">
                  <c:v>3.815432071685791</c:v>
                </c:pt>
                <c:pt idx="188">
                  <c:v>3.516953706741333</c:v>
                </c:pt>
                <c:pt idx="189">
                  <c:v>4.0559239387512207</c:v>
                </c:pt>
                <c:pt idx="190">
                  <c:v>2.8968594074249268</c:v>
                </c:pt>
                <c:pt idx="191">
                  <c:v>3.2556347846984863</c:v>
                </c:pt>
                <c:pt idx="192">
                  <c:v>3.1293749809265137</c:v>
                </c:pt>
                <c:pt idx="193">
                  <c:v>2.8902757167816162</c:v>
                </c:pt>
                <c:pt idx="194">
                  <c:v>2.1556329727172852</c:v>
                </c:pt>
                <c:pt idx="195">
                  <c:v>2.1469602584838867</c:v>
                </c:pt>
                <c:pt idx="196">
                  <c:v>2.6865952014923096</c:v>
                </c:pt>
                <c:pt idx="197">
                  <c:v>3.5560755729675293</c:v>
                </c:pt>
                <c:pt idx="198">
                  <c:v>5.4607028961181641</c:v>
                </c:pt>
                <c:pt idx="199">
                  <c:v>3.9035196304321289</c:v>
                </c:pt>
                <c:pt idx="200">
                  <c:v>3.5342040061950684</c:v>
                </c:pt>
                <c:pt idx="201">
                  <c:v>2.8310866355895996</c:v>
                </c:pt>
                <c:pt idx="202">
                  <c:v>3.4303538799285889</c:v>
                </c:pt>
                <c:pt idx="203">
                  <c:v>2.5495102405548096</c:v>
                </c:pt>
                <c:pt idx="204">
                  <c:v>3.7644722461700439</c:v>
                </c:pt>
                <c:pt idx="205">
                  <c:v>4.1758532524108887</c:v>
                </c:pt>
                <c:pt idx="206">
                  <c:v>3.7167727947235107</c:v>
                </c:pt>
                <c:pt idx="207">
                  <c:v>4.6702895164489746</c:v>
                </c:pt>
                <c:pt idx="208">
                  <c:v>3.7748541831970215</c:v>
                </c:pt>
                <c:pt idx="209">
                  <c:v>4.7574906349182129</c:v>
                </c:pt>
                <c:pt idx="210">
                  <c:v>3.1615967750549316</c:v>
                </c:pt>
                <c:pt idx="211">
                  <c:v>3.6305844783782959</c:v>
                </c:pt>
                <c:pt idx="212">
                  <c:v>3.5738639831542969</c:v>
                </c:pt>
                <c:pt idx="213">
                  <c:v>4.0121493339538574</c:v>
                </c:pt>
                <c:pt idx="214">
                  <c:v>4.1793036460876465</c:v>
                </c:pt>
                <c:pt idx="215">
                  <c:v>3.212841272354126</c:v>
                </c:pt>
                <c:pt idx="216">
                  <c:v>4.0225629806518555</c:v>
                </c:pt>
                <c:pt idx="217">
                  <c:v>3.5011277198791504</c:v>
                </c:pt>
                <c:pt idx="218">
                  <c:v>4.7533440589904785</c:v>
                </c:pt>
                <c:pt idx="219">
                  <c:v>3.7694101333618164</c:v>
                </c:pt>
                <c:pt idx="220">
                  <c:v>2.7717390060424805</c:v>
                </c:pt>
                <c:pt idx="221">
                  <c:v>3.3846166133880615</c:v>
                </c:pt>
                <c:pt idx="222">
                  <c:v>2</c:v>
                </c:pt>
                <c:pt idx="223">
                  <c:v>4.6655731201171875</c:v>
                </c:pt>
                <c:pt idx="224">
                  <c:v>3.3460013866424561</c:v>
                </c:pt>
                <c:pt idx="225">
                  <c:v>2.667888879776001</c:v>
                </c:pt>
              </c:numCache>
            </c:numRef>
          </c:yVal>
          <c:smooth val="1"/>
          <c:extLst>
            <c:ext xmlns:c15="http://schemas.microsoft.com/office/drawing/2012/chart" uri="{02D57815-91ED-43cb-92C2-25804820EDAC}">
              <c15:datalabelsRange>
                <c15:f>PeakLabels!$D$2:$D$300</c15:f>
                <c15:dlblRangeCache>
                  <c:ptCount val="299"/>
                  <c:pt idx="7">
                    <c:v>204</c:v>
                  </c:pt>
                  <c:pt idx="26">
                    <c:v>242</c:v>
                  </c:pt>
                  <c:pt idx="42">
                    <c:v>274</c:v>
                  </c:pt>
                  <c:pt idx="54">
                    <c:v>298</c:v>
                  </c:pt>
                  <c:pt idx="99">
                    <c:v>388</c:v>
                  </c:pt>
                  <c:pt idx="149">
                    <c:v>488</c:v>
                  </c:pt>
                </c15:dlblRangeCache>
              </c15:datalabelsRange>
            </c:ext>
            <c:ext xmlns:c16="http://schemas.microsoft.com/office/drawing/2014/chart" uri="{C3380CC4-5D6E-409C-BE32-E72D297353CC}">
              <c16:uniqueId val="{00000000-E32E-4E94-AD62-9B15C91FD271}"/>
            </c:ext>
          </c:extLst>
        </c:ser>
        <c:ser>
          <c:idx val="1"/>
          <c:order val="1"/>
          <c:spPr>
            <a:ln w="19050" cap="rnd" cmpd="sng" algn="ctr">
              <a:noFill/>
              <a:prstDash val="solid"/>
              <a:round/>
            </a:ln>
            <a:effectLst/>
            <a:extLst>
              <a:ext uri="{91240B29-F687-4F45-9708-019B960494DF}">
                <a14:hiddenLine xmlns:a14="http://schemas.microsoft.com/office/drawing/2010/main" w="19050" cap="rnd" cmpd="sng" algn="ctr">
                  <a:solidFill>
                    <a:srgbClr val="ED7D31"/>
                  </a:solidFill>
                  <a:prstDash val="solid"/>
                  <a:round/>
                </a14:hiddenLine>
              </a:ext>
            </a:extLst>
          </c:spPr>
          <c:marker>
            <c:symbol val="star"/>
            <c:size val="2"/>
            <c:spPr>
              <a:solidFill>
                <a:srgbClr val="000000"/>
              </a:solidFill>
              <a:ln w="6350" cap="flat" cmpd="sng" algn="ctr">
                <a:noFill/>
                <a:prstDash val="solid"/>
                <a:round/>
              </a:ln>
              <a:effectLst/>
              <a:extLst>
                <a:ext uri="{91240B29-F687-4F45-9708-019B960494DF}">
                  <a14:hiddenLine xmlns:a14="http://schemas.microsoft.com/office/drawing/2010/main" w="6350" cap="flat" cmpd="sng" algn="ctr">
                    <a:solidFill>
                      <a:srgbClr val="ED7D31"/>
                    </a:solidFill>
                    <a:prstDash val="solid"/>
                    <a:round/>
                  </a14:hiddenLine>
                </a:ext>
              </a:extLst>
            </c:spPr>
          </c:marker>
          <c:dLbls>
            <c:dLbl>
              <c:idx val="0"/>
              <c:tx>
                <c:rich>
                  <a:bodyPr/>
                  <a:lstStyle/>
                  <a:p>
                    <a:fld id="{3C121823-DEEE-49D9-B20A-0BF37693AAC1}" type="CELLRANGE">
                      <a:rPr lang="en-US"/>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E32E-4E94-AD62-9B15C91FD271}"/>
                </c:ext>
              </c:extLst>
            </c:dLbl>
            <c:dLbl>
              <c:idx val="1"/>
              <c:tx>
                <c:rich>
                  <a:bodyPr/>
                  <a:lstStyle/>
                  <a:p>
                    <a:fld id="{48ABD09D-87EA-4287-B79D-58ACE8D3318E}"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E32E-4E94-AD62-9B15C91FD271}"/>
                </c:ext>
              </c:extLst>
            </c:dLbl>
            <c:dLbl>
              <c:idx val="2"/>
              <c:tx>
                <c:rich>
                  <a:bodyPr/>
                  <a:lstStyle/>
                  <a:p>
                    <a:fld id="{2B9A065A-4479-4FBA-AF42-05A937AC64E9}"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E32E-4E94-AD62-9B15C91FD271}"/>
                </c:ext>
              </c:extLst>
            </c:dLbl>
            <c:dLbl>
              <c:idx val="3"/>
              <c:tx>
                <c:rich>
                  <a:bodyPr/>
                  <a:lstStyle/>
                  <a:p>
                    <a:fld id="{C5A77FE4-AFD7-4C2B-85D3-89858E7500DB}"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E32E-4E94-AD62-9B15C91FD271}"/>
                </c:ext>
              </c:extLst>
            </c:dLbl>
            <c:dLbl>
              <c:idx val="4"/>
              <c:tx>
                <c:rich>
                  <a:bodyPr/>
                  <a:lstStyle/>
                  <a:p>
                    <a:fld id="{F8279145-F9B9-4696-80D6-0A8F1C985219}"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E32E-4E94-AD62-9B15C91FD271}"/>
                </c:ext>
              </c:extLst>
            </c:dLbl>
            <c:spPr>
              <a:noFill/>
              <a:ln>
                <a:noFill/>
              </a:ln>
              <a:effectLst/>
            </c:spPr>
            <c:txPr>
              <a:bodyPr wrap="square" lIns="38100" tIns="19050" rIns="38100" bIns="19050" anchor="ctr">
                <a:spAutoFit/>
              </a:bodyPr>
              <a:lstStyle/>
              <a:p>
                <a:pPr>
                  <a:defRPr sz="1100"/>
                </a:pPr>
                <a:endParaRPr lang="en-US"/>
              </a:p>
            </c:txPr>
            <c:dLblPos val="b"/>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ext>
            </c:extLst>
          </c:dLbls>
          <c:xVal>
            <c:numRef>
              <c:f>PeakLabels!$CY$2:$CY$6</c:f>
              <c:numCache>
                <c:formatCode>General</c:formatCode>
                <c:ptCount val="5"/>
                <c:pt idx="0">
                  <c:v>200</c:v>
                </c:pt>
                <c:pt idx="1">
                  <c:v>300</c:v>
                </c:pt>
                <c:pt idx="2">
                  <c:v>400</c:v>
                </c:pt>
                <c:pt idx="3">
                  <c:v>500</c:v>
                </c:pt>
                <c:pt idx="4">
                  <c:v>600</c:v>
                </c:pt>
              </c:numCache>
            </c:numRef>
          </c:xVal>
          <c:yVal>
            <c:numRef>
              <c:f>PeakLabels!$CZ$2:$CZ$6</c:f>
              <c:numCache>
                <c:formatCode>General</c:formatCode>
                <c:ptCount val="5"/>
                <c:pt idx="0">
                  <c:v>0</c:v>
                </c:pt>
                <c:pt idx="1">
                  <c:v>0</c:v>
                </c:pt>
                <c:pt idx="2">
                  <c:v>0</c:v>
                </c:pt>
                <c:pt idx="3">
                  <c:v>0</c:v>
                </c:pt>
                <c:pt idx="4">
                  <c:v>0</c:v>
                </c:pt>
              </c:numCache>
            </c:numRef>
          </c:yVal>
          <c:smooth val="1"/>
          <c:extLst>
            <c:ext xmlns:c15="http://schemas.microsoft.com/office/drawing/2012/chart" uri="{02D57815-91ED-43cb-92C2-25804820EDAC}">
              <c15:datalabelsRange>
                <c15:f>PeakLabels!$CY$2:$CY$7</c15:f>
                <c15:dlblRangeCache>
                  <c:ptCount val="6"/>
                  <c:pt idx="0">
                    <c:v>200</c:v>
                  </c:pt>
                  <c:pt idx="1">
                    <c:v>300</c:v>
                  </c:pt>
                  <c:pt idx="2">
                    <c:v>400</c:v>
                  </c:pt>
                  <c:pt idx="3">
                    <c:v>500</c:v>
                  </c:pt>
                  <c:pt idx="4">
                    <c:v>600</c:v>
                  </c:pt>
                </c15:dlblRangeCache>
              </c15:datalabelsRange>
            </c:ext>
            <c:ext xmlns:c16="http://schemas.microsoft.com/office/drawing/2014/chart" uri="{C3380CC4-5D6E-409C-BE32-E72D297353CC}">
              <c16:uniqueId val="{00000006-E32E-4E94-AD62-9B15C91FD271}"/>
            </c:ext>
          </c:extLst>
        </c:ser>
        <c:dLbls>
          <c:showLegendKey val="0"/>
          <c:showVal val="0"/>
          <c:showCatName val="0"/>
          <c:showSerName val="0"/>
          <c:showPercent val="0"/>
          <c:showBubbleSize val="0"/>
        </c:dLbls>
        <c:axId val="1569265744"/>
        <c:axId val="1569266288"/>
      </c:scatterChart>
      <c:valAx>
        <c:axId val="1569265744"/>
        <c:scaling>
          <c:orientation val="minMax"/>
          <c:max val="610"/>
          <c:min val="190"/>
        </c:scaling>
        <c:delete val="0"/>
        <c:axPos val="b"/>
        <c:majorGridlines>
          <c:spPr>
            <a:ln w="9525" cap="flat" cmpd="sng" algn="ctr">
              <a:noFill/>
              <a:prstDash val="solid"/>
              <a:round/>
            </a:ln>
            <a:effectLst/>
            <a:extLst>
              <a:ext uri="{91240B29-F687-4F45-9708-019B960494DF}">
                <a14:hiddenLine xmlns:a14="http://schemas.microsoft.com/office/drawing/2010/main" w="9525" cap="flat" cmpd="sng" algn="ctr">
                  <a:solidFill>
                    <a:sysClr val="windowText" lastClr="000000">
                      <a:lumMod val="15000"/>
                      <a:lumOff val="85000"/>
                    </a:sysClr>
                  </a:solidFill>
                  <a:prstDash val="solid"/>
                  <a:round/>
                </a14:hiddenLine>
              </a:ext>
            </a:extLst>
          </c:spPr>
        </c:majorGridlines>
        <c:numFmt formatCode="General" sourceLinked="1"/>
        <c:majorTickMark val="none"/>
        <c:minorTickMark val="none"/>
        <c:tickLblPos val="none"/>
        <c:spPr>
          <a:noFill/>
          <a:ln w="9525" cap="flat" cmpd="sng" algn="ctr">
            <a:solidFill>
              <a:sysClr val="windowText" lastClr="000000">
                <a:lumMod val="100000"/>
              </a:sysClr>
            </a:solidFill>
            <a:prstDash val="solid"/>
            <a:round/>
            <a:headEnd type="none" w="med" len="med"/>
            <a:tailEnd type="none" w="med" len="med"/>
          </a:ln>
          <a:effectLst/>
        </c:spPr>
        <c:txPr>
          <a:bodyPr rot="0" vert="horz"/>
          <a:lstStyle/>
          <a:p>
            <a:pPr>
              <a:defRPr sz="800" b="0" i="0" u="none" strike="noStrike" baseline="0">
                <a:solidFill>
                  <a:srgbClr val="333333"/>
                </a:solidFill>
                <a:latin typeface="Calibri"/>
                <a:ea typeface="Calibri"/>
                <a:cs typeface="Calibri"/>
              </a:defRPr>
            </a:pPr>
            <a:endParaRPr lang="en-US"/>
          </a:p>
        </c:txPr>
        <c:crossAx val="1569266288"/>
        <c:crossesAt val="0"/>
        <c:crossBetween val="midCat"/>
        <c:majorUnit val="100"/>
      </c:valAx>
      <c:valAx>
        <c:axId val="1569266288"/>
        <c:scaling>
          <c:orientation val="minMax"/>
          <c:max val="124"/>
          <c:min val="0"/>
        </c:scaling>
        <c:delete val="0"/>
        <c:axPos val="l"/>
        <c:majorGridlines>
          <c:spPr>
            <a:ln w="9525" cap="flat" cmpd="sng" algn="ctr">
              <a:noFill/>
              <a:prstDash val="solid"/>
              <a:round/>
            </a:ln>
            <a:effectLst/>
            <a:extLst>
              <a:ext uri="{91240B29-F687-4F45-9708-019B960494DF}">
                <a14:hiddenLine xmlns:a14="http://schemas.microsoft.com/office/drawing/2010/main" w="9525" cap="flat" cmpd="sng" algn="ctr">
                  <a:solidFill>
                    <a:sysClr val="windowText" lastClr="000000">
                      <a:lumMod val="15000"/>
                      <a:lumOff val="85000"/>
                    </a:sysClr>
                  </a:solidFill>
                  <a:prstDash val="solid"/>
                  <a:round/>
                </a14:hiddenLine>
              </a:ext>
            </a:extLst>
          </c:spPr>
        </c:majorGridlines>
        <c:numFmt formatCode="General" sourceLinked="1"/>
        <c:majorTickMark val="out"/>
        <c:minorTickMark val="none"/>
        <c:tickLblPos val="nextTo"/>
        <c:spPr>
          <a:ln w="12700" cap="flat" cmpd="sng" algn="ctr">
            <a:solidFill>
              <a:sysClr val="windowText" lastClr="000000">
                <a:lumMod val="100000"/>
              </a:sysClr>
            </a:solidFill>
            <a:prstDash val="solid"/>
            <a:round/>
            <a:headEnd type="none" w="med" len="med"/>
            <a:tailEnd type="none" w="med" len="med"/>
          </a:ln>
        </c:spPr>
        <c:crossAx val="1569265744"/>
        <c:crosses val="autoZero"/>
        <c:crossBetween val="midCat"/>
        <c:majorUnit val="25"/>
        <c:minorUnit val="5"/>
      </c:valAx>
      <c:spPr>
        <a:noFill/>
        <a:ln>
          <a:solidFill>
            <a:schemeClr val="tx1"/>
          </a:solidFill>
        </a:ln>
        <a:effectLst/>
      </c:spPr>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lumMod val="15000"/>
              <a:lumOff val="85000"/>
            </a:sysClr>
          </a:solidFill>
          <a:prstDash val="solid"/>
          <a:round/>
        </a14:hiddenLine>
      </a:ext>
    </a:ex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01447595124229"/>
          <c:y val="2.8268540749732153E-2"/>
          <c:w val="0.79415100719771992"/>
          <c:h val="0.81774581759149068"/>
        </c:manualLayout>
      </c:layout>
      <c:scatterChart>
        <c:scatterStyle val="smoothMarker"/>
        <c:varyColors val="0"/>
        <c:ser>
          <c:idx val="0"/>
          <c:order val="0"/>
          <c:spPr>
            <a:ln w="19050" cap="rnd" cmpd="sng" algn="ctr">
              <a:solidFill>
                <a:srgbClr val="0000FF"/>
              </a:solidFill>
              <a:prstDash val="solid"/>
              <a:round/>
              <a:headEnd type="none" w="med" len="med"/>
              <a:tailEnd type="none" w="med" len="med"/>
            </a:ln>
          </c:spPr>
          <c:marker>
            <c:symbol val="none"/>
          </c:marker>
          <c:dLbls>
            <c:dLbl>
              <c:idx val="0"/>
              <c:tx>
                <c:rich>
                  <a:bodyPr/>
                  <a:lstStyle/>
                  <a:p>
                    <a:fld id="{3181867D-8510-4BD5-9457-E2BE190C129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C86E-4906-94D2-83CA99C1C65C}"/>
                </c:ext>
              </c:extLst>
            </c:dLbl>
            <c:dLbl>
              <c:idx val="1"/>
              <c:tx>
                <c:rich>
                  <a:bodyPr/>
                  <a:lstStyle/>
                  <a:p>
                    <a:fld id="{B07F96C0-D5FC-44F6-A0DC-DFEFD42045B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C86E-4906-94D2-83CA99C1C65C}"/>
                </c:ext>
              </c:extLst>
            </c:dLbl>
            <c:dLbl>
              <c:idx val="2"/>
              <c:tx>
                <c:rich>
                  <a:bodyPr/>
                  <a:lstStyle/>
                  <a:p>
                    <a:fld id="{9F201B19-3F93-4D49-9944-311E1A095B2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C86E-4906-94D2-83CA99C1C65C}"/>
                </c:ext>
              </c:extLst>
            </c:dLbl>
            <c:dLbl>
              <c:idx val="3"/>
              <c:tx>
                <c:rich>
                  <a:bodyPr/>
                  <a:lstStyle/>
                  <a:p>
                    <a:fld id="{D2D39FDE-8DAC-4306-B8B3-E96BEBBA2E4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C86E-4906-94D2-83CA99C1C65C}"/>
                </c:ext>
              </c:extLst>
            </c:dLbl>
            <c:dLbl>
              <c:idx val="4"/>
              <c:tx>
                <c:rich>
                  <a:bodyPr/>
                  <a:lstStyle/>
                  <a:p>
                    <a:fld id="{6EAB74E1-A133-45F4-B55C-E82C7533FF6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C86E-4906-94D2-83CA99C1C65C}"/>
                </c:ext>
              </c:extLst>
            </c:dLbl>
            <c:dLbl>
              <c:idx val="5"/>
              <c:tx>
                <c:rich>
                  <a:bodyPr/>
                  <a:lstStyle/>
                  <a:p>
                    <a:fld id="{6F1F576B-24DA-462F-BDC6-F62FD903874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C86E-4906-94D2-83CA99C1C65C}"/>
                </c:ext>
              </c:extLst>
            </c:dLbl>
            <c:dLbl>
              <c:idx val="6"/>
              <c:tx>
                <c:rich>
                  <a:bodyPr/>
                  <a:lstStyle/>
                  <a:p>
                    <a:fld id="{DEE7904A-2152-480A-9571-76CA97D5823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C86E-4906-94D2-83CA99C1C65C}"/>
                </c:ext>
              </c:extLst>
            </c:dLbl>
            <c:dLbl>
              <c:idx val="7"/>
              <c:tx>
                <c:rich>
                  <a:bodyPr/>
                  <a:lstStyle/>
                  <a:p>
                    <a:fld id="{A2636E7C-3E80-44B5-87BB-8FDAC561BD5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C86E-4906-94D2-83CA99C1C65C}"/>
                </c:ext>
              </c:extLst>
            </c:dLbl>
            <c:dLbl>
              <c:idx val="8"/>
              <c:tx>
                <c:rich>
                  <a:bodyPr/>
                  <a:lstStyle/>
                  <a:p>
                    <a:fld id="{B73B9A20-8745-474E-8D8A-05586EB3D3F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C86E-4906-94D2-83CA99C1C65C}"/>
                </c:ext>
              </c:extLst>
            </c:dLbl>
            <c:dLbl>
              <c:idx val="9"/>
              <c:tx>
                <c:rich>
                  <a:bodyPr/>
                  <a:lstStyle/>
                  <a:p>
                    <a:fld id="{4FAD6821-857B-4F40-95CC-1462797FBBA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C86E-4906-94D2-83CA99C1C65C}"/>
                </c:ext>
              </c:extLst>
            </c:dLbl>
            <c:dLbl>
              <c:idx val="10"/>
              <c:tx>
                <c:rich>
                  <a:bodyPr/>
                  <a:lstStyle/>
                  <a:p>
                    <a:fld id="{EF2D04E8-C976-4795-8927-0F8F78BF376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C86E-4906-94D2-83CA99C1C65C}"/>
                </c:ext>
              </c:extLst>
            </c:dLbl>
            <c:dLbl>
              <c:idx val="11"/>
              <c:tx>
                <c:rich>
                  <a:bodyPr/>
                  <a:lstStyle/>
                  <a:p>
                    <a:fld id="{FAEC4DE6-159B-4256-A0A8-EC54B2CFF82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C86E-4906-94D2-83CA99C1C65C}"/>
                </c:ext>
              </c:extLst>
            </c:dLbl>
            <c:dLbl>
              <c:idx val="12"/>
              <c:tx>
                <c:rich>
                  <a:bodyPr/>
                  <a:lstStyle/>
                  <a:p>
                    <a:fld id="{AC89F99A-C792-4CFF-8503-625B06B14E9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C86E-4906-94D2-83CA99C1C65C}"/>
                </c:ext>
              </c:extLst>
            </c:dLbl>
            <c:dLbl>
              <c:idx val="13"/>
              <c:tx>
                <c:rich>
                  <a:bodyPr/>
                  <a:lstStyle/>
                  <a:p>
                    <a:fld id="{6FD70A87-64C1-4B2D-A7EB-943B910EB35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C86E-4906-94D2-83CA99C1C65C}"/>
                </c:ext>
              </c:extLst>
            </c:dLbl>
            <c:dLbl>
              <c:idx val="14"/>
              <c:tx>
                <c:rich>
                  <a:bodyPr/>
                  <a:lstStyle/>
                  <a:p>
                    <a:fld id="{80DACD2C-842E-467C-AF07-90C21AE19CC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C86E-4906-94D2-83CA99C1C65C}"/>
                </c:ext>
              </c:extLst>
            </c:dLbl>
            <c:dLbl>
              <c:idx val="15"/>
              <c:tx>
                <c:rich>
                  <a:bodyPr/>
                  <a:lstStyle/>
                  <a:p>
                    <a:fld id="{A70FCDCD-6866-4A6F-AA19-75D4FBB0E5C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C86E-4906-94D2-83CA99C1C65C}"/>
                </c:ext>
              </c:extLst>
            </c:dLbl>
            <c:dLbl>
              <c:idx val="16"/>
              <c:tx>
                <c:rich>
                  <a:bodyPr/>
                  <a:lstStyle/>
                  <a:p>
                    <a:fld id="{0ED21E34-900D-4856-86BB-2E42693F0E7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C86E-4906-94D2-83CA99C1C65C}"/>
                </c:ext>
              </c:extLst>
            </c:dLbl>
            <c:dLbl>
              <c:idx val="17"/>
              <c:tx>
                <c:rich>
                  <a:bodyPr/>
                  <a:lstStyle/>
                  <a:p>
                    <a:fld id="{FD98A14C-A3DF-471D-9781-C7FBEE46FA7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C86E-4906-94D2-83CA99C1C65C}"/>
                </c:ext>
              </c:extLst>
            </c:dLbl>
            <c:dLbl>
              <c:idx val="18"/>
              <c:tx>
                <c:rich>
                  <a:bodyPr/>
                  <a:lstStyle/>
                  <a:p>
                    <a:fld id="{746868D5-D03B-49ED-926E-CC6CBE4BC1C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C86E-4906-94D2-83CA99C1C65C}"/>
                </c:ext>
              </c:extLst>
            </c:dLbl>
            <c:dLbl>
              <c:idx val="19"/>
              <c:tx>
                <c:rich>
                  <a:bodyPr/>
                  <a:lstStyle/>
                  <a:p>
                    <a:fld id="{584B4A66-6605-4B3F-910C-40143033A87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C86E-4906-94D2-83CA99C1C65C}"/>
                </c:ext>
              </c:extLst>
            </c:dLbl>
            <c:dLbl>
              <c:idx val="20"/>
              <c:tx>
                <c:rich>
                  <a:bodyPr/>
                  <a:lstStyle/>
                  <a:p>
                    <a:fld id="{588CE6DB-9EEF-4339-BEF6-6B8A39F6F10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C86E-4906-94D2-83CA99C1C65C}"/>
                </c:ext>
              </c:extLst>
            </c:dLbl>
            <c:dLbl>
              <c:idx val="21"/>
              <c:tx>
                <c:rich>
                  <a:bodyPr/>
                  <a:lstStyle/>
                  <a:p>
                    <a:fld id="{B5BFC0D7-0FD2-458C-96E2-989FCDEED00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C86E-4906-94D2-83CA99C1C65C}"/>
                </c:ext>
              </c:extLst>
            </c:dLbl>
            <c:dLbl>
              <c:idx val="22"/>
              <c:tx>
                <c:rich>
                  <a:bodyPr/>
                  <a:lstStyle/>
                  <a:p>
                    <a:fld id="{B0D2CC67-505D-4CD6-AC6D-CF6F6458A5A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C86E-4906-94D2-83CA99C1C65C}"/>
                </c:ext>
              </c:extLst>
            </c:dLbl>
            <c:dLbl>
              <c:idx val="23"/>
              <c:tx>
                <c:rich>
                  <a:bodyPr/>
                  <a:lstStyle/>
                  <a:p>
                    <a:fld id="{99131A81-3FFA-447B-B90F-104A6115002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C86E-4906-94D2-83CA99C1C65C}"/>
                </c:ext>
              </c:extLst>
            </c:dLbl>
            <c:dLbl>
              <c:idx val="24"/>
              <c:tx>
                <c:rich>
                  <a:bodyPr/>
                  <a:lstStyle/>
                  <a:p>
                    <a:fld id="{447C2C74-5B3D-4FB3-AB50-F5B0A255C9B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C86E-4906-94D2-83CA99C1C65C}"/>
                </c:ext>
              </c:extLst>
            </c:dLbl>
            <c:dLbl>
              <c:idx val="25"/>
              <c:tx>
                <c:rich>
                  <a:bodyPr/>
                  <a:lstStyle/>
                  <a:p>
                    <a:fld id="{E796759F-ADB9-4113-ADC6-403814BE26A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C86E-4906-94D2-83CA99C1C65C}"/>
                </c:ext>
              </c:extLst>
            </c:dLbl>
            <c:dLbl>
              <c:idx val="26"/>
              <c:tx>
                <c:rich>
                  <a:bodyPr/>
                  <a:lstStyle/>
                  <a:p>
                    <a:fld id="{2E174F63-6A7D-45CE-AAF1-89494B8A865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C86E-4906-94D2-83CA99C1C65C}"/>
                </c:ext>
              </c:extLst>
            </c:dLbl>
            <c:dLbl>
              <c:idx val="27"/>
              <c:tx>
                <c:rich>
                  <a:bodyPr/>
                  <a:lstStyle/>
                  <a:p>
                    <a:fld id="{0A379750-25D9-4E36-B421-FAB769D14AE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C86E-4906-94D2-83CA99C1C65C}"/>
                </c:ext>
              </c:extLst>
            </c:dLbl>
            <c:dLbl>
              <c:idx val="28"/>
              <c:tx>
                <c:rich>
                  <a:bodyPr/>
                  <a:lstStyle/>
                  <a:p>
                    <a:fld id="{D1C0AD38-B5AB-448F-88E2-C5E91206F57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C86E-4906-94D2-83CA99C1C65C}"/>
                </c:ext>
              </c:extLst>
            </c:dLbl>
            <c:dLbl>
              <c:idx val="29"/>
              <c:tx>
                <c:rich>
                  <a:bodyPr/>
                  <a:lstStyle/>
                  <a:p>
                    <a:fld id="{2D50951D-0CB1-4F68-AF67-E2AD8A5E045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C86E-4906-94D2-83CA99C1C65C}"/>
                </c:ext>
              </c:extLst>
            </c:dLbl>
            <c:dLbl>
              <c:idx val="30"/>
              <c:tx>
                <c:rich>
                  <a:bodyPr/>
                  <a:lstStyle/>
                  <a:p>
                    <a:fld id="{B7314CB3-21A1-41D8-A976-94DEC4055D8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C86E-4906-94D2-83CA99C1C65C}"/>
                </c:ext>
              </c:extLst>
            </c:dLbl>
            <c:dLbl>
              <c:idx val="31"/>
              <c:tx>
                <c:rich>
                  <a:bodyPr/>
                  <a:lstStyle/>
                  <a:p>
                    <a:fld id="{90B29ECC-C243-409B-978E-E8DAEFF1B34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0-C86E-4906-94D2-83CA99C1C65C}"/>
                </c:ext>
              </c:extLst>
            </c:dLbl>
            <c:dLbl>
              <c:idx val="32"/>
              <c:tx>
                <c:rich>
                  <a:bodyPr/>
                  <a:lstStyle/>
                  <a:p>
                    <a:fld id="{C5FA383F-1F5D-4921-9B8C-44B4F6050AD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C86E-4906-94D2-83CA99C1C65C}"/>
                </c:ext>
              </c:extLst>
            </c:dLbl>
            <c:dLbl>
              <c:idx val="33"/>
              <c:tx>
                <c:rich>
                  <a:bodyPr/>
                  <a:lstStyle/>
                  <a:p>
                    <a:fld id="{9210BF9C-B971-41C4-B6B3-1F1A8BDBCDF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2-C86E-4906-94D2-83CA99C1C65C}"/>
                </c:ext>
              </c:extLst>
            </c:dLbl>
            <c:dLbl>
              <c:idx val="34"/>
              <c:tx>
                <c:rich>
                  <a:bodyPr/>
                  <a:lstStyle/>
                  <a:p>
                    <a:fld id="{7FC5D000-0ED7-4AC6-94C5-313A679300D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C86E-4906-94D2-83CA99C1C65C}"/>
                </c:ext>
              </c:extLst>
            </c:dLbl>
            <c:dLbl>
              <c:idx val="35"/>
              <c:tx>
                <c:rich>
                  <a:bodyPr/>
                  <a:lstStyle/>
                  <a:p>
                    <a:fld id="{22FA93B1-18F5-4BBE-A1C0-A73FC69B017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4-C86E-4906-94D2-83CA99C1C65C}"/>
                </c:ext>
              </c:extLst>
            </c:dLbl>
            <c:dLbl>
              <c:idx val="36"/>
              <c:tx>
                <c:rich>
                  <a:bodyPr/>
                  <a:lstStyle/>
                  <a:p>
                    <a:fld id="{752F098E-6682-4AEF-9951-621E20260B0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C86E-4906-94D2-83CA99C1C65C}"/>
                </c:ext>
              </c:extLst>
            </c:dLbl>
            <c:dLbl>
              <c:idx val="37"/>
              <c:tx>
                <c:rich>
                  <a:bodyPr/>
                  <a:lstStyle/>
                  <a:p>
                    <a:fld id="{8335F511-8344-4D24-9FAB-46FB8D4A2C9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6-C86E-4906-94D2-83CA99C1C65C}"/>
                </c:ext>
              </c:extLst>
            </c:dLbl>
            <c:dLbl>
              <c:idx val="38"/>
              <c:tx>
                <c:rich>
                  <a:bodyPr/>
                  <a:lstStyle/>
                  <a:p>
                    <a:fld id="{3A93ED84-08D5-443C-888F-581728E6622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7-C86E-4906-94D2-83CA99C1C65C}"/>
                </c:ext>
              </c:extLst>
            </c:dLbl>
            <c:dLbl>
              <c:idx val="39"/>
              <c:tx>
                <c:rich>
                  <a:bodyPr/>
                  <a:lstStyle/>
                  <a:p>
                    <a:fld id="{15A74FF8-1C6F-49BC-8C44-C3E6F459DE1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8-C86E-4906-94D2-83CA99C1C65C}"/>
                </c:ext>
              </c:extLst>
            </c:dLbl>
            <c:dLbl>
              <c:idx val="40"/>
              <c:tx>
                <c:rich>
                  <a:bodyPr/>
                  <a:lstStyle/>
                  <a:p>
                    <a:fld id="{960327DD-5A31-41A7-AFA6-C1B72025059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9-C86E-4906-94D2-83CA99C1C65C}"/>
                </c:ext>
              </c:extLst>
            </c:dLbl>
            <c:dLbl>
              <c:idx val="41"/>
              <c:tx>
                <c:rich>
                  <a:bodyPr/>
                  <a:lstStyle/>
                  <a:p>
                    <a:fld id="{C077AE65-FD56-486A-8407-424F9619AFC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A-C86E-4906-94D2-83CA99C1C65C}"/>
                </c:ext>
              </c:extLst>
            </c:dLbl>
            <c:dLbl>
              <c:idx val="42"/>
              <c:tx>
                <c:rich>
                  <a:bodyPr/>
                  <a:lstStyle/>
                  <a:p>
                    <a:fld id="{F11B4819-40EA-485E-AEB9-FC759B592F3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B-C86E-4906-94D2-83CA99C1C65C}"/>
                </c:ext>
              </c:extLst>
            </c:dLbl>
            <c:dLbl>
              <c:idx val="43"/>
              <c:tx>
                <c:rich>
                  <a:bodyPr/>
                  <a:lstStyle/>
                  <a:p>
                    <a:fld id="{B5AAC4EF-1791-4BC6-94B2-AF320F73A3B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C-C86E-4906-94D2-83CA99C1C65C}"/>
                </c:ext>
              </c:extLst>
            </c:dLbl>
            <c:dLbl>
              <c:idx val="44"/>
              <c:tx>
                <c:rich>
                  <a:bodyPr/>
                  <a:lstStyle/>
                  <a:p>
                    <a:fld id="{B192F0CF-2386-4768-88FA-ADD64694555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D-C86E-4906-94D2-83CA99C1C65C}"/>
                </c:ext>
              </c:extLst>
            </c:dLbl>
            <c:dLbl>
              <c:idx val="45"/>
              <c:tx>
                <c:rich>
                  <a:bodyPr/>
                  <a:lstStyle/>
                  <a:p>
                    <a:fld id="{F5D48BF3-0412-4A0D-B01F-8140C1B14FE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E-C86E-4906-94D2-83CA99C1C65C}"/>
                </c:ext>
              </c:extLst>
            </c:dLbl>
            <c:dLbl>
              <c:idx val="46"/>
              <c:tx>
                <c:rich>
                  <a:bodyPr/>
                  <a:lstStyle/>
                  <a:p>
                    <a:fld id="{3EB544F0-F722-4B1A-8653-7526E45BF81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F-C86E-4906-94D2-83CA99C1C65C}"/>
                </c:ext>
              </c:extLst>
            </c:dLbl>
            <c:dLbl>
              <c:idx val="47"/>
              <c:tx>
                <c:rich>
                  <a:bodyPr/>
                  <a:lstStyle/>
                  <a:p>
                    <a:fld id="{9269DE26-8761-40CC-9879-4D713210B8E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0-C86E-4906-94D2-83CA99C1C65C}"/>
                </c:ext>
              </c:extLst>
            </c:dLbl>
            <c:dLbl>
              <c:idx val="48"/>
              <c:tx>
                <c:rich>
                  <a:bodyPr/>
                  <a:lstStyle/>
                  <a:p>
                    <a:fld id="{85506CAD-F3B6-4D4F-96A8-DD429527BF0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1-C86E-4906-94D2-83CA99C1C65C}"/>
                </c:ext>
              </c:extLst>
            </c:dLbl>
            <c:dLbl>
              <c:idx val="49"/>
              <c:tx>
                <c:rich>
                  <a:bodyPr/>
                  <a:lstStyle/>
                  <a:p>
                    <a:fld id="{99B80FF3-2EEA-4137-AE02-A4CA590972F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2-C86E-4906-94D2-83CA99C1C65C}"/>
                </c:ext>
              </c:extLst>
            </c:dLbl>
            <c:dLbl>
              <c:idx val="50"/>
              <c:tx>
                <c:rich>
                  <a:bodyPr/>
                  <a:lstStyle/>
                  <a:p>
                    <a:fld id="{765ED60B-8BE8-4910-89EE-093371EEC00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3-C86E-4906-94D2-83CA99C1C65C}"/>
                </c:ext>
              </c:extLst>
            </c:dLbl>
            <c:dLbl>
              <c:idx val="51"/>
              <c:tx>
                <c:rich>
                  <a:bodyPr/>
                  <a:lstStyle/>
                  <a:p>
                    <a:fld id="{0A25ACEF-BC12-4B9E-B143-E5909872D06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4-C86E-4906-94D2-83CA99C1C65C}"/>
                </c:ext>
              </c:extLst>
            </c:dLbl>
            <c:dLbl>
              <c:idx val="52"/>
              <c:tx>
                <c:rich>
                  <a:bodyPr/>
                  <a:lstStyle/>
                  <a:p>
                    <a:fld id="{400B8698-67D7-4851-BA0D-14C1ABE1534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5-C86E-4906-94D2-83CA99C1C65C}"/>
                </c:ext>
              </c:extLst>
            </c:dLbl>
            <c:dLbl>
              <c:idx val="53"/>
              <c:tx>
                <c:rich>
                  <a:bodyPr/>
                  <a:lstStyle/>
                  <a:p>
                    <a:fld id="{3033A356-60AC-485D-8939-ECE21A7F594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6-C86E-4906-94D2-83CA99C1C65C}"/>
                </c:ext>
              </c:extLst>
            </c:dLbl>
            <c:dLbl>
              <c:idx val="54"/>
              <c:tx>
                <c:rich>
                  <a:bodyPr/>
                  <a:lstStyle/>
                  <a:p>
                    <a:fld id="{94651915-9F04-441E-969E-40E75C58E33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7-C86E-4906-94D2-83CA99C1C65C}"/>
                </c:ext>
              </c:extLst>
            </c:dLbl>
            <c:dLbl>
              <c:idx val="55"/>
              <c:tx>
                <c:rich>
                  <a:bodyPr/>
                  <a:lstStyle/>
                  <a:p>
                    <a:fld id="{A061719D-88BF-40F7-AD18-A7DD6B32F07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8-C86E-4906-94D2-83CA99C1C65C}"/>
                </c:ext>
              </c:extLst>
            </c:dLbl>
            <c:dLbl>
              <c:idx val="56"/>
              <c:tx>
                <c:rich>
                  <a:bodyPr/>
                  <a:lstStyle/>
                  <a:p>
                    <a:fld id="{8C45E4E6-3CD1-4C93-9B81-ECD599C5C8A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9-C86E-4906-94D2-83CA99C1C65C}"/>
                </c:ext>
              </c:extLst>
            </c:dLbl>
            <c:dLbl>
              <c:idx val="57"/>
              <c:tx>
                <c:rich>
                  <a:bodyPr/>
                  <a:lstStyle/>
                  <a:p>
                    <a:fld id="{09F70D81-E83E-473B-BF9F-B4D724F5735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A-C86E-4906-94D2-83CA99C1C65C}"/>
                </c:ext>
              </c:extLst>
            </c:dLbl>
            <c:dLbl>
              <c:idx val="58"/>
              <c:tx>
                <c:rich>
                  <a:bodyPr/>
                  <a:lstStyle/>
                  <a:p>
                    <a:fld id="{23BC25F1-8033-4F29-84D8-485C3AC03B0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B-C86E-4906-94D2-83CA99C1C65C}"/>
                </c:ext>
              </c:extLst>
            </c:dLbl>
            <c:dLbl>
              <c:idx val="59"/>
              <c:tx>
                <c:rich>
                  <a:bodyPr/>
                  <a:lstStyle/>
                  <a:p>
                    <a:fld id="{297D0456-A199-4B71-B7E6-8C3505255B0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C-C86E-4906-94D2-83CA99C1C65C}"/>
                </c:ext>
              </c:extLst>
            </c:dLbl>
            <c:dLbl>
              <c:idx val="60"/>
              <c:tx>
                <c:rich>
                  <a:bodyPr/>
                  <a:lstStyle/>
                  <a:p>
                    <a:fld id="{38381F20-05F3-4907-80A7-B345827D5BB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D-C86E-4906-94D2-83CA99C1C65C}"/>
                </c:ext>
              </c:extLst>
            </c:dLbl>
            <c:dLbl>
              <c:idx val="61"/>
              <c:tx>
                <c:rich>
                  <a:bodyPr/>
                  <a:lstStyle/>
                  <a:p>
                    <a:fld id="{341B9CA2-175F-41EF-8DE7-47A10947BC6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E-C86E-4906-94D2-83CA99C1C65C}"/>
                </c:ext>
              </c:extLst>
            </c:dLbl>
            <c:dLbl>
              <c:idx val="62"/>
              <c:tx>
                <c:rich>
                  <a:bodyPr/>
                  <a:lstStyle/>
                  <a:p>
                    <a:fld id="{CE21C90E-B72E-4631-873D-59130447554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F-C86E-4906-94D2-83CA99C1C65C}"/>
                </c:ext>
              </c:extLst>
            </c:dLbl>
            <c:dLbl>
              <c:idx val="63"/>
              <c:tx>
                <c:rich>
                  <a:bodyPr/>
                  <a:lstStyle/>
                  <a:p>
                    <a:fld id="{77C6C6DC-DACA-4BF6-B5A4-5A882251B9F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0-C86E-4906-94D2-83CA99C1C65C}"/>
                </c:ext>
              </c:extLst>
            </c:dLbl>
            <c:dLbl>
              <c:idx val="64"/>
              <c:tx>
                <c:rich>
                  <a:bodyPr/>
                  <a:lstStyle/>
                  <a:p>
                    <a:fld id="{BA6012A8-C75B-47D5-BB14-73699939560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1-C86E-4906-94D2-83CA99C1C65C}"/>
                </c:ext>
              </c:extLst>
            </c:dLbl>
            <c:dLbl>
              <c:idx val="65"/>
              <c:tx>
                <c:rich>
                  <a:bodyPr/>
                  <a:lstStyle/>
                  <a:p>
                    <a:fld id="{77177659-DD88-4F5A-9A11-2598CFFC546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2-C86E-4906-94D2-83CA99C1C65C}"/>
                </c:ext>
              </c:extLst>
            </c:dLbl>
            <c:dLbl>
              <c:idx val="66"/>
              <c:tx>
                <c:rich>
                  <a:bodyPr/>
                  <a:lstStyle/>
                  <a:p>
                    <a:fld id="{4C7BD2ED-0AFE-4C27-B739-A2C1081BECB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3-C86E-4906-94D2-83CA99C1C65C}"/>
                </c:ext>
              </c:extLst>
            </c:dLbl>
            <c:dLbl>
              <c:idx val="67"/>
              <c:tx>
                <c:rich>
                  <a:bodyPr/>
                  <a:lstStyle/>
                  <a:p>
                    <a:fld id="{658F5A87-F1B9-4E4F-99B9-FB174D14179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4-C86E-4906-94D2-83CA99C1C65C}"/>
                </c:ext>
              </c:extLst>
            </c:dLbl>
            <c:dLbl>
              <c:idx val="68"/>
              <c:tx>
                <c:rich>
                  <a:bodyPr/>
                  <a:lstStyle/>
                  <a:p>
                    <a:fld id="{4773DFF5-B8A1-43B2-824A-934B33D38CD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5-C86E-4906-94D2-83CA99C1C65C}"/>
                </c:ext>
              </c:extLst>
            </c:dLbl>
            <c:dLbl>
              <c:idx val="69"/>
              <c:tx>
                <c:rich>
                  <a:bodyPr/>
                  <a:lstStyle/>
                  <a:p>
                    <a:fld id="{3E33431A-99D7-46CA-988E-388B249094E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6-C86E-4906-94D2-83CA99C1C65C}"/>
                </c:ext>
              </c:extLst>
            </c:dLbl>
            <c:dLbl>
              <c:idx val="70"/>
              <c:tx>
                <c:rich>
                  <a:bodyPr/>
                  <a:lstStyle/>
                  <a:p>
                    <a:fld id="{CC277199-C8F4-456B-B2E8-45BD6DF0E8C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7-C86E-4906-94D2-83CA99C1C65C}"/>
                </c:ext>
              </c:extLst>
            </c:dLbl>
            <c:dLbl>
              <c:idx val="71"/>
              <c:tx>
                <c:rich>
                  <a:bodyPr/>
                  <a:lstStyle/>
                  <a:p>
                    <a:fld id="{CD744C50-0327-437B-B91B-6257DD51D11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8-C86E-4906-94D2-83CA99C1C65C}"/>
                </c:ext>
              </c:extLst>
            </c:dLbl>
            <c:dLbl>
              <c:idx val="72"/>
              <c:tx>
                <c:rich>
                  <a:bodyPr/>
                  <a:lstStyle/>
                  <a:p>
                    <a:fld id="{F1550244-A819-4B21-8D44-2CE515CE699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9-C86E-4906-94D2-83CA99C1C65C}"/>
                </c:ext>
              </c:extLst>
            </c:dLbl>
            <c:dLbl>
              <c:idx val="73"/>
              <c:tx>
                <c:rich>
                  <a:bodyPr/>
                  <a:lstStyle/>
                  <a:p>
                    <a:fld id="{BF765701-9599-4BAF-B768-83D55681F48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A-C86E-4906-94D2-83CA99C1C65C}"/>
                </c:ext>
              </c:extLst>
            </c:dLbl>
            <c:dLbl>
              <c:idx val="74"/>
              <c:tx>
                <c:rich>
                  <a:bodyPr/>
                  <a:lstStyle/>
                  <a:p>
                    <a:fld id="{90D9334C-A6A5-46AD-963E-E67C52DA4D3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B-C86E-4906-94D2-83CA99C1C65C}"/>
                </c:ext>
              </c:extLst>
            </c:dLbl>
            <c:dLbl>
              <c:idx val="75"/>
              <c:tx>
                <c:rich>
                  <a:bodyPr/>
                  <a:lstStyle/>
                  <a:p>
                    <a:fld id="{2EA4E541-AA2E-4CAE-9810-641453BE621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C-C86E-4906-94D2-83CA99C1C65C}"/>
                </c:ext>
              </c:extLst>
            </c:dLbl>
            <c:dLbl>
              <c:idx val="76"/>
              <c:tx>
                <c:rich>
                  <a:bodyPr/>
                  <a:lstStyle/>
                  <a:p>
                    <a:fld id="{2A7360C9-FB98-41CD-AEB8-01F66BF3E81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D-C86E-4906-94D2-83CA99C1C65C}"/>
                </c:ext>
              </c:extLst>
            </c:dLbl>
            <c:dLbl>
              <c:idx val="77"/>
              <c:tx>
                <c:rich>
                  <a:bodyPr/>
                  <a:lstStyle/>
                  <a:p>
                    <a:fld id="{8BFF98DE-F621-485F-AD0E-A1DD79301C0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E-C86E-4906-94D2-83CA99C1C65C}"/>
                </c:ext>
              </c:extLst>
            </c:dLbl>
            <c:dLbl>
              <c:idx val="78"/>
              <c:tx>
                <c:rich>
                  <a:bodyPr/>
                  <a:lstStyle/>
                  <a:p>
                    <a:fld id="{17F43F00-8F76-4BCC-AD71-D40932C7CAA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F-C86E-4906-94D2-83CA99C1C65C}"/>
                </c:ext>
              </c:extLst>
            </c:dLbl>
            <c:dLbl>
              <c:idx val="79"/>
              <c:tx>
                <c:rich>
                  <a:bodyPr/>
                  <a:lstStyle/>
                  <a:p>
                    <a:fld id="{6EA4D0ED-E041-44E0-98D4-65DED8F74A5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0-C86E-4906-94D2-83CA99C1C65C}"/>
                </c:ext>
              </c:extLst>
            </c:dLbl>
            <c:dLbl>
              <c:idx val="80"/>
              <c:tx>
                <c:rich>
                  <a:bodyPr/>
                  <a:lstStyle/>
                  <a:p>
                    <a:fld id="{EC8E7862-80A4-4293-854B-C992D492A81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1-C86E-4906-94D2-83CA99C1C65C}"/>
                </c:ext>
              </c:extLst>
            </c:dLbl>
            <c:dLbl>
              <c:idx val="81"/>
              <c:tx>
                <c:rich>
                  <a:bodyPr/>
                  <a:lstStyle/>
                  <a:p>
                    <a:fld id="{55D3AABE-3CB2-41C9-AD8C-F4647F1166B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2-C86E-4906-94D2-83CA99C1C65C}"/>
                </c:ext>
              </c:extLst>
            </c:dLbl>
            <c:dLbl>
              <c:idx val="82"/>
              <c:tx>
                <c:rich>
                  <a:bodyPr/>
                  <a:lstStyle/>
                  <a:p>
                    <a:fld id="{6D273A99-89C3-4237-974E-FA9474BEFFB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3-C86E-4906-94D2-83CA99C1C65C}"/>
                </c:ext>
              </c:extLst>
            </c:dLbl>
            <c:dLbl>
              <c:idx val="83"/>
              <c:tx>
                <c:rich>
                  <a:bodyPr/>
                  <a:lstStyle/>
                  <a:p>
                    <a:fld id="{3706C510-71E0-4092-80DD-0119DE511AA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4-C86E-4906-94D2-83CA99C1C65C}"/>
                </c:ext>
              </c:extLst>
            </c:dLbl>
            <c:dLbl>
              <c:idx val="84"/>
              <c:tx>
                <c:rich>
                  <a:bodyPr/>
                  <a:lstStyle/>
                  <a:p>
                    <a:fld id="{1F14E7B0-866D-4585-A85A-4CEA455AD7F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5-C86E-4906-94D2-83CA99C1C65C}"/>
                </c:ext>
              </c:extLst>
            </c:dLbl>
            <c:dLbl>
              <c:idx val="85"/>
              <c:tx>
                <c:rich>
                  <a:bodyPr/>
                  <a:lstStyle/>
                  <a:p>
                    <a:fld id="{0EDD2304-10D4-469D-853A-18B018383F4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6-C86E-4906-94D2-83CA99C1C65C}"/>
                </c:ext>
              </c:extLst>
            </c:dLbl>
            <c:dLbl>
              <c:idx val="86"/>
              <c:tx>
                <c:rich>
                  <a:bodyPr/>
                  <a:lstStyle/>
                  <a:p>
                    <a:fld id="{1267C94C-0A9D-4ABC-9FF6-E7982D45A64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7-C86E-4906-94D2-83CA99C1C65C}"/>
                </c:ext>
              </c:extLst>
            </c:dLbl>
            <c:dLbl>
              <c:idx val="87"/>
              <c:tx>
                <c:rich>
                  <a:bodyPr/>
                  <a:lstStyle/>
                  <a:p>
                    <a:fld id="{06B3516A-35DE-4D92-84D9-F91EFFC37B5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8-C86E-4906-94D2-83CA99C1C65C}"/>
                </c:ext>
              </c:extLst>
            </c:dLbl>
            <c:dLbl>
              <c:idx val="88"/>
              <c:tx>
                <c:rich>
                  <a:bodyPr/>
                  <a:lstStyle/>
                  <a:p>
                    <a:fld id="{DC668CAC-5203-4574-B66B-8339DB601B9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9-C86E-4906-94D2-83CA99C1C65C}"/>
                </c:ext>
              </c:extLst>
            </c:dLbl>
            <c:dLbl>
              <c:idx val="89"/>
              <c:tx>
                <c:rich>
                  <a:bodyPr/>
                  <a:lstStyle/>
                  <a:p>
                    <a:fld id="{D137E843-3546-4EBB-A66E-4C5603FCA8B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A-C86E-4906-94D2-83CA99C1C65C}"/>
                </c:ext>
              </c:extLst>
            </c:dLbl>
            <c:dLbl>
              <c:idx val="90"/>
              <c:tx>
                <c:rich>
                  <a:bodyPr/>
                  <a:lstStyle/>
                  <a:p>
                    <a:fld id="{069EF337-4A92-4E8F-A463-00D043E5D3F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B-C86E-4906-94D2-83CA99C1C65C}"/>
                </c:ext>
              </c:extLst>
            </c:dLbl>
            <c:dLbl>
              <c:idx val="91"/>
              <c:tx>
                <c:rich>
                  <a:bodyPr/>
                  <a:lstStyle/>
                  <a:p>
                    <a:fld id="{53E916EB-601C-4F72-8B96-6C8BFBCA677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C-C86E-4906-94D2-83CA99C1C65C}"/>
                </c:ext>
              </c:extLst>
            </c:dLbl>
            <c:dLbl>
              <c:idx val="92"/>
              <c:tx>
                <c:rich>
                  <a:bodyPr/>
                  <a:lstStyle/>
                  <a:p>
                    <a:fld id="{ED22A895-B472-4B77-B432-43B1BC8BFEE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D-C86E-4906-94D2-83CA99C1C65C}"/>
                </c:ext>
              </c:extLst>
            </c:dLbl>
            <c:dLbl>
              <c:idx val="93"/>
              <c:tx>
                <c:rich>
                  <a:bodyPr/>
                  <a:lstStyle/>
                  <a:p>
                    <a:fld id="{336B86E9-8AAF-4F19-A743-1260DF2C300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E-C86E-4906-94D2-83CA99C1C65C}"/>
                </c:ext>
              </c:extLst>
            </c:dLbl>
            <c:dLbl>
              <c:idx val="94"/>
              <c:tx>
                <c:rich>
                  <a:bodyPr/>
                  <a:lstStyle/>
                  <a:p>
                    <a:fld id="{3278D1AE-0E14-4690-83C9-65220EB4E1B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F-C86E-4906-94D2-83CA99C1C65C}"/>
                </c:ext>
              </c:extLst>
            </c:dLbl>
            <c:dLbl>
              <c:idx val="95"/>
              <c:tx>
                <c:rich>
                  <a:bodyPr/>
                  <a:lstStyle/>
                  <a:p>
                    <a:fld id="{83ABF8DB-F496-4C3B-AB26-FA415F2968C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0-C86E-4906-94D2-83CA99C1C65C}"/>
                </c:ext>
              </c:extLst>
            </c:dLbl>
            <c:dLbl>
              <c:idx val="96"/>
              <c:tx>
                <c:rich>
                  <a:bodyPr/>
                  <a:lstStyle/>
                  <a:p>
                    <a:fld id="{3FFA9E7A-F7BD-4A82-B2D8-3BF36E7FCD2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1-C86E-4906-94D2-83CA99C1C65C}"/>
                </c:ext>
              </c:extLst>
            </c:dLbl>
            <c:dLbl>
              <c:idx val="97"/>
              <c:tx>
                <c:rich>
                  <a:bodyPr/>
                  <a:lstStyle/>
                  <a:p>
                    <a:fld id="{434FEFCE-508B-4A9B-ABE2-8BDD0788583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2-C86E-4906-94D2-83CA99C1C65C}"/>
                </c:ext>
              </c:extLst>
            </c:dLbl>
            <c:dLbl>
              <c:idx val="98"/>
              <c:tx>
                <c:rich>
                  <a:bodyPr/>
                  <a:lstStyle/>
                  <a:p>
                    <a:fld id="{39638D23-E604-4A64-BF45-A1E6CF8831E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3-C86E-4906-94D2-83CA99C1C65C}"/>
                </c:ext>
              </c:extLst>
            </c:dLbl>
            <c:dLbl>
              <c:idx val="99"/>
              <c:tx>
                <c:rich>
                  <a:bodyPr/>
                  <a:lstStyle/>
                  <a:p>
                    <a:fld id="{D8E8AB57-A4F8-4EE5-BC71-4D5C7AE268B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4-C86E-4906-94D2-83CA99C1C65C}"/>
                </c:ext>
              </c:extLst>
            </c:dLbl>
            <c:dLbl>
              <c:idx val="100"/>
              <c:tx>
                <c:rich>
                  <a:bodyPr/>
                  <a:lstStyle/>
                  <a:p>
                    <a:fld id="{978AB9FD-E3A8-4CCD-B3BD-3737183B994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5-C86E-4906-94D2-83CA99C1C65C}"/>
                </c:ext>
              </c:extLst>
            </c:dLbl>
            <c:dLbl>
              <c:idx val="101"/>
              <c:tx>
                <c:rich>
                  <a:bodyPr/>
                  <a:lstStyle/>
                  <a:p>
                    <a:fld id="{C0F3010B-AF3A-43D3-89C7-D903939E7D9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6-C86E-4906-94D2-83CA99C1C65C}"/>
                </c:ext>
              </c:extLst>
            </c:dLbl>
            <c:dLbl>
              <c:idx val="102"/>
              <c:tx>
                <c:rich>
                  <a:bodyPr/>
                  <a:lstStyle/>
                  <a:p>
                    <a:fld id="{5167C178-8751-40A6-A737-88CA33279B3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7-C86E-4906-94D2-83CA99C1C65C}"/>
                </c:ext>
              </c:extLst>
            </c:dLbl>
            <c:dLbl>
              <c:idx val="103"/>
              <c:tx>
                <c:rich>
                  <a:bodyPr/>
                  <a:lstStyle/>
                  <a:p>
                    <a:fld id="{99605234-7FB1-4B19-96F3-44FA4FBF885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8-C86E-4906-94D2-83CA99C1C65C}"/>
                </c:ext>
              </c:extLst>
            </c:dLbl>
            <c:dLbl>
              <c:idx val="104"/>
              <c:tx>
                <c:rich>
                  <a:bodyPr/>
                  <a:lstStyle/>
                  <a:p>
                    <a:fld id="{29E1D41E-C081-4216-93E9-53C19D91C70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9-C86E-4906-94D2-83CA99C1C65C}"/>
                </c:ext>
              </c:extLst>
            </c:dLbl>
            <c:dLbl>
              <c:idx val="105"/>
              <c:tx>
                <c:rich>
                  <a:bodyPr/>
                  <a:lstStyle/>
                  <a:p>
                    <a:fld id="{670AC441-1147-4BCF-BA14-AC2B7557D68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A-C86E-4906-94D2-83CA99C1C65C}"/>
                </c:ext>
              </c:extLst>
            </c:dLbl>
            <c:dLbl>
              <c:idx val="106"/>
              <c:tx>
                <c:rich>
                  <a:bodyPr/>
                  <a:lstStyle/>
                  <a:p>
                    <a:fld id="{78D24896-72EA-4D02-9B34-DE5641D5366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B-C86E-4906-94D2-83CA99C1C65C}"/>
                </c:ext>
              </c:extLst>
            </c:dLbl>
            <c:dLbl>
              <c:idx val="107"/>
              <c:tx>
                <c:rich>
                  <a:bodyPr/>
                  <a:lstStyle/>
                  <a:p>
                    <a:fld id="{8F5EAACD-B2A6-4493-88F0-F3D89A7CDDA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C-C86E-4906-94D2-83CA99C1C65C}"/>
                </c:ext>
              </c:extLst>
            </c:dLbl>
            <c:dLbl>
              <c:idx val="108"/>
              <c:tx>
                <c:rich>
                  <a:bodyPr/>
                  <a:lstStyle/>
                  <a:p>
                    <a:fld id="{656B19B6-8F6F-45BB-96FF-F6EFAD1DAE1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D-C86E-4906-94D2-83CA99C1C65C}"/>
                </c:ext>
              </c:extLst>
            </c:dLbl>
            <c:dLbl>
              <c:idx val="109"/>
              <c:tx>
                <c:rich>
                  <a:bodyPr/>
                  <a:lstStyle/>
                  <a:p>
                    <a:fld id="{3B7380E3-BACB-49FD-8E5A-19438FD6523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E-C86E-4906-94D2-83CA99C1C65C}"/>
                </c:ext>
              </c:extLst>
            </c:dLbl>
            <c:dLbl>
              <c:idx val="110"/>
              <c:tx>
                <c:rich>
                  <a:bodyPr/>
                  <a:lstStyle/>
                  <a:p>
                    <a:fld id="{30470BC0-729D-4284-A5D3-39F48B323F9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F-C86E-4906-94D2-83CA99C1C65C}"/>
                </c:ext>
              </c:extLst>
            </c:dLbl>
            <c:dLbl>
              <c:idx val="111"/>
              <c:tx>
                <c:rich>
                  <a:bodyPr/>
                  <a:lstStyle/>
                  <a:p>
                    <a:fld id="{3F493682-238D-4A19-A299-F752E406F91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0-C86E-4906-94D2-83CA99C1C65C}"/>
                </c:ext>
              </c:extLst>
            </c:dLbl>
            <c:dLbl>
              <c:idx val="112"/>
              <c:tx>
                <c:rich>
                  <a:bodyPr/>
                  <a:lstStyle/>
                  <a:p>
                    <a:fld id="{8CFDE366-0739-4EB4-A8B1-CD0F20B68DC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1-C86E-4906-94D2-83CA99C1C65C}"/>
                </c:ext>
              </c:extLst>
            </c:dLbl>
            <c:dLbl>
              <c:idx val="113"/>
              <c:tx>
                <c:rich>
                  <a:bodyPr/>
                  <a:lstStyle/>
                  <a:p>
                    <a:fld id="{287A64B0-504B-4C11-A5B6-E08B277056F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2-C86E-4906-94D2-83CA99C1C65C}"/>
                </c:ext>
              </c:extLst>
            </c:dLbl>
            <c:dLbl>
              <c:idx val="114"/>
              <c:tx>
                <c:rich>
                  <a:bodyPr/>
                  <a:lstStyle/>
                  <a:p>
                    <a:fld id="{D0B696FF-1C65-487D-AEBF-3BE055A5883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3-C86E-4906-94D2-83CA99C1C65C}"/>
                </c:ext>
              </c:extLst>
            </c:dLbl>
            <c:dLbl>
              <c:idx val="115"/>
              <c:tx>
                <c:rich>
                  <a:bodyPr/>
                  <a:lstStyle/>
                  <a:p>
                    <a:fld id="{91739C35-AC3A-4A42-8BFA-88026EE6ED5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4-C86E-4906-94D2-83CA99C1C65C}"/>
                </c:ext>
              </c:extLst>
            </c:dLbl>
            <c:dLbl>
              <c:idx val="116"/>
              <c:tx>
                <c:rich>
                  <a:bodyPr/>
                  <a:lstStyle/>
                  <a:p>
                    <a:fld id="{3DB3CC72-B204-4A78-944F-5A177B77655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5-C86E-4906-94D2-83CA99C1C65C}"/>
                </c:ext>
              </c:extLst>
            </c:dLbl>
            <c:dLbl>
              <c:idx val="117"/>
              <c:tx>
                <c:rich>
                  <a:bodyPr/>
                  <a:lstStyle/>
                  <a:p>
                    <a:fld id="{03EB94D8-BB76-4892-924F-9B8F6CB539A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6-C86E-4906-94D2-83CA99C1C65C}"/>
                </c:ext>
              </c:extLst>
            </c:dLbl>
            <c:dLbl>
              <c:idx val="118"/>
              <c:tx>
                <c:rich>
                  <a:bodyPr/>
                  <a:lstStyle/>
                  <a:p>
                    <a:fld id="{9CBA15D4-EFF9-4E1E-BBAC-097D3197CC1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7-C86E-4906-94D2-83CA99C1C65C}"/>
                </c:ext>
              </c:extLst>
            </c:dLbl>
            <c:dLbl>
              <c:idx val="119"/>
              <c:tx>
                <c:rich>
                  <a:bodyPr/>
                  <a:lstStyle/>
                  <a:p>
                    <a:fld id="{FD0072E2-343F-4BF7-8B2A-F9F6DC39E20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8-C86E-4906-94D2-83CA99C1C65C}"/>
                </c:ext>
              </c:extLst>
            </c:dLbl>
            <c:dLbl>
              <c:idx val="120"/>
              <c:tx>
                <c:rich>
                  <a:bodyPr/>
                  <a:lstStyle/>
                  <a:p>
                    <a:fld id="{F1D0E247-ADBB-46EF-8A73-A29F235C4D3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9-C86E-4906-94D2-83CA99C1C65C}"/>
                </c:ext>
              </c:extLst>
            </c:dLbl>
            <c:dLbl>
              <c:idx val="121"/>
              <c:tx>
                <c:rich>
                  <a:bodyPr/>
                  <a:lstStyle/>
                  <a:p>
                    <a:fld id="{3831D4B2-BC2E-4BC2-8820-3E18A3B2336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A-C86E-4906-94D2-83CA99C1C65C}"/>
                </c:ext>
              </c:extLst>
            </c:dLbl>
            <c:dLbl>
              <c:idx val="122"/>
              <c:tx>
                <c:rich>
                  <a:bodyPr/>
                  <a:lstStyle/>
                  <a:p>
                    <a:fld id="{442F53FD-9F4C-48AE-988C-A80EA520195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B-C86E-4906-94D2-83CA99C1C65C}"/>
                </c:ext>
              </c:extLst>
            </c:dLbl>
            <c:dLbl>
              <c:idx val="123"/>
              <c:tx>
                <c:rich>
                  <a:bodyPr/>
                  <a:lstStyle/>
                  <a:p>
                    <a:fld id="{DFB01EAD-28F9-4562-86D1-AE316A22C6C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C-C86E-4906-94D2-83CA99C1C65C}"/>
                </c:ext>
              </c:extLst>
            </c:dLbl>
            <c:dLbl>
              <c:idx val="124"/>
              <c:tx>
                <c:rich>
                  <a:bodyPr/>
                  <a:lstStyle/>
                  <a:p>
                    <a:fld id="{B5DF0182-DA79-44C2-932B-9F714E2376B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D-C86E-4906-94D2-83CA99C1C65C}"/>
                </c:ext>
              </c:extLst>
            </c:dLbl>
            <c:dLbl>
              <c:idx val="125"/>
              <c:tx>
                <c:rich>
                  <a:bodyPr/>
                  <a:lstStyle/>
                  <a:p>
                    <a:fld id="{B96CE8EB-F95C-4885-B872-2BD9D8C41AB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E-C86E-4906-94D2-83CA99C1C65C}"/>
                </c:ext>
              </c:extLst>
            </c:dLbl>
            <c:dLbl>
              <c:idx val="126"/>
              <c:tx>
                <c:rich>
                  <a:bodyPr/>
                  <a:lstStyle/>
                  <a:p>
                    <a:fld id="{3EDA9F66-700B-4E9F-BA96-C583A283AA5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F-C86E-4906-94D2-83CA99C1C65C}"/>
                </c:ext>
              </c:extLst>
            </c:dLbl>
            <c:dLbl>
              <c:idx val="127"/>
              <c:tx>
                <c:rich>
                  <a:bodyPr/>
                  <a:lstStyle/>
                  <a:p>
                    <a:fld id="{09D70B50-0BEF-440A-9130-97C0C489627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0-C86E-4906-94D2-83CA99C1C65C}"/>
                </c:ext>
              </c:extLst>
            </c:dLbl>
            <c:dLbl>
              <c:idx val="128"/>
              <c:tx>
                <c:rich>
                  <a:bodyPr/>
                  <a:lstStyle/>
                  <a:p>
                    <a:fld id="{8279B261-61A7-460B-BB02-1EDC46BCE92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1-C86E-4906-94D2-83CA99C1C65C}"/>
                </c:ext>
              </c:extLst>
            </c:dLbl>
            <c:dLbl>
              <c:idx val="129"/>
              <c:tx>
                <c:rich>
                  <a:bodyPr/>
                  <a:lstStyle/>
                  <a:p>
                    <a:fld id="{11A44ED1-A126-48ED-B1EE-C8BF181C8B4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2-C86E-4906-94D2-83CA99C1C65C}"/>
                </c:ext>
              </c:extLst>
            </c:dLbl>
            <c:dLbl>
              <c:idx val="130"/>
              <c:tx>
                <c:rich>
                  <a:bodyPr/>
                  <a:lstStyle/>
                  <a:p>
                    <a:fld id="{5E77D4D7-D959-409B-AB32-9B0DA8AC9B8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3-C86E-4906-94D2-83CA99C1C65C}"/>
                </c:ext>
              </c:extLst>
            </c:dLbl>
            <c:dLbl>
              <c:idx val="131"/>
              <c:tx>
                <c:rich>
                  <a:bodyPr/>
                  <a:lstStyle/>
                  <a:p>
                    <a:fld id="{C7C70474-39E6-4F8E-A6A2-BFE4AF428E0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4-C86E-4906-94D2-83CA99C1C65C}"/>
                </c:ext>
              </c:extLst>
            </c:dLbl>
            <c:dLbl>
              <c:idx val="132"/>
              <c:tx>
                <c:rich>
                  <a:bodyPr/>
                  <a:lstStyle/>
                  <a:p>
                    <a:fld id="{86A96CD9-7EB7-4068-A6E2-72C863F64E1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5-C86E-4906-94D2-83CA99C1C65C}"/>
                </c:ext>
              </c:extLst>
            </c:dLbl>
            <c:dLbl>
              <c:idx val="133"/>
              <c:tx>
                <c:rich>
                  <a:bodyPr/>
                  <a:lstStyle/>
                  <a:p>
                    <a:fld id="{D5F834E5-ADFD-4CCF-91B8-50862735905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6-C86E-4906-94D2-83CA99C1C65C}"/>
                </c:ext>
              </c:extLst>
            </c:dLbl>
            <c:dLbl>
              <c:idx val="134"/>
              <c:tx>
                <c:rich>
                  <a:bodyPr/>
                  <a:lstStyle/>
                  <a:p>
                    <a:fld id="{BDFA9490-3E7C-4C77-8A82-5A30306958A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7-C86E-4906-94D2-83CA99C1C65C}"/>
                </c:ext>
              </c:extLst>
            </c:dLbl>
            <c:dLbl>
              <c:idx val="135"/>
              <c:tx>
                <c:rich>
                  <a:bodyPr/>
                  <a:lstStyle/>
                  <a:p>
                    <a:fld id="{CF8996C6-A7E4-4D0E-9C6F-ED93959F6B6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8-C86E-4906-94D2-83CA99C1C65C}"/>
                </c:ext>
              </c:extLst>
            </c:dLbl>
            <c:dLbl>
              <c:idx val="136"/>
              <c:tx>
                <c:rich>
                  <a:bodyPr/>
                  <a:lstStyle/>
                  <a:p>
                    <a:fld id="{43E8382C-0EAE-4D0A-B492-9AC98CC91B8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9-C86E-4906-94D2-83CA99C1C65C}"/>
                </c:ext>
              </c:extLst>
            </c:dLbl>
            <c:dLbl>
              <c:idx val="137"/>
              <c:tx>
                <c:rich>
                  <a:bodyPr/>
                  <a:lstStyle/>
                  <a:p>
                    <a:fld id="{5EC3D21E-0436-4354-AB6D-AAED5294796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A-C86E-4906-94D2-83CA99C1C65C}"/>
                </c:ext>
              </c:extLst>
            </c:dLbl>
            <c:dLbl>
              <c:idx val="138"/>
              <c:tx>
                <c:rich>
                  <a:bodyPr/>
                  <a:lstStyle/>
                  <a:p>
                    <a:fld id="{5502DEC1-062C-451B-BA09-2904D2850AA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B-C86E-4906-94D2-83CA99C1C65C}"/>
                </c:ext>
              </c:extLst>
            </c:dLbl>
            <c:dLbl>
              <c:idx val="139"/>
              <c:tx>
                <c:rich>
                  <a:bodyPr/>
                  <a:lstStyle/>
                  <a:p>
                    <a:fld id="{888A6BE0-2A5D-4D93-8CC1-52CBA6F1FED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C-C86E-4906-94D2-83CA99C1C65C}"/>
                </c:ext>
              </c:extLst>
            </c:dLbl>
            <c:dLbl>
              <c:idx val="140"/>
              <c:tx>
                <c:rich>
                  <a:bodyPr/>
                  <a:lstStyle/>
                  <a:p>
                    <a:fld id="{B63E3A98-EA1C-416F-A653-3CD1FE22E43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D-C86E-4906-94D2-83CA99C1C65C}"/>
                </c:ext>
              </c:extLst>
            </c:dLbl>
            <c:dLbl>
              <c:idx val="141"/>
              <c:tx>
                <c:rich>
                  <a:bodyPr/>
                  <a:lstStyle/>
                  <a:p>
                    <a:fld id="{4BCF6B02-3B4E-459C-ADFA-F5E626D694B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E-C86E-4906-94D2-83CA99C1C65C}"/>
                </c:ext>
              </c:extLst>
            </c:dLbl>
            <c:dLbl>
              <c:idx val="142"/>
              <c:tx>
                <c:rich>
                  <a:bodyPr/>
                  <a:lstStyle/>
                  <a:p>
                    <a:fld id="{EC393E33-5D7E-475A-957B-E68E16A66EF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F-C86E-4906-94D2-83CA99C1C65C}"/>
                </c:ext>
              </c:extLst>
            </c:dLbl>
            <c:dLbl>
              <c:idx val="143"/>
              <c:tx>
                <c:rich>
                  <a:bodyPr/>
                  <a:lstStyle/>
                  <a:p>
                    <a:fld id="{6ADE49C6-444D-41E9-ABDC-759B4964F1C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0-C86E-4906-94D2-83CA99C1C65C}"/>
                </c:ext>
              </c:extLst>
            </c:dLbl>
            <c:dLbl>
              <c:idx val="144"/>
              <c:tx>
                <c:rich>
                  <a:bodyPr/>
                  <a:lstStyle/>
                  <a:p>
                    <a:fld id="{71DC2505-DBB1-4BDF-8EA1-C7F7E819D10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1-C86E-4906-94D2-83CA99C1C65C}"/>
                </c:ext>
              </c:extLst>
            </c:dLbl>
            <c:dLbl>
              <c:idx val="145"/>
              <c:tx>
                <c:rich>
                  <a:bodyPr/>
                  <a:lstStyle/>
                  <a:p>
                    <a:fld id="{2B555B48-B4A5-4C67-B693-E5CD966A526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2-C86E-4906-94D2-83CA99C1C65C}"/>
                </c:ext>
              </c:extLst>
            </c:dLbl>
            <c:dLbl>
              <c:idx val="146"/>
              <c:tx>
                <c:rich>
                  <a:bodyPr/>
                  <a:lstStyle/>
                  <a:p>
                    <a:fld id="{2CD11543-2F8D-4946-9970-BB5C42BCD94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3-C86E-4906-94D2-83CA99C1C65C}"/>
                </c:ext>
              </c:extLst>
            </c:dLbl>
            <c:dLbl>
              <c:idx val="147"/>
              <c:tx>
                <c:rich>
                  <a:bodyPr/>
                  <a:lstStyle/>
                  <a:p>
                    <a:fld id="{EF8069D8-B1F2-4B15-9BAE-4BD4F245B61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4-C86E-4906-94D2-83CA99C1C65C}"/>
                </c:ext>
              </c:extLst>
            </c:dLbl>
            <c:dLbl>
              <c:idx val="148"/>
              <c:tx>
                <c:rich>
                  <a:bodyPr/>
                  <a:lstStyle/>
                  <a:p>
                    <a:fld id="{B0E5B615-0BCE-488F-93EB-D1A92C36745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5-C86E-4906-94D2-83CA99C1C65C}"/>
                </c:ext>
              </c:extLst>
            </c:dLbl>
            <c:dLbl>
              <c:idx val="149"/>
              <c:tx>
                <c:rich>
                  <a:bodyPr/>
                  <a:lstStyle/>
                  <a:p>
                    <a:fld id="{74BCA75D-5894-41B1-B7A4-D48A11C3331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6-C86E-4906-94D2-83CA99C1C65C}"/>
                </c:ext>
              </c:extLst>
            </c:dLbl>
            <c:dLbl>
              <c:idx val="150"/>
              <c:tx>
                <c:rich>
                  <a:bodyPr/>
                  <a:lstStyle/>
                  <a:p>
                    <a:fld id="{EF1F2440-DFC7-41C2-970A-4A00668563D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7-C86E-4906-94D2-83CA99C1C65C}"/>
                </c:ext>
              </c:extLst>
            </c:dLbl>
            <c:dLbl>
              <c:idx val="151"/>
              <c:tx>
                <c:rich>
                  <a:bodyPr/>
                  <a:lstStyle/>
                  <a:p>
                    <a:fld id="{2D64CF35-FE7B-4310-8976-34C5DE558B8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8-C86E-4906-94D2-83CA99C1C65C}"/>
                </c:ext>
              </c:extLst>
            </c:dLbl>
            <c:dLbl>
              <c:idx val="152"/>
              <c:tx>
                <c:rich>
                  <a:bodyPr/>
                  <a:lstStyle/>
                  <a:p>
                    <a:fld id="{B9F0142F-3A05-4407-ABB0-EC921E6E7D1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9-C86E-4906-94D2-83CA99C1C65C}"/>
                </c:ext>
              </c:extLst>
            </c:dLbl>
            <c:dLbl>
              <c:idx val="153"/>
              <c:tx>
                <c:rich>
                  <a:bodyPr/>
                  <a:lstStyle/>
                  <a:p>
                    <a:fld id="{A19A466F-D64D-4459-A966-3849D75565F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A-C86E-4906-94D2-83CA99C1C65C}"/>
                </c:ext>
              </c:extLst>
            </c:dLbl>
            <c:dLbl>
              <c:idx val="154"/>
              <c:tx>
                <c:rich>
                  <a:bodyPr/>
                  <a:lstStyle/>
                  <a:p>
                    <a:fld id="{611E87E6-4A6A-45AF-9F3A-DFE6D6B75FF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B-C86E-4906-94D2-83CA99C1C65C}"/>
                </c:ext>
              </c:extLst>
            </c:dLbl>
            <c:dLbl>
              <c:idx val="155"/>
              <c:tx>
                <c:rich>
                  <a:bodyPr/>
                  <a:lstStyle/>
                  <a:p>
                    <a:fld id="{1467197C-1B25-4307-8870-C3022773727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C-C86E-4906-94D2-83CA99C1C65C}"/>
                </c:ext>
              </c:extLst>
            </c:dLbl>
            <c:dLbl>
              <c:idx val="156"/>
              <c:tx>
                <c:rich>
                  <a:bodyPr/>
                  <a:lstStyle/>
                  <a:p>
                    <a:fld id="{8B82787F-AA00-4D27-88A3-2231108A8D7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D-C86E-4906-94D2-83CA99C1C65C}"/>
                </c:ext>
              </c:extLst>
            </c:dLbl>
            <c:dLbl>
              <c:idx val="157"/>
              <c:tx>
                <c:rich>
                  <a:bodyPr/>
                  <a:lstStyle/>
                  <a:p>
                    <a:fld id="{4CE87CD7-805E-4F14-8803-39B91F6B4D5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E-C86E-4906-94D2-83CA99C1C65C}"/>
                </c:ext>
              </c:extLst>
            </c:dLbl>
            <c:dLbl>
              <c:idx val="158"/>
              <c:tx>
                <c:rich>
                  <a:bodyPr/>
                  <a:lstStyle/>
                  <a:p>
                    <a:fld id="{3651D379-7841-4019-96C5-FE0488AD5BA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F-C86E-4906-94D2-83CA99C1C65C}"/>
                </c:ext>
              </c:extLst>
            </c:dLbl>
            <c:dLbl>
              <c:idx val="159"/>
              <c:tx>
                <c:rich>
                  <a:bodyPr/>
                  <a:lstStyle/>
                  <a:p>
                    <a:fld id="{B6A1BEC8-317D-4BEC-A122-B0010F941ED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0-C86E-4906-94D2-83CA99C1C65C}"/>
                </c:ext>
              </c:extLst>
            </c:dLbl>
            <c:dLbl>
              <c:idx val="160"/>
              <c:tx>
                <c:rich>
                  <a:bodyPr/>
                  <a:lstStyle/>
                  <a:p>
                    <a:fld id="{D01BE319-5985-4B81-A262-C3F8DCDC0F3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1-C86E-4906-94D2-83CA99C1C65C}"/>
                </c:ext>
              </c:extLst>
            </c:dLbl>
            <c:dLbl>
              <c:idx val="161"/>
              <c:tx>
                <c:rich>
                  <a:bodyPr/>
                  <a:lstStyle/>
                  <a:p>
                    <a:fld id="{B5DBA560-AFDD-4CB2-AA9F-5D6CC26E298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2-C86E-4906-94D2-83CA99C1C65C}"/>
                </c:ext>
              </c:extLst>
            </c:dLbl>
            <c:dLbl>
              <c:idx val="162"/>
              <c:tx>
                <c:rich>
                  <a:bodyPr/>
                  <a:lstStyle/>
                  <a:p>
                    <a:fld id="{365EF4CE-B430-4011-B523-1CB02E49648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3-C86E-4906-94D2-83CA99C1C65C}"/>
                </c:ext>
              </c:extLst>
            </c:dLbl>
            <c:dLbl>
              <c:idx val="163"/>
              <c:tx>
                <c:rich>
                  <a:bodyPr/>
                  <a:lstStyle/>
                  <a:p>
                    <a:fld id="{534FA373-31B6-4426-A8F6-7E263ACDE82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4-C86E-4906-94D2-83CA99C1C65C}"/>
                </c:ext>
              </c:extLst>
            </c:dLbl>
            <c:dLbl>
              <c:idx val="164"/>
              <c:tx>
                <c:rich>
                  <a:bodyPr/>
                  <a:lstStyle/>
                  <a:p>
                    <a:fld id="{729495BA-728D-4630-A98A-E09552F3AC6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5-C86E-4906-94D2-83CA99C1C65C}"/>
                </c:ext>
              </c:extLst>
            </c:dLbl>
            <c:dLbl>
              <c:idx val="165"/>
              <c:tx>
                <c:rich>
                  <a:bodyPr/>
                  <a:lstStyle/>
                  <a:p>
                    <a:fld id="{ACBFB8AB-B77A-47F0-8E4D-CAEDD785EA2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6-C86E-4906-94D2-83CA99C1C65C}"/>
                </c:ext>
              </c:extLst>
            </c:dLbl>
            <c:dLbl>
              <c:idx val="166"/>
              <c:tx>
                <c:rich>
                  <a:bodyPr/>
                  <a:lstStyle/>
                  <a:p>
                    <a:fld id="{13F51584-70C2-40EE-8E69-7CA314D6E7D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7-C86E-4906-94D2-83CA99C1C65C}"/>
                </c:ext>
              </c:extLst>
            </c:dLbl>
            <c:dLbl>
              <c:idx val="167"/>
              <c:tx>
                <c:rich>
                  <a:bodyPr/>
                  <a:lstStyle/>
                  <a:p>
                    <a:fld id="{BA86FB57-4DDB-4210-A58D-3249AB57490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8-C86E-4906-94D2-83CA99C1C65C}"/>
                </c:ext>
              </c:extLst>
            </c:dLbl>
            <c:dLbl>
              <c:idx val="168"/>
              <c:tx>
                <c:rich>
                  <a:bodyPr/>
                  <a:lstStyle/>
                  <a:p>
                    <a:fld id="{AA88CAAC-F7FA-40C2-A528-E6C4289AEEB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9-C86E-4906-94D2-83CA99C1C65C}"/>
                </c:ext>
              </c:extLst>
            </c:dLbl>
            <c:dLbl>
              <c:idx val="169"/>
              <c:tx>
                <c:rich>
                  <a:bodyPr/>
                  <a:lstStyle/>
                  <a:p>
                    <a:fld id="{8D34EF1E-075D-4ED7-B52F-81842167763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A-C86E-4906-94D2-83CA99C1C65C}"/>
                </c:ext>
              </c:extLst>
            </c:dLbl>
            <c:dLbl>
              <c:idx val="170"/>
              <c:tx>
                <c:rich>
                  <a:bodyPr/>
                  <a:lstStyle/>
                  <a:p>
                    <a:fld id="{16FC0C4C-7B54-46CC-9949-4393A140346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B-C86E-4906-94D2-83CA99C1C65C}"/>
                </c:ext>
              </c:extLst>
            </c:dLbl>
            <c:dLbl>
              <c:idx val="171"/>
              <c:tx>
                <c:rich>
                  <a:bodyPr/>
                  <a:lstStyle/>
                  <a:p>
                    <a:fld id="{1679EC7F-6FC7-4B9E-B49D-374BFAD7428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C-C86E-4906-94D2-83CA99C1C65C}"/>
                </c:ext>
              </c:extLst>
            </c:dLbl>
            <c:dLbl>
              <c:idx val="172"/>
              <c:tx>
                <c:rich>
                  <a:bodyPr/>
                  <a:lstStyle/>
                  <a:p>
                    <a:fld id="{C8C97ED9-32E5-4984-A0A4-297C0E64467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D-C86E-4906-94D2-83CA99C1C65C}"/>
                </c:ext>
              </c:extLst>
            </c:dLbl>
            <c:dLbl>
              <c:idx val="173"/>
              <c:tx>
                <c:rich>
                  <a:bodyPr/>
                  <a:lstStyle/>
                  <a:p>
                    <a:fld id="{9E69D817-483A-4B94-BF48-C19C0DD9E0A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E-C86E-4906-94D2-83CA99C1C65C}"/>
                </c:ext>
              </c:extLst>
            </c:dLbl>
            <c:dLbl>
              <c:idx val="174"/>
              <c:tx>
                <c:rich>
                  <a:bodyPr/>
                  <a:lstStyle/>
                  <a:p>
                    <a:fld id="{8FEE9A7C-AA33-4864-B5C8-F2F31473D6F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F-C86E-4906-94D2-83CA99C1C65C}"/>
                </c:ext>
              </c:extLst>
            </c:dLbl>
            <c:dLbl>
              <c:idx val="175"/>
              <c:tx>
                <c:rich>
                  <a:bodyPr/>
                  <a:lstStyle/>
                  <a:p>
                    <a:fld id="{F7C268FF-F624-4C91-ACE4-02D9A097682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0-C86E-4906-94D2-83CA99C1C65C}"/>
                </c:ext>
              </c:extLst>
            </c:dLbl>
            <c:dLbl>
              <c:idx val="176"/>
              <c:tx>
                <c:rich>
                  <a:bodyPr/>
                  <a:lstStyle/>
                  <a:p>
                    <a:fld id="{36F49F28-D9BC-490D-B8B1-8E55B711AC2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1-C86E-4906-94D2-83CA99C1C65C}"/>
                </c:ext>
              </c:extLst>
            </c:dLbl>
            <c:dLbl>
              <c:idx val="177"/>
              <c:tx>
                <c:rich>
                  <a:bodyPr/>
                  <a:lstStyle/>
                  <a:p>
                    <a:fld id="{420CA657-D128-4733-AF27-F1585DC34CF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2-C86E-4906-94D2-83CA99C1C65C}"/>
                </c:ext>
              </c:extLst>
            </c:dLbl>
            <c:dLbl>
              <c:idx val="178"/>
              <c:tx>
                <c:rich>
                  <a:bodyPr/>
                  <a:lstStyle/>
                  <a:p>
                    <a:fld id="{B42853C0-3681-44EE-B96B-CECCE52D30E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3-C86E-4906-94D2-83CA99C1C65C}"/>
                </c:ext>
              </c:extLst>
            </c:dLbl>
            <c:dLbl>
              <c:idx val="179"/>
              <c:tx>
                <c:rich>
                  <a:bodyPr/>
                  <a:lstStyle/>
                  <a:p>
                    <a:fld id="{35B0F19C-6D58-4E58-BB54-5D145510783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4-C86E-4906-94D2-83CA99C1C65C}"/>
                </c:ext>
              </c:extLst>
            </c:dLbl>
            <c:dLbl>
              <c:idx val="180"/>
              <c:tx>
                <c:rich>
                  <a:bodyPr/>
                  <a:lstStyle/>
                  <a:p>
                    <a:fld id="{80643DE8-8D34-49CC-9A53-35E95B59285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5-C86E-4906-94D2-83CA99C1C65C}"/>
                </c:ext>
              </c:extLst>
            </c:dLbl>
            <c:dLbl>
              <c:idx val="181"/>
              <c:tx>
                <c:rich>
                  <a:bodyPr/>
                  <a:lstStyle/>
                  <a:p>
                    <a:fld id="{A92FA199-4ACD-42A3-B04B-66D31351D70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6-C86E-4906-94D2-83CA99C1C65C}"/>
                </c:ext>
              </c:extLst>
            </c:dLbl>
            <c:dLbl>
              <c:idx val="182"/>
              <c:tx>
                <c:rich>
                  <a:bodyPr/>
                  <a:lstStyle/>
                  <a:p>
                    <a:fld id="{397CC485-F820-4A13-ADA6-4106DF30999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7-C86E-4906-94D2-83CA99C1C65C}"/>
                </c:ext>
              </c:extLst>
            </c:dLbl>
            <c:dLbl>
              <c:idx val="183"/>
              <c:tx>
                <c:rich>
                  <a:bodyPr/>
                  <a:lstStyle/>
                  <a:p>
                    <a:fld id="{D58C11EA-53C4-4E88-859A-E3949364946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8-C86E-4906-94D2-83CA99C1C65C}"/>
                </c:ext>
              </c:extLst>
            </c:dLbl>
            <c:dLbl>
              <c:idx val="184"/>
              <c:tx>
                <c:rich>
                  <a:bodyPr/>
                  <a:lstStyle/>
                  <a:p>
                    <a:fld id="{2AC58BCC-1DE0-4EDC-8C22-5D7DD0568A9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9-C86E-4906-94D2-83CA99C1C65C}"/>
                </c:ext>
              </c:extLst>
            </c:dLbl>
            <c:dLbl>
              <c:idx val="185"/>
              <c:tx>
                <c:rich>
                  <a:bodyPr/>
                  <a:lstStyle/>
                  <a:p>
                    <a:fld id="{C81141CD-A3C4-40F3-A3E8-DFD92831ACC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A-C86E-4906-94D2-83CA99C1C65C}"/>
                </c:ext>
              </c:extLst>
            </c:dLbl>
            <c:dLbl>
              <c:idx val="186"/>
              <c:tx>
                <c:rich>
                  <a:bodyPr/>
                  <a:lstStyle/>
                  <a:p>
                    <a:fld id="{54807157-4FD1-46B2-9BCF-CF2328AC0D1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B-C86E-4906-94D2-83CA99C1C65C}"/>
                </c:ext>
              </c:extLst>
            </c:dLbl>
            <c:dLbl>
              <c:idx val="187"/>
              <c:tx>
                <c:rich>
                  <a:bodyPr/>
                  <a:lstStyle/>
                  <a:p>
                    <a:fld id="{F62C7859-9C52-41A0-A1F9-956795F60E3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C-C86E-4906-94D2-83CA99C1C65C}"/>
                </c:ext>
              </c:extLst>
            </c:dLbl>
            <c:dLbl>
              <c:idx val="188"/>
              <c:tx>
                <c:rich>
                  <a:bodyPr/>
                  <a:lstStyle/>
                  <a:p>
                    <a:fld id="{3F177F79-CDCC-4680-8362-94589E8D00D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D-C86E-4906-94D2-83CA99C1C65C}"/>
                </c:ext>
              </c:extLst>
            </c:dLbl>
            <c:dLbl>
              <c:idx val="189"/>
              <c:tx>
                <c:rich>
                  <a:bodyPr/>
                  <a:lstStyle/>
                  <a:p>
                    <a:fld id="{BA7F02C6-BEFF-462D-AF41-2EA1C3F0D10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E-C86E-4906-94D2-83CA99C1C65C}"/>
                </c:ext>
              </c:extLst>
            </c:dLbl>
            <c:dLbl>
              <c:idx val="190"/>
              <c:tx>
                <c:rich>
                  <a:bodyPr/>
                  <a:lstStyle/>
                  <a:p>
                    <a:fld id="{85B99D70-2FD7-4CFB-9F64-4D55721D3B0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F-C86E-4906-94D2-83CA99C1C65C}"/>
                </c:ext>
              </c:extLst>
            </c:dLbl>
            <c:dLbl>
              <c:idx val="191"/>
              <c:tx>
                <c:rich>
                  <a:bodyPr/>
                  <a:lstStyle/>
                  <a:p>
                    <a:fld id="{47CEB6E6-6CF8-45F3-B284-255A02EA132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0-C86E-4906-94D2-83CA99C1C65C}"/>
                </c:ext>
              </c:extLst>
            </c:dLbl>
            <c:dLbl>
              <c:idx val="192"/>
              <c:tx>
                <c:rich>
                  <a:bodyPr/>
                  <a:lstStyle/>
                  <a:p>
                    <a:fld id="{083050A4-65CE-407A-B8A9-319E29BEA10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1-C86E-4906-94D2-83CA99C1C65C}"/>
                </c:ext>
              </c:extLst>
            </c:dLbl>
            <c:dLbl>
              <c:idx val="193"/>
              <c:tx>
                <c:rich>
                  <a:bodyPr/>
                  <a:lstStyle/>
                  <a:p>
                    <a:fld id="{20D14E0A-6777-48C5-B578-3518699A307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2-C86E-4906-94D2-83CA99C1C65C}"/>
                </c:ext>
              </c:extLst>
            </c:dLbl>
            <c:dLbl>
              <c:idx val="194"/>
              <c:tx>
                <c:rich>
                  <a:bodyPr/>
                  <a:lstStyle/>
                  <a:p>
                    <a:fld id="{0A88A46B-88F6-466C-AF99-DAB31481E51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3-C86E-4906-94D2-83CA99C1C65C}"/>
                </c:ext>
              </c:extLst>
            </c:dLbl>
            <c:dLbl>
              <c:idx val="195"/>
              <c:tx>
                <c:rich>
                  <a:bodyPr/>
                  <a:lstStyle/>
                  <a:p>
                    <a:fld id="{A63D0A39-32B2-4DFC-A3B5-97B9428C72A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4-C86E-4906-94D2-83CA99C1C65C}"/>
                </c:ext>
              </c:extLst>
            </c:dLbl>
            <c:dLbl>
              <c:idx val="196"/>
              <c:tx>
                <c:rich>
                  <a:bodyPr/>
                  <a:lstStyle/>
                  <a:p>
                    <a:fld id="{82CD9771-F86E-415F-B8C8-2E5F9D25DC5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5-C86E-4906-94D2-83CA99C1C65C}"/>
                </c:ext>
              </c:extLst>
            </c:dLbl>
            <c:dLbl>
              <c:idx val="197"/>
              <c:tx>
                <c:rich>
                  <a:bodyPr/>
                  <a:lstStyle/>
                  <a:p>
                    <a:fld id="{2E2E1723-51EF-454F-B95F-F30A00B2C95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6-C86E-4906-94D2-83CA99C1C65C}"/>
                </c:ext>
              </c:extLst>
            </c:dLbl>
            <c:dLbl>
              <c:idx val="198"/>
              <c:tx>
                <c:rich>
                  <a:bodyPr/>
                  <a:lstStyle/>
                  <a:p>
                    <a:fld id="{CA292C42-6733-45E8-9219-F36E5E46C40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7-C86E-4906-94D2-83CA99C1C65C}"/>
                </c:ext>
              </c:extLst>
            </c:dLbl>
            <c:dLbl>
              <c:idx val="199"/>
              <c:tx>
                <c:rich>
                  <a:bodyPr/>
                  <a:lstStyle/>
                  <a:p>
                    <a:fld id="{07A3B384-C02C-4E42-812B-0C091A408D7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8-C86E-4906-94D2-83CA99C1C65C}"/>
                </c:ext>
              </c:extLst>
            </c:dLbl>
            <c:dLbl>
              <c:idx val="200"/>
              <c:tx>
                <c:rich>
                  <a:bodyPr/>
                  <a:lstStyle/>
                  <a:p>
                    <a:fld id="{78CF67F0-A25E-4957-A45D-289F92FD608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9-C86E-4906-94D2-83CA99C1C65C}"/>
                </c:ext>
              </c:extLst>
            </c:dLbl>
            <c:dLbl>
              <c:idx val="201"/>
              <c:tx>
                <c:rich>
                  <a:bodyPr/>
                  <a:lstStyle/>
                  <a:p>
                    <a:fld id="{EABC1822-6C1D-4C48-A2BD-9258D0703A7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A-C86E-4906-94D2-83CA99C1C65C}"/>
                </c:ext>
              </c:extLst>
            </c:dLbl>
            <c:dLbl>
              <c:idx val="202"/>
              <c:tx>
                <c:rich>
                  <a:bodyPr/>
                  <a:lstStyle/>
                  <a:p>
                    <a:fld id="{1ADC0221-6415-49EF-9A9B-7818A6AB224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B-C86E-4906-94D2-83CA99C1C65C}"/>
                </c:ext>
              </c:extLst>
            </c:dLbl>
            <c:dLbl>
              <c:idx val="203"/>
              <c:tx>
                <c:rich>
                  <a:bodyPr/>
                  <a:lstStyle/>
                  <a:p>
                    <a:fld id="{08B75556-BBAB-43E8-A912-A1CDC25EDE9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C-C86E-4906-94D2-83CA99C1C65C}"/>
                </c:ext>
              </c:extLst>
            </c:dLbl>
            <c:dLbl>
              <c:idx val="204"/>
              <c:tx>
                <c:rich>
                  <a:bodyPr/>
                  <a:lstStyle/>
                  <a:p>
                    <a:fld id="{0E5F660A-7DF5-45FB-9E0D-A5EBF38FA43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D-C86E-4906-94D2-83CA99C1C65C}"/>
                </c:ext>
              </c:extLst>
            </c:dLbl>
            <c:dLbl>
              <c:idx val="205"/>
              <c:tx>
                <c:rich>
                  <a:bodyPr/>
                  <a:lstStyle/>
                  <a:p>
                    <a:fld id="{885BF94D-E2E0-45C3-BB9D-4AE8CA3CD50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E-C86E-4906-94D2-83CA99C1C65C}"/>
                </c:ext>
              </c:extLst>
            </c:dLbl>
            <c:dLbl>
              <c:idx val="206"/>
              <c:tx>
                <c:rich>
                  <a:bodyPr/>
                  <a:lstStyle/>
                  <a:p>
                    <a:fld id="{E2C0C769-9593-4D33-BB18-9AC3DE72B88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F-C86E-4906-94D2-83CA99C1C65C}"/>
                </c:ext>
              </c:extLst>
            </c:dLbl>
            <c:dLbl>
              <c:idx val="207"/>
              <c:tx>
                <c:rich>
                  <a:bodyPr/>
                  <a:lstStyle/>
                  <a:p>
                    <a:fld id="{A74689E3-0571-4B75-B750-9C64C3DCD73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0-C86E-4906-94D2-83CA99C1C65C}"/>
                </c:ext>
              </c:extLst>
            </c:dLbl>
            <c:dLbl>
              <c:idx val="208"/>
              <c:tx>
                <c:rich>
                  <a:bodyPr/>
                  <a:lstStyle/>
                  <a:p>
                    <a:fld id="{F76AD947-706D-4A60-8A04-6A62B9BC052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1-C86E-4906-94D2-83CA99C1C65C}"/>
                </c:ext>
              </c:extLst>
            </c:dLbl>
            <c:dLbl>
              <c:idx val="209"/>
              <c:tx>
                <c:rich>
                  <a:bodyPr/>
                  <a:lstStyle/>
                  <a:p>
                    <a:fld id="{9A28D893-E095-417D-98B5-963F3F458DC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2-C86E-4906-94D2-83CA99C1C65C}"/>
                </c:ext>
              </c:extLst>
            </c:dLbl>
            <c:dLbl>
              <c:idx val="210"/>
              <c:tx>
                <c:rich>
                  <a:bodyPr/>
                  <a:lstStyle/>
                  <a:p>
                    <a:fld id="{B4A41AD5-911D-42E3-93BF-DD8FEFC727E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3-C86E-4906-94D2-83CA99C1C65C}"/>
                </c:ext>
              </c:extLst>
            </c:dLbl>
            <c:dLbl>
              <c:idx val="211"/>
              <c:tx>
                <c:rich>
                  <a:bodyPr/>
                  <a:lstStyle/>
                  <a:p>
                    <a:fld id="{A097585D-180E-4818-95D0-D2FD7E9B7E4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4-C86E-4906-94D2-83CA99C1C65C}"/>
                </c:ext>
              </c:extLst>
            </c:dLbl>
            <c:dLbl>
              <c:idx val="212"/>
              <c:tx>
                <c:rich>
                  <a:bodyPr/>
                  <a:lstStyle/>
                  <a:p>
                    <a:fld id="{2434D459-CDB6-463A-8C39-1718C89B30E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5-C86E-4906-94D2-83CA99C1C65C}"/>
                </c:ext>
              </c:extLst>
            </c:dLbl>
            <c:dLbl>
              <c:idx val="213"/>
              <c:tx>
                <c:rich>
                  <a:bodyPr/>
                  <a:lstStyle/>
                  <a:p>
                    <a:fld id="{7E0B9F9E-F590-4ADB-B148-53A86381CBC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6-C86E-4906-94D2-83CA99C1C65C}"/>
                </c:ext>
              </c:extLst>
            </c:dLbl>
            <c:dLbl>
              <c:idx val="214"/>
              <c:tx>
                <c:rich>
                  <a:bodyPr/>
                  <a:lstStyle/>
                  <a:p>
                    <a:fld id="{5C721447-64EA-461C-BB78-B4A3FB8526B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7-C86E-4906-94D2-83CA99C1C65C}"/>
                </c:ext>
              </c:extLst>
            </c:dLbl>
            <c:dLbl>
              <c:idx val="215"/>
              <c:tx>
                <c:rich>
                  <a:bodyPr/>
                  <a:lstStyle/>
                  <a:p>
                    <a:fld id="{F9FC02AD-B858-4C61-8463-F73D9A95CDE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8-C86E-4906-94D2-83CA99C1C65C}"/>
                </c:ext>
              </c:extLst>
            </c:dLbl>
            <c:dLbl>
              <c:idx val="216"/>
              <c:tx>
                <c:rich>
                  <a:bodyPr/>
                  <a:lstStyle/>
                  <a:p>
                    <a:fld id="{1B0D95E7-D4DA-4515-932F-4996C36030A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9-C86E-4906-94D2-83CA99C1C65C}"/>
                </c:ext>
              </c:extLst>
            </c:dLbl>
            <c:dLbl>
              <c:idx val="217"/>
              <c:tx>
                <c:rich>
                  <a:bodyPr/>
                  <a:lstStyle/>
                  <a:p>
                    <a:fld id="{FD898C9B-A128-421D-9740-124AAC67076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A-C86E-4906-94D2-83CA99C1C65C}"/>
                </c:ext>
              </c:extLst>
            </c:dLbl>
            <c:dLbl>
              <c:idx val="218"/>
              <c:tx>
                <c:rich>
                  <a:bodyPr/>
                  <a:lstStyle/>
                  <a:p>
                    <a:fld id="{D0DFEB61-EF67-4189-A40F-27EF74D49C3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B-C86E-4906-94D2-83CA99C1C65C}"/>
                </c:ext>
              </c:extLst>
            </c:dLbl>
            <c:dLbl>
              <c:idx val="219"/>
              <c:tx>
                <c:rich>
                  <a:bodyPr/>
                  <a:lstStyle/>
                  <a:p>
                    <a:fld id="{49282B42-5775-40D6-AB44-FBEC6AF2A11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C-C86E-4906-94D2-83CA99C1C65C}"/>
                </c:ext>
              </c:extLst>
            </c:dLbl>
            <c:dLbl>
              <c:idx val="220"/>
              <c:tx>
                <c:rich>
                  <a:bodyPr/>
                  <a:lstStyle/>
                  <a:p>
                    <a:fld id="{6C97220D-30E5-4B27-9FA3-593AE4CD267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D-C86E-4906-94D2-83CA99C1C65C}"/>
                </c:ext>
              </c:extLst>
            </c:dLbl>
            <c:dLbl>
              <c:idx val="221"/>
              <c:tx>
                <c:rich>
                  <a:bodyPr/>
                  <a:lstStyle/>
                  <a:p>
                    <a:fld id="{415E6386-3AAD-4C31-BEA6-75414D8AEE6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E-C86E-4906-94D2-83CA99C1C65C}"/>
                </c:ext>
              </c:extLst>
            </c:dLbl>
            <c:dLbl>
              <c:idx val="222"/>
              <c:tx>
                <c:rich>
                  <a:bodyPr/>
                  <a:lstStyle/>
                  <a:p>
                    <a:fld id="{F07B17FB-EC51-4BDB-A363-FF4F95357CD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F-C86E-4906-94D2-83CA99C1C65C}"/>
                </c:ext>
              </c:extLst>
            </c:dLbl>
            <c:dLbl>
              <c:idx val="223"/>
              <c:tx>
                <c:rich>
                  <a:bodyPr/>
                  <a:lstStyle/>
                  <a:p>
                    <a:fld id="{D71C5036-F45A-4F99-A1FB-B60A77A13F1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0-C86E-4906-94D2-83CA99C1C65C}"/>
                </c:ext>
              </c:extLst>
            </c:dLbl>
            <c:dLbl>
              <c:idx val="224"/>
              <c:tx>
                <c:rich>
                  <a:bodyPr/>
                  <a:lstStyle/>
                  <a:p>
                    <a:fld id="{679EF8E5-7488-4420-B113-D401403DAF8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1-C86E-4906-94D2-83CA99C1C65C}"/>
                </c:ext>
              </c:extLst>
            </c:dLbl>
            <c:dLbl>
              <c:idx val="225"/>
              <c:tx>
                <c:rich>
                  <a:bodyPr/>
                  <a:lstStyle/>
                  <a:p>
                    <a:fld id="{796C2318-7C6C-405C-AEB2-D13A32A88BA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2-C86E-4906-94D2-83CA99C1C65C}"/>
                </c:ext>
              </c:extLst>
            </c:dLbl>
            <c:dLbl>
              <c:idx val="22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3-C86E-4906-94D2-83CA99C1C65C}"/>
                </c:ext>
              </c:extLst>
            </c:dLbl>
            <c:dLbl>
              <c:idx val="22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4-C86E-4906-94D2-83CA99C1C65C}"/>
                </c:ext>
              </c:extLst>
            </c:dLbl>
            <c:dLbl>
              <c:idx val="22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5-C86E-4906-94D2-83CA99C1C65C}"/>
                </c:ext>
              </c:extLst>
            </c:dLbl>
            <c:dLbl>
              <c:idx val="22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6-C86E-4906-94D2-83CA99C1C65C}"/>
                </c:ext>
              </c:extLst>
            </c:dLbl>
            <c:dLbl>
              <c:idx val="23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7-C86E-4906-94D2-83CA99C1C65C}"/>
                </c:ext>
              </c:extLst>
            </c:dLbl>
            <c:dLbl>
              <c:idx val="23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8-C86E-4906-94D2-83CA99C1C65C}"/>
                </c:ext>
              </c:extLst>
            </c:dLbl>
            <c:dLbl>
              <c:idx val="23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9-C86E-4906-94D2-83CA99C1C65C}"/>
                </c:ext>
              </c:extLst>
            </c:dLbl>
            <c:dLbl>
              <c:idx val="23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A-C86E-4906-94D2-83CA99C1C65C}"/>
                </c:ext>
              </c:extLst>
            </c:dLbl>
            <c:dLbl>
              <c:idx val="23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B-C86E-4906-94D2-83CA99C1C65C}"/>
                </c:ext>
              </c:extLst>
            </c:dLbl>
            <c:dLbl>
              <c:idx val="23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C-C86E-4906-94D2-83CA99C1C65C}"/>
                </c:ext>
              </c:extLst>
            </c:dLbl>
            <c:dLbl>
              <c:idx val="23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D-C86E-4906-94D2-83CA99C1C65C}"/>
                </c:ext>
              </c:extLst>
            </c:dLbl>
            <c:dLbl>
              <c:idx val="23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E-C86E-4906-94D2-83CA99C1C65C}"/>
                </c:ext>
              </c:extLst>
            </c:dLbl>
            <c:dLbl>
              <c:idx val="23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F-C86E-4906-94D2-83CA99C1C65C}"/>
                </c:ext>
              </c:extLst>
            </c:dLbl>
            <c:dLbl>
              <c:idx val="23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0-C86E-4906-94D2-83CA99C1C65C}"/>
                </c:ext>
              </c:extLst>
            </c:dLbl>
            <c:dLbl>
              <c:idx val="24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1-C86E-4906-94D2-83CA99C1C65C}"/>
                </c:ext>
              </c:extLst>
            </c:dLbl>
            <c:dLbl>
              <c:idx val="24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2-C86E-4906-94D2-83CA99C1C65C}"/>
                </c:ext>
              </c:extLst>
            </c:dLbl>
            <c:dLbl>
              <c:idx val="24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3-C86E-4906-94D2-83CA99C1C65C}"/>
                </c:ext>
              </c:extLst>
            </c:dLbl>
            <c:dLbl>
              <c:idx val="24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4-C86E-4906-94D2-83CA99C1C65C}"/>
                </c:ext>
              </c:extLst>
            </c:dLbl>
            <c:dLbl>
              <c:idx val="24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5-C86E-4906-94D2-83CA99C1C65C}"/>
                </c:ext>
              </c:extLst>
            </c:dLbl>
            <c:dLbl>
              <c:idx val="24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6-C86E-4906-94D2-83CA99C1C65C}"/>
                </c:ext>
              </c:extLst>
            </c:dLbl>
            <c:dLbl>
              <c:idx val="24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7-C86E-4906-94D2-83CA99C1C65C}"/>
                </c:ext>
              </c:extLst>
            </c:dLbl>
            <c:dLbl>
              <c:idx val="24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8-C86E-4906-94D2-83CA99C1C65C}"/>
                </c:ext>
              </c:extLst>
            </c:dLbl>
            <c:dLbl>
              <c:idx val="24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9-C86E-4906-94D2-83CA99C1C65C}"/>
                </c:ext>
              </c:extLst>
            </c:dLbl>
            <c:dLbl>
              <c:idx val="24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A-C86E-4906-94D2-83CA99C1C65C}"/>
                </c:ext>
              </c:extLst>
            </c:dLbl>
            <c:dLbl>
              <c:idx val="25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B-C86E-4906-94D2-83CA99C1C65C}"/>
                </c:ext>
              </c:extLst>
            </c:dLbl>
            <c:dLbl>
              <c:idx val="25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C-C86E-4906-94D2-83CA99C1C65C}"/>
                </c:ext>
              </c:extLst>
            </c:dLbl>
            <c:dLbl>
              <c:idx val="25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D-C86E-4906-94D2-83CA99C1C65C}"/>
                </c:ext>
              </c:extLst>
            </c:dLbl>
            <c:dLbl>
              <c:idx val="25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E-C86E-4906-94D2-83CA99C1C65C}"/>
                </c:ext>
              </c:extLst>
            </c:dLbl>
            <c:dLbl>
              <c:idx val="25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F-C86E-4906-94D2-83CA99C1C65C}"/>
                </c:ext>
              </c:extLst>
            </c:dLbl>
            <c:dLbl>
              <c:idx val="25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0-C86E-4906-94D2-83CA99C1C65C}"/>
                </c:ext>
              </c:extLst>
            </c:dLbl>
            <c:dLbl>
              <c:idx val="25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1-C86E-4906-94D2-83CA99C1C65C}"/>
                </c:ext>
              </c:extLst>
            </c:dLbl>
            <c:dLbl>
              <c:idx val="25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2-C86E-4906-94D2-83CA99C1C65C}"/>
                </c:ext>
              </c:extLst>
            </c:dLbl>
            <c:dLbl>
              <c:idx val="25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3-C86E-4906-94D2-83CA99C1C65C}"/>
                </c:ext>
              </c:extLst>
            </c:dLbl>
            <c:dLbl>
              <c:idx val="25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4-C86E-4906-94D2-83CA99C1C65C}"/>
                </c:ext>
              </c:extLst>
            </c:dLbl>
            <c:dLbl>
              <c:idx val="26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5-C86E-4906-94D2-83CA99C1C65C}"/>
                </c:ext>
              </c:extLst>
            </c:dLbl>
            <c:dLbl>
              <c:idx val="26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6-C86E-4906-94D2-83CA99C1C65C}"/>
                </c:ext>
              </c:extLst>
            </c:dLbl>
            <c:dLbl>
              <c:idx val="26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7-C86E-4906-94D2-83CA99C1C65C}"/>
                </c:ext>
              </c:extLst>
            </c:dLbl>
            <c:dLbl>
              <c:idx val="26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8-C86E-4906-94D2-83CA99C1C65C}"/>
                </c:ext>
              </c:extLst>
            </c:dLbl>
            <c:dLbl>
              <c:idx val="26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9-C86E-4906-94D2-83CA99C1C65C}"/>
                </c:ext>
              </c:extLst>
            </c:dLbl>
            <c:dLbl>
              <c:idx val="26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A-C86E-4906-94D2-83CA99C1C65C}"/>
                </c:ext>
              </c:extLst>
            </c:dLbl>
            <c:dLbl>
              <c:idx val="26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B-C86E-4906-94D2-83CA99C1C65C}"/>
                </c:ext>
              </c:extLst>
            </c:dLbl>
            <c:dLbl>
              <c:idx val="26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C-C86E-4906-94D2-83CA99C1C65C}"/>
                </c:ext>
              </c:extLst>
            </c:dLbl>
            <c:dLbl>
              <c:idx val="26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D-C86E-4906-94D2-83CA99C1C65C}"/>
                </c:ext>
              </c:extLst>
            </c:dLbl>
            <c:dLbl>
              <c:idx val="26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E-C86E-4906-94D2-83CA99C1C65C}"/>
                </c:ext>
              </c:extLst>
            </c:dLbl>
            <c:dLbl>
              <c:idx val="27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F-C86E-4906-94D2-83CA99C1C65C}"/>
                </c:ext>
              </c:extLst>
            </c:dLbl>
            <c:dLbl>
              <c:idx val="27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0-C86E-4906-94D2-83CA99C1C65C}"/>
                </c:ext>
              </c:extLst>
            </c:dLbl>
            <c:dLbl>
              <c:idx val="27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1-C86E-4906-94D2-83CA99C1C65C}"/>
                </c:ext>
              </c:extLst>
            </c:dLbl>
            <c:dLbl>
              <c:idx val="27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2-C86E-4906-94D2-83CA99C1C65C}"/>
                </c:ext>
              </c:extLst>
            </c:dLbl>
            <c:dLbl>
              <c:idx val="27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3-C86E-4906-94D2-83CA99C1C65C}"/>
                </c:ext>
              </c:extLst>
            </c:dLbl>
            <c:dLbl>
              <c:idx val="27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4-C86E-4906-94D2-83CA99C1C65C}"/>
                </c:ext>
              </c:extLst>
            </c:dLbl>
            <c:dLbl>
              <c:idx val="27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5-C86E-4906-94D2-83CA99C1C65C}"/>
                </c:ext>
              </c:extLst>
            </c:dLbl>
            <c:dLbl>
              <c:idx val="27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6-C86E-4906-94D2-83CA99C1C65C}"/>
                </c:ext>
              </c:extLst>
            </c:dLbl>
            <c:dLbl>
              <c:idx val="27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7-C86E-4906-94D2-83CA99C1C65C}"/>
                </c:ext>
              </c:extLst>
            </c:dLbl>
            <c:dLbl>
              <c:idx val="27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8-C86E-4906-94D2-83CA99C1C65C}"/>
                </c:ext>
              </c:extLst>
            </c:dLbl>
            <c:dLbl>
              <c:idx val="28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9-C86E-4906-94D2-83CA99C1C65C}"/>
                </c:ext>
              </c:extLst>
            </c:dLbl>
            <c:dLbl>
              <c:idx val="28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A-C86E-4906-94D2-83CA99C1C65C}"/>
                </c:ext>
              </c:extLst>
            </c:dLbl>
            <c:dLbl>
              <c:idx val="28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B-C86E-4906-94D2-83CA99C1C65C}"/>
                </c:ext>
              </c:extLst>
            </c:dLbl>
            <c:dLbl>
              <c:idx val="28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C-C86E-4906-94D2-83CA99C1C65C}"/>
                </c:ext>
              </c:extLst>
            </c:dLbl>
            <c:dLbl>
              <c:idx val="28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D-C86E-4906-94D2-83CA99C1C65C}"/>
                </c:ext>
              </c:extLst>
            </c:dLbl>
            <c:dLbl>
              <c:idx val="28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E-C86E-4906-94D2-83CA99C1C65C}"/>
                </c:ext>
              </c:extLst>
            </c:dLbl>
            <c:dLbl>
              <c:idx val="28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F-C86E-4906-94D2-83CA99C1C65C}"/>
                </c:ext>
              </c:extLst>
            </c:dLbl>
            <c:dLbl>
              <c:idx val="28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0-C86E-4906-94D2-83CA99C1C65C}"/>
                </c:ext>
              </c:extLst>
            </c:dLbl>
            <c:dLbl>
              <c:idx val="28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1-C86E-4906-94D2-83CA99C1C65C}"/>
                </c:ext>
              </c:extLst>
            </c:dLbl>
            <c:dLbl>
              <c:idx val="28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2-C86E-4906-94D2-83CA99C1C65C}"/>
                </c:ext>
              </c:extLst>
            </c:dLbl>
            <c:dLbl>
              <c:idx val="29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3-C86E-4906-94D2-83CA99C1C65C}"/>
                </c:ext>
              </c:extLst>
            </c:dLbl>
            <c:dLbl>
              <c:idx val="29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4-C86E-4906-94D2-83CA99C1C65C}"/>
                </c:ext>
              </c:extLst>
            </c:dLbl>
            <c:dLbl>
              <c:idx val="29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5-C86E-4906-94D2-83CA99C1C65C}"/>
                </c:ext>
              </c:extLst>
            </c:dLbl>
            <c:dLbl>
              <c:idx val="29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6-C86E-4906-94D2-83CA99C1C65C}"/>
                </c:ext>
              </c:extLst>
            </c:dLbl>
            <c:dLbl>
              <c:idx val="29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7-C86E-4906-94D2-83CA99C1C65C}"/>
                </c:ext>
              </c:extLst>
            </c:dLbl>
            <c:dLbl>
              <c:idx val="29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8-C86E-4906-94D2-83CA99C1C65C}"/>
                </c:ext>
              </c:extLst>
            </c:dLbl>
            <c:dLbl>
              <c:idx val="29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9-C86E-4906-94D2-83CA99C1C65C}"/>
                </c:ext>
              </c:extLst>
            </c:dLbl>
            <c:dLbl>
              <c:idx val="29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A-C86E-4906-94D2-83CA99C1C65C}"/>
                </c:ext>
              </c:extLst>
            </c:dLbl>
            <c:dLbl>
              <c:idx val="29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B-C86E-4906-94D2-83CA99C1C65C}"/>
                </c:ext>
              </c:extLst>
            </c:dLbl>
            <c:spPr>
              <a:noFill/>
              <a:ln>
                <a:noFill/>
              </a:ln>
              <a:effectLst/>
            </c:spPr>
            <c:txPr>
              <a:bodyPr rot="-5400000" vert="horz" wrap="square" lIns="38100" tIns="19050" rIns="38100" bIns="19050" anchor="ctr">
                <a:spAutoFit/>
              </a:bodyPr>
              <a:lstStyle/>
              <a:p>
                <a:pPr>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ext>
            </c:extLst>
          </c:dLbls>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NormalisedUVVisData!$E$2:$E$300</c:f>
              <c:numCache>
                <c:formatCode>General</c:formatCode>
                <c:ptCount val="299"/>
                <c:pt idx="0">
                  <c:v>99.999992370605469</c:v>
                </c:pt>
                <c:pt idx="1">
                  <c:v>96.313385009765625</c:v>
                </c:pt>
                <c:pt idx="2">
                  <c:v>91.428001403808594</c:v>
                </c:pt>
                <c:pt idx="3">
                  <c:v>86.724761962890625</c:v>
                </c:pt>
                <c:pt idx="4">
                  <c:v>82.479804992675781</c:v>
                </c:pt>
                <c:pt idx="5">
                  <c:v>78.455810546875</c:v>
                </c:pt>
                <c:pt idx="6">
                  <c:v>74.741767883300781</c:v>
                </c:pt>
                <c:pt idx="7">
                  <c:v>71.81427001953125</c:v>
                </c:pt>
                <c:pt idx="8">
                  <c:v>69.602897644042969</c:v>
                </c:pt>
                <c:pt idx="9">
                  <c:v>67.495758056640625</c:v>
                </c:pt>
                <c:pt idx="10">
                  <c:v>65.735015869140625</c:v>
                </c:pt>
                <c:pt idx="11">
                  <c:v>63.61700439453125</c:v>
                </c:pt>
                <c:pt idx="12">
                  <c:v>61.206089019775391</c:v>
                </c:pt>
                <c:pt idx="13">
                  <c:v>58.938514709472656</c:v>
                </c:pt>
                <c:pt idx="14">
                  <c:v>57.665523529052734</c:v>
                </c:pt>
                <c:pt idx="15">
                  <c:v>58.564010620117188</c:v>
                </c:pt>
                <c:pt idx="16">
                  <c:v>62.123126983642578</c:v>
                </c:pt>
                <c:pt idx="17">
                  <c:v>67.814529418945313</c:v>
                </c:pt>
                <c:pt idx="18">
                  <c:v>74.210151672363281</c:v>
                </c:pt>
                <c:pt idx="19">
                  <c:v>80.689949035644531</c:v>
                </c:pt>
                <c:pt idx="20">
                  <c:v>85.626007080078125</c:v>
                </c:pt>
                <c:pt idx="21">
                  <c:v>88.4072265625</c:v>
                </c:pt>
                <c:pt idx="22">
                  <c:v>88.032981872558594</c:v>
                </c:pt>
                <c:pt idx="23">
                  <c:v>84.759361267089844</c:v>
                </c:pt>
                <c:pt idx="24">
                  <c:v>79.8458251953125</c:v>
                </c:pt>
                <c:pt idx="25">
                  <c:v>74.411483764648438</c:v>
                </c:pt>
                <c:pt idx="26">
                  <c:v>68.990303039550781</c:v>
                </c:pt>
                <c:pt idx="27">
                  <c:v>63.691951751708984</c:v>
                </c:pt>
                <c:pt idx="28">
                  <c:v>57.368038177490234</c:v>
                </c:pt>
                <c:pt idx="29">
                  <c:v>50.319446563720703</c:v>
                </c:pt>
                <c:pt idx="30">
                  <c:v>42.947925567626953</c:v>
                </c:pt>
                <c:pt idx="31">
                  <c:v>36.311244964599609</c:v>
                </c:pt>
                <c:pt idx="32">
                  <c:v>30.58531379699707</c:v>
                </c:pt>
                <c:pt idx="33">
                  <c:v>26.507911682128906</c:v>
                </c:pt>
                <c:pt idx="34">
                  <c:v>23.721824645996094</c:v>
                </c:pt>
                <c:pt idx="35">
                  <c:v>21.681755065917969</c:v>
                </c:pt>
                <c:pt idx="36">
                  <c:v>20.392282485961914</c:v>
                </c:pt>
                <c:pt idx="37">
                  <c:v>19.492061614990234</c:v>
                </c:pt>
                <c:pt idx="38">
                  <c:v>18.890361785888672</c:v>
                </c:pt>
                <c:pt idx="39">
                  <c:v>18.276115417480469</c:v>
                </c:pt>
                <c:pt idx="40">
                  <c:v>17.823003768920898</c:v>
                </c:pt>
                <c:pt idx="41">
                  <c:v>17.469564437866211</c:v>
                </c:pt>
                <c:pt idx="42">
                  <c:v>17.205043792724609</c:v>
                </c:pt>
                <c:pt idx="43">
                  <c:v>16.932113647460938</c:v>
                </c:pt>
                <c:pt idx="44">
                  <c:v>16.665525436401367</c:v>
                </c:pt>
                <c:pt idx="45">
                  <c:v>16.493303298950195</c:v>
                </c:pt>
                <c:pt idx="46">
                  <c:v>16.493917465209961</c:v>
                </c:pt>
                <c:pt idx="47">
                  <c:v>16.879594802856445</c:v>
                </c:pt>
                <c:pt idx="48">
                  <c:v>17.313684463500977</c:v>
                </c:pt>
                <c:pt idx="49">
                  <c:v>17.88398551940918</c:v>
                </c:pt>
                <c:pt idx="50">
                  <c:v>18.624332427978516</c:v>
                </c:pt>
                <c:pt idx="51">
                  <c:v>19.588998794555664</c:v>
                </c:pt>
                <c:pt idx="52">
                  <c:v>21.031389236450195</c:v>
                </c:pt>
                <c:pt idx="53">
                  <c:v>22.785457611083984</c:v>
                </c:pt>
                <c:pt idx="54">
                  <c:v>24.353137969970703</c:v>
                </c:pt>
                <c:pt idx="55">
                  <c:v>26.108406066894531</c:v>
                </c:pt>
                <c:pt idx="56">
                  <c:v>28.110204696655273</c:v>
                </c:pt>
                <c:pt idx="57">
                  <c:v>30.062725067138672</c:v>
                </c:pt>
                <c:pt idx="58">
                  <c:v>32.152324676513672</c:v>
                </c:pt>
                <c:pt idx="59">
                  <c:v>34.030174255371094</c:v>
                </c:pt>
                <c:pt idx="60">
                  <c:v>35.689624786376953</c:v>
                </c:pt>
                <c:pt idx="61">
                  <c:v>37.201072692871094</c:v>
                </c:pt>
                <c:pt idx="62">
                  <c:v>38.297454833984375</c:v>
                </c:pt>
                <c:pt idx="63">
                  <c:v>38.833564758300781</c:v>
                </c:pt>
                <c:pt idx="64">
                  <c:v>38.592033386230469</c:v>
                </c:pt>
                <c:pt idx="65">
                  <c:v>37.962898254394531</c:v>
                </c:pt>
                <c:pt idx="66">
                  <c:v>36.895122528076172</c:v>
                </c:pt>
                <c:pt idx="67">
                  <c:v>35.0928955078125</c:v>
                </c:pt>
                <c:pt idx="68">
                  <c:v>33.116489410400391</c:v>
                </c:pt>
                <c:pt idx="69">
                  <c:v>30.710073471069336</c:v>
                </c:pt>
                <c:pt idx="70">
                  <c:v>28.315921783447266</c:v>
                </c:pt>
                <c:pt idx="71">
                  <c:v>25.979316711425781</c:v>
                </c:pt>
                <c:pt idx="72">
                  <c:v>23.177223205566406</c:v>
                </c:pt>
                <c:pt idx="73">
                  <c:v>20.275344848632813</c:v>
                </c:pt>
                <c:pt idx="74">
                  <c:v>17.729949951171875</c:v>
                </c:pt>
                <c:pt idx="75">
                  <c:v>15.311857223510742</c:v>
                </c:pt>
                <c:pt idx="76">
                  <c:v>13.084535598754883</c:v>
                </c:pt>
                <c:pt idx="77">
                  <c:v>11.221911430358887</c:v>
                </c:pt>
                <c:pt idx="78">
                  <c:v>9.8791103363037109</c:v>
                </c:pt>
                <c:pt idx="79">
                  <c:v>8.8580694198608398</c:v>
                </c:pt>
                <c:pt idx="80">
                  <c:v>7.902928352355957</c:v>
                </c:pt>
                <c:pt idx="81">
                  <c:v>7.2587652206420898</c:v>
                </c:pt>
                <c:pt idx="82">
                  <c:v>6.8395099639892578</c:v>
                </c:pt>
                <c:pt idx="83">
                  <c:v>6.4712085723876953</c:v>
                </c:pt>
                <c:pt idx="84">
                  <c:v>6.1511802673339844</c:v>
                </c:pt>
                <c:pt idx="85">
                  <c:v>5.9894061088562012</c:v>
                </c:pt>
                <c:pt idx="86">
                  <c:v>5.8842010498046875</c:v>
                </c:pt>
                <c:pt idx="87">
                  <c:v>5.7669839859008789</c:v>
                </c:pt>
                <c:pt idx="88">
                  <c:v>5.7522897720336914</c:v>
                </c:pt>
                <c:pt idx="89">
                  <c:v>6.1564598083496094</c:v>
                </c:pt>
                <c:pt idx="90">
                  <c:v>6.3174242973327637</c:v>
                </c:pt>
                <c:pt idx="91">
                  <c:v>6.5211014747619629</c:v>
                </c:pt>
                <c:pt idx="92">
                  <c:v>6.7673802375793457</c:v>
                </c:pt>
                <c:pt idx="93">
                  <c:v>6.4954009056091309</c:v>
                </c:pt>
                <c:pt idx="94">
                  <c:v>6.4653701782226563</c:v>
                </c:pt>
                <c:pt idx="95">
                  <c:v>6.9073929786682129</c:v>
                </c:pt>
                <c:pt idx="96">
                  <c:v>7.2470879554748535</c:v>
                </c:pt>
                <c:pt idx="97">
                  <c:v>7.310417652130127</c:v>
                </c:pt>
                <c:pt idx="98">
                  <c:v>7.6275968551635742</c:v>
                </c:pt>
                <c:pt idx="99">
                  <c:v>8.1538724899291992</c:v>
                </c:pt>
                <c:pt idx="100">
                  <c:v>8.4685373306274414</c:v>
                </c:pt>
                <c:pt idx="101">
                  <c:v>8.6151704788208008</c:v>
                </c:pt>
                <c:pt idx="102">
                  <c:v>8.7582006454467773</c:v>
                </c:pt>
                <c:pt idx="103">
                  <c:v>9.291041374206543</c:v>
                </c:pt>
                <c:pt idx="104">
                  <c:v>9.6305685043334961</c:v>
                </c:pt>
                <c:pt idx="105">
                  <c:v>10.003842353820801</c:v>
                </c:pt>
                <c:pt idx="106">
                  <c:v>10.697256088256836</c:v>
                </c:pt>
                <c:pt idx="107">
                  <c:v>10.977532386779785</c:v>
                </c:pt>
                <c:pt idx="108">
                  <c:v>11.214872360229492</c:v>
                </c:pt>
                <c:pt idx="109">
                  <c:v>11.678125381469727</c:v>
                </c:pt>
                <c:pt idx="110">
                  <c:v>12.143670082092285</c:v>
                </c:pt>
                <c:pt idx="111">
                  <c:v>12.493477821350098</c:v>
                </c:pt>
                <c:pt idx="112">
                  <c:v>13.22957706451416</c:v>
                </c:pt>
                <c:pt idx="113">
                  <c:v>13.947434425354004</c:v>
                </c:pt>
                <c:pt idx="114">
                  <c:v>14.166922569274902</c:v>
                </c:pt>
                <c:pt idx="115">
                  <c:v>14.661938667297363</c:v>
                </c:pt>
                <c:pt idx="116">
                  <c:v>15.486621856689453</c:v>
                </c:pt>
                <c:pt idx="117">
                  <c:v>16.311807632446289</c:v>
                </c:pt>
                <c:pt idx="118">
                  <c:v>16.606832504272461</c:v>
                </c:pt>
                <c:pt idx="119">
                  <c:v>17.241945266723633</c:v>
                </c:pt>
                <c:pt idx="120">
                  <c:v>18.049642562866211</c:v>
                </c:pt>
                <c:pt idx="121">
                  <c:v>18.559158325195313</c:v>
                </c:pt>
                <c:pt idx="122">
                  <c:v>19.217653274536133</c:v>
                </c:pt>
                <c:pt idx="123">
                  <c:v>19.546285629272461</c:v>
                </c:pt>
                <c:pt idx="124">
                  <c:v>20.044597625732422</c:v>
                </c:pt>
                <c:pt idx="125">
                  <c:v>20.850898742675781</c:v>
                </c:pt>
                <c:pt idx="126">
                  <c:v>21.666753768920898</c:v>
                </c:pt>
                <c:pt idx="127">
                  <c:v>22.511661529541016</c:v>
                </c:pt>
                <c:pt idx="128">
                  <c:v>22.764225006103516</c:v>
                </c:pt>
                <c:pt idx="129">
                  <c:v>23.416128158569336</c:v>
                </c:pt>
                <c:pt idx="130">
                  <c:v>24.662746429443359</c:v>
                </c:pt>
                <c:pt idx="131">
                  <c:v>25.45756721496582</c:v>
                </c:pt>
                <c:pt idx="132">
                  <c:v>26.087148666381836</c:v>
                </c:pt>
                <c:pt idx="133">
                  <c:v>27.129671096801758</c:v>
                </c:pt>
                <c:pt idx="134">
                  <c:v>27.915048599243164</c:v>
                </c:pt>
                <c:pt idx="135">
                  <c:v>28.297037124633789</c:v>
                </c:pt>
                <c:pt idx="136">
                  <c:v>30.633083343505859</c:v>
                </c:pt>
                <c:pt idx="137">
                  <c:v>31.658231735229492</c:v>
                </c:pt>
                <c:pt idx="138">
                  <c:v>29.875585556030273</c:v>
                </c:pt>
                <c:pt idx="139">
                  <c:v>29.093282699584961</c:v>
                </c:pt>
                <c:pt idx="140">
                  <c:v>29.169937133789063</c:v>
                </c:pt>
                <c:pt idx="141">
                  <c:v>28.668355941772461</c:v>
                </c:pt>
                <c:pt idx="142">
                  <c:v>29.09001350402832</c:v>
                </c:pt>
                <c:pt idx="143">
                  <c:v>30.172092437744141</c:v>
                </c:pt>
                <c:pt idx="144">
                  <c:v>30.719572067260742</c:v>
                </c:pt>
                <c:pt idx="145">
                  <c:v>31.137430191040039</c:v>
                </c:pt>
                <c:pt idx="146">
                  <c:v>33.267147064208984</c:v>
                </c:pt>
                <c:pt idx="147">
                  <c:v>33.924411773681641</c:v>
                </c:pt>
                <c:pt idx="148">
                  <c:v>32.469924926757813</c:v>
                </c:pt>
                <c:pt idx="149">
                  <c:v>32.855796813964844</c:v>
                </c:pt>
                <c:pt idx="150">
                  <c:v>34.571369171142578</c:v>
                </c:pt>
                <c:pt idx="151">
                  <c:v>34.030593872070313</c:v>
                </c:pt>
                <c:pt idx="152">
                  <c:v>33.368495941162109</c:v>
                </c:pt>
                <c:pt idx="153">
                  <c:v>32.361618041992188</c:v>
                </c:pt>
                <c:pt idx="154">
                  <c:v>30.906291961669922</c:v>
                </c:pt>
                <c:pt idx="155">
                  <c:v>29.211729049682617</c:v>
                </c:pt>
                <c:pt idx="156">
                  <c:v>28.004720687866211</c:v>
                </c:pt>
                <c:pt idx="157">
                  <c:v>26.318759918212891</c:v>
                </c:pt>
                <c:pt idx="158">
                  <c:v>25.066162109375</c:v>
                </c:pt>
                <c:pt idx="159">
                  <c:v>24.719261169433594</c:v>
                </c:pt>
                <c:pt idx="160">
                  <c:v>23.524824142456055</c:v>
                </c:pt>
                <c:pt idx="161">
                  <c:v>23.047155380249023</c:v>
                </c:pt>
                <c:pt idx="162">
                  <c:v>23.090120315551758</c:v>
                </c:pt>
                <c:pt idx="163">
                  <c:v>23.345703125</c:v>
                </c:pt>
                <c:pt idx="164">
                  <c:v>24.130577087402344</c:v>
                </c:pt>
                <c:pt idx="165">
                  <c:v>24.014448165893555</c:v>
                </c:pt>
                <c:pt idx="166">
                  <c:v>24.014896392822266</c:v>
                </c:pt>
                <c:pt idx="167">
                  <c:v>24.794099807739258</c:v>
                </c:pt>
                <c:pt idx="168">
                  <c:v>24.772588729858398</c:v>
                </c:pt>
                <c:pt idx="169">
                  <c:v>24.322660446166992</c:v>
                </c:pt>
                <c:pt idx="170">
                  <c:v>23.028495788574219</c:v>
                </c:pt>
                <c:pt idx="171">
                  <c:v>21.181989669799805</c:v>
                </c:pt>
                <c:pt idx="172">
                  <c:v>18.801666259765625</c:v>
                </c:pt>
                <c:pt idx="173">
                  <c:v>16.595239639282227</c:v>
                </c:pt>
                <c:pt idx="174">
                  <c:v>14.174884796142578</c:v>
                </c:pt>
                <c:pt idx="175">
                  <c:v>11.355247497558594</c:v>
                </c:pt>
                <c:pt idx="176">
                  <c:v>9.8732156753540039</c:v>
                </c:pt>
                <c:pt idx="177">
                  <c:v>8.3727750778198242</c:v>
                </c:pt>
                <c:pt idx="178">
                  <c:v>7.0740556716918945</c:v>
                </c:pt>
                <c:pt idx="179">
                  <c:v>6.2033915519714355</c:v>
                </c:pt>
                <c:pt idx="180">
                  <c:v>5.2561283111572266</c:v>
                </c:pt>
                <c:pt idx="181">
                  <c:v>4.5789728164672852</c:v>
                </c:pt>
                <c:pt idx="182">
                  <c:v>4.4388489723205566</c:v>
                </c:pt>
                <c:pt idx="183">
                  <c:v>4.0950193405151367</c:v>
                </c:pt>
                <c:pt idx="184">
                  <c:v>3.3387227058410645</c:v>
                </c:pt>
                <c:pt idx="185">
                  <c:v>3.106299877166748</c:v>
                </c:pt>
                <c:pt idx="186">
                  <c:v>3.1979279518127441</c:v>
                </c:pt>
                <c:pt idx="187">
                  <c:v>3.0509874820709229</c:v>
                </c:pt>
                <c:pt idx="188">
                  <c:v>3.4416928291320801</c:v>
                </c:pt>
                <c:pt idx="189">
                  <c:v>3.2458932399749756</c:v>
                </c:pt>
                <c:pt idx="190">
                  <c:v>3.0881416797637939</c:v>
                </c:pt>
                <c:pt idx="191">
                  <c:v>2.9959268569946289</c:v>
                </c:pt>
                <c:pt idx="192">
                  <c:v>2.8403820991516113</c:v>
                </c:pt>
                <c:pt idx="193">
                  <c:v>3.6947879791259766</c:v>
                </c:pt>
                <c:pt idx="194">
                  <c:v>3.233461856842041</c:v>
                </c:pt>
                <c:pt idx="195">
                  <c:v>3.2141585350036621</c:v>
                </c:pt>
                <c:pt idx="196">
                  <c:v>2.6994199752807617</c:v>
                </c:pt>
                <c:pt idx="197">
                  <c:v>2.1759653091430664</c:v>
                </c:pt>
                <c:pt idx="198">
                  <c:v>2.2765610218048096</c:v>
                </c:pt>
                <c:pt idx="199">
                  <c:v>2.9608957767486572</c:v>
                </c:pt>
                <c:pt idx="200">
                  <c:v>2.6172058582305908</c:v>
                </c:pt>
                <c:pt idx="201">
                  <c:v>2.5654973983764648</c:v>
                </c:pt>
                <c:pt idx="202">
                  <c:v>3.2606151103973389</c:v>
                </c:pt>
                <c:pt idx="203">
                  <c:v>2.5728163719177246</c:v>
                </c:pt>
                <c:pt idx="204">
                  <c:v>2.9803388118743896</c:v>
                </c:pt>
                <c:pt idx="205">
                  <c:v>2.5963659286499023</c:v>
                </c:pt>
                <c:pt idx="206">
                  <c:v>2.6882457733154297</c:v>
                </c:pt>
                <c:pt idx="207">
                  <c:v>2.2814216613769531</c:v>
                </c:pt>
                <c:pt idx="208">
                  <c:v>2.5095984935760498</c:v>
                </c:pt>
                <c:pt idx="209">
                  <c:v>2.5065255165100098</c:v>
                </c:pt>
                <c:pt idx="210">
                  <c:v>2.9094386100769043</c:v>
                </c:pt>
                <c:pt idx="211">
                  <c:v>3.3710160255432129</c:v>
                </c:pt>
                <c:pt idx="212">
                  <c:v>2.8514726161956787</c:v>
                </c:pt>
                <c:pt idx="213">
                  <c:v>2.6495552062988281</c:v>
                </c:pt>
                <c:pt idx="214">
                  <c:v>2</c:v>
                </c:pt>
                <c:pt idx="215">
                  <c:v>2.5505797863006592</c:v>
                </c:pt>
                <c:pt idx="216">
                  <c:v>2.4283621311187744</c:v>
                </c:pt>
                <c:pt idx="217">
                  <c:v>2.6520135402679443</c:v>
                </c:pt>
                <c:pt idx="218">
                  <c:v>3.1064393520355225</c:v>
                </c:pt>
                <c:pt idx="219">
                  <c:v>2.2507486343383789</c:v>
                </c:pt>
                <c:pt idx="220">
                  <c:v>2.6160604953765869</c:v>
                </c:pt>
                <c:pt idx="221">
                  <c:v>2.6867091655731201</c:v>
                </c:pt>
                <c:pt idx="222">
                  <c:v>3.6049754619598389</c:v>
                </c:pt>
                <c:pt idx="223">
                  <c:v>4.4525928497314453</c:v>
                </c:pt>
                <c:pt idx="224">
                  <c:v>2.8279788494110107</c:v>
                </c:pt>
                <c:pt idx="225">
                  <c:v>2.9720139503479004</c:v>
                </c:pt>
              </c:numCache>
            </c:numRef>
          </c:yVal>
          <c:smooth val="1"/>
          <c:extLst>
            <c:ext xmlns:c15="http://schemas.microsoft.com/office/drawing/2012/chart" uri="{02D57815-91ED-43cb-92C2-25804820EDAC}">
              <c15:datalabelsRange>
                <c15:f>PeakLabels!$E$2:$E$300</c15:f>
                <c15:dlblRangeCache>
                  <c:ptCount val="299"/>
                  <c:pt idx="21">
                    <c:v>232</c:v>
                  </c:pt>
                  <c:pt idx="63">
                    <c:v>316</c:v>
                  </c:pt>
                  <c:pt idx="92">
                    <c:v>374</c:v>
                  </c:pt>
                  <c:pt idx="107">
                    <c:v>406s</c:v>
                  </c:pt>
                  <c:pt idx="137">
                    <c:v>464</c:v>
                  </c:pt>
                  <c:pt idx="150">
                    <c:v>490</c:v>
                  </c:pt>
                  <c:pt idx="167">
                    <c:v>524</c:v>
                  </c:pt>
                </c15:dlblRangeCache>
              </c15:datalabelsRange>
            </c:ext>
            <c:ext xmlns:c16="http://schemas.microsoft.com/office/drawing/2014/chart" uri="{C3380CC4-5D6E-409C-BE32-E72D297353CC}">
              <c16:uniqueId val="{00000000-AAAE-4C4E-B521-E0B9974BDE05}"/>
            </c:ext>
          </c:extLst>
        </c:ser>
        <c:ser>
          <c:idx val="1"/>
          <c:order val="1"/>
          <c:spPr>
            <a:ln w="19050" cap="rnd" cmpd="sng" algn="ctr">
              <a:noFill/>
              <a:prstDash val="solid"/>
              <a:round/>
            </a:ln>
            <a:effectLst/>
            <a:extLst>
              <a:ext uri="{91240B29-F687-4F45-9708-019B960494DF}">
                <a14:hiddenLine xmlns:a14="http://schemas.microsoft.com/office/drawing/2010/main" w="19050" cap="rnd" cmpd="sng" algn="ctr">
                  <a:solidFill>
                    <a:srgbClr val="ED7D31"/>
                  </a:solidFill>
                  <a:prstDash val="solid"/>
                  <a:round/>
                </a14:hiddenLine>
              </a:ext>
            </a:extLst>
          </c:spPr>
          <c:marker>
            <c:symbol val="star"/>
            <c:size val="2"/>
            <c:spPr>
              <a:solidFill>
                <a:srgbClr val="000000"/>
              </a:solidFill>
              <a:ln w="6350" cap="flat" cmpd="sng" algn="ctr">
                <a:noFill/>
                <a:prstDash val="solid"/>
                <a:round/>
              </a:ln>
              <a:effectLst/>
              <a:extLst>
                <a:ext uri="{91240B29-F687-4F45-9708-019B960494DF}">
                  <a14:hiddenLine xmlns:a14="http://schemas.microsoft.com/office/drawing/2010/main" w="6350" cap="flat" cmpd="sng" algn="ctr">
                    <a:solidFill>
                      <a:srgbClr val="ED7D31"/>
                    </a:solidFill>
                    <a:prstDash val="solid"/>
                    <a:round/>
                  </a14:hiddenLine>
                </a:ext>
              </a:extLst>
            </c:spPr>
          </c:marker>
          <c:dLbls>
            <c:dLbl>
              <c:idx val="0"/>
              <c:tx>
                <c:rich>
                  <a:bodyPr/>
                  <a:lstStyle/>
                  <a:p>
                    <a:fld id="{660D93DE-AE60-4909-B74E-F17D2F471117}" type="CELLRANGE">
                      <a:rPr lang="en-US"/>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AAAE-4C4E-B521-E0B9974BDE05}"/>
                </c:ext>
              </c:extLst>
            </c:dLbl>
            <c:dLbl>
              <c:idx val="1"/>
              <c:tx>
                <c:rich>
                  <a:bodyPr/>
                  <a:lstStyle/>
                  <a:p>
                    <a:fld id="{2CD318DB-DFB2-442D-84BE-490A0F732FEB}"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AAAE-4C4E-B521-E0B9974BDE05}"/>
                </c:ext>
              </c:extLst>
            </c:dLbl>
            <c:dLbl>
              <c:idx val="2"/>
              <c:tx>
                <c:rich>
                  <a:bodyPr/>
                  <a:lstStyle/>
                  <a:p>
                    <a:fld id="{0B468B37-0B49-45EA-9CD8-86A9B5124726}"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AAAE-4C4E-B521-E0B9974BDE05}"/>
                </c:ext>
              </c:extLst>
            </c:dLbl>
            <c:dLbl>
              <c:idx val="3"/>
              <c:tx>
                <c:rich>
                  <a:bodyPr/>
                  <a:lstStyle/>
                  <a:p>
                    <a:fld id="{C4545DEE-4A24-4C5A-82D8-687375C2E244}"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AAAE-4C4E-B521-E0B9974BDE05}"/>
                </c:ext>
              </c:extLst>
            </c:dLbl>
            <c:dLbl>
              <c:idx val="4"/>
              <c:tx>
                <c:rich>
                  <a:bodyPr/>
                  <a:lstStyle/>
                  <a:p>
                    <a:fld id="{85FC5DE5-B0E3-4866-AA58-1451540842B9}"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AAAE-4C4E-B521-E0B9974BDE05}"/>
                </c:ext>
              </c:extLst>
            </c:dLbl>
            <c:spPr>
              <a:noFill/>
              <a:ln>
                <a:noFill/>
              </a:ln>
              <a:effectLst/>
            </c:spPr>
            <c:txPr>
              <a:bodyPr wrap="square" lIns="38100" tIns="19050" rIns="38100" bIns="19050" anchor="ctr">
                <a:spAutoFit/>
              </a:bodyPr>
              <a:lstStyle/>
              <a:p>
                <a:pPr>
                  <a:defRPr sz="1100"/>
                </a:pPr>
                <a:endParaRPr lang="en-US"/>
              </a:p>
            </c:txPr>
            <c:dLblPos val="b"/>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ext>
            </c:extLst>
          </c:dLbls>
          <c:xVal>
            <c:numRef>
              <c:f>PeakLabels!$CY$2:$CY$6</c:f>
              <c:numCache>
                <c:formatCode>General</c:formatCode>
                <c:ptCount val="5"/>
                <c:pt idx="0">
                  <c:v>200</c:v>
                </c:pt>
                <c:pt idx="1">
                  <c:v>300</c:v>
                </c:pt>
                <c:pt idx="2">
                  <c:v>400</c:v>
                </c:pt>
                <c:pt idx="3">
                  <c:v>500</c:v>
                </c:pt>
                <c:pt idx="4">
                  <c:v>600</c:v>
                </c:pt>
              </c:numCache>
            </c:numRef>
          </c:xVal>
          <c:yVal>
            <c:numRef>
              <c:f>PeakLabels!$CZ$2:$CZ$6</c:f>
              <c:numCache>
                <c:formatCode>General</c:formatCode>
                <c:ptCount val="5"/>
                <c:pt idx="0">
                  <c:v>0</c:v>
                </c:pt>
                <c:pt idx="1">
                  <c:v>0</c:v>
                </c:pt>
                <c:pt idx="2">
                  <c:v>0</c:v>
                </c:pt>
                <c:pt idx="3">
                  <c:v>0</c:v>
                </c:pt>
                <c:pt idx="4">
                  <c:v>0</c:v>
                </c:pt>
              </c:numCache>
            </c:numRef>
          </c:yVal>
          <c:smooth val="1"/>
          <c:extLst>
            <c:ext xmlns:c15="http://schemas.microsoft.com/office/drawing/2012/chart" uri="{02D57815-91ED-43cb-92C2-25804820EDAC}">
              <c15:datalabelsRange>
                <c15:f>PeakLabels!$CY$2:$CY$7</c15:f>
                <c15:dlblRangeCache>
                  <c:ptCount val="6"/>
                  <c:pt idx="0">
                    <c:v>200</c:v>
                  </c:pt>
                  <c:pt idx="1">
                    <c:v>300</c:v>
                  </c:pt>
                  <c:pt idx="2">
                    <c:v>400</c:v>
                  </c:pt>
                  <c:pt idx="3">
                    <c:v>500</c:v>
                  </c:pt>
                  <c:pt idx="4">
                    <c:v>600</c:v>
                  </c:pt>
                </c15:dlblRangeCache>
              </c15:datalabelsRange>
            </c:ext>
            <c:ext xmlns:c16="http://schemas.microsoft.com/office/drawing/2014/chart" uri="{C3380CC4-5D6E-409C-BE32-E72D297353CC}">
              <c16:uniqueId val="{00000006-AAAE-4C4E-B521-E0B9974BDE05}"/>
            </c:ext>
          </c:extLst>
        </c:ser>
        <c:dLbls>
          <c:showLegendKey val="0"/>
          <c:showVal val="0"/>
          <c:showCatName val="0"/>
          <c:showSerName val="0"/>
          <c:showPercent val="0"/>
          <c:showBubbleSize val="0"/>
        </c:dLbls>
        <c:axId val="1569266832"/>
        <c:axId val="1569267920"/>
      </c:scatterChart>
      <c:valAx>
        <c:axId val="1569266832"/>
        <c:scaling>
          <c:orientation val="minMax"/>
          <c:max val="610"/>
          <c:min val="190"/>
        </c:scaling>
        <c:delete val="0"/>
        <c:axPos val="b"/>
        <c:majorGridlines>
          <c:spPr>
            <a:ln w="9525" cap="flat" cmpd="sng" algn="ctr">
              <a:noFill/>
              <a:prstDash val="solid"/>
              <a:round/>
            </a:ln>
            <a:effectLst/>
            <a:extLst>
              <a:ext uri="{91240B29-F687-4F45-9708-019B960494DF}">
                <a14:hiddenLine xmlns:a14="http://schemas.microsoft.com/office/drawing/2010/main" w="9525" cap="flat" cmpd="sng" algn="ctr">
                  <a:solidFill>
                    <a:sysClr val="windowText" lastClr="000000">
                      <a:lumMod val="15000"/>
                      <a:lumOff val="85000"/>
                    </a:sysClr>
                  </a:solidFill>
                  <a:prstDash val="solid"/>
                  <a:round/>
                </a14:hiddenLine>
              </a:ext>
            </a:extLst>
          </c:spPr>
        </c:majorGridlines>
        <c:numFmt formatCode="General" sourceLinked="1"/>
        <c:majorTickMark val="none"/>
        <c:minorTickMark val="none"/>
        <c:tickLblPos val="none"/>
        <c:spPr>
          <a:noFill/>
          <a:ln w="9525" cap="flat" cmpd="sng" algn="ctr">
            <a:solidFill>
              <a:sysClr val="windowText" lastClr="000000">
                <a:lumMod val="100000"/>
              </a:sysClr>
            </a:solidFill>
            <a:prstDash val="solid"/>
            <a:round/>
            <a:headEnd type="none" w="med" len="med"/>
            <a:tailEnd type="none" w="med" len="med"/>
          </a:ln>
          <a:effectLst/>
        </c:spPr>
        <c:txPr>
          <a:bodyPr rot="0" vert="horz"/>
          <a:lstStyle/>
          <a:p>
            <a:pPr>
              <a:defRPr sz="800" b="0" i="0" u="none" strike="noStrike" baseline="0">
                <a:solidFill>
                  <a:srgbClr val="333333"/>
                </a:solidFill>
                <a:latin typeface="Calibri"/>
                <a:ea typeface="Calibri"/>
                <a:cs typeface="Calibri"/>
              </a:defRPr>
            </a:pPr>
            <a:endParaRPr lang="en-US"/>
          </a:p>
        </c:txPr>
        <c:crossAx val="1569267920"/>
        <c:crossesAt val="0"/>
        <c:crossBetween val="midCat"/>
        <c:majorUnit val="100"/>
      </c:valAx>
      <c:valAx>
        <c:axId val="1569267920"/>
        <c:scaling>
          <c:orientation val="minMax"/>
          <c:max val="124"/>
          <c:min val="0"/>
        </c:scaling>
        <c:delete val="0"/>
        <c:axPos val="l"/>
        <c:majorGridlines>
          <c:spPr>
            <a:ln w="9525" cap="flat" cmpd="sng" algn="ctr">
              <a:noFill/>
              <a:prstDash val="solid"/>
              <a:round/>
            </a:ln>
            <a:effectLst/>
            <a:extLst>
              <a:ext uri="{91240B29-F687-4F45-9708-019B960494DF}">
                <a14:hiddenLine xmlns:a14="http://schemas.microsoft.com/office/drawing/2010/main" w="9525" cap="flat" cmpd="sng" algn="ctr">
                  <a:solidFill>
                    <a:sysClr val="windowText" lastClr="000000">
                      <a:lumMod val="15000"/>
                      <a:lumOff val="85000"/>
                    </a:sysClr>
                  </a:solidFill>
                  <a:prstDash val="solid"/>
                  <a:round/>
                </a14:hiddenLine>
              </a:ext>
            </a:extLst>
          </c:spPr>
        </c:majorGridlines>
        <c:numFmt formatCode="General" sourceLinked="1"/>
        <c:majorTickMark val="out"/>
        <c:minorTickMark val="none"/>
        <c:tickLblPos val="nextTo"/>
        <c:spPr>
          <a:ln w="12700" cap="flat" cmpd="sng" algn="ctr">
            <a:solidFill>
              <a:sysClr val="windowText" lastClr="000000">
                <a:lumMod val="100000"/>
              </a:sysClr>
            </a:solidFill>
            <a:prstDash val="solid"/>
            <a:round/>
            <a:headEnd type="none" w="med" len="med"/>
            <a:tailEnd type="none" w="med" len="med"/>
          </a:ln>
        </c:spPr>
        <c:crossAx val="1569266832"/>
        <c:crosses val="autoZero"/>
        <c:crossBetween val="midCat"/>
        <c:majorUnit val="25"/>
        <c:minorUnit val="5"/>
      </c:valAx>
      <c:spPr>
        <a:noFill/>
        <a:ln>
          <a:solidFill>
            <a:schemeClr val="tx1"/>
          </a:solidFill>
        </a:ln>
        <a:effectLst/>
      </c:spPr>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lumMod val="15000"/>
              <a:lumOff val="85000"/>
            </a:sysClr>
          </a:solidFill>
          <a:prstDash val="solid"/>
          <a:round/>
        </a14:hiddenLine>
      </a:ext>
    </a:ex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01447595124229"/>
          <c:y val="2.8268540749732153E-2"/>
          <c:w val="0.79415100719771992"/>
          <c:h val="0.81774581759149068"/>
        </c:manualLayout>
      </c:layout>
      <c:scatterChart>
        <c:scatterStyle val="smoothMarker"/>
        <c:varyColors val="0"/>
        <c:ser>
          <c:idx val="0"/>
          <c:order val="0"/>
          <c:spPr>
            <a:ln w="19050" cap="rnd" cmpd="sng" algn="ctr">
              <a:solidFill>
                <a:srgbClr val="0000FF"/>
              </a:solidFill>
              <a:prstDash val="solid"/>
              <a:round/>
              <a:headEnd type="none" w="med" len="med"/>
              <a:tailEnd type="none" w="med" len="med"/>
            </a:ln>
          </c:spPr>
          <c:marker>
            <c:symbol val="none"/>
          </c:marker>
          <c:dLbls>
            <c:dLbl>
              <c:idx val="0"/>
              <c:tx>
                <c:rich>
                  <a:bodyPr/>
                  <a:lstStyle/>
                  <a:p>
                    <a:fld id="{2E7AA479-BC5D-441F-BF1E-6882A4A3D7B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2C31-4136-ABAE-DDD4276FBEC7}"/>
                </c:ext>
              </c:extLst>
            </c:dLbl>
            <c:dLbl>
              <c:idx val="1"/>
              <c:tx>
                <c:rich>
                  <a:bodyPr/>
                  <a:lstStyle/>
                  <a:p>
                    <a:fld id="{AA35A3DD-727A-44C6-9FE2-F9B59D4B90F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2C31-4136-ABAE-DDD4276FBEC7}"/>
                </c:ext>
              </c:extLst>
            </c:dLbl>
            <c:dLbl>
              <c:idx val="2"/>
              <c:tx>
                <c:rich>
                  <a:bodyPr/>
                  <a:lstStyle/>
                  <a:p>
                    <a:fld id="{C8926B71-C01B-488C-8064-9D38A8E9EA9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2C31-4136-ABAE-DDD4276FBEC7}"/>
                </c:ext>
              </c:extLst>
            </c:dLbl>
            <c:dLbl>
              <c:idx val="3"/>
              <c:tx>
                <c:rich>
                  <a:bodyPr/>
                  <a:lstStyle/>
                  <a:p>
                    <a:fld id="{0831DCC5-5975-47C0-8306-4EB548D88E5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2C31-4136-ABAE-DDD4276FBEC7}"/>
                </c:ext>
              </c:extLst>
            </c:dLbl>
            <c:dLbl>
              <c:idx val="4"/>
              <c:tx>
                <c:rich>
                  <a:bodyPr/>
                  <a:lstStyle/>
                  <a:p>
                    <a:fld id="{A9F43927-459B-43D8-AE7D-C094A023608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2C31-4136-ABAE-DDD4276FBEC7}"/>
                </c:ext>
              </c:extLst>
            </c:dLbl>
            <c:dLbl>
              <c:idx val="5"/>
              <c:tx>
                <c:rich>
                  <a:bodyPr/>
                  <a:lstStyle/>
                  <a:p>
                    <a:fld id="{B87B64FD-55BB-4F9C-8191-FCA939D045A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2C31-4136-ABAE-DDD4276FBEC7}"/>
                </c:ext>
              </c:extLst>
            </c:dLbl>
            <c:dLbl>
              <c:idx val="6"/>
              <c:tx>
                <c:rich>
                  <a:bodyPr/>
                  <a:lstStyle/>
                  <a:p>
                    <a:fld id="{E47859DC-6F10-46A6-A8DE-0759D11295C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2C31-4136-ABAE-DDD4276FBEC7}"/>
                </c:ext>
              </c:extLst>
            </c:dLbl>
            <c:dLbl>
              <c:idx val="7"/>
              <c:tx>
                <c:rich>
                  <a:bodyPr/>
                  <a:lstStyle/>
                  <a:p>
                    <a:fld id="{141843C4-AA36-480A-BF1E-21027544979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2C31-4136-ABAE-DDD4276FBEC7}"/>
                </c:ext>
              </c:extLst>
            </c:dLbl>
            <c:dLbl>
              <c:idx val="8"/>
              <c:tx>
                <c:rich>
                  <a:bodyPr/>
                  <a:lstStyle/>
                  <a:p>
                    <a:fld id="{12FE942A-2449-4E72-96DB-F88E72C953F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2C31-4136-ABAE-DDD4276FBEC7}"/>
                </c:ext>
              </c:extLst>
            </c:dLbl>
            <c:dLbl>
              <c:idx val="9"/>
              <c:tx>
                <c:rich>
                  <a:bodyPr/>
                  <a:lstStyle/>
                  <a:p>
                    <a:fld id="{CF3596EB-B571-4D1F-9207-0BB89181F7C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2C31-4136-ABAE-DDD4276FBEC7}"/>
                </c:ext>
              </c:extLst>
            </c:dLbl>
            <c:dLbl>
              <c:idx val="10"/>
              <c:tx>
                <c:rich>
                  <a:bodyPr/>
                  <a:lstStyle/>
                  <a:p>
                    <a:fld id="{804E745C-B5D7-478E-AD12-82D20E8AE24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2C31-4136-ABAE-DDD4276FBEC7}"/>
                </c:ext>
              </c:extLst>
            </c:dLbl>
            <c:dLbl>
              <c:idx val="11"/>
              <c:tx>
                <c:rich>
                  <a:bodyPr/>
                  <a:lstStyle/>
                  <a:p>
                    <a:fld id="{F6A85BA4-70F4-4446-BD76-38BB3A743F9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2C31-4136-ABAE-DDD4276FBEC7}"/>
                </c:ext>
              </c:extLst>
            </c:dLbl>
            <c:dLbl>
              <c:idx val="12"/>
              <c:tx>
                <c:rich>
                  <a:bodyPr/>
                  <a:lstStyle/>
                  <a:p>
                    <a:fld id="{2C2CCD69-CC90-4908-BD9C-BF03225E95E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2C31-4136-ABAE-DDD4276FBEC7}"/>
                </c:ext>
              </c:extLst>
            </c:dLbl>
            <c:dLbl>
              <c:idx val="13"/>
              <c:tx>
                <c:rich>
                  <a:bodyPr/>
                  <a:lstStyle/>
                  <a:p>
                    <a:fld id="{AE6867D5-0454-4561-BED9-FEFB39BAB50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2C31-4136-ABAE-DDD4276FBEC7}"/>
                </c:ext>
              </c:extLst>
            </c:dLbl>
            <c:dLbl>
              <c:idx val="14"/>
              <c:tx>
                <c:rich>
                  <a:bodyPr/>
                  <a:lstStyle/>
                  <a:p>
                    <a:fld id="{43AA2BBD-F195-4D4B-9E8A-D0287EA2C14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2C31-4136-ABAE-DDD4276FBEC7}"/>
                </c:ext>
              </c:extLst>
            </c:dLbl>
            <c:dLbl>
              <c:idx val="15"/>
              <c:tx>
                <c:rich>
                  <a:bodyPr/>
                  <a:lstStyle/>
                  <a:p>
                    <a:fld id="{D089BBE4-8FE7-4208-8228-4BD0993CAA8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2C31-4136-ABAE-DDD4276FBEC7}"/>
                </c:ext>
              </c:extLst>
            </c:dLbl>
            <c:dLbl>
              <c:idx val="16"/>
              <c:tx>
                <c:rich>
                  <a:bodyPr/>
                  <a:lstStyle/>
                  <a:p>
                    <a:fld id="{68C5888A-1960-4D99-A938-0D9FB01F33C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2C31-4136-ABAE-DDD4276FBEC7}"/>
                </c:ext>
              </c:extLst>
            </c:dLbl>
            <c:dLbl>
              <c:idx val="17"/>
              <c:tx>
                <c:rich>
                  <a:bodyPr/>
                  <a:lstStyle/>
                  <a:p>
                    <a:fld id="{73CA5F0E-3686-4ECD-A3EB-C9BBAAA9F9C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2C31-4136-ABAE-DDD4276FBEC7}"/>
                </c:ext>
              </c:extLst>
            </c:dLbl>
            <c:dLbl>
              <c:idx val="18"/>
              <c:tx>
                <c:rich>
                  <a:bodyPr/>
                  <a:lstStyle/>
                  <a:p>
                    <a:fld id="{360136F1-E9F4-4CFF-8B31-F62AEF4AAB1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2C31-4136-ABAE-DDD4276FBEC7}"/>
                </c:ext>
              </c:extLst>
            </c:dLbl>
            <c:dLbl>
              <c:idx val="19"/>
              <c:tx>
                <c:rich>
                  <a:bodyPr/>
                  <a:lstStyle/>
                  <a:p>
                    <a:fld id="{94D84D5B-FA78-48E4-AD5C-4CA9DC0E1FA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2C31-4136-ABAE-DDD4276FBEC7}"/>
                </c:ext>
              </c:extLst>
            </c:dLbl>
            <c:dLbl>
              <c:idx val="20"/>
              <c:tx>
                <c:rich>
                  <a:bodyPr/>
                  <a:lstStyle/>
                  <a:p>
                    <a:fld id="{58343516-C940-4903-9D64-085D68FFA42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2C31-4136-ABAE-DDD4276FBEC7}"/>
                </c:ext>
              </c:extLst>
            </c:dLbl>
            <c:dLbl>
              <c:idx val="21"/>
              <c:tx>
                <c:rich>
                  <a:bodyPr/>
                  <a:lstStyle/>
                  <a:p>
                    <a:fld id="{4130A775-F7CB-4E9D-957A-59CFE034FBD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2C31-4136-ABAE-DDD4276FBEC7}"/>
                </c:ext>
              </c:extLst>
            </c:dLbl>
            <c:dLbl>
              <c:idx val="22"/>
              <c:tx>
                <c:rich>
                  <a:bodyPr/>
                  <a:lstStyle/>
                  <a:p>
                    <a:fld id="{76BC3742-24F1-42E1-B940-DC60A78C848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2C31-4136-ABAE-DDD4276FBEC7}"/>
                </c:ext>
              </c:extLst>
            </c:dLbl>
            <c:dLbl>
              <c:idx val="23"/>
              <c:tx>
                <c:rich>
                  <a:bodyPr/>
                  <a:lstStyle/>
                  <a:p>
                    <a:fld id="{14DD96CC-6834-481D-A412-4F55E17E7AE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2C31-4136-ABAE-DDD4276FBEC7}"/>
                </c:ext>
              </c:extLst>
            </c:dLbl>
            <c:dLbl>
              <c:idx val="24"/>
              <c:tx>
                <c:rich>
                  <a:bodyPr/>
                  <a:lstStyle/>
                  <a:p>
                    <a:fld id="{4A0D3404-5119-49DD-A154-03D75A2F94D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2C31-4136-ABAE-DDD4276FBEC7}"/>
                </c:ext>
              </c:extLst>
            </c:dLbl>
            <c:dLbl>
              <c:idx val="25"/>
              <c:tx>
                <c:rich>
                  <a:bodyPr/>
                  <a:lstStyle/>
                  <a:p>
                    <a:fld id="{6F1E8A1D-E169-4549-A24A-2ADFBA3E6B9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2C31-4136-ABAE-DDD4276FBEC7}"/>
                </c:ext>
              </c:extLst>
            </c:dLbl>
            <c:dLbl>
              <c:idx val="26"/>
              <c:tx>
                <c:rich>
                  <a:bodyPr/>
                  <a:lstStyle/>
                  <a:p>
                    <a:fld id="{6FAE3454-12C8-4CA3-8621-82434C7461F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2C31-4136-ABAE-DDD4276FBEC7}"/>
                </c:ext>
              </c:extLst>
            </c:dLbl>
            <c:dLbl>
              <c:idx val="27"/>
              <c:tx>
                <c:rich>
                  <a:bodyPr/>
                  <a:lstStyle/>
                  <a:p>
                    <a:fld id="{F5E5EA57-E315-469A-9AA6-EC72728F3BC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2C31-4136-ABAE-DDD4276FBEC7}"/>
                </c:ext>
              </c:extLst>
            </c:dLbl>
            <c:dLbl>
              <c:idx val="28"/>
              <c:tx>
                <c:rich>
                  <a:bodyPr/>
                  <a:lstStyle/>
                  <a:p>
                    <a:fld id="{CE7BCF75-019F-479A-81F9-D943DD05479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2C31-4136-ABAE-DDD4276FBEC7}"/>
                </c:ext>
              </c:extLst>
            </c:dLbl>
            <c:dLbl>
              <c:idx val="29"/>
              <c:tx>
                <c:rich>
                  <a:bodyPr/>
                  <a:lstStyle/>
                  <a:p>
                    <a:fld id="{586181ED-BFD7-4B18-9364-D621935CD05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2C31-4136-ABAE-DDD4276FBEC7}"/>
                </c:ext>
              </c:extLst>
            </c:dLbl>
            <c:dLbl>
              <c:idx val="30"/>
              <c:tx>
                <c:rich>
                  <a:bodyPr/>
                  <a:lstStyle/>
                  <a:p>
                    <a:fld id="{7DEDACD2-1418-49AF-9054-3483B6CEE15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2C31-4136-ABAE-DDD4276FBEC7}"/>
                </c:ext>
              </c:extLst>
            </c:dLbl>
            <c:dLbl>
              <c:idx val="31"/>
              <c:tx>
                <c:rich>
                  <a:bodyPr/>
                  <a:lstStyle/>
                  <a:p>
                    <a:fld id="{8F0D6E29-BC6D-4445-A942-A2AF373E0BE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0-2C31-4136-ABAE-DDD4276FBEC7}"/>
                </c:ext>
              </c:extLst>
            </c:dLbl>
            <c:dLbl>
              <c:idx val="32"/>
              <c:tx>
                <c:rich>
                  <a:bodyPr/>
                  <a:lstStyle/>
                  <a:p>
                    <a:fld id="{463049FB-2266-43D4-BFE6-2DEEB442500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2C31-4136-ABAE-DDD4276FBEC7}"/>
                </c:ext>
              </c:extLst>
            </c:dLbl>
            <c:dLbl>
              <c:idx val="33"/>
              <c:tx>
                <c:rich>
                  <a:bodyPr/>
                  <a:lstStyle/>
                  <a:p>
                    <a:fld id="{874C348B-2996-4A9F-A4A0-A7C9C61822A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2-2C31-4136-ABAE-DDD4276FBEC7}"/>
                </c:ext>
              </c:extLst>
            </c:dLbl>
            <c:dLbl>
              <c:idx val="34"/>
              <c:tx>
                <c:rich>
                  <a:bodyPr/>
                  <a:lstStyle/>
                  <a:p>
                    <a:fld id="{FAE46B17-A47B-4BD6-A58E-0A010351562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2C31-4136-ABAE-DDD4276FBEC7}"/>
                </c:ext>
              </c:extLst>
            </c:dLbl>
            <c:dLbl>
              <c:idx val="35"/>
              <c:tx>
                <c:rich>
                  <a:bodyPr/>
                  <a:lstStyle/>
                  <a:p>
                    <a:fld id="{1D603275-CEC7-43E4-ABE3-7DEC20E6120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4-2C31-4136-ABAE-DDD4276FBEC7}"/>
                </c:ext>
              </c:extLst>
            </c:dLbl>
            <c:dLbl>
              <c:idx val="36"/>
              <c:tx>
                <c:rich>
                  <a:bodyPr/>
                  <a:lstStyle/>
                  <a:p>
                    <a:fld id="{F08A0EF8-4D6C-4C9E-96F8-606697E705E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2C31-4136-ABAE-DDD4276FBEC7}"/>
                </c:ext>
              </c:extLst>
            </c:dLbl>
            <c:dLbl>
              <c:idx val="37"/>
              <c:tx>
                <c:rich>
                  <a:bodyPr/>
                  <a:lstStyle/>
                  <a:p>
                    <a:fld id="{D2B77069-F9AB-4D2B-97A8-BC5259A5578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6-2C31-4136-ABAE-DDD4276FBEC7}"/>
                </c:ext>
              </c:extLst>
            </c:dLbl>
            <c:dLbl>
              <c:idx val="38"/>
              <c:tx>
                <c:rich>
                  <a:bodyPr/>
                  <a:lstStyle/>
                  <a:p>
                    <a:fld id="{3A47E70A-1484-46B3-9B06-B69CD48BE8A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7-2C31-4136-ABAE-DDD4276FBEC7}"/>
                </c:ext>
              </c:extLst>
            </c:dLbl>
            <c:dLbl>
              <c:idx val="39"/>
              <c:tx>
                <c:rich>
                  <a:bodyPr/>
                  <a:lstStyle/>
                  <a:p>
                    <a:fld id="{814D5293-C133-4859-B731-BE4A3265151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8-2C31-4136-ABAE-DDD4276FBEC7}"/>
                </c:ext>
              </c:extLst>
            </c:dLbl>
            <c:dLbl>
              <c:idx val="40"/>
              <c:tx>
                <c:rich>
                  <a:bodyPr/>
                  <a:lstStyle/>
                  <a:p>
                    <a:fld id="{43A6D3BF-9BBF-42C5-BD76-BC88C72A44D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9-2C31-4136-ABAE-DDD4276FBEC7}"/>
                </c:ext>
              </c:extLst>
            </c:dLbl>
            <c:dLbl>
              <c:idx val="41"/>
              <c:tx>
                <c:rich>
                  <a:bodyPr/>
                  <a:lstStyle/>
                  <a:p>
                    <a:fld id="{654D8933-8C5C-4983-8F39-961401076EE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A-2C31-4136-ABAE-DDD4276FBEC7}"/>
                </c:ext>
              </c:extLst>
            </c:dLbl>
            <c:dLbl>
              <c:idx val="42"/>
              <c:tx>
                <c:rich>
                  <a:bodyPr/>
                  <a:lstStyle/>
                  <a:p>
                    <a:fld id="{CFC080E3-94CC-49EE-8DE3-6038278C1EB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B-2C31-4136-ABAE-DDD4276FBEC7}"/>
                </c:ext>
              </c:extLst>
            </c:dLbl>
            <c:dLbl>
              <c:idx val="43"/>
              <c:tx>
                <c:rich>
                  <a:bodyPr/>
                  <a:lstStyle/>
                  <a:p>
                    <a:fld id="{F28D649E-5280-4B3A-BD49-3CB067574A3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C-2C31-4136-ABAE-DDD4276FBEC7}"/>
                </c:ext>
              </c:extLst>
            </c:dLbl>
            <c:dLbl>
              <c:idx val="44"/>
              <c:tx>
                <c:rich>
                  <a:bodyPr/>
                  <a:lstStyle/>
                  <a:p>
                    <a:fld id="{2D53AB41-1A6D-4391-BA83-930B3A10301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D-2C31-4136-ABAE-DDD4276FBEC7}"/>
                </c:ext>
              </c:extLst>
            </c:dLbl>
            <c:dLbl>
              <c:idx val="45"/>
              <c:tx>
                <c:rich>
                  <a:bodyPr/>
                  <a:lstStyle/>
                  <a:p>
                    <a:fld id="{092C2DC8-298B-458B-A31B-46D24E4450B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E-2C31-4136-ABAE-DDD4276FBEC7}"/>
                </c:ext>
              </c:extLst>
            </c:dLbl>
            <c:dLbl>
              <c:idx val="46"/>
              <c:tx>
                <c:rich>
                  <a:bodyPr/>
                  <a:lstStyle/>
                  <a:p>
                    <a:fld id="{72527582-A556-4AF9-BBB4-BEFEC09B6E8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F-2C31-4136-ABAE-DDD4276FBEC7}"/>
                </c:ext>
              </c:extLst>
            </c:dLbl>
            <c:dLbl>
              <c:idx val="47"/>
              <c:tx>
                <c:rich>
                  <a:bodyPr/>
                  <a:lstStyle/>
                  <a:p>
                    <a:fld id="{FA2BFAC8-7933-4CC1-BF6C-7C6A61A833C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0-2C31-4136-ABAE-DDD4276FBEC7}"/>
                </c:ext>
              </c:extLst>
            </c:dLbl>
            <c:dLbl>
              <c:idx val="48"/>
              <c:tx>
                <c:rich>
                  <a:bodyPr/>
                  <a:lstStyle/>
                  <a:p>
                    <a:fld id="{C6D385EB-44DE-4F82-B473-3E226B2AC62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1-2C31-4136-ABAE-DDD4276FBEC7}"/>
                </c:ext>
              </c:extLst>
            </c:dLbl>
            <c:dLbl>
              <c:idx val="49"/>
              <c:tx>
                <c:rich>
                  <a:bodyPr/>
                  <a:lstStyle/>
                  <a:p>
                    <a:fld id="{7ACE3327-7785-4B2A-9CBA-CCD9A3E471C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2-2C31-4136-ABAE-DDD4276FBEC7}"/>
                </c:ext>
              </c:extLst>
            </c:dLbl>
            <c:dLbl>
              <c:idx val="50"/>
              <c:tx>
                <c:rich>
                  <a:bodyPr/>
                  <a:lstStyle/>
                  <a:p>
                    <a:fld id="{2ACCD545-3A82-4C13-90ED-A563E29B7D7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3-2C31-4136-ABAE-DDD4276FBEC7}"/>
                </c:ext>
              </c:extLst>
            </c:dLbl>
            <c:dLbl>
              <c:idx val="51"/>
              <c:tx>
                <c:rich>
                  <a:bodyPr/>
                  <a:lstStyle/>
                  <a:p>
                    <a:fld id="{A816B1B7-7D4A-4DE2-9AB8-9B9D1D2248E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4-2C31-4136-ABAE-DDD4276FBEC7}"/>
                </c:ext>
              </c:extLst>
            </c:dLbl>
            <c:dLbl>
              <c:idx val="52"/>
              <c:tx>
                <c:rich>
                  <a:bodyPr/>
                  <a:lstStyle/>
                  <a:p>
                    <a:fld id="{4FE112F0-5D34-4EE1-A339-AC6B184FC4B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5-2C31-4136-ABAE-DDD4276FBEC7}"/>
                </c:ext>
              </c:extLst>
            </c:dLbl>
            <c:dLbl>
              <c:idx val="53"/>
              <c:tx>
                <c:rich>
                  <a:bodyPr/>
                  <a:lstStyle/>
                  <a:p>
                    <a:fld id="{2CDF3CA0-F625-4065-8919-77DEE6CAC50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6-2C31-4136-ABAE-DDD4276FBEC7}"/>
                </c:ext>
              </c:extLst>
            </c:dLbl>
            <c:dLbl>
              <c:idx val="54"/>
              <c:tx>
                <c:rich>
                  <a:bodyPr/>
                  <a:lstStyle/>
                  <a:p>
                    <a:fld id="{A9B420F8-276D-40FE-98FC-50E06593C6F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7-2C31-4136-ABAE-DDD4276FBEC7}"/>
                </c:ext>
              </c:extLst>
            </c:dLbl>
            <c:dLbl>
              <c:idx val="55"/>
              <c:tx>
                <c:rich>
                  <a:bodyPr/>
                  <a:lstStyle/>
                  <a:p>
                    <a:fld id="{659948AD-CB15-47E2-9C5C-D971953F684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8-2C31-4136-ABAE-DDD4276FBEC7}"/>
                </c:ext>
              </c:extLst>
            </c:dLbl>
            <c:dLbl>
              <c:idx val="56"/>
              <c:tx>
                <c:rich>
                  <a:bodyPr/>
                  <a:lstStyle/>
                  <a:p>
                    <a:fld id="{88C27DB5-11BB-4FF0-AA00-EFC9DCA804D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9-2C31-4136-ABAE-DDD4276FBEC7}"/>
                </c:ext>
              </c:extLst>
            </c:dLbl>
            <c:dLbl>
              <c:idx val="57"/>
              <c:tx>
                <c:rich>
                  <a:bodyPr/>
                  <a:lstStyle/>
                  <a:p>
                    <a:fld id="{87400622-FB19-483A-AC7E-9ECF46DDF89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A-2C31-4136-ABAE-DDD4276FBEC7}"/>
                </c:ext>
              </c:extLst>
            </c:dLbl>
            <c:dLbl>
              <c:idx val="58"/>
              <c:tx>
                <c:rich>
                  <a:bodyPr/>
                  <a:lstStyle/>
                  <a:p>
                    <a:fld id="{CBEA6404-ED47-4C1A-A476-0F61F80FD7C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B-2C31-4136-ABAE-DDD4276FBEC7}"/>
                </c:ext>
              </c:extLst>
            </c:dLbl>
            <c:dLbl>
              <c:idx val="59"/>
              <c:tx>
                <c:rich>
                  <a:bodyPr/>
                  <a:lstStyle/>
                  <a:p>
                    <a:fld id="{4B4E5830-BAB8-495D-8F32-66E0DA5438C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C-2C31-4136-ABAE-DDD4276FBEC7}"/>
                </c:ext>
              </c:extLst>
            </c:dLbl>
            <c:dLbl>
              <c:idx val="60"/>
              <c:tx>
                <c:rich>
                  <a:bodyPr/>
                  <a:lstStyle/>
                  <a:p>
                    <a:fld id="{A2261C4D-EB5D-411F-B824-13A094218EF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D-2C31-4136-ABAE-DDD4276FBEC7}"/>
                </c:ext>
              </c:extLst>
            </c:dLbl>
            <c:dLbl>
              <c:idx val="61"/>
              <c:tx>
                <c:rich>
                  <a:bodyPr/>
                  <a:lstStyle/>
                  <a:p>
                    <a:fld id="{D0C58220-B3CB-49A9-AF67-DD281F94A6D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E-2C31-4136-ABAE-DDD4276FBEC7}"/>
                </c:ext>
              </c:extLst>
            </c:dLbl>
            <c:dLbl>
              <c:idx val="62"/>
              <c:tx>
                <c:rich>
                  <a:bodyPr/>
                  <a:lstStyle/>
                  <a:p>
                    <a:fld id="{008D2791-0B9C-429A-81FF-083394258EC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F-2C31-4136-ABAE-DDD4276FBEC7}"/>
                </c:ext>
              </c:extLst>
            </c:dLbl>
            <c:dLbl>
              <c:idx val="63"/>
              <c:tx>
                <c:rich>
                  <a:bodyPr/>
                  <a:lstStyle/>
                  <a:p>
                    <a:fld id="{D1975C31-9EF5-4390-9EAD-1474715AABD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0-2C31-4136-ABAE-DDD4276FBEC7}"/>
                </c:ext>
              </c:extLst>
            </c:dLbl>
            <c:dLbl>
              <c:idx val="64"/>
              <c:tx>
                <c:rich>
                  <a:bodyPr/>
                  <a:lstStyle/>
                  <a:p>
                    <a:fld id="{13544119-EF32-4E04-B7D6-6882830712C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1-2C31-4136-ABAE-DDD4276FBEC7}"/>
                </c:ext>
              </c:extLst>
            </c:dLbl>
            <c:dLbl>
              <c:idx val="65"/>
              <c:tx>
                <c:rich>
                  <a:bodyPr/>
                  <a:lstStyle/>
                  <a:p>
                    <a:fld id="{9DFE9758-7F80-42EA-B214-98C3EB45D8F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2-2C31-4136-ABAE-DDD4276FBEC7}"/>
                </c:ext>
              </c:extLst>
            </c:dLbl>
            <c:dLbl>
              <c:idx val="66"/>
              <c:tx>
                <c:rich>
                  <a:bodyPr/>
                  <a:lstStyle/>
                  <a:p>
                    <a:fld id="{DC9A9089-012A-41FA-8453-3BF6E44B691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3-2C31-4136-ABAE-DDD4276FBEC7}"/>
                </c:ext>
              </c:extLst>
            </c:dLbl>
            <c:dLbl>
              <c:idx val="67"/>
              <c:tx>
                <c:rich>
                  <a:bodyPr/>
                  <a:lstStyle/>
                  <a:p>
                    <a:fld id="{90C4CB1E-7F37-41FC-88B4-9713089F68C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4-2C31-4136-ABAE-DDD4276FBEC7}"/>
                </c:ext>
              </c:extLst>
            </c:dLbl>
            <c:dLbl>
              <c:idx val="68"/>
              <c:tx>
                <c:rich>
                  <a:bodyPr/>
                  <a:lstStyle/>
                  <a:p>
                    <a:fld id="{EE35A6A2-E531-4692-B22F-ADB743DF719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5-2C31-4136-ABAE-DDD4276FBEC7}"/>
                </c:ext>
              </c:extLst>
            </c:dLbl>
            <c:dLbl>
              <c:idx val="69"/>
              <c:tx>
                <c:rich>
                  <a:bodyPr/>
                  <a:lstStyle/>
                  <a:p>
                    <a:fld id="{EB455095-1920-41D5-A8E9-3F45457FF41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6-2C31-4136-ABAE-DDD4276FBEC7}"/>
                </c:ext>
              </c:extLst>
            </c:dLbl>
            <c:dLbl>
              <c:idx val="70"/>
              <c:tx>
                <c:rich>
                  <a:bodyPr/>
                  <a:lstStyle/>
                  <a:p>
                    <a:fld id="{34AE8B4F-12FB-4FFB-816F-17F26A8C8B6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7-2C31-4136-ABAE-DDD4276FBEC7}"/>
                </c:ext>
              </c:extLst>
            </c:dLbl>
            <c:dLbl>
              <c:idx val="71"/>
              <c:tx>
                <c:rich>
                  <a:bodyPr/>
                  <a:lstStyle/>
                  <a:p>
                    <a:fld id="{92E66C90-2F9E-4433-811B-69102D0D29B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8-2C31-4136-ABAE-DDD4276FBEC7}"/>
                </c:ext>
              </c:extLst>
            </c:dLbl>
            <c:dLbl>
              <c:idx val="72"/>
              <c:tx>
                <c:rich>
                  <a:bodyPr/>
                  <a:lstStyle/>
                  <a:p>
                    <a:fld id="{DE0D0613-4ABF-4ED7-BF20-D6D2DD17BF4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9-2C31-4136-ABAE-DDD4276FBEC7}"/>
                </c:ext>
              </c:extLst>
            </c:dLbl>
            <c:dLbl>
              <c:idx val="73"/>
              <c:tx>
                <c:rich>
                  <a:bodyPr/>
                  <a:lstStyle/>
                  <a:p>
                    <a:fld id="{8F4417D9-7688-49E3-BAFC-D7F92B83050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A-2C31-4136-ABAE-DDD4276FBEC7}"/>
                </c:ext>
              </c:extLst>
            </c:dLbl>
            <c:dLbl>
              <c:idx val="74"/>
              <c:tx>
                <c:rich>
                  <a:bodyPr/>
                  <a:lstStyle/>
                  <a:p>
                    <a:fld id="{59543206-AFF8-4902-8AF7-D34D59369E7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B-2C31-4136-ABAE-DDD4276FBEC7}"/>
                </c:ext>
              </c:extLst>
            </c:dLbl>
            <c:dLbl>
              <c:idx val="75"/>
              <c:tx>
                <c:rich>
                  <a:bodyPr/>
                  <a:lstStyle/>
                  <a:p>
                    <a:fld id="{33A1C3E9-ABFF-46F3-9EAC-C281E3B0298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C-2C31-4136-ABAE-DDD4276FBEC7}"/>
                </c:ext>
              </c:extLst>
            </c:dLbl>
            <c:dLbl>
              <c:idx val="76"/>
              <c:tx>
                <c:rich>
                  <a:bodyPr/>
                  <a:lstStyle/>
                  <a:p>
                    <a:fld id="{9E9EA5E7-AC3E-4AA6-9179-9D23EB77BA1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D-2C31-4136-ABAE-DDD4276FBEC7}"/>
                </c:ext>
              </c:extLst>
            </c:dLbl>
            <c:dLbl>
              <c:idx val="77"/>
              <c:tx>
                <c:rich>
                  <a:bodyPr/>
                  <a:lstStyle/>
                  <a:p>
                    <a:fld id="{D0DDCFFF-191D-4F3D-8FF0-2015CEF50B0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E-2C31-4136-ABAE-DDD4276FBEC7}"/>
                </c:ext>
              </c:extLst>
            </c:dLbl>
            <c:dLbl>
              <c:idx val="78"/>
              <c:tx>
                <c:rich>
                  <a:bodyPr/>
                  <a:lstStyle/>
                  <a:p>
                    <a:fld id="{092DFABF-989B-468D-854F-C3A9FB6B9E5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F-2C31-4136-ABAE-DDD4276FBEC7}"/>
                </c:ext>
              </c:extLst>
            </c:dLbl>
            <c:dLbl>
              <c:idx val="79"/>
              <c:tx>
                <c:rich>
                  <a:bodyPr/>
                  <a:lstStyle/>
                  <a:p>
                    <a:fld id="{F3081CA6-F8D4-4557-818F-E77B0BF5BE7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0-2C31-4136-ABAE-DDD4276FBEC7}"/>
                </c:ext>
              </c:extLst>
            </c:dLbl>
            <c:dLbl>
              <c:idx val="80"/>
              <c:tx>
                <c:rich>
                  <a:bodyPr/>
                  <a:lstStyle/>
                  <a:p>
                    <a:fld id="{98B2B353-5902-4FBE-BA08-302FE9A68C0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1-2C31-4136-ABAE-DDD4276FBEC7}"/>
                </c:ext>
              </c:extLst>
            </c:dLbl>
            <c:dLbl>
              <c:idx val="81"/>
              <c:tx>
                <c:rich>
                  <a:bodyPr/>
                  <a:lstStyle/>
                  <a:p>
                    <a:fld id="{D6A7D2A2-682A-4B2A-AFAE-7A60E9E0FE7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2-2C31-4136-ABAE-DDD4276FBEC7}"/>
                </c:ext>
              </c:extLst>
            </c:dLbl>
            <c:dLbl>
              <c:idx val="82"/>
              <c:tx>
                <c:rich>
                  <a:bodyPr/>
                  <a:lstStyle/>
                  <a:p>
                    <a:fld id="{7A52ECEE-1E72-4C41-AE86-B4BF4762737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3-2C31-4136-ABAE-DDD4276FBEC7}"/>
                </c:ext>
              </c:extLst>
            </c:dLbl>
            <c:dLbl>
              <c:idx val="83"/>
              <c:tx>
                <c:rich>
                  <a:bodyPr/>
                  <a:lstStyle/>
                  <a:p>
                    <a:fld id="{02A1EAD3-1C44-4889-9573-444E846DB6C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4-2C31-4136-ABAE-DDD4276FBEC7}"/>
                </c:ext>
              </c:extLst>
            </c:dLbl>
            <c:dLbl>
              <c:idx val="84"/>
              <c:tx>
                <c:rich>
                  <a:bodyPr/>
                  <a:lstStyle/>
                  <a:p>
                    <a:fld id="{5F6C3A0B-97FF-4D1A-A14C-C999667D5A1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5-2C31-4136-ABAE-DDD4276FBEC7}"/>
                </c:ext>
              </c:extLst>
            </c:dLbl>
            <c:dLbl>
              <c:idx val="85"/>
              <c:tx>
                <c:rich>
                  <a:bodyPr/>
                  <a:lstStyle/>
                  <a:p>
                    <a:fld id="{90F3B80A-93F8-42C3-8C2B-9B700FFA022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6-2C31-4136-ABAE-DDD4276FBEC7}"/>
                </c:ext>
              </c:extLst>
            </c:dLbl>
            <c:dLbl>
              <c:idx val="86"/>
              <c:tx>
                <c:rich>
                  <a:bodyPr/>
                  <a:lstStyle/>
                  <a:p>
                    <a:fld id="{C4558423-DBA8-439E-BA13-03620188DDD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7-2C31-4136-ABAE-DDD4276FBEC7}"/>
                </c:ext>
              </c:extLst>
            </c:dLbl>
            <c:dLbl>
              <c:idx val="87"/>
              <c:tx>
                <c:rich>
                  <a:bodyPr/>
                  <a:lstStyle/>
                  <a:p>
                    <a:fld id="{B5282747-C196-4FDF-8298-4A652871FA7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8-2C31-4136-ABAE-DDD4276FBEC7}"/>
                </c:ext>
              </c:extLst>
            </c:dLbl>
            <c:dLbl>
              <c:idx val="88"/>
              <c:tx>
                <c:rich>
                  <a:bodyPr/>
                  <a:lstStyle/>
                  <a:p>
                    <a:fld id="{EB4B8E5E-07CE-4EC4-AFA5-95EE45A6C31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9-2C31-4136-ABAE-DDD4276FBEC7}"/>
                </c:ext>
              </c:extLst>
            </c:dLbl>
            <c:dLbl>
              <c:idx val="89"/>
              <c:tx>
                <c:rich>
                  <a:bodyPr/>
                  <a:lstStyle/>
                  <a:p>
                    <a:fld id="{BD831ED5-46CB-4F45-AA0A-3EE3C0B44EC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A-2C31-4136-ABAE-DDD4276FBEC7}"/>
                </c:ext>
              </c:extLst>
            </c:dLbl>
            <c:dLbl>
              <c:idx val="90"/>
              <c:tx>
                <c:rich>
                  <a:bodyPr/>
                  <a:lstStyle/>
                  <a:p>
                    <a:fld id="{EA107476-719F-4E91-832C-59BC231ABE9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B-2C31-4136-ABAE-DDD4276FBEC7}"/>
                </c:ext>
              </c:extLst>
            </c:dLbl>
            <c:dLbl>
              <c:idx val="91"/>
              <c:tx>
                <c:rich>
                  <a:bodyPr/>
                  <a:lstStyle/>
                  <a:p>
                    <a:fld id="{735F4CEC-DC9C-43A9-BB48-CDC9DBAAE4F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C-2C31-4136-ABAE-DDD4276FBEC7}"/>
                </c:ext>
              </c:extLst>
            </c:dLbl>
            <c:dLbl>
              <c:idx val="92"/>
              <c:tx>
                <c:rich>
                  <a:bodyPr/>
                  <a:lstStyle/>
                  <a:p>
                    <a:fld id="{B40034E0-2D61-43DE-9A53-45CE3543BAE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D-2C31-4136-ABAE-DDD4276FBEC7}"/>
                </c:ext>
              </c:extLst>
            </c:dLbl>
            <c:dLbl>
              <c:idx val="93"/>
              <c:tx>
                <c:rich>
                  <a:bodyPr/>
                  <a:lstStyle/>
                  <a:p>
                    <a:fld id="{B0B93B59-D86F-46EC-912A-3EE62051C17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E-2C31-4136-ABAE-DDD4276FBEC7}"/>
                </c:ext>
              </c:extLst>
            </c:dLbl>
            <c:dLbl>
              <c:idx val="94"/>
              <c:tx>
                <c:rich>
                  <a:bodyPr/>
                  <a:lstStyle/>
                  <a:p>
                    <a:fld id="{83FA3339-FFA0-4954-8B17-19C58F4829A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F-2C31-4136-ABAE-DDD4276FBEC7}"/>
                </c:ext>
              </c:extLst>
            </c:dLbl>
            <c:dLbl>
              <c:idx val="95"/>
              <c:tx>
                <c:rich>
                  <a:bodyPr/>
                  <a:lstStyle/>
                  <a:p>
                    <a:fld id="{CAB03F9C-15BB-4E93-918C-E6B187E842C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0-2C31-4136-ABAE-DDD4276FBEC7}"/>
                </c:ext>
              </c:extLst>
            </c:dLbl>
            <c:dLbl>
              <c:idx val="96"/>
              <c:tx>
                <c:rich>
                  <a:bodyPr/>
                  <a:lstStyle/>
                  <a:p>
                    <a:fld id="{25E97946-8CCB-4317-A0D1-C5DB01DBB05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1-2C31-4136-ABAE-DDD4276FBEC7}"/>
                </c:ext>
              </c:extLst>
            </c:dLbl>
            <c:dLbl>
              <c:idx val="97"/>
              <c:tx>
                <c:rich>
                  <a:bodyPr/>
                  <a:lstStyle/>
                  <a:p>
                    <a:fld id="{9908D02E-05E0-4C53-8CB2-DABE0333D5F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2-2C31-4136-ABAE-DDD4276FBEC7}"/>
                </c:ext>
              </c:extLst>
            </c:dLbl>
            <c:dLbl>
              <c:idx val="98"/>
              <c:tx>
                <c:rich>
                  <a:bodyPr/>
                  <a:lstStyle/>
                  <a:p>
                    <a:fld id="{4EAE03FD-CC1B-474D-86EF-630FF9D23BF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3-2C31-4136-ABAE-DDD4276FBEC7}"/>
                </c:ext>
              </c:extLst>
            </c:dLbl>
            <c:dLbl>
              <c:idx val="99"/>
              <c:tx>
                <c:rich>
                  <a:bodyPr/>
                  <a:lstStyle/>
                  <a:p>
                    <a:fld id="{5A9AF7B0-1FFB-40BD-8E7E-AB195F1CC20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4-2C31-4136-ABAE-DDD4276FBEC7}"/>
                </c:ext>
              </c:extLst>
            </c:dLbl>
            <c:dLbl>
              <c:idx val="100"/>
              <c:tx>
                <c:rich>
                  <a:bodyPr/>
                  <a:lstStyle/>
                  <a:p>
                    <a:fld id="{4617D0FD-0E43-4D5A-A301-DC25A5097D5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5-2C31-4136-ABAE-DDD4276FBEC7}"/>
                </c:ext>
              </c:extLst>
            </c:dLbl>
            <c:dLbl>
              <c:idx val="101"/>
              <c:tx>
                <c:rich>
                  <a:bodyPr/>
                  <a:lstStyle/>
                  <a:p>
                    <a:fld id="{54C039A3-456E-47C4-830A-150ADD713E0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6-2C31-4136-ABAE-DDD4276FBEC7}"/>
                </c:ext>
              </c:extLst>
            </c:dLbl>
            <c:dLbl>
              <c:idx val="102"/>
              <c:tx>
                <c:rich>
                  <a:bodyPr/>
                  <a:lstStyle/>
                  <a:p>
                    <a:fld id="{F46D3AF3-FCBF-42BC-87EA-F4F34DA9E29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7-2C31-4136-ABAE-DDD4276FBEC7}"/>
                </c:ext>
              </c:extLst>
            </c:dLbl>
            <c:dLbl>
              <c:idx val="103"/>
              <c:tx>
                <c:rich>
                  <a:bodyPr/>
                  <a:lstStyle/>
                  <a:p>
                    <a:fld id="{7748B40D-8368-4498-974B-424E15EE8CE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8-2C31-4136-ABAE-DDD4276FBEC7}"/>
                </c:ext>
              </c:extLst>
            </c:dLbl>
            <c:dLbl>
              <c:idx val="104"/>
              <c:tx>
                <c:rich>
                  <a:bodyPr/>
                  <a:lstStyle/>
                  <a:p>
                    <a:fld id="{FEFEA7A2-813B-4DA8-AA0D-635CABB49D4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9-2C31-4136-ABAE-DDD4276FBEC7}"/>
                </c:ext>
              </c:extLst>
            </c:dLbl>
            <c:dLbl>
              <c:idx val="105"/>
              <c:tx>
                <c:rich>
                  <a:bodyPr/>
                  <a:lstStyle/>
                  <a:p>
                    <a:fld id="{7C74BAE2-6492-4762-87E2-5759EAE402D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A-2C31-4136-ABAE-DDD4276FBEC7}"/>
                </c:ext>
              </c:extLst>
            </c:dLbl>
            <c:dLbl>
              <c:idx val="106"/>
              <c:tx>
                <c:rich>
                  <a:bodyPr/>
                  <a:lstStyle/>
                  <a:p>
                    <a:fld id="{98E53DFD-DE26-4B92-BEEF-A555CC9B938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B-2C31-4136-ABAE-DDD4276FBEC7}"/>
                </c:ext>
              </c:extLst>
            </c:dLbl>
            <c:dLbl>
              <c:idx val="107"/>
              <c:tx>
                <c:rich>
                  <a:bodyPr/>
                  <a:lstStyle/>
                  <a:p>
                    <a:fld id="{85DDB423-1668-4E91-A2AF-A9A8EC64322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C-2C31-4136-ABAE-DDD4276FBEC7}"/>
                </c:ext>
              </c:extLst>
            </c:dLbl>
            <c:dLbl>
              <c:idx val="108"/>
              <c:tx>
                <c:rich>
                  <a:bodyPr/>
                  <a:lstStyle/>
                  <a:p>
                    <a:fld id="{2520B0B6-B56B-49B4-8674-93917F695BA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D-2C31-4136-ABAE-DDD4276FBEC7}"/>
                </c:ext>
              </c:extLst>
            </c:dLbl>
            <c:dLbl>
              <c:idx val="109"/>
              <c:tx>
                <c:rich>
                  <a:bodyPr/>
                  <a:lstStyle/>
                  <a:p>
                    <a:fld id="{08F3E05E-F831-4BE5-833D-1C7AF9334DC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E-2C31-4136-ABAE-DDD4276FBEC7}"/>
                </c:ext>
              </c:extLst>
            </c:dLbl>
            <c:dLbl>
              <c:idx val="110"/>
              <c:tx>
                <c:rich>
                  <a:bodyPr/>
                  <a:lstStyle/>
                  <a:p>
                    <a:fld id="{980DB4B6-C1BE-4D6D-812C-C58EA8669A9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F-2C31-4136-ABAE-DDD4276FBEC7}"/>
                </c:ext>
              </c:extLst>
            </c:dLbl>
            <c:dLbl>
              <c:idx val="111"/>
              <c:tx>
                <c:rich>
                  <a:bodyPr/>
                  <a:lstStyle/>
                  <a:p>
                    <a:fld id="{02D43AE5-757D-426A-AFCF-E3E5DA9DDD2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0-2C31-4136-ABAE-DDD4276FBEC7}"/>
                </c:ext>
              </c:extLst>
            </c:dLbl>
            <c:dLbl>
              <c:idx val="112"/>
              <c:tx>
                <c:rich>
                  <a:bodyPr/>
                  <a:lstStyle/>
                  <a:p>
                    <a:fld id="{D40EF9CE-65E0-4AE6-93B9-AB8FC8619F7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1-2C31-4136-ABAE-DDD4276FBEC7}"/>
                </c:ext>
              </c:extLst>
            </c:dLbl>
            <c:dLbl>
              <c:idx val="113"/>
              <c:tx>
                <c:rich>
                  <a:bodyPr/>
                  <a:lstStyle/>
                  <a:p>
                    <a:fld id="{9CD2DBF2-DF8E-4C76-BAC1-6710109C262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2-2C31-4136-ABAE-DDD4276FBEC7}"/>
                </c:ext>
              </c:extLst>
            </c:dLbl>
            <c:dLbl>
              <c:idx val="114"/>
              <c:tx>
                <c:rich>
                  <a:bodyPr/>
                  <a:lstStyle/>
                  <a:p>
                    <a:fld id="{F8075513-409F-41EA-98D1-9D7B1BB2D67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3-2C31-4136-ABAE-DDD4276FBEC7}"/>
                </c:ext>
              </c:extLst>
            </c:dLbl>
            <c:dLbl>
              <c:idx val="115"/>
              <c:tx>
                <c:rich>
                  <a:bodyPr/>
                  <a:lstStyle/>
                  <a:p>
                    <a:fld id="{19A2CE0E-1282-4C4B-8696-0B8571BEAFB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4-2C31-4136-ABAE-DDD4276FBEC7}"/>
                </c:ext>
              </c:extLst>
            </c:dLbl>
            <c:dLbl>
              <c:idx val="116"/>
              <c:tx>
                <c:rich>
                  <a:bodyPr/>
                  <a:lstStyle/>
                  <a:p>
                    <a:fld id="{F99001B9-686A-49F5-B495-FBBDE91161B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5-2C31-4136-ABAE-DDD4276FBEC7}"/>
                </c:ext>
              </c:extLst>
            </c:dLbl>
            <c:dLbl>
              <c:idx val="117"/>
              <c:tx>
                <c:rich>
                  <a:bodyPr/>
                  <a:lstStyle/>
                  <a:p>
                    <a:fld id="{0D5CD2B2-2C9F-4883-89AC-7C875BA77DC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6-2C31-4136-ABAE-DDD4276FBEC7}"/>
                </c:ext>
              </c:extLst>
            </c:dLbl>
            <c:dLbl>
              <c:idx val="118"/>
              <c:tx>
                <c:rich>
                  <a:bodyPr/>
                  <a:lstStyle/>
                  <a:p>
                    <a:fld id="{304A4FA2-243C-4B2E-93B8-6BB50ADAB34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7-2C31-4136-ABAE-DDD4276FBEC7}"/>
                </c:ext>
              </c:extLst>
            </c:dLbl>
            <c:dLbl>
              <c:idx val="119"/>
              <c:tx>
                <c:rich>
                  <a:bodyPr/>
                  <a:lstStyle/>
                  <a:p>
                    <a:fld id="{C1265A42-5EAC-42D9-9BB1-9F560D58642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8-2C31-4136-ABAE-DDD4276FBEC7}"/>
                </c:ext>
              </c:extLst>
            </c:dLbl>
            <c:dLbl>
              <c:idx val="120"/>
              <c:tx>
                <c:rich>
                  <a:bodyPr/>
                  <a:lstStyle/>
                  <a:p>
                    <a:fld id="{60E1F68F-B66F-480E-A2E4-87DF28D3768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9-2C31-4136-ABAE-DDD4276FBEC7}"/>
                </c:ext>
              </c:extLst>
            </c:dLbl>
            <c:dLbl>
              <c:idx val="121"/>
              <c:tx>
                <c:rich>
                  <a:bodyPr/>
                  <a:lstStyle/>
                  <a:p>
                    <a:fld id="{B8CD2922-F587-439E-9819-CCE0EFE6F5E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A-2C31-4136-ABAE-DDD4276FBEC7}"/>
                </c:ext>
              </c:extLst>
            </c:dLbl>
            <c:dLbl>
              <c:idx val="122"/>
              <c:tx>
                <c:rich>
                  <a:bodyPr/>
                  <a:lstStyle/>
                  <a:p>
                    <a:fld id="{97FCCDA5-671E-4774-B6ED-69F5A80BE22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B-2C31-4136-ABAE-DDD4276FBEC7}"/>
                </c:ext>
              </c:extLst>
            </c:dLbl>
            <c:dLbl>
              <c:idx val="123"/>
              <c:tx>
                <c:rich>
                  <a:bodyPr/>
                  <a:lstStyle/>
                  <a:p>
                    <a:fld id="{9246D559-42B4-443D-9CE5-F1EFE1B2648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C-2C31-4136-ABAE-DDD4276FBEC7}"/>
                </c:ext>
              </c:extLst>
            </c:dLbl>
            <c:dLbl>
              <c:idx val="124"/>
              <c:tx>
                <c:rich>
                  <a:bodyPr/>
                  <a:lstStyle/>
                  <a:p>
                    <a:fld id="{95E30582-15E6-4F14-99E9-DB0C85F2539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D-2C31-4136-ABAE-DDD4276FBEC7}"/>
                </c:ext>
              </c:extLst>
            </c:dLbl>
            <c:dLbl>
              <c:idx val="125"/>
              <c:tx>
                <c:rich>
                  <a:bodyPr/>
                  <a:lstStyle/>
                  <a:p>
                    <a:fld id="{C55FA025-6F0B-474A-B06E-FC4C723C8B6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E-2C31-4136-ABAE-DDD4276FBEC7}"/>
                </c:ext>
              </c:extLst>
            </c:dLbl>
            <c:dLbl>
              <c:idx val="126"/>
              <c:tx>
                <c:rich>
                  <a:bodyPr/>
                  <a:lstStyle/>
                  <a:p>
                    <a:fld id="{95A9CFF9-3BC8-4736-B301-7D9F81745CD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F-2C31-4136-ABAE-DDD4276FBEC7}"/>
                </c:ext>
              </c:extLst>
            </c:dLbl>
            <c:dLbl>
              <c:idx val="127"/>
              <c:tx>
                <c:rich>
                  <a:bodyPr/>
                  <a:lstStyle/>
                  <a:p>
                    <a:fld id="{2C6045C5-AC47-455F-A905-B89E88EE89F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0-2C31-4136-ABAE-DDD4276FBEC7}"/>
                </c:ext>
              </c:extLst>
            </c:dLbl>
            <c:dLbl>
              <c:idx val="128"/>
              <c:tx>
                <c:rich>
                  <a:bodyPr/>
                  <a:lstStyle/>
                  <a:p>
                    <a:fld id="{F6D5DEE0-B02C-42B2-BA5B-17517B61894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1-2C31-4136-ABAE-DDD4276FBEC7}"/>
                </c:ext>
              </c:extLst>
            </c:dLbl>
            <c:dLbl>
              <c:idx val="129"/>
              <c:tx>
                <c:rich>
                  <a:bodyPr/>
                  <a:lstStyle/>
                  <a:p>
                    <a:fld id="{18739D65-C0F3-4BAB-B80A-592BD4BC4B0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2-2C31-4136-ABAE-DDD4276FBEC7}"/>
                </c:ext>
              </c:extLst>
            </c:dLbl>
            <c:dLbl>
              <c:idx val="130"/>
              <c:tx>
                <c:rich>
                  <a:bodyPr/>
                  <a:lstStyle/>
                  <a:p>
                    <a:fld id="{14A6D004-194D-4C54-984B-DB8725591FC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3-2C31-4136-ABAE-DDD4276FBEC7}"/>
                </c:ext>
              </c:extLst>
            </c:dLbl>
            <c:dLbl>
              <c:idx val="131"/>
              <c:tx>
                <c:rich>
                  <a:bodyPr/>
                  <a:lstStyle/>
                  <a:p>
                    <a:fld id="{32C3530E-CA5E-4438-B1F5-91C2F82EB68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4-2C31-4136-ABAE-DDD4276FBEC7}"/>
                </c:ext>
              </c:extLst>
            </c:dLbl>
            <c:dLbl>
              <c:idx val="132"/>
              <c:tx>
                <c:rich>
                  <a:bodyPr/>
                  <a:lstStyle/>
                  <a:p>
                    <a:fld id="{60FFAE1F-3B70-4A5F-B2FE-00E5EDA522C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5-2C31-4136-ABAE-DDD4276FBEC7}"/>
                </c:ext>
              </c:extLst>
            </c:dLbl>
            <c:dLbl>
              <c:idx val="133"/>
              <c:tx>
                <c:rich>
                  <a:bodyPr/>
                  <a:lstStyle/>
                  <a:p>
                    <a:fld id="{ADD00F69-67F7-4DCF-9D68-D92AC4E5859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6-2C31-4136-ABAE-DDD4276FBEC7}"/>
                </c:ext>
              </c:extLst>
            </c:dLbl>
            <c:dLbl>
              <c:idx val="134"/>
              <c:tx>
                <c:rich>
                  <a:bodyPr/>
                  <a:lstStyle/>
                  <a:p>
                    <a:fld id="{3C89DBC5-AF12-4FB5-A236-0D32FA5E0BC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7-2C31-4136-ABAE-DDD4276FBEC7}"/>
                </c:ext>
              </c:extLst>
            </c:dLbl>
            <c:dLbl>
              <c:idx val="135"/>
              <c:tx>
                <c:rich>
                  <a:bodyPr/>
                  <a:lstStyle/>
                  <a:p>
                    <a:fld id="{F05CFAB3-9039-4487-8E3F-CDBC3A98E57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8-2C31-4136-ABAE-DDD4276FBEC7}"/>
                </c:ext>
              </c:extLst>
            </c:dLbl>
            <c:dLbl>
              <c:idx val="136"/>
              <c:tx>
                <c:rich>
                  <a:bodyPr/>
                  <a:lstStyle/>
                  <a:p>
                    <a:fld id="{0F3A588C-DFC3-457B-94F0-2EEA8CEB6BC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9-2C31-4136-ABAE-DDD4276FBEC7}"/>
                </c:ext>
              </c:extLst>
            </c:dLbl>
            <c:dLbl>
              <c:idx val="137"/>
              <c:tx>
                <c:rich>
                  <a:bodyPr/>
                  <a:lstStyle/>
                  <a:p>
                    <a:fld id="{DC6B1887-80DC-4E54-A638-EBC1BC4F932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A-2C31-4136-ABAE-DDD4276FBEC7}"/>
                </c:ext>
              </c:extLst>
            </c:dLbl>
            <c:dLbl>
              <c:idx val="138"/>
              <c:tx>
                <c:rich>
                  <a:bodyPr/>
                  <a:lstStyle/>
                  <a:p>
                    <a:fld id="{923DEF02-DB69-4DB0-9462-534B889D81B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B-2C31-4136-ABAE-DDD4276FBEC7}"/>
                </c:ext>
              </c:extLst>
            </c:dLbl>
            <c:dLbl>
              <c:idx val="139"/>
              <c:tx>
                <c:rich>
                  <a:bodyPr/>
                  <a:lstStyle/>
                  <a:p>
                    <a:fld id="{2BF4C034-8985-4FAE-B9EF-FB5592E475C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C-2C31-4136-ABAE-DDD4276FBEC7}"/>
                </c:ext>
              </c:extLst>
            </c:dLbl>
            <c:dLbl>
              <c:idx val="140"/>
              <c:tx>
                <c:rich>
                  <a:bodyPr/>
                  <a:lstStyle/>
                  <a:p>
                    <a:fld id="{8035423C-103B-4147-9359-93E393A834C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D-2C31-4136-ABAE-DDD4276FBEC7}"/>
                </c:ext>
              </c:extLst>
            </c:dLbl>
            <c:dLbl>
              <c:idx val="141"/>
              <c:tx>
                <c:rich>
                  <a:bodyPr/>
                  <a:lstStyle/>
                  <a:p>
                    <a:fld id="{AA429008-BC14-40FB-8C83-967D4A8DA8A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E-2C31-4136-ABAE-DDD4276FBEC7}"/>
                </c:ext>
              </c:extLst>
            </c:dLbl>
            <c:dLbl>
              <c:idx val="142"/>
              <c:tx>
                <c:rich>
                  <a:bodyPr/>
                  <a:lstStyle/>
                  <a:p>
                    <a:fld id="{58D6C264-1C56-4027-AF97-716A2AB8FF7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F-2C31-4136-ABAE-DDD4276FBEC7}"/>
                </c:ext>
              </c:extLst>
            </c:dLbl>
            <c:dLbl>
              <c:idx val="143"/>
              <c:tx>
                <c:rich>
                  <a:bodyPr/>
                  <a:lstStyle/>
                  <a:p>
                    <a:fld id="{F16A075C-8DCD-42EC-B5F7-A97981B7D38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0-2C31-4136-ABAE-DDD4276FBEC7}"/>
                </c:ext>
              </c:extLst>
            </c:dLbl>
            <c:dLbl>
              <c:idx val="144"/>
              <c:tx>
                <c:rich>
                  <a:bodyPr/>
                  <a:lstStyle/>
                  <a:p>
                    <a:fld id="{BF9552ED-AF4D-4877-BEE7-97C7B6DC8C3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1-2C31-4136-ABAE-DDD4276FBEC7}"/>
                </c:ext>
              </c:extLst>
            </c:dLbl>
            <c:dLbl>
              <c:idx val="145"/>
              <c:tx>
                <c:rich>
                  <a:bodyPr/>
                  <a:lstStyle/>
                  <a:p>
                    <a:fld id="{A1058121-903F-4766-9F1F-9557BA8C3E3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2-2C31-4136-ABAE-DDD4276FBEC7}"/>
                </c:ext>
              </c:extLst>
            </c:dLbl>
            <c:dLbl>
              <c:idx val="146"/>
              <c:tx>
                <c:rich>
                  <a:bodyPr/>
                  <a:lstStyle/>
                  <a:p>
                    <a:fld id="{8465DE8A-A250-4D2B-9A59-A20263A6935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3-2C31-4136-ABAE-DDD4276FBEC7}"/>
                </c:ext>
              </c:extLst>
            </c:dLbl>
            <c:dLbl>
              <c:idx val="147"/>
              <c:tx>
                <c:rich>
                  <a:bodyPr/>
                  <a:lstStyle/>
                  <a:p>
                    <a:fld id="{E70145B5-C6D1-4BCF-AE03-19A68F10BB9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4-2C31-4136-ABAE-DDD4276FBEC7}"/>
                </c:ext>
              </c:extLst>
            </c:dLbl>
            <c:dLbl>
              <c:idx val="148"/>
              <c:tx>
                <c:rich>
                  <a:bodyPr/>
                  <a:lstStyle/>
                  <a:p>
                    <a:fld id="{614BA995-0A4A-4C4A-9209-7D230C5C0C8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5-2C31-4136-ABAE-DDD4276FBEC7}"/>
                </c:ext>
              </c:extLst>
            </c:dLbl>
            <c:dLbl>
              <c:idx val="149"/>
              <c:tx>
                <c:rich>
                  <a:bodyPr/>
                  <a:lstStyle/>
                  <a:p>
                    <a:fld id="{B237C4E0-CB44-48D9-80B6-FDF2E960610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6-2C31-4136-ABAE-DDD4276FBEC7}"/>
                </c:ext>
              </c:extLst>
            </c:dLbl>
            <c:dLbl>
              <c:idx val="150"/>
              <c:tx>
                <c:rich>
                  <a:bodyPr/>
                  <a:lstStyle/>
                  <a:p>
                    <a:fld id="{0BC45182-3458-4F23-AD40-76649EB9F9D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7-2C31-4136-ABAE-DDD4276FBEC7}"/>
                </c:ext>
              </c:extLst>
            </c:dLbl>
            <c:dLbl>
              <c:idx val="151"/>
              <c:tx>
                <c:rich>
                  <a:bodyPr/>
                  <a:lstStyle/>
                  <a:p>
                    <a:fld id="{99CE0FE5-9F92-4150-87CB-A15116A4C35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8-2C31-4136-ABAE-DDD4276FBEC7}"/>
                </c:ext>
              </c:extLst>
            </c:dLbl>
            <c:dLbl>
              <c:idx val="152"/>
              <c:tx>
                <c:rich>
                  <a:bodyPr/>
                  <a:lstStyle/>
                  <a:p>
                    <a:fld id="{DA787278-6D6D-4F55-881C-D0E966EF039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9-2C31-4136-ABAE-DDD4276FBEC7}"/>
                </c:ext>
              </c:extLst>
            </c:dLbl>
            <c:dLbl>
              <c:idx val="153"/>
              <c:tx>
                <c:rich>
                  <a:bodyPr/>
                  <a:lstStyle/>
                  <a:p>
                    <a:fld id="{8A21ED01-AE82-4B1A-AB9B-D6C9B7597F3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A-2C31-4136-ABAE-DDD4276FBEC7}"/>
                </c:ext>
              </c:extLst>
            </c:dLbl>
            <c:dLbl>
              <c:idx val="154"/>
              <c:tx>
                <c:rich>
                  <a:bodyPr/>
                  <a:lstStyle/>
                  <a:p>
                    <a:fld id="{22A99A1C-7A77-4F1A-99E9-935B55C5E22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B-2C31-4136-ABAE-DDD4276FBEC7}"/>
                </c:ext>
              </c:extLst>
            </c:dLbl>
            <c:dLbl>
              <c:idx val="155"/>
              <c:tx>
                <c:rich>
                  <a:bodyPr/>
                  <a:lstStyle/>
                  <a:p>
                    <a:fld id="{BAB63ECB-3EB1-4883-B645-C54489B74BC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C-2C31-4136-ABAE-DDD4276FBEC7}"/>
                </c:ext>
              </c:extLst>
            </c:dLbl>
            <c:dLbl>
              <c:idx val="156"/>
              <c:tx>
                <c:rich>
                  <a:bodyPr/>
                  <a:lstStyle/>
                  <a:p>
                    <a:fld id="{FE9AC98D-AC97-4B8D-87DD-D85B4A493FC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D-2C31-4136-ABAE-DDD4276FBEC7}"/>
                </c:ext>
              </c:extLst>
            </c:dLbl>
            <c:dLbl>
              <c:idx val="157"/>
              <c:tx>
                <c:rich>
                  <a:bodyPr/>
                  <a:lstStyle/>
                  <a:p>
                    <a:fld id="{DDB9F094-12A3-41FF-A353-CBFD00118EC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E-2C31-4136-ABAE-DDD4276FBEC7}"/>
                </c:ext>
              </c:extLst>
            </c:dLbl>
            <c:dLbl>
              <c:idx val="158"/>
              <c:tx>
                <c:rich>
                  <a:bodyPr/>
                  <a:lstStyle/>
                  <a:p>
                    <a:fld id="{432183F6-A19E-42BB-851D-0D7E5802541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F-2C31-4136-ABAE-DDD4276FBEC7}"/>
                </c:ext>
              </c:extLst>
            </c:dLbl>
            <c:dLbl>
              <c:idx val="159"/>
              <c:tx>
                <c:rich>
                  <a:bodyPr/>
                  <a:lstStyle/>
                  <a:p>
                    <a:fld id="{BCBD01AB-164B-451B-BD2B-747822FCA1F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0-2C31-4136-ABAE-DDD4276FBEC7}"/>
                </c:ext>
              </c:extLst>
            </c:dLbl>
            <c:dLbl>
              <c:idx val="160"/>
              <c:tx>
                <c:rich>
                  <a:bodyPr/>
                  <a:lstStyle/>
                  <a:p>
                    <a:fld id="{5CB87EDB-F4E6-4935-8A1A-FB64D285697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1-2C31-4136-ABAE-DDD4276FBEC7}"/>
                </c:ext>
              </c:extLst>
            </c:dLbl>
            <c:dLbl>
              <c:idx val="161"/>
              <c:tx>
                <c:rich>
                  <a:bodyPr/>
                  <a:lstStyle/>
                  <a:p>
                    <a:fld id="{0D041AE3-54D3-41EA-8EB6-F7A8F5BFFB7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2-2C31-4136-ABAE-DDD4276FBEC7}"/>
                </c:ext>
              </c:extLst>
            </c:dLbl>
            <c:dLbl>
              <c:idx val="162"/>
              <c:tx>
                <c:rich>
                  <a:bodyPr/>
                  <a:lstStyle/>
                  <a:p>
                    <a:fld id="{3FBE5825-316A-4AA8-B647-799997730BA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3-2C31-4136-ABAE-DDD4276FBEC7}"/>
                </c:ext>
              </c:extLst>
            </c:dLbl>
            <c:dLbl>
              <c:idx val="163"/>
              <c:tx>
                <c:rich>
                  <a:bodyPr/>
                  <a:lstStyle/>
                  <a:p>
                    <a:fld id="{13D86C40-01B7-4DCF-94D7-3FFBF8DF978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4-2C31-4136-ABAE-DDD4276FBEC7}"/>
                </c:ext>
              </c:extLst>
            </c:dLbl>
            <c:dLbl>
              <c:idx val="164"/>
              <c:tx>
                <c:rich>
                  <a:bodyPr/>
                  <a:lstStyle/>
                  <a:p>
                    <a:fld id="{BB68B19F-8D63-4A6F-A279-EA1A731CDC4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5-2C31-4136-ABAE-DDD4276FBEC7}"/>
                </c:ext>
              </c:extLst>
            </c:dLbl>
            <c:dLbl>
              <c:idx val="165"/>
              <c:tx>
                <c:rich>
                  <a:bodyPr/>
                  <a:lstStyle/>
                  <a:p>
                    <a:fld id="{38EBE597-50E6-4B76-9DA3-119C5E3B6D7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6-2C31-4136-ABAE-DDD4276FBEC7}"/>
                </c:ext>
              </c:extLst>
            </c:dLbl>
            <c:dLbl>
              <c:idx val="166"/>
              <c:tx>
                <c:rich>
                  <a:bodyPr/>
                  <a:lstStyle/>
                  <a:p>
                    <a:fld id="{A40466D4-CC67-437E-B3C9-A43168E575F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7-2C31-4136-ABAE-DDD4276FBEC7}"/>
                </c:ext>
              </c:extLst>
            </c:dLbl>
            <c:dLbl>
              <c:idx val="167"/>
              <c:tx>
                <c:rich>
                  <a:bodyPr/>
                  <a:lstStyle/>
                  <a:p>
                    <a:fld id="{5DF2C5BF-E428-4DBB-B587-6D0AC24BCFB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8-2C31-4136-ABAE-DDD4276FBEC7}"/>
                </c:ext>
              </c:extLst>
            </c:dLbl>
            <c:dLbl>
              <c:idx val="168"/>
              <c:tx>
                <c:rich>
                  <a:bodyPr/>
                  <a:lstStyle/>
                  <a:p>
                    <a:fld id="{006EDBC6-53DC-443D-AD2D-190FDF35F87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9-2C31-4136-ABAE-DDD4276FBEC7}"/>
                </c:ext>
              </c:extLst>
            </c:dLbl>
            <c:dLbl>
              <c:idx val="169"/>
              <c:tx>
                <c:rich>
                  <a:bodyPr/>
                  <a:lstStyle/>
                  <a:p>
                    <a:fld id="{9944E08B-EDEF-4980-95BC-E07F0D6B522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A-2C31-4136-ABAE-DDD4276FBEC7}"/>
                </c:ext>
              </c:extLst>
            </c:dLbl>
            <c:dLbl>
              <c:idx val="170"/>
              <c:tx>
                <c:rich>
                  <a:bodyPr/>
                  <a:lstStyle/>
                  <a:p>
                    <a:fld id="{69DAD1BE-EB94-46DA-8F8D-252BB7830A5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B-2C31-4136-ABAE-DDD4276FBEC7}"/>
                </c:ext>
              </c:extLst>
            </c:dLbl>
            <c:dLbl>
              <c:idx val="171"/>
              <c:tx>
                <c:rich>
                  <a:bodyPr/>
                  <a:lstStyle/>
                  <a:p>
                    <a:fld id="{EAE0D392-A695-4140-8073-65EFC44AA89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C-2C31-4136-ABAE-DDD4276FBEC7}"/>
                </c:ext>
              </c:extLst>
            </c:dLbl>
            <c:dLbl>
              <c:idx val="172"/>
              <c:tx>
                <c:rich>
                  <a:bodyPr/>
                  <a:lstStyle/>
                  <a:p>
                    <a:fld id="{13FAEFA2-5DA6-42E6-9990-1874DCC7A9B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D-2C31-4136-ABAE-DDD4276FBEC7}"/>
                </c:ext>
              </c:extLst>
            </c:dLbl>
            <c:dLbl>
              <c:idx val="173"/>
              <c:tx>
                <c:rich>
                  <a:bodyPr/>
                  <a:lstStyle/>
                  <a:p>
                    <a:fld id="{3ACEB781-0F93-4C2E-BBD5-DE6E5281286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E-2C31-4136-ABAE-DDD4276FBEC7}"/>
                </c:ext>
              </c:extLst>
            </c:dLbl>
            <c:dLbl>
              <c:idx val="174"/>
              <c:tx>
                <c:rich>
                  <a:bodyPr/>
                  <a:lstStyle/>
                  <a:p>
                    <a:fld id="{6397E934-2F2D-4629-8E65-AB46EB1A893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F-2C31-4136-ABAE-DDD4276FBEC7}"/>
                </c:ext>
              </c:extLst>
            </c:dLbl>
            <c:dLbl>
              <c:idx val="175"/>
              <c:tx>
                <c:rich>
                  <a:bodyPr/>
                  <a:lstStyle/>
                  <a:p>
                    <a:fld id="{4E5C4ABA-6CD2-4C47-8B82-989496127FE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0-2C31-4136-ABAE-DDD4276FBEC7}"/>
                </c:ext>
              </c:extLst>
            </c:dLbl>
            <c:dLbl>
              <c:idx val="176"/>
              <c:tx>
                <c:rich>
                  <a:bodyPr/>
                  <a:lstStyle/>
                  <a:p>
                    <a:fld id="{2BD5B736-D7D8-4776-8644-8A7FFBC68C8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1-2C31-4136-ABAE-DDD4276FBEC7}"/>
                </c:ext>
              </c:extLst>
            </c:dLbl>
            <c:dLbl>
              <c:idx val="177"/>
              <c:tx>
                <c:rich>
                  <a:bodyPr/>
                  <a:lstStyle/>
                  <a:p>
                    <a:fld id="{994B414C-F016-4DB2-A5AB-7FDED56115E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2-2C31-4136-ABAE-DDD4276FBEC7}"/>
                </c:ext>
              </c:extLst>
            </c:dLbl>
            <c:dLbl>
              <c:idx val="178"/>
              <c:tx>
                <c:rich>
                  <a:bodyPr/>
                  <a:lstStyle/>
                  <a:p>
                    <a:fld id="{BB849CEA-EAF3-4C0F-9A91-748A795B4AB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3-2C31-4136-ABAE-DDD4276FBEC7}"/>
                </c:ext>
              </c:extLst>
            </c:dLbl>
            <c:dLbl>
              <c:idx val="179"/>
              <c:tx>
                <c:rich>
                  <a:bodyPr/>
                  <a:lstStyle/>
                  <a:p>
                    <a:fld id="{509346CB-E6A2-4878-9DED-30C2070F15C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4-2C31-4136-ABAE-DDD4276FBEC7}"/>
                </c:ext>
              </c:extLst>
            </c:dLbl>
            <c:dLbl>
              <c:idx val="180"/>
              <c:tx>
                <c:rich>
                  <a:bodyPr/>
                  <a:lstStyle/>
                  <a:p>
                    <a:fld id="{ED217E9D-9BED-4497-AD96-129B6DD55CF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5-2C31-4136-ABAE-DDD4276FBEC7}"/>
                </c:ext>
              </c:extLst>
            </c:dLbl>
            <c:dLbl>
              <c:idx val="181"/>
              <c:tx>
                <c:rich>
                  <a:bodyPr/>
                  <a:lstStyle/>
                  <a:p>
                    <a:fld id="{E432CB6B-6F98-4BE6-8DD3-B883D371EA3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6-2C31-4136-ABAE-DDD4276FBEC7}"/>
                </c:ext>
              </c:extLst>
            </c:dLbl>
            <c:dLbl>
              <c:idx val="182"/>
              <c:tx>
                <c:rich>
                  <a:bodyPr/>
                  <a:lstStyle/>
                  <a:p>
                    <a:fld id="{628D602D-64E4-4128-BA3D-7D67016B17E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7-2C31-4136-ABAE-DDD4276FBEC7}"/>
                </c:ext>
              </c:extLst>
            </c:dLbl>
            <c:dLbl>
              <c:idx val="183"/>
              <c:tx>
                <c:rich>
                  <a:bodyPr/>
                  <a:lstStyle/>
                  <a:p>
                    <a:fld id="{1BDE914C-E068-48A8-9240-B1DB02B9CD8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8-2C31-4136-ABAE-DDD4276FBEC7}"/>
                </c:ext>
              </c:extLst>
            </c:dLbl>
            <c:dLbl>
              <c:idx val="184"/>
              <c:tx>
                <c:rich>
                  <a:bodyPr/>
                  <a:lstStyle/>
                  <a:p>
                    <a:fld id="{231ABE06-30F9-4D1B-86DA-EAE8335E062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9-2C31-4136-ABAE-DDD4276FBEC7}"/>
                </c:ext>
              </c:extLst>
            </c:dLbl>
            <c:dLbl>
              <c:idx val="185"/>
              <c:tx>
                <c:rich>
                  <a:bodyPr/>
                  <a:lstStyle/>
                  <a:p>
                    <a:fld id="{9CFB957B-A73B-4246-BF83-37918706746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A-2C31-4136-ABAE-DDD4276FBEC7}"/>
                </c:ext>
              </c:extLst>
            </c:dLbl>
            <c:dLbl>
              <c:idx val="186"/>
              <c:tx>
                <c:rich>
                  <a:bodyPr/>
                  <a:lstStyle/>
                  <a:p>
                    <a:fld id="{6DF08839-E4D5-43B1-BF60-3E48A123EE9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B-2C31-4136-ABAE-DDD4276FBEC7}"/>
                </c:ext>
              </c:extLst>
            </c:dLbl>
            <c:dLbl>
              <c:idx val="187"/>
              <c:tx>
                <c:rich>
                  <a:bodyPr/>
                  <a:lstStyle/>
                  <a:p>
                    <a:fld id="{DD5DD766-5419-4E4F-833E-DDFF4AB9661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C-2C31-4136-ABAE-DDD4276FBEC7}"/>
                </c:ext>
              </c:extLst>
            </c:dLbl>
            <c:dLbl>
              <c:idx val="188"/>
              <c:tx>
                <c:rich>
                  <a:bodyPr/>
                  <a:lstStyle/>
                  <a:p>
                    <a:fld id="{C26EB79A-79CB-425F-AE25-01ADC56882C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D-2C31-4136-ABAE-DDD4276FBEC7}"/>
                </c:ext>
              </c:extLst>
            </c:dLbl>
            <c:dLbl>
              <c:idx val="189"/>
              <c:tx>
                <c:rich>
                  <a:bodyPr/>
                  <a:lstStyle/>
                  <a:p>
                    <a:fld id="{853092D1-D9BD-4E0A-BFCB-2E5EE712926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E-2C31-4136-ABAE-DDD4276FBEC7}"/>
                </c:ext>
              </c:extLst>
            </c:dLbl>
            <c:dLbl>
              <c:idx val="190"/>
              <c:tx>
                <c:rich>
                  <a:bodyPr/>
                  <a:lstStyle/>
                  <a:p>
                    <a:fld id="{EE5588C6-C1A7-4AFF-8759-EFE47B0BE7F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F-2C31-4136-ABAE-DDD4276FBEC7}"/>
                </c:ext>
              </c:extLst>
            </c:dLbl>
            <c:dLbl>
              <c:idx val="191"/>
              <c:tx>
                <c:rich>
                  <a:bodyPr/>
                  <a:lstStyle/>
                  <a:p>
                    <a:fld id="{491E5DAF-2710-40F8-A268-49D4599A611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0-2C31-4136-ABAE-DDD4276FBEC7}"/>
                </c:ext>
              </c:extLst>
            </c:dLbl>
            <c:dLbl>
              <c:idx val="192"/>
              <c:tx>
                <c:rich>
                  <a:bodyPr/>
                  <a:lstStyle/>
                  <a:p>
                    <a:fld id="{DC118389-167D-4DC3-875E-AF56DB343D2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1-2C31-4136-ABAE-DDD4276FBEC7}"/>
                </c:ext>
              </c:extLst>
            </c:dLbl>
            <c:dLbl>
              <c:idx val="193"/>
              <c:tx>
                <c:rich>
                  <a:bodyPr/>
                  <a:lstStyle/>
                  <a:p>
                    <a:fld id="{22349253-A615-448C-BE9F-ED31D0C39CC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2-2C31-4136-ABAE-DDD4276FBEC7}"/>
                </c:ext>
              </c:extLst>
            </c:dLbl>
            <c:dLbl>
              <c:idx val="194"/>
              <c:tx>
                <c:rich>
                  <a:bodyPr/>
                  <a:lstStyle/>
                  <a:p>
                    <a:fld id="{AB0B5266-8213-42F4-A851-BED6010A116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3-2C31-4136-ABAE-DDD4276FBEC7}"/>
                </c:ext>
              </c:extLst>
            </c:dLbl>
            <c:dLbl>
              <c:idx val="195"/>
              <c:tx>
                <c:rich>
                  <a:bodyPr/>
                  <a:lstStyle/>
                  <a:p>
                    <a:fld id="{B7299B9C-EB2F-4A84-A19A-AB500870064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4-2C31-4136-ABAE-DDD4276FBEC7}"/>
                </c:ext>
              </c:extLst>
            </c:dLbl>
            <c:dLbl>
              <c:idx val="196"/>
              <c:tx>
                <c:rich>
                  <a:bodyPr/>
                  <a:lstStyle/>
                  <a:p>
                    <a:fld id="{EA53F09D-401D-47FA-8166-5FF23116214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5-2C31-4136-ABAE-DDD4276FBEC7}"/>
                </c:ext>
              </c:extLst>
            </c:dLbl>
            <c:dLbl>
              <c:idx val="197"/>
              <c:tx>
                <c:rich>
                  <a:bodyPr/>
                  <a:lstStyle/>
                  <a:p>
                    <a:fld id="{8EFE6167-A681-4462-B50C-E22FEE32C46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6-2C31-4136-ABAE-DDD4276FBEC7}"/>
                </c:ext>
              </c:extLst>
            </c:dLbl>
            <c:dLbl>
              <c:idx val="198"/>
              <c:tx>
                <c:rich>
                  <a:bodyPr/>
                  <a:lstStyle/>
                  <a:p>
                    <a:fld id="{07D76943-9E77-432A-85F6-C5675200700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7-2C31-4136-ABAE-DDD4276FBEC7}"/>
                </c:ext>
              </c:extLst>
            </c:dLbl>
            <c:dLbl>
              <c:idx val="199"/>
              <c:tx>
                <c:rich>
                  <a:bodyPr/>
                  <a:lstStyle/>
                  <a:p>
                    <a:fld id="{A5F2279D-A9F5-46D0-A312-09E646525B6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8-2C31-4136-ABAE-DDD4276FBEC7}"/>
                </c:ext>
              </c:extLst>
            </c:dLbl>
            <c:dLbl>
              <c:idx val="200"/>
              <c:tx>
                <c:rich>
                  <a:bodyPr/>
                  <a:lstStyle/>
                  <a:p>
                    <a:fld id="{9B9373E8-3C0E-45F3-A61A-DF1ACC385F0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9-2C31-4136-ABAE-DDD4276FBEC7}"/>
                </c:ext>
              </c:extLst>
            </c:dLbl>
            <c:dLbl>
              <c:idx val="201"/>
              <c:tx>
                <c:rich>
                  <a:bodyPr/>
                  <a:lstStyle/>
                  <a:p>
                    <a:fld id="{C5BE46C7-B2BA-43B2-9043-B18E2B8A567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A-2C31-4136-ABAE-DDD4276FBEC7}"/>
                </c:ext>
              </c:extLst>
            </c:dLbl>
            <c:dLbl>
              <c:idx val="202"/>
              <c:tx>
                <c:rich>
                  <a:bodyPr/>
                  <a:lstStyle/>
                  <a:p>
                    <a:fld id="{A002083F-6649-488F-8FEF-8DD166FC459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B-2C31-4136-ABAE-DDD4276FBEC7}"/>
                </c:ext>
              </c:extLst>
            </c:dLbl>
            <c:dLbl>
              <c:idx val="203"/>
              <c:tx>
                <c:rich>
                  <a:bodyPr/>
                  <a:lstStyle/>
                  <a:p>
                    <a:fld id="{F9D632C9-F54A-4BB8-9F66-6A13ED2AF5D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C-2C31-4136-ABAE-DDD4276FBEC7}"/>
                </c:ext>
              </c:extLst>
            </c:dLbl>
            <c:dLbl>
              <c:idx val="204"/>
              <c:tx>
                <c:rich>
                  <a:bodyPr/>
                  <a:lstStyle/>
                  <a:p>
                    <a:fld id="{91B12A91-1D98-41E6-9A8B-26E23D187FA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D-2C31-4136-ABAE-DDD4276FBEC7}"/>
                </c:ext>
              </c:extLst>
            </c:dLbl>
            <c:dLbl>
              <c:idx val="205"/>
              <c:tx>
                <c:rich>
                  <a:bodyPr/>
                  <a:lstStyle/>
                  <a:p>
                    <a:fld id="{130C60A0-1D36-467C-8C5E-3AD90DB7A10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E-2C31-4136-ABAE-DDD4276FBEC7}"/>
                </c:ext>
              </c:extLst>
            </c:dLbl>
            <c:dLbl>
              <c:idx val="206"/>
              <c:tx>
                <c:rich>
                  <a:bodyPr/>
                  <a:lstStyle/>
                  <a:p>
                    <a:fld id="{7D40356A-6B92-4BF1-B511-C9A3DE3E5C0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F-2C31-4136-ABAE-DDD4276FBEC7}"/>
                </c:ext>
              </c:extLst>
            </c:dLbl>
            <c:dLbl>
              <c:idx val="207"/>
              <c:tx>
                <c:rich>
                  <a:bodyPr/>
                  <a:lstStyle/>
                  <a:p>
                    <a:fld id="{A453C678-816E-4A21-8F25-37C7C49FD94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0-2C31-4136-ABAE-DDD4276FBEC7}"/>
                </c:ext>
              </c:extLst>
            </c:dLbl>
            <c:dLbl>
              <c:idx val="208"/>
              <c:tx>
                <c:rich>
                  <a:bodyPr/>
                  <a:lstStyle/>
                  <a:p>
                    <a:fld id="{A468C79D-D0E8-46DC-A9A7-6B4CE6B21A4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1-2C31-4136-ABAE-DDD4276FBEC7}"/>
                </c:ext>
              </c:extLst>
            </c:dLbl>
            <c:dLbl>
              <c:idx val="209"/>
              <c:tx>
                <c:rich>
                  <a:bodyPr/>
                  <a:lstStyle/>
                  <a:p>
                    <a:fld id="{BDDEBE16-EFA6-4439-B232-5F4DD324965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2-2C31-4136-ABAE-DDD4276FBEC7}"/>
                </c:ext>
              </c:extLst>
            </c:dLbl>
            <c:dLbl>
              <c:idx val="210"/>
              <c:tx>
                <c:rich>
                  <a:bodyPr/>
                  <a:lstStyle/>
                  <a:p>
                    <a:fld id="{63997D3A-AE0B-4102-B7BC-E5F26CF8E82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3-2C31-4136-ABAE-DDD4276FBEC7}"/>
                </c:ext>
              </c:extLst>
            </c:dLbl>
            <c:dLbl>
              <c:idx val="211"/>
              <c:tx>
                <c:rich>
                  <a:bodyPr/>
                  <a:lstStyle/>
                  <a:p>
                    <a:fld id="{B5B21C1B-C1A4-47C7-8C8F-2CAD469D37F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4-2C31-4136-ABAE-DDD4276FBEC7}"/>
                </c:ext>
              </c:extLst>
            </c:dLbl>
            <c:dLbl>
              <c:idx val="212"/>
              <c:tx>
                <c:rich>
                  <a:bodyPr/>
                  <a:lstStyle/>
                  <a:p>
                    <a:fld id="{72DC0B78-7320-4D62-8D7B-ED949852021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5-2C31-4136-ABAE-DDD4276FBEC7}"/>
                </c:ext>
              </c:extLst>
            </c:dLbl>
            <c:dLbl>
              <c:idx val="213"/>
              <c:tx>
                <c:rich>
                  <a:bodyPr/>
                  <a:lstStyle/>
                  <a:p>
                    <a:fld id="{A4B3FCDF-0911-4DBE-9D22-208D4A98EFE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6-2C31-4136-ABAE-DDD4276FBEC7}"/>
                </c:ext>
              </c:extLst>
            </c:dLbl>
            <c:dLbl>
              <c:idx val="214"/>
              <c:tx>
                <c:rich>
                  <a:bodyPr/>
                  <a:lstStyle/>
                  <a:p>
                    <a:fld id="{BDD477DC-404F-49D0-8A75-A5E88EF0ECE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7-2C31-4136-ABAE-DDD4276FBEC7}"/>
                </c:ext>
              </c:extLst>
            </c:dLbl>
            <c:dLbl>
              <c:idx val="215"/>
              <c:tx>
                <c:rich>
                  <a:bodyPr/>
                  <a:lstStyle/>
                  <a:p>
                    <a:fld id="{B8DAB6F9-B17C-4598-A767-4A6E5895BAA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8-2C31-4136-ABAE-DDD4276FBEC7}"/>
                </c:ext>
              </c:extLst>
            </c:dLbl>
            <c:dLbl>
              <c:idx val="216"/>
              <c:tx>
                <c:rich>
                  <a:bodyPr/>
                  <a:lstStyle/>
                  <a:p>
                    <a:fld id="{00E9D7C7-8609-4B23-9F79-53EB9A37A05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9-2C31-4136-ABAE-DDD4276FBEC7}"/>
                </c:ext>
              </c:extLst>
            </c:dLbl>
            <c:dLbl>
              <c:idx val="217"/>
              <c:tx>
                <c:rich>
                  <a:bodyPr/>
                  <a:lstStyle/>
                  <a:p>
                    <a:fld id="{86E30212-1051-4588-9B4A-4F76BAFB7E2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A-2C31-4136-ABAE-DDD4276FBEC7}"/>
                </c:ext>
              </c:extLst>
            </c:dLbl>
            <c:dLbl>
              <c:idx val="218"/>
              <c:tx>
                <c:rich>
                  <a:bodyPr/>
                  <a:lstStyle/>
                  <a:p>
                    <a:fld id="{D9D52269-E5C9-459F-8111-5DCF06A6354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B-2C31-4136-ABAE-DDD4276FBEC7}"/>
                </c:ext>
              </c:extLst>
            </c:dLbl>
            <c:dLbl>
              <c:idx val="219"/>
              <c:tx>
                <c:rich>
                  <a:bodyPr/>
                  <a:lstStyle/>
                  <a:p>
                    <a:fld id="{F0EB5C47-7249-4EA9-9F3F-F360934276D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C-2C31-4136-ABAE-DDD4276FBEC7}"/>
                </c:ext>
              </c:extLst>
            </c:dLbl>
            <c:dLbl>
              <c:idx val="220"/>
              <c:tx>
                <c:rich>
                  <a:bodyPr/>
                  <a:lstStyle/>
                  <a:p>
                    <a:fld id="{60A6EE8A-365E-40F5-8B09-6CF322E246E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D-2C31-4136-ABAE-DDD4276FBEC7}"/>
                </c:ext>
              </c:extLst>
            </c:dLbl>
            <c:dLbl>
              <c:idx val="221"/>
              <c:tx>
                <c:rich>
                  <a:bodyPr/>
                  <a:lstStyle/>
                  <a:p>
                    <a:fld id="{FAB40E4E-0774-4B0C-ABCA-A2B7AD26090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E-2C31-4136-ABAE-DDD4276FBEC7}"/>
                </c:ext>
              </c:extLst>
            </c:dLbl>
            <c:dLbl>
              <c:idx val="222"/>
              <c:tx>
                <c:rich>
                  <a:bodyPr/>
                  <a:lstStyle/>
                  <a:p>
                    <a:fld id="{2C9DB206-5BDD-4946-AC1D-CB4B2BC1B64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F-2C31-4136-ABAE-DDD4276FBEC7}"/>
                </c:ext>
              </c:extLst>
            </c:dLbl>
            <c:dLbl>
              <c:idx val="223"/>
              <c:tx>
                <c:rich>
                  <a:bodyPr/>
                  <a:lstStyle/>
                  <a:p>
                    <a:fld id="{A59A0ED4-9876-4F15-90CF-F0D1312B853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0-2C31-4136-ABAE-DDD4276FBEC7}"/>
                </c:ext>
              </c:extLst>
            </c:dLbl>
            <c:dLbl>
              <c:idx val="224"/>
              <c:tx>
                <c:rich>
                  <a:bodyPr/>
                  <a:lstStyle/>
                  <a:p>
                    <a:fld id="{DDC3FAA6-5CBA-4170-887D-730B6B2C083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1-2C31-4136-ABAE-DDD4276FBEC7}"/>
                </c:ext>
              </c:extLst>
            </c:dLbl>
            <c:dLbl>
              <c:idx val="225"/>
              <c:tx>
                <c:rich>
                  <a:bodyPr/>
                  <a:lstStyle/>
                  <a:p>
                    <a:fld id="{9D72DDBD-C56B-45AF-9E03-614EE2795B3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2-2C31-4136-ABAE-DDD4276FBEC7}"/>
                </c:ext>
              </c:extLst>
            </c:dLbl>
            <c:dLbl>
              <c:idx val="22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3-2C31-4136-ABAE-DDD4276FBEC7}"/>
                </c:ext>
              </c:extLst>
            </c:dLbl>
            <c:dLbl>
              <c:idx val="22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4-2C31-4136-ABAE-DDD4276FBEC7}"/>
                </c:ext>
              </c:extLst>
            </c:dLbl>
            <c:dLbl>
              <c:idx val="22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5-2C31-4136-ABAE-DDD4276FBEC7}"/>
                </c:ext>
              </c:extLst>
            </c:dLbl>
            <c:dLbl>
              <c:idx val="22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6-2C31-4136-ABAE-DDD4276FBEC7}"/>
                </c:ext>
              </c:extLst>
            </c:dLbl>
            <c:dLbl>
              <c:idx val="23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7-2C31-4136-ABAE-DDD4276FBEC7}"/>
                </c:ext>
              </c:extLst>
            </c:dLbl>
            <c:dLbl>
              <c:idx val="23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8-2C31-4136-ABAE-DDD4276FBEC7}"/>
                </c:ext>
              </c:extLst>
            </c:dLbl>
            <c:dLbl>
              <c:idx val="23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9-2C31-4136-ABAE-DDD4276FBEC7}"/>
                </c:ext>
              </c:extLst>
            </c:dLbl>
            <c:dLbl>
              <c:idx val="23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A-2C31-4136-ABAE-DDD4276FBEC7}"/>
                </c:ext>
              </c:extLst>
            </c:dLbl>
            <c:dLbl>
              <c:idx val="23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B-2C31-4136-ABAE-DDD4276FBEC7}"/>
                </c:ext>
              </c:extLst>
            </c:dLbl>
            <c:dLbl>
              <c:idx val="23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C-2C31-4136-ABAE-DDD4276FBEC7}"/>
                </c:ext>
              </c:extLst>
            </c:dLbl>
            <c:dLbl>
              <c:idx val="23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D-2C31-4136-ABAE-DDD4276FBEC7}"/>
                </c:ext>
              </c:extLst>
            </c:dLbl>
            <c:dLbl>
              <c:idx val="23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E-2C31-4136-ABAE-DDD4276FBEC7}"/>
                </c:ext>
              </c:extLst>
            </c:dLbl>
            <c:dLbl>
              <c:idx val="23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F-2C31-4136-ABAE-DDD4276FBEC7}"/>
                </c:ext>
              </c:extLst>
            </c:dLbl>
            <c:dLbl>
              <c:idx val="23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0-2C31-4136-ABAE-DDD4276FBEC7}"/>
                </c:ext>
              </c:extLst>
            </c:dLbl>
            <c:dLbl>
              <c:idx val="24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1-2C31-4136-ABAE-DDD4276FBEC7}"/>
                </c:ext>
              </c:extLst>
            </c:dLbl>
            <c:dLbl>
              <c:idx val="24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2-2C31-4136-ABAE-DDD4276FBEC7}"/>
                </c:ext>
              </c:extLst>
            </c:dLbl>
            <c:dLbl>
              <c:idx val="24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3-2C31-4136-ABAE-DDD4276FBEC7}"/>
                </c:ext>
              </c:extLst>
            </c:dLbl>
            <c:dLbl>
              <c:idx val="24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4-2C31-4136-ABAE-DDD4276FBEC7}"/>
                </c:ext>
              </c:extLst>
            </c:dLbl>
            <c:dLbl>
              <c:idx val="24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5-2C31-4136-ABAE-DDD4276FBEC7}"/>
                </c:ext>
              </c:extLst>
            </c:dLbl>
            <c:dLbl>
              <c:idx val="24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6-2C31-4136-ABAE-DDD4276FBEC7}"/>
                </c:ext>
              </c:extLst>
            </c:dLbl>
            <c:dLbl>
              <c:idx val="24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7-2C31-4136-ABAE-DDD4276FBEC7}"/>
                </c:ext>
              </c:extLst>
            </c:dLbl>
            <c:dLbl>
              <c:idx val="24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8-2C31-4136-ABAE-DDD4276FBEC7}"/>
                </c:ext>
              </c:extLst>
            </c:dLbl>
            <c:dLbl>
              <c:idx val="24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9-2C31-4136-ABAE-DDD4276FBEC7}"/>
                </c:ext>
              </c:extLst>
            </c:dLbl>
            <c:dLbl>
              <c:idx val="24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A-2C31-4136-ABAE-DDD4276FBEC7}"/>
                </c:ext>
              </c:extLst>
            </c:dLbl>
            <c:dLbl>
              <c:idx val="25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B-2C31-4136-ABAE-DDD4276FBEC7}"/>
                </c:ext>
              </c:extLst>
            </c:dLbl>
            <c:dLbl>
              <c:idx val="25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C-2C31-4136-ABAE-DDD4276FBEC7}"/>
                </c:ext>
              </c:extLst>
            </c:dLbl>
            <c:dLbl>
              <c:idx val="25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D-2C31-4136-ABAE-DDD4276FBEC7}"/>
                </c:ext>
              </c:extLst>
            </c:dLbl>
            <c:dLbl>
              <c:idx val="25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E-2C31-4136-ABAE-DDD4276FBEC7}"/>
                </c:ext>
              </c:extLst>
            </c:dLbl>
            <c:dLbl>
              <c:idx val="25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F-2C31-4136-ABAE-DDD4276FBEC7}"/>
                </c:ext>
              </c:extLst>
            </c:dLbl>
            <c:dLbl>
              <c:idx val="25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0-2C31-4136-ABAE-DDD4276FBEC7}"/>
                </c:ext>
              </c:extLst>
            </c:dLbl>
            <c:dLbl>
              <c:idx val="25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1-2C31-4136-ABAE-DDD4276FBEC7}"/>
                </c:ext>
              </c:extLst>
            </c:dLbl>
            <c:dLbl>
              <c:idx val="25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2-2C31-4136-ABAE-DDD4276FBEC7}"/>
                </c:ext>
              </c:extLst>
            </c:dLbl>
            <c:dLbl>
              <c:idx val="25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3-2C31-4136-ABAE-DDD4276FBEC7}"/>
                </c:ext>
              </c:extLst>
            </c:dLbl>
            <c:dLbl>
              <c:idx val="25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4-2C31-4136-ABAE-DDD4276FBEC7}"/>
                </c:ext>
              </c:extLst>
            </c:dLbl>
            <c:dLbl>
              <c:idx val="26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5-2C31-4136-ABAE-DDD4276FBEC7}"/>
                </c:ext>
              </c:extLst>
            </c:dLbl>
            <c:dLbl>
              <c:idx val="26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6-2C31-4136-ABAE-DDD4276FBEC7}"/>
                </c:ext>
              </c:extLst>
            </c:dLbl>
            <c:dLbl>
              <c:idx val="26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7-2C31-4136-ABAE-DDD4276FBEC7}"/>
                </c:ext>
              </c:extLst>
            </c:dLbl>
            <c:dLbl>
              <c:idx val="26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8-2C31-4136-ABAE-DDD4276FBEC7}"/>
                </c:ext>
              </c:extLst>
            </c:dLbl>
            <c:dLbl>
              <c:idx val="26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9-2C31-4136-ABAE-DDD4276FBEC7}"/>
                </c:ext>
              </c:extLst>
            </c:dLbl>
            <c:dLbl>
              <c:idx val="26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A-2C31-4136-ABAE-DDD4276FBEC7}"/>
                </c:ext>
              </c:extLst>
            </c:dLbl>
            <c:dLbl>
              <c:idx val="26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B-2C31-4136-ABAE-DDD4276FBEC7}"/>
                </c:ext>
              </c:extLst>
            </c:dLbl>
            <c:dLbl>
              <c:idx val="26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C-2C31-4136-ABAE-DDD4276FBEC7}"/>
                </c:ext>
              </c:extLst>
            </c:dLbl>
            <c:dLbl>
              <c:idx val="26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D-2C31-4136-ABAE-DDD4276FBEC7}"/>
                </c:ext>
              </c:extLst>
            </c:dLbl>
            <c:dLbl>
              <c:idx val="26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E-2C31-4136-ABAE-DDD4276FBEC7}"/>
                </c:ext>
              </c:extLst>
            </c:dLbl>
            <c:dLbl>
              <c:idx val="27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F-2C31-4136-ABAE-DDD4276FBEC7}"/>
                </c:ext>
              </c:extLst>
            </c:dLbl>
            <c:dLbl>
              <c:idx val="27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0-2C31-4136-ABAE-DDD4276FBEC7}"/>
                </c:ext>
              </c:extLst>
            </c:dLbl>
            <c:dLbl>
              <c:idx val="27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1-2C31-4136-ABAE-DDD4276FBEC7}"/>
                </c:ext>
              </c:extLst>
            </c:dLbl>
            <c:dLbl>
              <c:idx val="27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2-2C31-4136-ABAE-DDD4276FBEC7}"/>
                </c:ext>
              </c:extLst>
            </c:dLbl>
            <c:dLbl>
              <c:idx val="27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3-2C31-4136-ABAE-DDD4276FBEC7}"/>
                </c:ext>
              </c:extLst>
            </c:dLbl>
            <c:dLbl>
              <c:idx val="27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4-2C31-4136-ABAE-DDD4276FBEC7}"/>
                </c:ext>
              </c:extLst>
            </c:dLbl>
            <c:dLbl>
              <c:idx val="27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5-2C31-4136-ABAE-DDD4276FBEC7}"/>
                </c:ext>
              </c:extLst>
            </c:dLbl>
            <c:dLbl>
              <c:idx val="27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6-2C31-4136-ABAE-DDD4276FBEC7}"/>
                </c:ext>
              </c:extLst>
            </c:dLbl>
            <c:dLbl>
              <c:idx val="27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7-2C31-4136-ABAE-DDD4276FBEC7}"/>
                </c:ext>
              </c:extLst>
            </c:dLbl>
            <c:dLbl>
              <c:idx val="27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8-2C31-4136-ABAE-DDD4276FBEC7}"/>
                </c:ext>
              </c:extLst>
            </c:dLbl>
            <c:dLbl>
              <c:idx val="28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9-2C31-4136-ABAE-DDD4276FBEC7}"/>
                </c:ext>
              </c:extLst>
            </c:dLbl>
            <c:dLbl>
              <c:idx val="28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A-2C31-4136-ABAE-DDD4276FBEC7}"/>
                </c:ext>
              </c:extLst>
            </c:dLbl>
            <c:dLbl>
              <c:idx val="28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B-2C31-4136-ABAE-DDD4276FBEC7}"/>
                </c:ext>
              </c:extLst>
            </c:dLbl>
            <c:dLbl>
              <c:idx val="28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C-2C31-4136-ABAE-DDD4276FBEC7}"/>
                </c:ext>
              </c:extLst>
            </c:dLbl>
            <c:dLbl>
              <c:idx val="28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D-2C31-4136-ABAE-DDD4276FBEC7}"/>
                </c:ext>
              </c:extLst>
            </c:dLbl>
            <c:dLbl>
              <c:idx val="28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E-2C31-4136-ABAE-DDD4276FBEC7}"/>
                </c:ext>
              </c:extLst>
            </c:dLbl>
            <c:dLbl>
              <c:idx val="28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F-2C31-4136-ABAE-DDD4276FBEC7}"/>
                </c:ext>
              </c:extLst>
            </c:dLbl>
            <c:dLbl>
              <c:idx val="28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0-2C31-4136-ABAE-DDD4276FBEC7}"/>
                </c:ext>
              </c:extLst>
            </c:dLbl>
            <c:dLbl>
              <c:idx val="28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1-2C31-4136-ABAE-DDD4276FBEC7}"/>
                </c:ext>
              </c:extLst>
            </c:dLbl>
            <c:dLbl>
              <c:idx val="28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2-2C31-4136-ABAE-DDD4276FBEC7}"/>
                </c:ext>
              </c:extLst>
            </c:dLbl>
            <c:dLbl>
              <c:idx val="29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3-2C31-4136-ABAE-DDD4276FBEC7}"/>
                </c:ext>
              </c:extLst>
            </c:dLbl>
            <c:dLbl>
              <c:idx val="29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4-2C31-4136-ABAE-DDD4276FBEC7}"/>
                </c:ext>
              </c:extLst>
            </c:dLbl>
            <c:dLbl>
              <c:idx val="29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5-2C31-4136-ABAE-DDD4276FBEC7}"/>
                </c:ext>
              </c:extLst>
            </c:dLbl>
            <c:dLbl>
              <c:idx val="29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6-2C31-4136-ABAE-DDD4276FBEC7}"/>
                </c:ext>
              </c:extLst>
            </c:dLbl>
            <c:dLbl>
              <c:idx val="29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7-2C31-4136-ABAE-DDD4276FBEC7}"/>
                </c:ext>
              </c:extLst>
            </c:dLbl>
            <c:dLbl>
              <c:idx val="29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8-2C31-4136-ABAE-DDD4276FBEC7}"/>
                </c:ext>
              </c:extLst>
            </c:dLbl>
            <c:dLbl>
              <c:idx val="29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9-2C31-4136-ABAE-DDD4276FBEC7}"/>
                </c:ext>
              </c:extLst>
            </c:dLbl>
            <c:dLbl>
              <c:idx val="29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A-2C31-4136-ABAE-DDD4276FBEC7}"/>
                </c:ext>
              </c:extLst>
            </c:dLbl>
            <c:dLbl>
              <c:idx val="29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B-2C31-4136-ABAE-DDD4276FBEC7}"/>
                </c:ext>
              </c:extLst>
            </c:dLbl>
            <c:spPr>
              <a:noFill/>
              <a:ln>
                <a:noFill/>
              </a:ln>
              <a:effectLst/>
            </c:spPr>
            <c:txPr>
              <a:bodyPr rot="-5400000" vert="horz" wrap="square" lIns="38100" tIns="19050" rIns="38100" bIns="19050" anchor="ctr">
                <a:spAutoFit/>
              </a:bodyPr>
              <a:lstStyle/>
              <a:p>
                <a:pPr>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ext>
            </c:extLst>
          </c:dLbls>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NormalisedUVVisData!$F$2:$F$300</c:f>
              <c:numCache>
                <c:formatCode>General</c:formatCode>
                <c:ptCount val="299"/>
                <c:pt idx="0">
                  <c:v>73.234611511230469</c:v>
                </c:pt>
                <c:pt idx="1">
                  <c:v>75.342796325683594</c:v>
                </c:pt>
                <c:pt idx="2">
                  <c:v>75.494483947753906</c:v>
                </c:pt>
                <c:pt idx="3">
                  <c:v>76.041419982910156</c:v>
                </c:pt>
                <c:pt idx="4">
                  <c:v>76.721534729003906</c:v>
                </c:pt>
                <c:pt idx="5">
                  <c:v>77.056770324707031</c:v>
                </c:pt>
                <c:pt idx="6">
                  <c:v>76.656867980957031</c:v>
                </c:pt>
                <c:pt idx="7">
                  <c:v>74.986045837402344</c:v>
                </c:pt>
                <c:pt idx="8">
                  <c:v>71.843437194824219</c:v>
                </c:pt>
                <c:pt idx="9">
                  <c:v>67.75543212890625</c:v>
                </c:pt>
                <c:pt idx="10">
                  <c:v>64.309783935546875</c:v>
                </c:pt>
                <c:pt idx="11">
                  <c:v>62.905471801757813</c:v>
                </c:pt>
                <c:pt idx="12">
                  <c:v>64.182579040527344</c:v>
                </c:pt>
                <c:pt idx="13">
                  <c:v>68.615875244140625</c:v>
                </c:pt>
                <c:pt idx="14">
                  <c:v>76.146095275878906</c:v>
                </c:pt>
                <c:pt idx="15">
                  <c:v>85.40386962890625</c:v>
                </c:pt>
                <c:pt idx="16">
                  <c:v>93.760765075683594</c:v>
                </c:pt>
                <c:pt idx="17">
                  <c:v>99.28717041015625</c:v>
                </c:pt>
                <c:pt idx="18">
                  <c:v>100</c:v>
                </c:pt>
                <c:pt idx="19">
                  <c:v>95.30291748046875</c:v>
                </c:pt>
                <c:pt idx="20">
                  <c:v>86.357376098632813</c:v>
                </c:pt>
                <c:pt idx="21">
                  <c:v>75.006629943847656</c:v>
                </c:pt>
                <c:pt idx="22">
                  <c:v>63.233928680419922</c:v>
                </c:pt>
                <c:pt idx="23">
                  <c:v>53.000251770019531</c:v>
                </c:pt>
                <c:pt idx="24">
                  <c:v>44.178073883056641</c:v>
                </c:pt>
                <c:pt idx="25">
                  <c:v>37.355068206787109</c:v>
                </c:pt>
                <c:pt idx="26">
                  <c:v>32.061443328857422</c:v>
                </c:pt>
                <c:pt idx="27">
                  <c:v>28.423942565917969</c:v>
                </c:pt>
                <c:pt idx="28">
                  <c:v>25.740596771240234</c:v>
                </c:pt>
                <c:pt idx="29">
                  <c:v>23.836151123046875</c:v>
                </c:pt>
                <c:pt idx="30">
                  <c:v>22.353294372558594</c:v>
                </c:pt>
                <c:pt idx="31">
                  <c:v>21.272930145263672</c:v>
                </c:pt>
                <c:pt idx="32">
                  <c:v>20.561742782592773</c:v>
                </c:pt>
                <c:pt idx="33">
                  <c:v>20.10295295715332</c:v>
                </c:pt>
                <c:pt idx="34">
                  <c:v>19.802524566650391</c:v>
                </c:pt>
                <c:pt idx="35">
                  <c:v>19.774969100952148</c:v>
                </c:pt>
                <c:pt idx="36">
                  <c:v>19.982807159423828</c:v>
                </c:pt>
                <c:pt idx="37">
                  <c:v>20.5205078125</c:v>
                </c:pt>
                <c:pt idx="38">
                  <c:v>21.115303039550781</c:v>
                </c:pt>
                <c:pt idx="39">
                  <c:v>21.833330154418945</c:v>
                </c:pt>
                <c:pt idx="40">
                  <c:v>22.72393798828125</c:v>
                </c:pt>
                <c:pt idx="41">
                  <c:v>23.723859786987305</c:v>
                </c:pt>
                <c:pt idx="42">
                  <c:v>24.895908355712891</c:v>
                </c:pt>
                <c:pt idx="43">
                  <c:v>26.294567108154297</c:v>
                </c:pt>
                <c:pt idx="44">
                  <c:v>27.806339263916016</c:v>
                </c:pt>
                <c:pt idx="45">
                  <c:v>29.343357086181641</c:v>
                </c:pt>
                <c:pt idx="46">
                  <c:v>31.02714729309082</c:v>
                </c:pt>
                <c:pt idx="47">
                  <c:v>32.740909576416016</c:v>
                </c:pt>
                <c:pt idx="48">
                  <c:v>34.403617858886719</c:v>
                </c:pt>
                <c:pt idx="49">
                  <c:v>36.056377410888672</c:v>
                </c:pt>
                <c:pt idx="50">
                  <c:v>37.542667388916016</c:v>
                </c:pt>
                <c:pt idx="51">
                  <c:v>38.754375457763672</c:v>
                </c:pt>
                <c:pt idx="52">
                  <c:v>39.809429168701172</c:v>
                </c:pt>
                <c:pt idx="53">
                  <c:v>40.6326904296875</c:v>
                </c:pt>
                <c:pt idx="54">
                  <c:v>41.114051818847656</c:v>
                </c:pt>
                <c:pt idx="55">
                  <c:v>41.201332092285156</c:v>
                </c:pt>
                <c:pt idx="56">
                  <c:v>40.936851501464844</c:v>
                </c:pt>
                <c:pt idx="57">
                  <c:v>40.235225677490234</c:v>
                </c:pt>
                <c:pt idx="58">
                  <c:v>38.891502380371094</c:v>
                </c:pt>
                <c:pt idx="59">
                  <c:v>37.140110015869141</c:v>
                </c:pt>
                <c:pt idx="60">
                  <c:v>35.23126220703125</c:v>
                </c:pt>
                <c:pt idx="61">
                  <c:v>32.904621124267578</c:v>
                </c:pt>
                <c:pt idx="62">
                  <c:v>30.189901351928711</c:v>
                </c:pt>
                <c:pt idx="63">
                  <c:v>27.164934158325195</c:v>
                </c:pt>
                <c:pt idx="64">
                  <c:v>23.924297332763672</c:v>
                </c:pt>
                <c:pt idx="65">
                  <c:v>20.893180847167969</c:v>
                </c:pt>
                <c:pt idx="66">
                  <c:v>17.979598999023438</c:v>
                </c:pt>
                <c:pt idx="67">
                  <c:v>15.062521934509277</c:v>
                </c:pt>
                <c:pt idx="68">
                  <c:v>12.812743186950684</c:v>
                </c:pt>
                <c:pt idx="69">
                  <c:v>10.712218284606934</c:v>
                </c:pt>
                <c:pt idx="70">
                  <c:v>9.0529613494873047</c:v>
                </c:pt>
                <c:pt idx="71">
                  <c:v>7.8940324783325195</c:v>
                </c:pt>
                <c:pt idx="72">
                  <c:v>6.871152400970459</c:v>
                </c:pt>
                <c:pt idx="73">
                  <c:v>6.0425601005554199</c:v>
                </c:pt>
                <c:pt idx="74">
                  <c:v>5.4493613243103027</c:v>
                </c:pt>
                <c:pt idx="75">
                  <c:v>5.0000009536743164</c:v>
                </c:pt>
                <c:pt idx="76">
                  <c:v>4.6984925270080566</c:v>
                </c:pt>
                <c:pt idx="77">
                  <c:v>4.7182145118713379</c:v>
                </c:pt>
                <c:pt idx="78">
                  <c:v>4.7624492645263672</c:v>
                </c:pt>
                <c:pt idx="79">
                  <c:v>4.6904439926147461</c:v>
                </c:pt>
                <c:pt idx="80">
                  <c:v>4.6868834495544434</c:v>
                </c:pt>
                <c:pt idx="81">
                  <c:v>4.8079571723937988</c:v>
                </c:pt>
                <c:pt idx="82">
                  <c:v>4.8522782325744629</c:v>
                </c:pt>
                <c:pt idx="83">
                  <c:v>4.8369579315185547</c:v>
                </c:pt>
                <c:pt idx="84">
                  <c:v>4.8108701705932617</c:v>
                </c:pt>
                <c:pt idx="85">
                  <c:v>4.861513614654541</c:v>
                </c:pt>
                <c:pt idx="86">
                  <c:v>4.9736108779907227</c:v>
                </c:pt>
                <c:pt idx="87">
                  <c:v>5.0524997711181641</c:v>
                </c:pt>
                <c:pt idx="88">
                  <c:v>5.1083006858825684</c:v>
                </c:pt>
                <c:pt idx="89">
                  <c:v>5.2008481025695801</c:v>
                </c:pt>
                <c:pt idx="90">
                  <c:v>5.4594383239746094</c:v>
                </c:pt>
                <c:pt idx="91">
                  <c:v>5.6952199935913086</c:v>
                </c:pt>
                <c:pt idx="92">
                  <c:v>5.6034059524536133</c:v>
                </c:pt>
                <c:pt idx="93">
                  <c:v>5.4028177261352539</c:v>
                </c:pt>
                <c:pt idx="94">
                  <c:v>5.3306827545166016</c:v>
                </c:pt>
                <c:pt idx="95">
                  <c:v>5.6242504119873047</c:v>
                </c:pt>
                <c:pt idx="96">
                  <c:v>5.9552559852600098</c:v>
                </c:pt>
                <c:pt idx="97">
                  <c:v>5.9107189178466797</c:v>
                </c:pt>
                <c:pt idx="98">
                  <c:v>6.1747250556945801</c:v>
                </c:pt>
                <c:pt idx="99">
                  <c:v>6.2882680892944336</c:v>
                </c:pt>
                <c:pt idx="100">
                  <c:v>6.3853468894958496</c:v>
                </c:pt>
                <c:pt idx="101">
                  <c:v>6.6926169395446777</c:v>
                </c:pt>
                <c:pt idx="102">
                  <c:v>6.7567248344421387</c:v>
                </c:pt>
                <c:pt idx="103">
                  <c:v>6.8733320236206055</c:v>
                </c:pt>
                <c:pt idx="104">
                  <c:v>7.1168169975280762</c:v>
                </c:pt>
                <c:pt idx="105">
                  <c:v>7.439363956451416</c:v>
                </c:pt>
                <c:pt idx="106">
                  <c:v>7.8718938827514648</c:v>
                </c:pt>
                <c:pt idx="107">
                  <c:v>7.9560909271240234</c:v>
                </c:pt>
                <c:pt idx="108">
                  <c:v>7.9701809883117676</c:v>
                </c:pt>
                <c:pt idx="109">
                  <c:v>8.3324317932128906</c:v>
                </c:pt>
                <c:pt idx="110">
                  <c:v>8.7926025390625</c:v>
                </c:pt>
                <c:pt idx="111">
                  <c:v>9.3179817199707031</c:v>
                </c:pt>
                <c:pt idx="112">
                  <c:v>9.6485767364501953</c:v>
                </c:pt>
                <c:pt idx="113">
                  <c:v>9.8804969787597656</c:v>
                </c:pt>
                <c:pt idx="114">
                  <c:v>10.398366928100586</c:v>
                </c:pt>
                <c:pt idx="115">
                  <c:v>10.835514068603516</c:v>
                </c:pt>
                <c:pt idx="116">
                  <c:v>11.153313636779785</c:v>
                </c:pt>
                <c:pt idx="117">
                  <c:v>11.662833213806152</c:v>
                </c:pt>
                <c:pt idx="118">
                  <c:v>12.02208423614502</c:v>
                </c:pt>
                <c:pt idx="119">
                  <c:v>12.588591575622559</c:v>
                </c:pt>
                <c:pt idx="120">
                  <c:v>13.375602722167969</c:v>
                </c:pt>
                <c:pt idx="121">
                  <c:v>13.93287467956543</c:v>
                </c:pt>
                <c:pt idx="122">
                  <c:v>14.757086753845215</c:v>
                </c:pt>
                <c:pt idx="123">
                  <c:v>15.16913890838623</c:v>
                </c:pt>
                <c:pt idx="124">
                  <c:v>15.710917472839355</c:v>
                </c:pt>
                <c:pt idx="125">
                  <c:v>16.346603393554688</c:v>
                </c:pt>
                <c:pt idx="126">
                  <c:v>16.739883422851563</c:v>
                </c:pt>
                <c:pt idx="127">
                  <c:v>17.46876335144043</c:v>
                </c:pt>
                <c:pt idx="128">
                  <c:v>18.022432327270508</c:v>
                </c:pt>
                <c:pt idx="129">
                  <c:v>18.632266998291016</c:v>
                </c:pt>
                <c:pt idx="130">
                  <c:v>19.100032806396484</c:v>
                </c:pt>
                <c:pt idx="131">
                  <c:v>19.638423919677734</c:v>
                </c:pt>
                <c:pt idx="132">
                  <c:v>20.494377136230469</c:v>
                </c:pt>
                <c:pt idx="133">
                  <c:v>21.150087356567383</c:v>
                </c:pt>
                <c:pt idx="134">
                  <c:v>21.824203491210938</c:v>
                </c:pt>
                <c:pt idx="135">
                  <c:v>22.49650764465332</c:v>
                </c:pt>
                <c:pt idx="136">
                  <c:v>26.316425323486328</c:v>
                </c:pt>
                <c:pt idx="137">
                  <c:v>29.043596267700195</c:v>
                </c:pt>
                <c:pt idx="138">
                  <c:v>26.275945663452148</c:v>
                </c:pt>
                <c:pt idx="139">
                  <c:v>24.442836761474609</c:v>
                </c:pt>
                <c:pt idx="140">
                  <c:v>25.095136642456055</c:v>
                </c:pt>
                <c:pt idx="141">
                  <c:v>25.200523376464844</c:v>
                </c:pt>
                <c:pt idx="142">
                  <c:v>25.24676513671875</c:v>
                </c:pt>
                <c:pt idx="143">
                  <c:v>25.245491027832031</c:v>
                </c:pt>
                <c:pt idx="144">
                  <c:v>25.289165496826172</c:v>
                </c:pt>
                <c:pt idx="145">
                  <c:v>25.347858428955078</c:v>
                </c:pt>
                <c:pt idx="146">
                  <c:v>24.864749908447266</c:v>
                </c:pt>
                <c:pt idx="147">
                  <c:v>25.480001449584961</c:v>
                </c:pt>
                <c:pt idx="148">
                  <c:v>26.128934860229492</c:v>
                </c:pt>
                <c:pt idx="149">
                  <c:v>26.400730133056641</c:v>
                </c:pt>
                <c:pt idx="150">
                  <c:v>26.991641998291016</c:v>
                </c:pt>
                <c:pt idx="151">
                  <c:v>26.923822402954102</c:v>
                </c:pt>
                <c:pt idx="152">
                  <c:v>27.34135627746582</c:v>
                </c:pt>
                <c:pt idx="153">
                  <c:v>27.689968109130859</c:v>
                </c:pt>
                <c:pt idx="154">
                  <c:v>27.592910766601563</c:v>
                </c:pt>
                <c:pt idx="155">
                  <c:v>27.720783233642578</c:v>
                </c:pt>
                <c:pt idx="156">
                  <c:v>27.347139358520508</c:v>
                </c:pt>
                <c:pt idx="157">
                  <c:v>26.322597503662109</c:v>
                </c:pt>
                <c:pt idx="158">
                  <c:v>25.467550277709961</c:v>
                </c:pt>
                <c:pt idx="159">
                  <c:v>24.618587493896484</c:v>
                </c:pt>
                <c:pt idx="160">
                  <c:v>22.989864349365234</c:v>
                </c:pt>
                <c:pt idx="161">
                  <c:v>21.638978958129883</c:v>
                </c:pt>
                <c:pt idx="162">
                  <c:v>21.308210372924805</c:v>
                </c:pt>
                <c:pt idx="163">
                  <c:v>20.755319595336914</c:v>
                </c:pt>
                <c:pt idx="164">
                  <c:v>19.866588592529297</c:v>
                </c:pt>
                <c:pt idx="165">
                  <c:v>19.256797790527344</c:v>
                </c:pt>
                <c:pt idx="166">
                  <c:v>18.758562088012695</c:v>
                </c:pt>
                <c:pt idx="167">
                  <c:v>19.024768829345703</c:v>
                </c:pt>
                <c:pt idx="168">
                  <c:v>18.65699577331543</c:v>
                </c:pt>
                <c:pt idx="169">
                  <c:v>18.027135848999023</c:v>
                </c:pt>
                <c:pt idx="170">
                  <c:v>17.854534149169922</c:v>
                </c:pt>
                <c:pt idx="171">
                  <c:v>17.424312591552734</c:v>
                </c:pt>
                <c:pt idx="172">
                  <c:v>17.123321533203125</c:v>
                </c:pt>
                <c:pt idx="173">
                  <c:v>16.928106307983398</c:v>
                </c:pt>
                <c:pt idx="174">
                  <c:v>16.567626953125</c:v>
                </c:pt>
                <c:pt idx="175">
                  <c:v>15.543623924255371</c:v>
                </c:pt>
                <c:pt idx="176">
                  <c:v>14.532439231872559</c:v>
                </c:pt>
                <c:pt idx="177">
                  <c:v>13.598870277404785</c:v>
                </c:pt>
                <c:pt idx="178">
                  <c:v>12.337920188903809</c:v>
                </c:pt>
                <c:pt idx="179">
                  <c:v>11.163994789123535</c:v>
                </c:pt>
                <c:pt idx="180">
                  <c:v>9.583195686340332</c:v>
                </c:pt>
                <c:pt idx="181">
                  <c:v>8.1987133026123047</c:v>
                </c:pt>
                <c:pt idx="182">
                  <c:v>7.4956393241882324</c:v>
                </c:pt>
                <c:pt idx="183">
                  <c:v>6.5335226058959961</c:v>
                </c:pt>
                <c:pt idx="184">
                  <c:v>5.4842958450317383</c:v>
                </c:pt>
                <c:pt idx="185">
                  <c:v>4.6587677001953125</c:v>
                </c:pt>
                <c:pt idx="186">
                  <c:v>4.204444408416748</c:v>
                </c:pt>
                <c:pt idx="187">
                  <c:v>4.0577793121337891</c:v>
                </c:pt>
                <c:pt idx="188">
                  <c:v>3.400731086730957</c:v>
                </c:pt>
                <c:pt idx="189">
                  <c:v>2.6506607532501221</c:v>
                </c:pt>
                <c:pt idx="190">
                  <c:v>2.5547254085540771</c:v>
                </c:pt>
                <c:pt idx="191">
                  <c:v>2.3883378505706787</c:v>
                </c:pt>
                <c:pt idx="192">
                  <c:v>2.6536386013031006</c:v>
                </c:pt>
                <c:pt idx="193">
                  <c:v>2.5473887920379639</c:v>
                </c:pt>
                <c:pt idx="194">
                  <c:v>2.5425121784210205</c:v>
                </c:pt>
                <c:pt idx="195">
                  <c:v>2.6828334331512451</c:v>
                </c:pt>
                <c:pt idx="196">
                  <c:v>2.3052198886871338</c:v>
                </c:pt>
                <c:pt idx="197">
                  <c:v>2.3095138072967529</c:v>
                </c:pt>
                <c:pt idx="198">
                  <c:v>2.1981501579284668</c:v>
                </c:pt>
                <c:pt idx="199">
                  <c:v>2.4955801963806152</c:v>
                </c:pt>
                <c:pt idx="200">
                  <c:v>2.4764189720153809</c:v>
                </c:pt>
                <c:pt idx="201">
                  <c:v>2.3151025772094727</c:v>
                </c:pt>
                <c:pt idx="202">
                  <c:v>2.0167660713195801</c:v>
                </c:pt>
                <c:pt idx="203">
                  <c:v>2.4144904613494873</c:v>
                </c:pt>
                <c:pt idx="204">
                  <c:v>2.434147834777832</c:v>
                </c:pt>
                <c:pt idx="205">
                  <c:v>2.1677036285400391</c:v>
                </c:pt>
                <c:pt idx="206">
                  <c:v>2.6170423030853271</c:v>
                </c:pt>
                <c:pt idx="207">
                  <c:v>2.4322059154510498</c:v>
                </c:pt>
                <c:pt idx="208">
                  <c:v>2.4016084671020508</c:v>
                </c:pt>
                <c:pt idx="209">
                  <c:v>2</c:v>
                </c:pt>
                <c:pt idx="210">
                  <c:v>2.3215541839599609</c:v>
                </c:pt>
                <c:pt idx="211">
                  <c:v>2.2144629955291748</c:v>
                </c:pt>
                <c:pt idx="212">
                  <c:v>2.2399466037750244</c:v>
                </c:pt>
                <c:pt idx="213">
                  <c:v>2.3526697158813477</c:v>
                </c:pt>
                <c:pt idx="214">
                  <c:v>2.2730255126953125</c:v>
                </c:pt>
                <c:pt idx="215">
                  <c:v>2.6466906070709229</c:v>
                </c:pt>
                <c:pt idx="216">
                  <c:v>2.3103554248809814</c:v>
                </c:pt>
                <c:pt idx="217">
                  <c:v>2.3370687961578369</c:v>
                </c:pt>
                <c:pt idx="218">
                  <c:v>2.4506549835205078</c:v>
                </c:pt>
                <c:pt idx="219">
                  <c:v>2.3315017223358154</c:v>
                </c:pt>
                <c:pt idx="220">
                  <c:v>2.2453842163085938</c:v>
                </c:pt>
                <c:pt idx="221">
                  <c:v>2.0463924407958984</c:v>
                </c:pt>
                <c:pt idx="222">
                  <c:v>2.7497251033782959</c:v>
                </c:pt>
                <c:pt idx="223">
                  <c:v>2.4117283821105957</c:v>
                </c:pt>
                <c:pt idx="224">
                  <c:v>2.6299028396606445</c:v>
                </c:pt>
                <c:pt idx="225">
                  <c:v>3.1819741725921631</c:v>
                </c:pt>
              </c:numCache>
            </c:numRef>
          </c:yVal>
          <c:smooth val="1"/>
          <c:extLst>
            <c:ext xmlns:c15="http://schemas.microsoft.com/office/drawing/2012/chart" uri="{02D57815-91ED-43cb-92C2-25804820EDAC}">
              <c15:datalabelsRange>
                <c15:f>PeakLabels!$F$2:$F$300</c15:f>
                <c15:dlblRangeCache>
                  <c:ptCount val="299"/>
                  <c:pt idx="5">
                    <c:v>200</c:v>
                  </c:pt>
                  <c:pt idx="18">
                    <c:v>226</c:v>
                  </c:pt>
                  <c:pt idx="55">
                    <c:v>300</c:v>
                  </c:pt>
                  <c:pt idx="96">
                    <c:v>382</c:v>
                  </c:pt>
                  <c:pt idx="110">
                    <c:v>412s</c:v>
                  </c:pt>
                  <c:pt idx="137">
                    <c:v>464</c:v>
                  </c:pt>
                  <c:pt idx="155">
                    <c:v>500</c:v>
                  </c:pt>
                  <c:pt idx="167">
                    <c:v>524</c:v>
                  </c:pt>
                  <c:pt idx="183">
                    <c:v>558s</c:v>
                  </c:pt>
                </c15:dlblRangeCache>
              </c15:datalabelsRange>
            </c:ext>
            <c:ext xmlns:c16="http://schemas.microsoft.com/office/drawing/2014/chart" uri="{C3380CC4-5D6E-409C-BE32-E72D297353CC}">
              <c16:uniqueId val="{00000000-9522-4649-85B0-3ECCE8C0D8BF}"/>
            </c:ext>
          </c:extLst>
        </c:ser>
        <c:ser>
          <c:idx val="1"/>
          <c:order val="1"/>
          <c:spPr>
            <a:ln w="19050" cap="rnd" cmpd="sng" algn="ctr">
              <a:noFill/>
              <a:prstDash val="solid"/>
              <a:round/>
            </a:ln>
            <a:effectLst/>
            <a:extLst>
              <a:ext uri="{91240B29-F687-4F45-9708-019B960494DF}">
                <a14:hiddenLine xmlns:a14="http://schemas.microsoft.com/office/drawing/2010/main" w="19050" cap="rnd" cmpd="sng" algn="ctr">
                  <a:solidFill>
                    <a:srgbClr val="ED7D31"/>
                  </a:solidFill>
                  <a:prstDash val="solid"/>
                  <a:round/>
                </a14:hiddenLine>
              </a:ext>
            </a:extLst>
          </c:spPr>
          <c:marker>
            <c:symbol val="star"/>
            <c:size val="2"/>
            <c:spPr>
              <a:solidFill>
                <a:srgbClr val="000000"/>
              </a:solidFill>
              <a:ln w="6350" cap="flat" cmpd="sng" algn="ctr">
                <a:noFill/>
                <a:prstDash val="solid"/>
                <a:round/>
              </a:ln>
              <a:effectLst/>
              <a:extLst>
                <a:ext uri="{91240B29-F687-4F45-9708-019B960494DF}">
                  <a14:hiddenLine xmlns:a14="http://schemas.microsoft.com/office/drawing/2010/main" w="6350" cap="flat" cmpd="sng" algn="ctr">
                    <a:solidFill>
                      <a:srgbClr val="ED7D31"/>
                    </a:solidFill>
                    <a:prstDash val="solid"/>
                    <a:round/>
                  </a14:hiddenLine>
                </a:ext>
              </a:extLst>
            </c:spPr>
          </c:marker>
          <c:dLbls>
            <c:dLbl>
              <c:idx val="0"/>
              <c:tx>
                <c:rich>
                  <a:bodyPr/>
                  <a:lstStyle/>
                  <a:p>
                    <a:fld id="{7EE79D4C-1EF9-42EF-BEE5-0B0AE5830551}" type="CELLRANGE">
                      <a:rPr lang="en-US"/>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9522-4649-85B0-3ECCE8C0D8BF}"/>
                </c:ext>
              </c:extLst>
            </c:dLbl>
            <c:dLbl>
              <c:idx val="1"/>
              <c:tx>
                <c:rich>
                  <a:bodyPr/>
                  <a:lstStyle/>
                  <a:p>
                    <a:fld id="{46414469-9E61-48F6-8B82-0E159813932F}"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9522-4649-85B0-3ECCE8C0D8BF}"/>
                </c:ext>
              </c:extLst>
            </c:dLbl>
            <c:dLbl>
              <c:idx val="2"/>
              <c:tx>
                <c:rich>
                  <a:bodyPr/>
                  <a:lstStyle/>
                  <a:p>
                    <a:fld id="{1D91FE63-0C5B-485E-8376-619002A37AAF}"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9522-4649-85B0-3ECCE8C0D8BF}"/>
                </c:ext>
              </c:extLst>
            </c:dLbl>
            <c:dLbl>
              <c:idx val="3"/>
              <c:tx>
                <c:rich>
                  <a:bodyPr/>
                  <a:lstStyle/>
                  <a:p>
                    <a:fld id="{664599EE-E8C4-4296-8499-7E78900A37CA}"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9522-4649-85B0-3ECCE8C0D8BF}"/>
                </c:ext>
              </c:extLst>
            </c:dLbl>
            <c:dLbl>
              <c:idx val="4"/>
              <c:tx>
                <c:rich>
                  <a:bodyPr/>
                  <a:lstStyle/>
                  <a:p>
                    <a:fld id="{3D2A2D54-7E8B-48ED-9B49-243C81659563}"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9522-4649-85B0-3ECCE8C0D8BF}"/>
                </c:ext>
              </c:extLst>
            </c:dLbl>
            <c:spPr>
              <a:noFill/>
              <a:ln>
                <a:noFill/>
              </a:ln>
              <a:effectLst/>
            </c:spPr>
            <c:txPr>
              <a:bodyPr wrap="square" lIns="38100" tIns="19050" rIns="38100" bIns="19050" anchor="ctr">
                <a:spAutoFit/>
              </a:bodyPr>
              <a:lstStyle/>
              <a:p>
                <a:pPr>
                  <a:defRPr sz="1100"/>
                </a:pPr>
                <a:endParaRPr lang="en-US"/>
              </a:p>
            </c:txPr>
            <c:dLblPos val="b"/>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ext>
            </c:extLst>
          </c:dLbls>
          <c:xVal>
            <c:numRef>
              <c:f>PeakLabels!$CY$2:$CY$6</c:f>
              <c:numCache>
                <c:formatCode>General</c:formatCode>
                <c:ptCount val="5"/>
                <c:pt idx="0">
                  <c:v>200</c:v>
                </c:pt>
                <c:pt idx="1">
                  <c:v>300</c:v>
                </c:pt>
                <c:pt idx="2">
                  <c:v>400</c:v>
                </c:pt>
                <c:pt idx="3">
                  <c:v>500</c:v>
                </c:pt>
                <c:pt idx="4">
                  <c:v>600</c:v>
                </c:pt>
              </c:numCache>
            </c:numRef>
          </c:xVal>
          <c:yVal>
            <c:numRef>
              <c:f>PeakLabels!$CZ$2:$CZ$6</c:f>
              <c:numCache>
                <c:formatCode>General</c:formatCode>
                <c:ptCount val="5"/>
                <c:pt idx="0">
                  <c:v>0</c:v>
                </c:pt>
                <c:pt idx="1">
                  <c:v>0</c:v>
                </c:pt>
                <c:pt idx="2">
                  <c:v>0</c:v>
                </c:pt>
                <c:pt idx="3">
                  <c:v>0</c:v>
                </c:pt>
                <c:pt idx="4">
                  <c:v>0</c:v>
                </c:pt>
              </c:numCache>
            </c:numRef>
          </c:yVal>
          <c:smooth val="1"/>
          <c:extLst>
            <c:ext xmlns:c15="http://schemas.microsoft.com/office/drawing/2012/chart" uri="{02D57815-91ED-43cb-92C2-25804820EDAC}">
              <c15:datalabelsRange>
                <c15:f>PeakLabels!$CY$2:$CY$7</c15:f>
                <c15:dlblRangeCache>
                  <c:ptCount val="6"/>
                  <c:pt idx="0">
                    <c:v>200</c:v>
                  </c:pt>
                  <c:pt idx="1">
                    <c:v>300</c:v>
                  </c:pt>
                  <c:pt idx="2">
                    <c:v>400</c:v>
                  </c:pt>
                  <c:pt idx="3">
                    <c:v>500</c:v>
                  </c:pt>
                  <c:pt idx="4">
                    <c:v>600</c:v>
                  </c:pt>
                </c15:dlblRangeCache>
              </c15:datalabelsRange>
            </c:ext>
            <c:ext xmlns:c16="http://schemas.microsoft.com/office/drawing/2014/chart" uri="{C3380CC4-5D6E-409C-BE32-E72D297353CC}">
              <c16:uniqueId val="{00000006-9522-4649-85B0-3ECCE8C0D8BF}"/>
            </c:ext>
          </c:extLst>
        </c:ser>
        <c:dLbls>
          <c:showLegendKey val="0"/>
          <c:showVal val="0"/>
          <c:showCatName val="0"/>
          <c:showSerName val="0"/>
          <c:showPercent val="0"/>
          <c:showBubbleSize val="0"/>
        </c:dLbls>
        <c:axId val="1767905184"/>
        <c:axId val="1767909536"/>
      </c:scatterChart>
      <c:valAx>
        <c:axId val="1767905184"/>
        <c:scaling>
          <c:orientation val="minMax"/>
          <c:max val="610"/>
          <c:min val="190"/>
        </c:scaling>
        <c:delete val="0"/>
        <c:axPos val="b"/>
        <c:majorGridlines>
          <c:spPr>
            <a:ln w="9525" cap="flat" cmpd="sng" algn="ctr">
              <a:noFill/>
              <a:prstDash val="solid"/>
              <a:round/>
            </a:ln>
            <a:effectLst/>
            <a:extLst>
              <a:ext uri="{91240B29-F687-4F45-9708-019B960494DF}">
                <a14:hiddenLine xmlns:a14="http://schemas.microsoft.com/office/drawing/2010/main" w="9525" cap="flat" cmpd="sng" algn="ctr">
                  <a:solidFill>
                    <a:sysClr val="windowText" lastClr="000000">
                      <a:lumMod val="15000"/>
                      <a:lumOff val="85000"/>
                    </a:sysClr>
                  </a:solidFill>
                  <a:prstDash val="solid"/>
                  <a:round/>
                </a14:hiddenLine>
              </a:ext>
            </a:extLst>
          </c:spPr>
        </c:majorGridlines>
        <c:numFmt formatCode="General" sourceLinked="1"/>
        <c:majorTickMark val="none"/>
        <c:minorTickMark val="none"/>
        <c:tickLblPos val="none"/>
        <c:spPr>
          <a:noFill/>
          <a:ln w="9525" cap="flat" cmpd="sng" algn="ctr">
            <a:solidFill>
              <a:sysClr val="windowText" lastClr="000000">
                <a:lumMod val="100000"/>
              </a:sysClr>
            </a:solidFill>
            <a:prstDash val="solid"/>
            <a:round/>
            <a:headEnd type="none" w="med" len="med"/>
            <a:tailEnd type="none" w="med" len="med"/>
          </a:ln>
          <a:effectLst/>
        </c:spPr>
        <c:txPr>
          <a:bodyPr rot="0" vert="horz"/>
          <a:lstStyle/>
          <a:p>
            <a:pPr>
              <a:defRPr sz="800" b="0" i="0" u="none" strike="noStrike" baseline="0">
                <a:solidFill>
                  <a:srgbClr val="333333"/>
                </a:solidFill>
                <a:latin typeface="Calibri"/>
                <a:ea typeface="Calibri"/>
                <a:cs typeface="Calibri"/>
              </a:defRPr>
            </a:pPr>
            <a:endParaRPr lang="en-US"/>
          </a:p>
        </c:txPr>
        <c:crossAx val="1767909536"/>
        <c:crossesAt val="0"/>
        <c:crossBetween val="midCat"/>
        <c:majorUnit val="100"/>
      </c:valAx>
      <c:valAx>
        <c:axId val="1767909536"/>
        <c:scaling>
          <c:orientation val="minMax"/>
          <c:max val="124"/>
          <c:min val="0"/>
        </c:scaling>
        <c:delete val="0"/>
        <c:axPos val="l"/>
        <c:majorGridlines>
          <c:spPr>
            <a:ln w="9525" cap="flat" cmpd="sng" algn="ctr">
              <a:noFill/>
              <a:prstDash val="solid"/>
              <a:round/>
            </a:ln>
            <a:effectLst/>
            <a:extLst>
              <a:ext uri="{91240B29-F687-4F45-9708-019B960494DF}">
                <a14:hiddenLine xmlns:a14="http://schemas.microsoft.com/office/drawing/2010/main" w="9525" cap="flat" cmpd="sng" algn="ctr">
                  <a:solidFill>
                    <a:sysClr val="windowText" lastClr="000000">
                      <a:lumMod val="15000"/>
                      <a:lumOff val="85000"/>
                    </a:sysClr>
                  </a:solidFill>
                  <a:prstDash val="solid"/>
                  <a:round/>
                </a14:hiddenLine>
              </a:ext>
            </a:extLst>
          </c:spPr>
        </c:majorGridlines>
        <c:numFmt formatCode="General" sourceLinked="1"/>
        <c:majorTickMark val="out"/>
        <c:minorTickMark val="none"/>
        <c:tickLblPos val="nextTo"/>
        <c:spPr>
          <a:ln w="12700" cap="flat" cmpd="sng" algn="ctr">
            <a:solidFill>
              <a:sysClr val="windowText" lastClr="000000">
                <a:lumMod val="100000"/>
              </a:sysClr>
            </a:solidFill>
            <a:prstDash val="solid"/>
            <a:round/>
            <a:headEnd type="none" w="med" len="med"/>
            <a:tailEnd type="none" w="med" len="med"/>
          </a:ln>
        </c:spPr>
        <c:crossAx val="1767905184"/>
        <c:crosses val="autoZero"/>
        <c:crossBetween val="midCat"/>
        <c:majorUnit val="25"/>
        <c:minorUnit val="5"/>
      </c:valAx>
      <c:spPr>
        <a:noFill/>
        <a:ln>
          <a:solidFill>
            <a:schemeClr val="tx1"/>
          </a:solidFill>
        </a:ln>
        <a:effectLst/>
      </c:spPr>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lumMod val="15000"/>
              <a:lumOff val="85000"/>
            </a:sysClr>
          </a:solidFill>
          <a:prstDash val="solid"/>
          <a:round/>
        </a14:hiddenLine>
      </a:ext>
    </a:ex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01447595124229"/>
          <c:y val="2.8268540749732153E-2"/>
          <c:w val="0.79415100719771992"/>
          <c:h val="0.81774581759149068"/>
        </c:manualLayout>
      </c:layout>
      <c:scatterChart>
        <c:scatterStyle val="smoothMarker"/>
        <c:varyColors val="0"/>
        <c:ser>
          <c:idx val="0"/>
          <c:order val="0"/>
          <c:spPr>
            <a:ln w="19050" cap="rnd" cmpd="sng" algn="ctr">
              <a:solidFill>
                <a:srgbClr val="0000FF"/>
              </a:solidFill>
              <a:prstDash val="solid"/>
              <a:round/>
              <a:headEnd type="none" w="med" len="med"/>
              <a:tailEnd type="none" w="med" len="med"/>
            </a:ln>
          </c:spPr>
          <c:marker>
            <c:symbol val="none"/>
          </c:marker>
          <c:dLbls>
            <c:dLbl>
              <c:idx val="0"/>
              <c:tx>
                <c:rich>
                  <a:bodyPr/>
                  <a:lstStyle/>
                  <a:p>
                    <a:fld id="{1895036D-FC85-4DB4-BDB0-EDE32351A5B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4D8B-4DE8-89BA-AA89B4AB740C}"/>
                </c:ext>
              </c:extLst>
            </c:dLbl>
            <c:dLbl>
              <c:idx val="1"/>
              <c:tx>
                <c:rich>
                  <a:bodyPr/>
                  <a:lstStyle/>
                  <a:p>
                    <a:fld id="{7D5007E6-12ED-4CA8-AB6D-7ABEBC6A993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4D8B-4DE8-89BA-AA89B4AB740C}"/>
                </c:ext>
              </c:extLst>
            </c:dLbl>
            <c:dLbl>
              <c:idx val="2"/>
              <c:tx>
                <c:rich>
                  <a:bodyPr/>
                  <a:lstStyle/>
                  <a:p>
                    <a:fld id="{4001DB79-70DD-46A6-824C-2DD0C0BB042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4D8B-4DE8-89BA-AA89B4AB740C}"/>
                </c:ext>
              </c:extLst>
            </c:dLbl>
            <c:dLbl>
              <c:idx val="3"/>
              <c:tx>
                <c:rich>
                  <a:bodyPr/>
                  <a:lstStyle/>
                  <a:p>
                    <a:fld id="{2A5B67FE-3263-44EC-A3BA-6CB26CD7958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4D8B-4DE8-89BA-AA89B4AB740C}"/>
                </c:ext>
              </c:extLst>
            </c:dLbl>
            <c:dLbl>
              <c:idx val="4"/>
              <c:tx>
                <c:rich>
                  <a:bodyPr/>
                  <a:lstStyle/>
                  <a:p>
                    <a:fld id="{BC7BB1C9-01F6-44FE-8608-D17BB3D0180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4D8B-4DE8-89BA-AA89B4AB740C}"/>
                </c:ext>
              </c:extLst>
            </c:dLbl>
            <c:dLbl>
              <c:idx val="5"/>
              <c:tx>
                <c:rich>
                  <a:bodyPr/>
                  <a:lstStyle/>
                  <a:p>
                    <a:fld id="{2D885C3E-1361-4730-8186-24811A27ABB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4D8B-4DE8-89BA-AA89B4AB740C}"/>
                </c:ext>
              </c:extLst>
            </c:dLbl>
            <c:dLbl>
              <c:idx val="6"/>
              <c:tx>
                <c:rich>
                  <a:bodyPr/>
                  <a:lstStyle/>
                  <a:p>
                    <a:fld id="{9523FE00-D413-4EE5-A4AF-86FDB6BB570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4D8B-4DE8-89BA-AA89B4AB740C}"/>
                </c:ext>
              </c:extLst>
            </c:dLbl>
            <c:dLbl>
              <c:idx val="7"/>
              <c:tx>
                <c:rich>
                  <a:bodyPr/>
                  <a:lstStyle/>
                  <a:p>
                    <a:fld id="{3B6C95E4-2991-4793-BA3D-2B5552EF1E1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4D8B-4DE8-89BA-AA89B4AB740C}"/>
                </c:ext>
              </c:extLst>
            </c:dLbl>
            <c:dLbl>
              <c:idx val="8"/>
              <c:tx>
                <c:rich>
                  <a:bodyPr/>
                  <a:lstStyle/>
                  <a:p>
                    <a:fld id="{B89C8164-E843-4C2F-A637-78D8B417718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4D8B-4DE8-89BA-AA89B4AB740C}"/>
                </c:ext>
              </c:extLst>
            </c:dLbl>
            <c:dLbl>
              <c:idx val="9"/>
              <c:tx>
                <c:rich>
                  <a:bodyPr/>
                  <a:lstStyle/>
                  <a:p>
                    <a:fld id="{09A4685C-A599-45B3-86E8-865EB8561DF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4D8B-4DE8-89BA-AA89B4AB740C}"/>
                </c:ext>
              </c:extLst>
            </c:dLbl>
            <c:dLbl>
              <c:idx val="10"/>
              <c:tx>
                <c:rich>
                  <a:bodyPr/>
                  <a:lstStyle/>
                  <a:p>
                    <a:fld id="{51B902F5-7D08-4B0A-AE9B-7BBCA84E0B5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4D8B-4DE8-89BA-AA89B4AB740C}"/>
                </c:ext>
              </c:extLst>
            </c:dLbl>
            <c:dLbl>
              <c:idx val="11"/>
              <c:tx>
                <c:rich>
                  <a:bodyPr/>
                  <a:lstStyle/>
                  <a:p>
                    <a:fld id="{5A77B581-66D5-4B62-ABC5-0A235004780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4D8B-4DE8-89BA-AA89B4AB740C}"/>
                </c:ext>
              </c:extLst>
            </c:dLbl>
            <c:dLbl>
              <c:idx val="12"/>
              <c:tx>
                <c:rich>
                  <a:bodyPr/>
                  <a:lstStyle/>
                  <a:p>
                    <a:fld id="{CB29D5EA-89E9-4B88-9AAA-578E7F78FD1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4D8B-4DE8-89BA-AA89B4AB740C}"/>
                </c:ext>
              </c:extLst>
            </c:dLbl>
            <c:dLbl>
              <c:idx val="13"/>
              <c:tx>
                <c:rich>
                  <a:bodyPr/>
                  <a:lstStyle/>
                  <a:p>
                    <a:fld id="{707E2AB9-39CF-4428-A896-EA4FF50E7A6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4D8B-4DE8-89BA-AA89B4AB740C}"/>
                </c:ext>
              </c:extLst>
            </c:dLbl>
            <c:dLbl>
              <c:idx val="14"/>
              <c:tx>
                <c:rich>
                  <a:bodyPr/>
                  <a:lstStyle/>
                  <a:p>
                    <a:fld id="{E72A91F1-6556-4729-9150-B3FEC756F85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4D8B-4DE8-89BA-AA89B4AB740C}"/>
                </c:ext>
              </c:extLst>
            </c:dLbl>
            <c:dLbl>
              <c:idx val="15"/>
              <c:tx>
                <c:rich>
                  <a:bodyPr/>
                  <a:lstStyle/>
                  <a:p>
                    <a:fld id="{AEBD298C-8D87-42B2-AD97-8BA2218276C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4D8B-4DE8-89BA-AA89B4AB740C}"/>
                </c:ext>
              </c:extLst>
            </c:dLbl>
            <c:dLbl>
              <c:idx val="16"/>
              <c:tx>
                <c:rich>
                  <a:bodyPr/>
                  <a:lstStyle/>
                  <a:p>
                    <a:fld id="{3892B3AC-50BE-47F2-86A9-CF3F3950625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4D8B-4DE8-89BA-AA89B4AB740C}"/>
                </c:ext>
              </c:extLst>
            </c:dLbl>
            <c:dLbl>
              <c:idx val="17"/>
              <c:tx>
                <c:rich>
                  <a:bodyPr/>
                  <a:lstStyle/>
                  <a:p>
                    <a:fld id="{ACAC1558-C9D0-49F3-BB31-3FB4352D0FB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4D8B-4DE8-89BA-AA89B4AB740C}"/>
                </c:ext>
              </c:extLst>
            </c:dLbl>
            <c:dLbl>
              <c:idx val="18"/>
              <c:tx>
                <c:rich>
                  <a:bodyPr/>
                  <a:lstStyle/>
                  <a:p>
                    <a:fld id="{90D73366-9428-415D-92CE-7755A61071D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4D8B-4DE8-89BA-AA89B4AB740C}"/>
                </c:ext>
              </c:extLst>
            </c:dLbl>
            <c:dLbl>
              <c:idx val="19"/>
              <c:tx>
                <c:rich>
                  <a:bodyPr/>
                  <a:lstStyle/>
                  <a:p>
                    <a:fld id="{46A70C8E-EB10-4516-A273-CB076CE3E56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4D8B-4DE8-89BA-AA89B4AB740C}"/>
                </c:ext>
              </c:extLst>
            </c:dLbl>
            <c:dLbl>
              <c:idx val="20"/>
              <c:tx>
                <c:rich>
                  <a:bodyPr/>
                  <a:lstStyle/>
                  <a:p>
                    <a:fld id="{EB3F83CE-EC82-4167-BFDC-A4AAE979C86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4D8B-4DE8-89BA-AA89B4AB740C}"/>
                </c:ext>
              </c:extLst>
            </c:dLbl>
            <c:dLbl>
              <c:idx val="21"/>
              <c:tx>
                <c:rich>
                  <a:bodyPr/>
                  <a:lstStyle/>
                  <a:p>
                    <a:fld id="{7320C874-D6D6-49CA-BE34-637E89F5579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4D8B-4DE8-89BA-AA89B4AB740C}"/>
                </c:ext>
              </c:extLst>
            </c:dLbl>
            <c:dLbl>
              <c:idx val="22"/>
              <c:tx>
                <c:rich>
                  <a:bodyPr/>
                  <a:lstStyle/>
                  <a:p>
                    <a:fld id="{7050E10E-AE74-40A8-B09F-38368C8C82C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4D8B-4DE8-89BA-AA89B4AB740C}"/>
                </c:ext>
              </c:extLst>
            </c:dLbl>
            <c:dLbl>
              <c:idx val="23"/>
              <c:tx>
                <c:rich>
                  <a:bodyPr/>
                  <a:lstStyle/>
                  <a:p>
                    <a:fld id="{9EC1641B-9B48-47A4-BBC2-F7849366D7C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4D8B-4DE8-89BA-AA89B4AB740C}"/>
                </c:ext>
              </c:extLst>
            </c:dLbl>
            <c:dLbl>
              <c:idx val="24"/>
              <c:tx>
                <c:rich>
                  <a:bodyPr/>
                  <a:lstStyle/>
                  <a:p>
                    <a:fld id="{7C7CCC09-5420-4B65-8CD9-7A80A70802C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4D8B-4DE8-89BA-AA89B4AB740C}"/>
                </c:ext>
              </c:extLst>
            </c:dLbl>
            <c:dLbl>
              <c:idx val="25"/>
              <c:tx>
                <c:rich>
                  <a:bodyPr/>
                  <a:lstStyle/>
                  <a:p>
                    <a:fld id="{19FBB107-D7E9-4373-B49F-A879849F9A9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4D8B-4DE8-89BA-AA89B4AB740C}"/>
                </c:ext>
              </c:extLst>
            </c:dLbl>
            <c:dLbl>
              <c:idx val="26"/>
              <c:tx>
                <c:rich>
                  <a:bodyPr/>
                  <a:lstStyle/>
                  <a:p>
                    <a:fld id="{4B08117F-FE97-455F-B702-0AAD01DD924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4D8B-4DE8-89BA-AA89B4AB740C}"/>
                </c:ext>
              </c:extLst>
            </c:dLbl>
            <c:dLbl>
              <c:idx val="27"/>
              <c:tx>
                <c:rich>
                  <a:bodyPr/>
                  <a:lstStyle/>
                  <a:p>
                    <a:fld id="{C124694C-D420-46B1-A92A-9945E1EDDD5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4D8B-4DE8-89BA-AA89B4AB740C}"/>
                </c:ext>
              </c:extLst>
            </c:dLbl>
            <c:dLbl>
              <c:idx val="28"/>
              <c:tx>
                <c:rich>
                  <a:bodyPr/>
                  <a:lstStyle/>
                  <a:p>
                    <a:fld id="{EEEB5888-06DA-4669-A3B6-9299D51FAEC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4D8B-4DE8-89BA-AA89B4AB740C}"/>
                </c:ext>
              </c:extLst>
            </c:dLbl>
            <c:dLbl>
              <c:idx val="29"/>
              <c:tx>
                <c:rich>
                  <a:bodyPr/>
                  <a:lstStyle/>
                  <a:p>
                    <a:fld id="{A124D07E-E667-4FE9-A9E3-69AD4C75258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4D8B-4DE8-89BA-AA89B4AB740C}"/>
                </c:ext>
              </c:extLst>
            </c:dLbl>
            <c:dLbl>
              <c:idx val="30"/>
              <c:tx>
                <c:rich>
                  <a:bodyPr/>
                  <a:lstStyle/>
                  <a:p>
                    <a:fld id="{96DAEB20-CD9B-425B-82B0-A6DFC95225A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4D8B-4DE8-89BA-AA89B4AB740C}"/>
                </c:ext>
              </c:extLst>
            </c:dLbl>
            <c:dLbl>
              <c:idx val="31"/>
              <c:tx>
                <c:rich>
                  <a:bodyPr/>
                  <a:lstStyle/>
                  <a:p>
                    <a:fld id="{1DB1F624-6E4E-4D5F-81D3-37190C52986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0-4D8B-4DE8-89BA-AA89B4AB740C}"/>
                </c:ext>
              </c:extLst>
            </c:dLbl>
            <c:dLbl>
              <c:idx val="32"/>
              <c:tx>
                <c:rich>
                  <a:bodyPr/>
                  <a:lstStyle/>
                  <a:p>
                    <a:fld id="{F1BA6575-D6C7-46DE-93D4-2E9C0709ACD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4D8B-4DE8-89BA-AA89B4AB740C}"/>
                </c:ext>
              </c:extLst>
            </c:dLbl>
            <c:dLbl>
              <c:idx val="33"/>
              <c:tx>
                <c:rich>
                  <a:bodyPr/>
                  <a:lstStyle/>
                  <a:p>
                    <a:fld id="{ADCC2580-22A1-4F78-8400-83C7E9CFD19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2-4D8B-4DE8-89BA-AA89B4AB740C}"/>
                </c:ext>
              </c:extLst>
            </c:dLbl>
            <c:dLbl>
              <c:idx val="34"/>
              <c:tx>
                <c:rich>
                  <a:bodyPr/>
                  <a:lstStyle/>
                  <a:p>
                    <a:fld id="{396C5545-0CB7-4AEA-9962-E739C8FBA41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4D8B-4DE8-89BA-AA89B4AB740C}"/>
                </c:ext>
              </c:extLst>
            </c:dLbl>
            <c:dLbl>
              <c:idx val="35"/>
              <c:tx>
                <c:rich>
                  <a:bodyPr/>
                  <a:lstStyle/>
                  <a:p>
                    <a:fld id="{7FF68AE7-567F-4092-9F16-4160E8CACDE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4-4D8B-4DE8-89BA-AA89B4AB740C}"/>
                </c:ext>
              </c:extLst>
            </c:dLbl>
            <c:dLbl>
              <c:idx val="36"/>
              <c:tx>
                <c:rich>
                  <a:bodyPr/>
                  <a:lstStyle/>
                  <a:p>
                    <a:fld id="{8E95D09A-C17D-482C-AEB6-4CD5E1796CD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4D8B-4DE8-89BA-AA89B4AB740C}"/>
                </c:ext>
              </c:extLst>
            </c:dLbl>
            <c:dLbl>
              <c:idx val="37"/>
              <c:tx>
                <c:rich>
                  <a:bodyPr/>
                  <a:lstStyle/>
                  <a:p>
                    <a:fld id="{D7A7DCB8-A11F-4ADE-B879-241A40E14FF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6-4D8B-4DE8-89BA-AA89B4AB740C}"/>
                </c:ext>
              </c:extLst>
            </c:dLbl>
            <c:dLbl>
              <c:idx val="38"/>
              <c:tx>
                <c:rich>
                  <a:bodyPr/>
                  <a:lstStyle/>
                  <a:p>
                    <a:fld id="{5C2B47AE-DEE8-4D38-B3B7-5BF4AC21D0B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7-4D8B-4DE8-89BA-AA89B4AB740C}"/>
                </c:ext>
              </c:extLst>
            </c:dLbl>
            <c:dLbl>
              <c:idx val="39"/>
              <c:tx>
                <c:rich>
                  <a:bodyPr/>
                  <a:lstStyle/>
                  <a:p>
                    <a:fld id="{A0D71A52-62EC-4AF1-A646-ED98605CF6F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8-4D8B-4DE8-89BA-AA89B4AB740C}"/>
                </c:ext>
              </c:extLst>
            </c:dLbl>
            <c:dLbl>
              <c:idx val="40"/>
              <c:tx>
                <c:rich>
                  <a:bodyPr/>
                  <a:lstStyle/>
                  <a:p>
                    <a:fld id="{B127EE0B-27CC-4FB1-BE56-ED5E2E085CD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9-4D8B-4DE8-89BA-AA89B4AB740C}"/>
                </c:ext>
              </c:extLst>
            </c:dLbl>
            <c:dLbl>
              <c:idx val="41"/>
              <c:tx>
                <c:rich>
                  <a:bodyPr/>
                  <a:lstStyle/>
                  <a:p>
                    <a:fld id="{B009A7FD-F67E-4558-B03E-68A47DCAB83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A-4D8B-4DE8-89BA-AA89B4AB740C}"/>
                </c:ext>
              </c:extLst>
            </c:dLbl>
            <c:dLbl>
              <c:idx val="42"/>
              <c:tx>
                <c:rich>
                  <a:bodyPr/>
                  <a:lstStyle/>
                  <a:p>
                    <a:fld id="{3B262B76-5E36-42C2-8B12-73AD7504D2F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B-4D8B-4DE8-89BA-AA89B4AB740C}"/>
                </c:ext>
              </c:extLst>
            </c:dLbl>
            <c:dLbl>
              <c:idx val="43"/>
              <c:tx>
                <c:rich>
                  <a:bodyPr/>
                  <a:lstStyle/>
                  <a:p>
                    <a:fld id="{919147F0-2393-47A5-A053-92E6F446F68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C-4D8B-4DE8-89BA-AA89B4AB740C}"/>
                </c:ext>
              </c:extLst>
            </c:dLbl>
            <c:dLbl>
              <c:idx val="44"/>
              <c:tx>
                <c:rich>
                  <a:bodyPr/>
                  <a:lstStyle/>
                  <a:p>
                    <a:fld id="{E954E344-397B-4252-B414-428858B0EE3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D-4D8B-4DE8-89BA-AA89B4AB740C}"/>
                </c:ext>
              </c:extLst>
            </c:dLbl>
            <c:dLbl>
              <c:idx val="45"/>
              <c:tx>
                <c:rich>
                  <a:bodyPr/>
                  <a:lstStyle/>
                  <a:p>
                    <a:fld id="{A273E894-ECCE-4231-8849-884663AEA26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E-4D8B-4DE8-89BA-AA89B4AB740C}"/>
                </c:ext>
              </c:extLst>
            </c:dLbl>
            <c:dLbl>
              <c:idx val="46"/>
              <c:tx>
                <c:rich>
                  <a:bodyPr/>
                  <a:lstStyle/>
                  <a:p>
                    <a:fld id="{983DF17E-DB21-4212-AF40-868D7C38FCD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F-4D8B-4DE8-89BA-AA89B4AB740C}"/>
                </c:ext>
              </c:extLst>
            </c:dLbl>
            <c:dLbl>
              <c:idx val="47"/>
              <c:tx>
                <c:rich>
                  <a:bodyPr/>
                  <a:lstStyle/>
                  <a:p>
                    <a:fld id="{9B9F776D-24FA-427E-9130-9CBD4F9007D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0-4D8B-4DE8-89BA-AA89B4AB740C}"/>
                </c:ext>
              </c:extLst>
            </c:dLbl>
            <c:dLbl>
              <c:idx val="48"/>
              <c:tx>
                <c:rich>
                  <a:bodyPr/>
                  <a:lstStyle/>
                  <a:p>
                    <a:fld id="{D54E39B5-6A57-4911-84B5-C8951EE8C4B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1-4D8B-4DE8-89BA-AA89B4AB740C}"/>
                </c:ext>
              </c:extLst>
            </c:dLbl>
            <c:dLbl>
              <c:idx val="49"/>
              <c:tx>
                <c:rich>
                  <a:bodyPr/>
                  <a:lstStyle/>
                  <a:p>
                    <a:fld id="{3EE5FE8B-E7C3-4C7E-9D50-DA27442FFAD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2-4D8B-4DE8-89BA-AA89B4AB740C}"/>
                </c:ext>
              </c:extLst>
            </c:dLbl>
            <c:dLbl>
              <c:idx val="50"/>
              <c:tx>
                <c:rich>
                  <a:bodyPr/>
                  <a:lstStyle/>
                  <a:p>
                    <a:fld id="{2A27BE16-483A-4763-A3A2-99E45D7DA5C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3-4D8B-4DE8-89BA-AA89B4AB740C}"/>
                </c:ext>
              </c:extLst>
            </c:dLbl>
            <c:dLbl>
              <c:idx val="51"/>
              <c:tx>
                <c:rich>
                  <a:bodyPr/>
                  <a:lstStyle/>
                  <a:p>
                    <a:fld id="{23185F46-A30A-4730-9716-C17E672B70D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4-4D8B-4DE8-89BA-AA89B4AB740C}"/>
                </c:ext>
              </c:extLst>
            </c:dLbl>
            <c:dLbl>
              <c:idx val="52"/>
              <c:tx>
                <c:rich>
                  <a:bodyPr/>
                  <a:lstStyle/>
                  <a:p>
                    <a:fld id="{8503DAF4-072F-49A0-81B0-5740751D068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5-4D8B-4DE8-89BA-AA89B4AB740C}"/>
                </c:ext>
              </c:extLst>
            </c:dLbl>
            <c:dLbl>
              <c:idx val="53"/>
              <c:tx>
                <c:rich>
                  <a:bodyPr/>
                  <a:lstStyle/>
                  <a:p>
                    <a:fld id="{50DE31FC-E94E-4E58-826A-6380DE89C4D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6-4D8B-4DE8-89BA-AA89B4AB740C}"/>
                </c:ext>
              </c:extLst>
            </c:dLbl>
            <c:dLbl>
              <c:idx val="54"/>
              <c:tx>
                <c:rich>
                  <a:bodyPr/>
                  <a:lstStyle/>
                  <a:p>
                    <a:fld id="{C430584A-2030-4DDE-A32F-29CB8BCA281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7-4D8B-4DE8-89BA-AA89B4AB740C}"/>
                </c:ext>
              </c:extLst>
            </c:dLbl>
            <c:dLbl>
              <c:idx val="55"/>
              <c:tx>
                <c:rich>
                  <a:bodyPr/>
                  <a:lstStyle/>
                  <a:p>
                    <a:fld id="{2D5B9D84-B349-447F-AD8F-97F223A3BAE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8-4D8B-4DE8-89BA-AA89B4AB740C}"/>
                </c:ext>
              </c:extLst>
            </c:dLbl>
            <c:dLbl>
              <c:idx val="56"/>
              <c:tx>
                <c:rich>
                  <a:bodyPr/>
                  <a:lstStyle/>
                  <a:p>
                    <a:fld id="{E9B1EA5C-9FBC-406E-8771-B4F23858428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9-4D8B-4DE8-89BA-AA89B4AB740C}"/>
                </c:ext>
              </c:extLst>
            </c:dLbl>
            <c:dLbl>
              <c:idx val="57"/>
              <c:tx>
                <c:rich>
                  <a:bodyPr/>
                  <a:lstStyle/>
                  <a:p>
                    <a:fld id="{F45DF196-511C-467C-93E2-75BD3FEFDA5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A-4D8B-4DE8-89BA-AA89B4AB740C}"/>
                </c:ext>
              </c:extLst>
            </c:dLbl>
            <c:dLbl>
              <c:idx val="58"/>
              <c:tx>
                <c:rich>
                  <a:bodyPr/>
                  <a:lstStyle/>
                  <a:p>
                    <a:fld id="{6D0A32C5-0E55-4846-B8CE-75F89C51078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B-4D8B-4DE8-89BA-AA89B4AB740C}"/>
                </c:ext>
              </c:extLst>
            </c:dLbl>
            <c:dLbl>
              <c:idx val="59"/>
              <c:tx>
                <c:rich>
                  <a:bodyPr/>
                  <a:lstStyle/>
                  <a:p>
                    <a:fld id="{2324319F-9E5E-44B0-ADC0-12346DC8E77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C-4D8B-4DE8-89BA-AA89B4AB740C}"/>
                </c:ext>
              </c:extLst>
            </c:dLbl>
            <c:dLbl>
              <c:idx val="60"/>
              <c:tx>
                <c:rich>
                  <a:bodyPr/>
                  <a:lstStyle/>
                  <a:p>
                    <a:fld id="{D687545F-2271-410A-9763-6D89B232C1E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D-4D8B-4DE8-89BA-AA89B4AB740C}"/>
                </c:ext>
              </c:extLst>
            </c:dLbl>
            <c:dLbl>
              <c:idx val="61"/>
              <c:tx>
                <c:rich>
                  <a:bodyPr/>
                  <a:lstStyle/>
                  <a:p>
                    <a:fld id="{EAF2AECC-0078-4829-ABEF-3B8681D86C6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E-4D8B-4DE8-89BA-AA89B4AB740C}"/>
                </c:ext>
              </c:extLst>
            </c:dLbl>
            <c:dLbl>
              <c:idx val="62"/>
              <c:tx>
                <c:rich>
                  <a:bodyPr/>
                  <a:lstStyle/>
                  <a:p>
                    <a:fld id="{8EF988D0-1460-4C0D-8287-6AF8C650289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F-4D8B-4DE8-89BA-AA89B4AB740C}"/>
                </c:ext>
              </c:extLst>
            </c:dLbl>
            <c:dLbl>
              <c:idx val="63"/>
              <c:tx>
                <c:rich>
                  <a:bodyPr/>
                  <a:lstStyle/>
                  <a:p>
                    <a:fld id="{D6C7C25C-9060-4ACE-87FB-2B0F60AF394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0-4D8B-4DE8-89BA-AA89B4AB740C}"/>
                </c:ext>
              </c:extLst>
            </c:dLbl>
            <c:dLbl>
              <c:idx val="64"/>
              <c:tx>
                <c:rich>
                  <a:bodyPr/>
                  <a:lstStyle/>
                  <a:p>
                    <a:fld id="{C80E769C-2788-4CEF-9806-1165224F024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1-4D8B-4DE8-89BA-AA89B4AB740C}"/>
                </c:ext>
              </c:extLst>
            </c:dLbl>
            <c:dLbl>
              <c:idx val="65"/>
              <c:tx>
                <c:rich>
                  <a:bodyPr/>
                  <a:lstStyle/>
                  <a:p>
                    <a:fld id="{F5BB8136-E0F5-4301-980A-A4136349AD0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2-4D8B-4DE8-89BA-AA89B4AB740C}"/>
                </c:ext>
              </c:extLst>
            </c:dLbl>
            <c:dLbl>
              <c:idx val="66"/>
              <c:tx>
                <c:rich>
                  <a:bodyPr/>
                  <a:lstStyle/>
                  <a:p>
                    <a:fld id="{21009A2C-0AA0-4F3F-8F9A-C6109A88EE1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3-4D8B-4DE8-89BA-AA89B4AB740C}"/>
                </c:ext>
              </c:extLst>
            </c:dLbl>
            <c:dLbl>
              <c:idx val="67"/>
              <c:tx>
                <c:rich>
                  <a:bodyPr/>
                  <a:lstStyle/>
                  <a:p>
                    <a:fld id="{49363D61-BA90-452E-A1A5-628BCCEDD12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4-4D8B-4DE8-89BA-AA89B4AB740C}"/>
                </c:ext>
              </c:extLst>
            </c:dLbl>
            <c:dLbl>
              <c:idx val="68"/>
              <c:tx>
                <c:rich>
                  <a:bodyPr/>
                  <a:lstStyle/>
                  <a:p>
                    <a:fld id="{6FCC20E5-9589-44F5-A0D8-BF15F18A50E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5-4D8B-4DE8-89BA-AA89B4AB740C}"/>
                </c:ext>
              </c:extLst>
            </c:dLbl>
            <c:dLbl>
              <c:idx val="69"/>
              <c:tx>
                <c:rich>
                  <a:bodyPr/>
                  <a:lstStyle/>
                  <a:p>
                    <a:fld id="{DA13C5D0-A1BD-4E43-BEDE-167EB2C0D65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6-4D8B-4DE8-89BA-AA89B4AB740C}"/>
                </c:ext>
              </c:extLst>
            </c:dLbl>
            <c:dLbl>
              <c:idx val="70"/>
              <c:tx>
                <c:rich>
                  <a:bodyPr/>
                  <a:lstStyle/>
                  <a:p>
                    <a:fld id="{17EF0098-EB05-4EFE-9ECE-311786D5D53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7-4D8B-4DE8-89BA-AA89B4AB740C}"/>
                </c:ext>
              </c:extLst>
            </c:dLbl>
            <c:dLbl>
              <c:idx val="71"/>
              <c:tx>
                <c:rich>
                  <a:bodyPr/>
                  <a:lstStyle/>
                  <a:p>
                    <a:fld id="{68F1F7BB-DAE4-4A7E-835D-46A5769A785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8-4D8B-4DE8-89BA-AA89B4AB740C}"/>
                </c:ext>
              </c:extLst>
            </c:dLbl>
            <c:dLbl>
              <c:idx val="72"/>
              <c:tx>
                <c:rich>
                  <a:bodyPr/>
                  <a:lstStyle/>
                  <a:p>
                    <a:fld id="{E4BE5529-100D-4C58-9FAB-CA7EAAC1A13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9-4D8B-4DE8-89BA-AA89B4AB740C}"/>
                </c:ext>
              </c:extLst>
            </c:dLbl>
            <c:dLbl>
              <c:idx val="73"/>
              <c:tx>
                <c:rich>
                  <a:bodyPr/>
                  <a:lstStyle/>
                  <a:p>
                    <a:fld id="{BAB35487-773F-4D09-8A97-EAFC964AE2C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A-4D8B-4DE8-89BA-AA89B4AB740C}"/>
                </c:ext>
              </c:extLst>
            </c:dLbl>
            <c:dLbl>
              <c:idx val="74"/>
              <c:tx>
                <c:rich>
                  <a:bodyPr/>
                  <a:lstStyle/>
                  <a:p>
                    <a:fld id="{2B54243B-9F74-4E73-8962-DF4F667C90B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B-4D8B-4DE8-89BA-AA89B4AB740C}"/>
                </c:ext>
              </c:extLst>
            </c:dLbl>
            <c:dLbl>
              <c:idx val="75"/>
              <c:tx>
                <c:rich>
                  <a:bodyPr/>
                  <a:lstStyle/>
                  <a:p>
                    <a:fld id="{F7DE2755-CE75-47D7-9BE9-B30D0159F40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C-4D8B-4DE8-89BA-AA89B4AB740C}"/>
                </c:ext>
              </c:extLst>
            </c:dLbl>
            <c:dLbl>
              <c:idx val="76"/>
              <c:tx>
                <c:rich>
                  <a:bodyPr/>
                  <a:lstStyle/>
                  <a:p>
                    <a:fld id="{C1644E06-06EE-4F04-9E93-1F39D3B8C33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D-4D8B-4DE8-89BA-AA89B4AB740C}"/>
                </c:ext>
              </c:extLst>
            </c:dLbl>
            <c:dLbl>
              <c:idx val="77"/>
              <c:tx>
                <c:rich>
                  <a:bodyPr/>
                  <a:lstStyle/>
                  <a:p>
                    <a:fld id="{FF6D60E1-5988-4FED-B478-84AB45DD286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E-4D8B-4DE8-89BA-AA89B4AB740C}"/>
                </c:ext>
              </c:extLst>
            </c:dLbl>
            <c:dLbl>
              <c:idx val="78"/>
              <c:tx>
                <c:rich>
                  <a:bodyPr/>
                  <a:lstStyle/>
                  <a:p>
                    <a:fld id="{2DB7C6FB-2E0F-42F3-BC79-E2EF329630E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F-4D8B-4DE8-89BA-AA89B4AB740C}"/>
                </c:ext>
              </c:extLst>
            </c:dLbl>
            <c:dLbl>
              <c:idx val="79"/>
              <c:tx>
                <c:rich>
                  <a:bodyPr/>
                  <a:lstStyle/>
                  <a:p>
                    <a:fld id="{80728DE2-16BF-49E5-875C-D9B2CCCE138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0-4D8B-4DE8-89BA-AA89B4AB740C}"/>
                </c:ext>
              </c:extLst>
            </c:dLbl>
            <c:dLbl>
              <c:idx val="80"/>
              <c:tx>
                <c:rich>
                  <a:bodyPr/>
                  <a:lstStyle/>
                  <a:p>
                    <a:fld id="{FD20270E-E487-42AA-80C6-29F17ABFEAF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1-4D8B-4DE8-89BA-AA89B4AB740C}"/>
                </c:ext>
              </c:extLst>
            </c:dLbl>
            <c:dLbl>
              <c:idx val="81"/>
              <c:tx>
                <c:rich>
                  <a:bodyPr/>
                  <a:lstStyle/>
                  <a:p>
                    <a:fld id="{5057F478-96AE-4295-A35F-920F85173B8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2-4D8B-4DE8-89BA-AA89B4AB740C}"/>
                </c:ext>
              </c:extLst>
            </c:dLbl>
            <c:dLbl>
              <c:idx val="82"/>
              <c:tx>
                <c:rich>
                  <a:bodyPr/>
                  <a:lstStyle/>
                  <a:p>
                    <a:fld id="{D03ED13A-8C78-496F-98F7-0C755F52279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3-4D8B-4DE8-89BA-AA89B4AB740C}"/>
                </c:ext>
              </c:extLst>
            </c:dLbl>
            <c:dLbl>
              <c:idx val="83"/>
              <c:tx>
                <c:rich>
                  <a:bodyPr/>
                  <a:lstStyle/>
                  <a:p>
                    <a:fld id="{B61A4B2A-2DD6-49E3-8979-646A6B69980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4-4D8B-4DE8-89BA-AA89B4AB740C}"/>
                </c:ext>
              </c:extLst>
            </c:dLbl>
            <c:dLbl>
              <c:idx val="84"/>
              <c:tx>
                <c:rich>
                  <a:bodyPr/>
                  <a:lstStyle/>
                  <a:p>
                    <a:fld id="{8ECA35F4-3D72-41BE-9FAE-892507F9D48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5-4D8B-4DE8-89BA-AA89B4AB740C}"/>
                </c:ext>
              </c:extLst>
            </c:dLbl>
            <c:dLbl>
              <c:idx val="85"/>
              <c:tx>
                <c:rich>
                  <a:bodyPr/>
                  <a:lstStyle/>
                  <a:p>
                    <a:fld id="{E71892BB-671A-4455-8457-FF2335E513B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6-4D8B-4DE8-89BA-AA89B4AB740C}"/>
                </c:ext>
              </c:extLst>
            </c:dLbl>
            <c:dLbl>
              <c:idx val="86"/>
              <c:tx>
                <c:rich>
                  <a:bodyPr/>
                  <a:lstStyle/>
                  <a:p>
                    <a:fld id="{5D7C2FCD-D547-4AB1-8D5D-8B25C94ADC2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7-4D8B-4DE8-89BA-AA89B4AB740C}"/>
                </c:ext>
              </c:extLst>
            </c:dLbl>
            <c:dLbl>
              <c:idx val="87"/>
              <c:tx>
                <c:rich>
                  <a:bodyPr/>
                  <a:lstStyle/>
                  <a:p>
                    <a:fld id="{0E004C1A-C967-4277-BC00-ECEB5B61155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8-4D8B-4DE8-89BA-AA89B4AB740C}"/>
                </c:ext>
              </c:extLst>
            </c:dLbl>
            <c:dLbl>
              <c:idx val="88"/>
              <c:tx>
                <c:rich>
                  <a:bodyPr/>
                  <a:lstStyle/>
                  <a:p>
                    <a:fld id="{CA057F4F-3CE0-4415-BB49-1BFFB4ADB1C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9-4D8B-4DE8-89BA-AA89B4AB740C}"/>
                </c:ext>
              </c:extLst>
            </c:dLbl>
            <c:dLbl>
              <c:idx val="89"/>
              <c:tx>
                <c:rich>
                  <a:bodyPr/>
                  <a:lstStyle/>
                  <a:p>
                    <a:fld id="{72B63CCF-92A0-4B4C-8C15-DA79EF29F6C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A-4D8B-4DE8-89BA-AA89B4AB740C}"/>
                </c:ext>
              </c:extLst>
            </c:dLbl>
            <c:dLbl>
              <c:idx val="90"/>
              <c:tx>
                <c:rich>
                  <a:bodyPr/>
                  <a:lstStyle/>
                  <a:p>
                    <a:fld id="{425D9FB3-BA66-4AB3-A1DF-5209605BF6A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B-4D8B-4DE8-89BA-AA89B4AB740C}"/>
                </c:ext>
              </c:extLst>
            </c:dLbl>
            <c:dLbl>
              <c:idx val="91"/>
              <c:tx>
                <c:rich>
                  <a:bodyPr/>
                  <a:lstStyle/>
                  <a:p>
                    <a:fld id="{DAE4F740-B8A1-445A-8215-80A1E221E5B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C-4D8B-4DE8-89BA-AA89B4AB740C}"/>
                </c:ext>
              </c:extLst>
            </c:dLbl>
            <c:dLbl>
              <c:idx val="92"/>
              <c:tx>
                <c:rich>
                  <a:bodyPr/>
                  <a:lstStyle/>
                  <a:p>
                    <a:fld id="{464F3A89-BF72-4F27-9A2E-8118AB889B9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D-4D8B-4DE8-89BA-AA89B4AB740C}"/>
                </c:ext>
              </c:extLst>
            </c:dLbl>
            <c:dLbl>
              <c:idx val="93"/>
              <c:tx>
                <c:rich>
                  <a:bodyPr/>
                  <a:lstStyle/>
                  <a:p>
                    <a:fld id="{7130195D-F4F6-41C1-8C95-3C5C13ABF52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E-4D8B-4DE8-89BA-AA89B4AB740C}"/>
                </c:ext>
              </c:extLst>
            </c:dLbl>
            <c:dLbl>
              <c:idx val="94"/>
              <c:tx>
                <c:rich>
                  <a:bodyPr/>
                  <a:lstStyle/>
                  <a:p>
                    <a:fld id="{751BDE49-27D6-4686-A5BB-1D94291B227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F-4D8B-4DE8-89BA-AA89B4AB740C}"/>
                </c:ext>
              </c:extLst>
            </c:dLbl>
            <c:dLbl>
              <c:idx val="95"/>
              <c:tx>
                <c:rich>
                  <a:bodyPr/>
                  <a:lstStyle/>
                  <a:p>
                    <a:fld id="{18263030-13E6-46CF-81D5-02E4FF2389B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0-4D8B-4DE8-89BA-AA89B4AB740C}"/>
                </c:ext>
              </c:extLst>
            </c:dLbl>
            <c:dLbl>
              <c:idx val="96"/>
              <c:tx>
                <c:rich>
                  <a:bodyPr/>
                  <a:lstStyle/>
                  <a:p>
                    <a:fld id="{9EA077E5-DCF9-4C6C-B8C9-C22FA93958F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1-4D8B-4DE8-89BA-AA89B4AB740C}"/>
                </c:ext>
              </c:extLst>
            </c:dLbl>
            <c:dLbl>
              <c:idx val="97"/>
              <c:tx>
                <c:rich>
                  <a:bodyPr/>
                  <a:lstStyle/>
                  <a:p>
                    <a:fld id="{14DBC7A3-53DE-448C-B4EF-37D6F113911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2-4D8B-4DE8-89BA-AA89B4AB740C}"/>
                </c:ext>
              </c:extLst>
            </c:dLbl>
            <c:dLbl>
              <c:idx val="98"/>
              <c:tx>
                <c:rich>
                  <a:bodyPr/>
                  <a:lstStyle/>
                  <a:p>
                    <a:fld id="{C12D79F2-0B17-4CDB-9D88-7824BD9F3EB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3-4D8B-4DE8-89BA-AA89B4AB740C}"/>
                </c:ext>
              </c:extLst>
            </c:dLbl>
            <c:dLbl>
              <c:idx val="99"/>
              <c:tx>
                <c:rich>
                  <a:bodyPr/>
                  <a:lstStyle/>
                  <a:p>
                    <a:fld id="{4F906D02-79E8-47B1-8889-C32C2AF6F07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4-4D8B-4DE8-89BA-AA89B4AB740C}"/>
                </c:ext>
              </c:extLst>
            </c:dLbl>
            <c:dLbl>
              <c:idx val="100"/>
              <c:tx>
                <c:rich>
                  <a:bodyPr/>
                  <a:lstStyle/>
                  <a:p>
                    <a:fld id="{4284BD71-0D8B-4A16-AA47-73ABD5E64BF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5-4D8B-4DE8-89BA-AA89B4AB740C}"/>
                </c:ext>
              </c:extLst>
            </c:dLbl>
            <c:dLbl>
              <c:idx val="101"/>
              <c:tx>
                <c:rich>
                  <a:bodyPr/>
                  <a:lstStyle/>
                  <a:p>
                    <a:fld id="{B5A34AAE-EE01-4CB3-B9FA-42C45B50330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6-4D8B-4DE8-89BA-AA89B4AB740C}"/>
                </c:ext>
              </c:extLst>
            </c:dLbl>
            <c:dLbl>
              <c:idx val="102"/>
              <c:tx>
                <c:rich>
                  <a:bodyPr/>
                  <a:lstStyle/>
                  <a:p>
                    <a:fld id="{35260647-B7F5-4C49-8167-D7FD217DD8D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7-4D8B-4DE8-89BA-AA89B4AB740C}"/>
                </c:ext>
              </c:extLst>
            </c:dLbl>
            <c:dLbl>
              <c:idx val="103"/>
              <c:tx>
                <c:rich>
                  <a:bodyPr/>
                  <a:lstStyle/>
                  <a:p>
                    <a:fld id="{5BE090A1-E2A6-40CF-9104-9DA5915A617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8-4D8B-4DE8-89BA-AA89B4AB740C}"/>
                </c:ext>
              </c:extLst>
            </c:dLbl>
            <c:dLbl>
              <c:idx val="104"/>
              <c:tx>
                <c:rich>
                  <a:bodyPr/>
                  <a:lstStyle/>
                  <a:p>
                    <a:fld id="{FF76C492-449C-4FDA-B7CF-B8DB11E296C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9-4D8B-4DE8-89BA-AA89B4AB740C}"/>
                </c:ext>
              </c:extLst>
            </c:dLbl>
            <c:dLbl>
              <c:idx val="105"/>
              <c:tx>
                <c:rich>
                  <a:bodyPr/>
                  <a:lstStyle/>
                  <a:p>
                    <a:fld id="{0CED19BC-709E-4CF0-8D49-FCBDC5200CD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A-4D8B-4DE8-89BA-AA89B4AB740C}"/>
                </c:ext>
              </c:extLst>
            </c:dLbl>
            <c:dLbl>
              <c:idx val="106"/>
              <c:tx>
                <c:rich>
                  <a:bodyPr/>
                  <a:lstStyle/>
                  <a:p>
                    <a:fld id="{220B281B-22D3-4E8D-83F7-4A10DCF5AC1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B-4D8B-4DE8-89BA-AA89B4AB740C}"/>
                </c:ext>
              </c:extLst>
            </c:dLbl>
            <c:dLbl>
              <c:idx val="107"/>
              <c:tx>
                <c:rich>
                  <a:bodyPr/>
                  <a:lstStyle/>
                  <a:p>
                    <a:fld id="{3F9BBEDA-5DF8-46AA-831C-C33505B83A4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C-4D8B-4DE8-89BA-AA89B4AB740C}"/>
                </c:ext>
              </c:extLst>
            </c:dLbl>
            <c:dLbl>
              <c:idx val="108"/>
              <c:tx>
                <c:rich>
                  <a:bodyPr/>
                  <a:lstStyle/>
                  <a:p>
                    <a:fld id="{7175E31E-114D-4375-BD4B-2FEAFCFD007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D-4D8B-4DE8-89BA-AA89B4AB740C}"/>
                </c:ext>
              </c:extLst>
            </c:dLbl>
            <c:dLbl>
              <c:idx val="109"/>
              <c:tx>
                <c:rich>
                  <a:bodyPr/>
                  <a:lstStyle/>
                  <a:p>
                    <a:fld id="{1153E47C-A0E0-4D7D-B695-DB24CB4AC20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E-4D8B-4DE8-89BA-AA89B4AB740C}"/>
                </c:ext>
              </c:extLst>
            </c:dLbl>
            <c:dLbl>
              <c:idx val="110"/>
              <c:tx>
                <c:rich>
                  <a:bodyPr/>
                  <a:lstStyle/>
                  <a:p>
                    <a:fld id="{1BA0F3DE-55FC-4DF6-A32D-B041A4DF146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F-4D8B-4DE8-89BA-AA89B4AB740C}"/>
                </c:ext>
              </c:extLst>
            </c:dLbl>
            <c:dLbl>
              <c:idx val="111"/>
              <c:tx>
                <c:rich>
                  <a:bodyPr/>
                  <a:lstStyle/>
                  <a:p>
                    <a:fld id="{84863B6C-FA56-4B79-8ADA-B1255412996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0-4D8B-4DE8-89BA-AA89B4AB740C}"/>
                </c:ext>
              </c:extLst>
            </c:dLbl>
            <c:dLbl>
              <c:idx val="112"/>
              <c:tx>
                <c:rich>
                  <a:bodyPr/>
                  <a:lstStyle/>
                  <a:p>
                    <a:fld id="{1EF05FF9-D396-4195-A51C-396E51F4FCB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1-4D8B-4DE8-89BA-AA89B4AB740C}"/>
                </c:ext>
              </c:extLst>
            </c:dLbl>
            <c:dLbl>
              <c:idx val="113"/>
              <c:tx>
                <c:rich>
                  <a:bodyPr/>
                  <a:lstStyle/>
                  <a:p>
                    <a:fld id="{4D7C4779-A38B-47FF-9093-23DA573EA47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2-4D8B-4DE8-89BA-AA89B4AB740C}"/>
                </c:ext>
              </c:extLst>
            </c:dLbl>
            <c:dLbl>
              <c:idx val="114"/>
              <c:tx>
                <c:rich>
                  <a:bodyPr/>
                  <a:lstStyle/>
                  <a:p>
                    <a:fld id="{BE36421F-CCB1-4BAB-91C2-75CD4F582E4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3-4D8B-4DE8-89BA-AA89B4AB740C}"/>
                </c:ext>
              </c:extLst>
            </c:dLbl>
            <c:dLbl>
              <c:idx val="115"/>
              <c:tx>
                <c:rich>
                  <a:bodyPr/>
                  <a:lstStyle/>
                  <a:p>
                    <a:fld id="{7D3E8AA4-779D-4EA6-9B3E-35856531C69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4-4D8B-4DE8-89BA-AA89B4AB740C}"/>
                </c:ext>
              </c:extLst>
            </c:dLbl>
            <c:dLbl>
              <c:idx val="116"/>
              <c:tx>
                <c:rich>
                  <a:bodyPr/>
                  <a:lstStyle/>
                  <a:p>
                    <a:fld id="{AF9ED47D-EC59-4F3D-A029-8D6C19206B0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5-4D8B-4DE8-89BA-AA89B4AB740C}"/>
                </c:ext>
              </c:extLst>
            </c:dLbl>
            <c:dLbl>
              <c:idx val="117"/>
              <c:tx>
                <c:rich>
                  <a:bodyPr/>
                  <a:lstStyle/>
                  <a:p>
                    <a:fld id="{E7520DC8-9A19-4F72-B421-336E782762A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6-4D8B-4DE8-89BA-AA89B4AB740C}"/>
                </c:ext>
              </c:extLst>
            </c:dLbl>
            <c:dLbl>
              <c:idx val="118"/>
              <c:tx>
                <c:rich>
                  <a:bodyPr/>
                  <a:lstStyle/>
                  <a:p>
                    <a:fld id="{072A60D3-B537-4932-BF6D-ADD7BF5225C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7-4D8B-4DE8-89BA-AA89B4AB740C}"/>
                </c:ext>
              </c:extLst>
            </c:dLbl>
            <c:dLbl>
              <c:idx val="119"/>
              <c:tx>
                <c:rich>
                  <a:bodyPr/>
                  <a:lstStyle/>
                  <a:p>
                    <a:fld id="{2EAF8125-B097-4737-8147-003A1D96C5F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8-4D8B-4DE8-89BA-AA89B4AB740C}"/>
                </c:ext>
              </c:extLst>
            </c:dLbl>
            <c:dLbl>
              <c:idx val="120"/>
              <c:tx>
                <c:rich>
                  <a:bodyPr/>
                  <a:lstStyle/>
                  <a:p>
                    <a:fld id="{7FAC0B0E-A2A8-448B-9FA5-402E97D667A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9-4D8B-4DE8-89BA-AA89B4AB740C}"/>
                </c:ext>
              </c:extLst>
            </c:dLbl>
            <c:dLbl>
              <c:idx val="121"/>
              <c:tx>
                <c:rich>
                  <a:bodyPr/>
                  <a:lstStyle/>
                  <a:p>
                    <a:fld id="{F476DD73-2BE4-40B1-9713-4405BF91EFB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A-4D8B-4DE8-89BA-AA89B4AB740C}"/>
                </c:ext>
              </c:extLst>
            </c:dLbl>
            <c:dLbl>
              <c:idx val="122"/>
              <c:tx>
                <c:rich>
                  <a:bodyPr/>
                  <a:lstStyle/>
                  <a:p>
                    <a:fld id="{68E83D24-940B-4A1D-A598-5F107C8612F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B-4D8B-4DE8-89BA-AA89B4AB740C}"/>
                </c:ext>
              </c:extLst>
            </c:dLbl>
            <c:dLbl>
              <c:idx val="123"/>
              <c:tx>
                <c:rich>
                  <a:bodyPr/>
                  <a:lstStyle/>
                  <a:p>
                    <a:fld id="{4EC9F0FB-9497-4BD7-A14E-FD3D42F589E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C-4D8B-4DE8-89BA-AA89B4AB740C}"/>
                </c:ext>
              </c:extLst>
            </c:dLbl>
            <c:dLbl>
              <c:idx val="124"/>
              <c:tx>
                <c:rich>
                  <a:bodyPr/>
                  <a:lstStyle/>
                  <a:p>
                    <a:fld id="{5F5AA3D7-9C80-4FD5-8AB3-FEC59AAB88B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D-4D8B-4DE8-89BA-AA89B4AB740C}"/>
                </c:ext>
              </c:extLst>
            </c:dLbl>
            <c:dLbl>
              <c:idx val="125"/>
              <c:tx>
                <c:rich>
                  <a:bodyPr/>
                  <a:lstStyle/>
                  <a:p>
                    <a:fld id="{959A254A-DAC5-44F6-9285-B0374166CD6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E-4D8B-4DE8-89BA-AA89B4AB740C}"/>
                </c:ext>
              </c:extLst>
            </c:dLbl>
            <c:dLbl>
              <c:idx val="126"/>
              <c:tx>
                <c:rich>
                  <a:bodyPr/>
                  <a:lstStyle/>
                  <a:p>
                    <a:fld id="{4DF78524-4668-4AA8-AB6E-E94562C4BB9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F-4D8B-4DE8-89BA-AA89B4AB740C}"/>
                </c:ext>
              </c:extLst>
            </c:dLbl>
            <c:dLbl>
              <c:idx val="127"/>
              <c:tx>
                <c:rich>
                  <a:bodyPr/>
                  <a:lstStyle/>
                  <a:p>
                    <a:fld id="{BEFCD73D-59E4-4D07-9F63-0B0E4FDB044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0-4D8B-4DE8-89BA-AA89B4AB740C}"/>
                </c:ext>
              </c:extLst>
            </c:dLbl>
            <c:dLbl>
              <c:idx val="128"/>
              <c:tx>
                <c:rich>
                  <a:bodyPr/>
                  <a:lstStyle/>
                  <a:p>
                    <a:fld id="{60BDD42A-4DCE-4864-84EC-4D5543BBDE9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1-4D8B-4DE8-89BA-AA89B4AB740C}"/>
                </c:ext>
              </c:extLst>
            </c:dLbl>
            <c:dLbl>
              <c:idx val="129"/>
              <c:tx>
                <c:rich>
                  <a:bodyPr/>
                  <a:lstStyle/>
                  <a:p>
                    <a:fld id="{A072D929-D68C-4E32-92F1-63CD92618F4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2-4D8B-4DE8-89BA-AA89B4AB740C}"/>
                </c:ext>
              </c:extLst>
            </c:dLbl>
            <c:dLbl>
              <c:idx val="130"/>
              <c:tx>
                <c:rich>
                  <a:bodyPr/>
                  <a:lstStyle/>
                  <a:p>
                    <a:fld id="{9A274861-6CF5-466E-B081-6D1C6138664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3-4D8B-4DE8-89BA-AA89B4AB740C}"/>
                </c:ext>
              </c:extLst>
            </c:dLbl>
            <c:dLbl>
              <c:idx val="131"/>
              <c:tx>
                <c:rich>
                  <a:bodyPr/>
                  <a:lstStyle/>
                  <a:p>
                    <a:fld id="{41EBA009-0960-4592-AD55-3DC585AC7CC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4-4D8B-4DE8-89BA-AA89B4AB740C}"/>
                </c:ext>
              </c:extLst>
            </c:dLbl>
            <c:dLbl>
              <c:idx val="132"/>
              <c:tx>
                <c:rich>
                  <a:bodyPr/>
                  <a:lstStyle/>
                  <a:p>
                    <a:fld id="{8B9BDC74-C05B-4C9D-8A82-4C2A300180E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5-4D8B-4DE8-89BA-AA89B4AB740C}"/>
                </c:ext>
              </c:extLst>
            </c:dLbl>
            <c:dLbl>
              <c:idx val="133"/>
              <c:tx>
                <c:rich>
                  <a:bodyPr/>
                  <a:lstStyle/>
                  <a:p>
                    <a:fld id="{0DA88874-5658-4D38-9119-D147EEFD8A7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6-4D8B-4DE8-89BA-AA89B4AB740C}"/>
                </c:ext>
              </c:extLst>
            </c:dLbl>
            <c:dLbl>
              <c:idx val="134"/>
              <c:tx>
                <c:rich>
                  <a:bodyPr/>
                  <a:lstStyle/>
                  <a:p>
                    <a:fld id="{B2C33D40-D781-4D01-B849-E13D8DCC637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7-4D8B-4DE8-89BA-AA89B4AB740C}"/>
                </c:ext>
              </c:extLst>
            </c:dLbl>
            <c:dLbl>
              <c:idx val="135"/>
              <c:tx>
                <c:rich>
                  <a:bodyPr/>
                  <a:lstStyle/>
                  <a:p>
                    <a:fld id="{ED1AEA37-E162-4CFF-B816-01B6F61812D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8-4D8B-4DE8-89BA-AA89B4AB740C}"/>
                </c:ext>
              </c:extLst>
            </c:dLbl>
            <c:dLbl>
              <c:idx val="136"/>
              <c:tx>
                <c:rich>
                  <a:bodyPr/>
                  <a:lstStyle/>
                  <a:p>
                    <a:fld id="{7FA17157-9A06-499A-8B43-16CD4B6F9DF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9-4D8B-4DE8-89BA-AA89B4AB740C}"/>
                </c:ext>
              </c:extLst>
            </c:dLbl>
            <c:dLbl>
              <c:idx val="137"/>
              <c:tx>
                <c:rich>
                  <a:bodyPr/>
                  <a:lstStyle/>
                  <a:p>
                    <a:fld id="{884E7666-9AAF-483D-8CE2-42803AE1F6C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A-4D8B-4DE8-89BA-AA89B4AB740C}"/>
                </c:ext>
              </c:extLst>
            </c:dLbl>
            <c:dLbl>
              <c:idx val="138"/>
              <c:tx>
                <c:rich>
                  <a:bodyPr/>
                  <a:lstStyle/>
                  <a:p>
                    <a:fld id="{A8D6E13C-D214-440A-BAE3-526423FBAC8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B-4D8B-4DE8-89BA-AA89B4AB740C}"/>
                </c:ext>
              </c:extLst>
            </c:dLbl>
            <c:dLbl>
              <c:idx val="139"/>
              <c:tx>
                <c:rich>
                  <a:bodyPr/>
                  <a:lstStyle/>
                  <a:p>
                    <a:fld id="{1D4AB4FD-C249-4AF8-8E94-A817DB04893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C-4D8B-4DE8-89BA-AA89B4AB740C}"/>
                </c:ext>
              </c:extLst>
            </c:dLbl>
            <c:dLbl>
              <c:idx val="140"/>
              <c:tx>
                <c:rich>
                  <a:bodyPr/>
                  <a:lstStyle/>
                  <a:p>
                    <a:fld id="{933974EC-7B44-4549-BB65-EC397765DC2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D-4D8B-4DE8-89BA-AA89B4AB740C}"/>
                </c:ext>
              </c:extLst>
            </c:dLbl>
            <c:dLbl>
              <c:idx val="141"/>
              <c:tx>
                <c:rich>
                  <a:bodyPr/>
                  <a:lstStyle/>
                  <a:p>
                    <a:fld id="{52F09FA6-B8F0-4E95-A026-915FB7A489B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E-4D8B-4DE8-89BA-AA89B4AB740C}"/>
                </c:ext>
              </c:extLst>
            </c:dLbl>
            <c:dLbl>
              <c:idx val="142"/>
              <c:tx>
                <c:rich>
                  <a:bodyPr/>
                  <a:lstStyle/>
                  <a:p>
                    <a:fld id="{5B81BECC-448B-4751-B94F-18B134B83D4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F-4D8B-4DE8-89BA-AA89B4AB740C}"/>
                </c:ext>
              </c:extLst>
            </c:dLbl>
            <c:dLbl>
              <c:idx val="143"/>
              <c:tx>
                <c:rich>
                  <a:bodyPr/>
                  <a:lstStyle/>
                  <a:p>
                    <a:fld id="{3DD61854-390E-4F46-846C-F7275B3692C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0-4D8B-4DE8-89BA-AA89B4AB740C}"/>
                </c:ext>
              </c:extLst>
            </c:dLbl>
            <c:dLbl>
              <c:idx val="144"/>
              <c:tx>
                <c:rich>
                  <a:bodyPr/>
                  <a:lstStyle/>
                  <a:p>
                    <a:fld id="{17B19254-96B2-47FE-91A5-C0103E23130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1-4D8B-4DE8-89BA-AA89B4AB740C}"/>
                </c:ext>
              </c:extLst>
            </c:dLbl>
            <c:dLbl>
              <c:idx val="145"/>
              <c:tx>
                <c:rich>
                  <a:bodyPr/>
                  <a:lstStyle/>
                  <a:p>
                    <a:fld id="{14DE7A69-2AD6-4223-87A7-20A1A3EEA25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2-4D8B-4DE8-89BA-AA89B4AB740C}"/>
                </c:ext>
              </c:extLst>
            </c:dLbl>
            <c:dLbl>
              <c:idx val="146"/>
              <c:tx>
                <c:rich>
                  <a:bodyPr/>
                  <a:lstStyle/>
                  <a:p>
                    <a:fld id="{8228B775-A9B3-4B11-9F58-8D4929A84F3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3-4D8B-4DE8-89BA-AA89B4AB740C}"/>
                </c:ext>
              </c:extLst>
            </c:dLbl>
            <c:dLbl>
              <c:idx val="147"/>
              <c:tx>
                <c:rich>
                  <a:bodyPr/>
                  <a:lstStyle/>
                  <a:p>
                    <a:fld id="{18A39BF7-9907-48B4-BBD6-0BAB7E52989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4-4D8B-4DE8-89BA-AA89B4AB740C}"/>
                </c:ext>
              </c:extLst>
            </c:dLbl>
            <c:dLbl>
              <c:idx val="148"/>
              <c:tx>
                <c:rich>
                  <a:bodyPr/>
                  <a:lstStyle/>
                  <a:p>
                    <a:fld id="{5570DDEF-5983-4F41-A1A2-8021F650B67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5-4D8B-4DE8-89BA-AA89B4AB740C}"/>
                </c:ext>
              </c:extLst>
            </c:dLbl>
            <c:dLbl>
              <c:idx val="149"/>
              <c:tx>
                <c:rich>
                  <a:bodyPr/>
                  <a:lstStyle/>
                  <a:p>
                    <a:fld id="{E8754C0D-B46B-4166-AA2D-8DB7F37A633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6-4D8B-4DE8-89BA-AA89B4AB740C}"/>
                </c:ext>
              </c:extLst>
            </c:dLbl>
            <c:dLbl>
              <c:idx val="150"/>
              <c:tx>
                <c:rich>
                  <a:bodyPr/>
                  <a:lstStyle/>
                  <a:p>
                    <a:fld id="{5D444B75-63CB-44E9-86CF-7541436EE17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7-4D8B-4DE8-89BA-AA89B4AB740C}"/>
                </c:ext>
              </c:extLst>
            </c:dLbl>
            <c:dLbl>
              <c:idx val="151"/>
              <c:tx>
                <c:rich>
                  <a:bodyPr/>
                  <a:lstStyle/>
                  <a:p>
                    <a:fld id="{EC638FEB-6CB9-4732-8D8E-0A50E4FD0C2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8-4D8B-4DE8-89BA-AA89B4AB740C}"/>
                </c:ext>
              </c:extLst>
            </c:dLbl>
            <c:dLbl>
              <c:idx val="152"/>
              <c:tx>
                <c:rich>
                  <a:bodyPr/>
                  <a:lstStyle/>
                  <a:p>
                    <a:fld id="{620D2626-7A01-40C6-A059-F981066D84E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9-4D8B-4DE8-89BA-AA89B4AB740C}"/>
                </c:ext>
              </c:extLst>
            </c:dLbl>
            <c:dLbl>
              <c:idx val="153"/>
              <c:tx>
                <c:rich>
                  <a:bodyPr/>
                  <a:lstStyle/>
                  <a:p>
                    <a:fld id="{AE492AAA-8E0F-400A-B2C9-FD40D861074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A-4D8B-4DE8-89BA-AA89B4AB740C}"/>
                </c:ext>
              </c:extLst>
            </c:dLbl>
            <c:dLbl>
              <c:idx val="154"/>
              <c:tx>
                <c:rich>
                  <a:bodyPr/>
                  <a:lstStyle/>
                  <a:p>
                    <a:fld id="{546380DB-DD51-44C8-B86B-EE703D6F9C6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B-4D8B-4DE8-89BA-AA89B4AB740C}"/>
                </c:ext>
              </c:extLst>
            </c:dLbl>
            <c:dLbl>
              <c:idx val="155"/>
              <c:tx>
                <c:rich>
                  <a:bodyPr/>
                  <a:lstStyle/>
                  <a:p>
                    <a:fld id="{2DA3D88F-BF9E-4328-BD31-6D4992DC794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C-4D8B-4DE8-89BA-AA89B4AB740C}"/>
                </c:ext>
              </c:extLst>
            </c:dLbl>
            <c:dLbl>
              <c:idx val="156"/>
              <c:tx>
                <c:rich>
                  <a:bodyPr/>
                  <a:lstStyle/>
                  <a:p>
                    <a:fld id="{212D9DFC-D32F-43A0-8061-093C0860232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D-4D8B-4DE8-89BA-AA89B4AB740C}"/>
                </c:ext>
              </c:extLst>
            </c:dLbl>
            <c:dLbl>
              <c:idx val="157"/>
              <c:tx>
                <c:rich>
                  <a:bodyPr/>
                  <a:lstStyle/>
                  <a:p>
                    <a:fld id="{2314F9F0-50C9-4CC7-852E-0F6AD0D5E4B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E-4D8B-4DE8-89BA-AA89B4AB740C}"/>
                </c:ext>
              </c:extLst>
            </c:dLbl>
            <c:dLbl>
              <c:idx val="158"/>
              <c:tx>
                <c:rich>
                  <a:bodyPr/>
                  <a:lstStyle/>
                  <a:p>
                    <a:fld id="{778D09CD-6070-48D9-B3C1-186D1E3E0CB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F-4D8B-4DE8-89BA-AA89B4AB740C}"/>
                </c:ext>
              </c:extLst>
            </c:dLbl>
            <c:dLbl>
              <c:idx val="159"/>
              <c:tx>
                <c:rich>
                  <a:bodyPr/>
                  <a:lstStyle/>
                  <a:p>
                    <a:fld id="{A7C34146-624F-4A28-93BC-C560F89EFFB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0-4D8B-4DE8-89BA-AA89B4AB740C}"/>
                </c:ext>
              </c:extLst>
            </c:dLbl>
            <c:dLbl>
              <c:idx val="160"/>
              <c:tx>
                <c:rich>
                  <a:bodyPr/>
                  <a:lstStyle/>
                  <a:p>
                    <a:fld id="{8AFED007-F7E7-42ED-9601-27FAA294F86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1-4D8B-4DE8-89BA-AA89B4AB740C}"/>
                </c:ext>
              </c:extLst>
            </c:dLbl>
            <c:dLbl>
              <c:idx val="161"/>
              <c:tx>
                <c:rich>
                  <a:bodyPr/>
                  <a:lstStyle/>
                  <a:p>
                    <a:fld id="{FB7E36BF-A21D-4C7B-AFA6-301DFC0CCFC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2-4D8B-4DE8-89BA-AA89B4AB740C}"/>
                </c:ext>
              </c:extLst>
            </c:dLbl>
            <c:dLbl>
              <c:idx val="162"/>
              <c:tx>
                <c:rich>
                  <a:bodyPr/>
                  <a:lstStyle/>
                  <a:p>
                    <a:fld id="{CBC11181-7458-438D-AEF1-46760683417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3-4D8B-4DE8-89BA-AA89B4AB740C}"/>
                </c:ext>
              </c:extLst>
            </c:dLbl>
            <c:dLbl>
              <c:idx val="163"/>
              <c:tx>
                <c:rich>
                  <a:bodyPr/>
                  <a:lstStyle/>
                  <a:p>
                    <a:fld id="{DD281BB1-5199-4660-805B-895EC32504A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4-4D8B-4DE8-89BA-AA89B4AB740C}"/>
                </c:ext>
              </c:extLst>
            </c:dLbl>
            <c:dLbl>
              <c:idx val="164"/>
              <c:tx>
                <c:rich>
                  <a:bodyPr/>
                  <a:lstStyle/>
                  <a:p>
                    <a:fld id="{B0330ED6-132C-45E9-BE67-E2F8B590F16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5-4D8B-4DE8-89BA-AA89B4AB740C}"/>
                </c:ext>
              </c:extLst>
            </c:dLbl>
            <c:dLbl>
              <c:idx val="165"/>
              <c:tx>
                <c:rich>
                  <a:bodyPr/>
                  <a:lstStyle/>
                  <a:p>
                    <a:fld id="{D93177E6-AF67-45F5-A058-4DA99E5EA4E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6-4D8B-4DE8-89BA-AA89B4AB740C}"/>
                </c:ext>
              </c:extLst>
            </c:dLbl>
            <c:dLbl>
              <c:idx val="166"/>
              <c:tx>
                <c:rich>
                  <a:bodyPr/>
                  <a:lstStyle/>
                  <a:p>
                    <a:fld id="{46D6C428-C471-4B02-8BCC-C2AC6A99819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7-4D8B-4DE8-89BA-AA89B4AB740C}"/>
                </c:ext>
              </c:extLst>
            </c:dLbl>
            <c:dLbl>
              <c:idx val="167"/>
              <c:tx>
                <c:rich>
                  <a:bodyPr/>
                  <a:lstStyle/>
                  <a:p>
                    <a:fld id="{31519946-68B8-4526-A9E9-23389A305EC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8-4D8B-4DE8-89BA-AA89B4AB740C}"/>
                </c:ext>
              </c:extLst>
            </c:dLbl>
            <c:dLbl>
              <c:idx val="168"/>
              <c:tx>
                <c:rich>
                  <a:bodyPr/>
                  <a:lstStyle/>
                  <a:p>
                    <a:fld id="{546123D2-EEEF-4181-8225-D411C2A8B69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9-4D8B-4DE8-89BA-AA89B4AB740C}"/>
                </c:ext>
              </c:extLst>
            </c:dLbl>
            <c:dLbl>
              <c:idx val="169"/>
              <c:tx>
                <c:rich>
                  <a:bodyPr/>
                  <a:lstStyle/>
                  <a:p>
                    <a:fld id="{EDFF2420-0778-4E78-AEEA-A148598090F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A-4D8B-4DE8-89BA-AA89B4AB740C}"/>
                </c:ext>
              </c:extLst>
            </c:dLbl>
            <c:dLbl>
              <c:idx val="170"/>
              <c:tx>
                <c:rich>
                  <a:bodyPr/>
                  <a:lstStyle/>
                  <a:p>
                    <a:fld id="{F45311CB-A31C-455E-857A-7AA73AA35EA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B-4D8B-4DE8-89BA-AA89B4AB740C}"/>
                </c:ext>
              </c:extLst>
            </c:dLbl>
            <c:dLbl>
              <c:idx val="171"/>
              <c:tx>
                <c:rich>
                  <a:bodyPr/>
                  <a:lstStyle/>
                  <a:p>
                    <a:fld id="{AFB44300-C066-4AFE-BA94-3D32CD0CD7F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C-4D8B-4DE8-89BA-AA89B4AB740C}"/>
                </c:ext>
              </c:extLst>
            </c:dLbl>
            <c:dLbl>
              <c:idx val="172"/>
              <c:tx>
                <c:rich>
                  <a:bodyPr/>
                  <a:lstStyle/>
                  <a:p>
                    <a:fld id="{FA379FA0-2104-4685-BE2B-56721AEC419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D-4D8B-4DE8-89BA-AA89B4AB740C}"/>
                </c:ext>
              </c:extLst>
            </c:dLbl>
            <c:dLbl>
              <c:idx val="173"/>
              <c:tx>
                <c:rich>
                  <a:bodyPr/>
                  <a:lstStyle/>
                  <a:p>
                    <a:fld id="{7F35F9DA-1218-4651-8565-A42AECD4052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E-4D8B-4DE8-89BA-AA89B4AB740C}"/>
                </c:ext>
              </c:extLst>
            </c:dLbl>
            <c:dLbl>
              <c:idx val="174"/>
              <c:tx>
                <c:rich>
                  <a:bodyPr/>
                  <a:lstStyle/>
                  <a:p>
                    <a:fld id="{AD469E31-E5E7-419C-891E-E9BCDBBB98B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F-4D8B-4DE8-89BA-AA89B4AB740C}"/>
                </c:ext>
              </c:extLst>
            </c:dLbl>
            <c:dLbl>
              <c:idx val="175"/>
              <c:tx>
                <c:rich>
                  <a:bodyPr/>
                  <a:lstStyle/>
                  <a:p>
                    <a:fld id="{A24B92F5-70FA-4E51-9437-61B85DDB249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0-4D8B-4DE8-89BA-AA89B4AB740C}"/>
                </c:ext>
              </c:extLst>
            </c:dLbl>
            <c:dLbl>
              <c:idx val="176"/>
              <c:tx>
                <c:rich>
                  <a:bodyPr/>
                  <a:lstStyle/>
                  <a:p>
                    <a:fld id="{A78E3251-4A7C-4D74-B98A-F55D3AD4616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1-4D8B-4DE8-89BA-AA89B4AB740C}"/>
                </c:ext>
              </c:extLst>
            </c:dLbl>
            <c:dLbl>
              <c:idx val="177"/>
              <c:tx>
                <c:rich>
                  <a:bodyPr/>
                  <a:lstStyle/>
                  <a:p>
                    <a:fld id="{F9979C0C-E566-4AEC-8C85-7D167DACB2F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2-4D8B-4DE8-89BA-AA89B4AB740C}"/>
                </c:ext>
              </c:extLst>
            </c:dLbl>
            <c:dLbl>
              <c:idx val="178"/>
              <c:tx>
                <c:rich>
                  <a:bodyPr/>
                  <a:lstStyle/>
                  <a:p>
                    <a:fld id="{A5CCAA6D-0482-4323-89D1-11C7DAC10D3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3-4D8B-4DE8-89BA-AA89B4AB740C}"/>
                </c:ext>
              </c:extLst>
            </c:dLbl>
            <c:dLbl>
              <c:idx val="179"/>
              <c:tx>
                <c:rich>
                  <a:bodyPr/>
                  <a:lstStyle/>
                  <a:p>
                    <a:fld id="{8C3DCD1B-C5AB-4053-8C7E-3EC292696BB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4-4D8B-4DE8-89BA-AA89B4AB740C}"/>
                </c:ext>
              </c:extLst>
            </c:dLbl>
            <c:dLbl>
              <c:idx val="180"/>
              <c:tx>
                <c:rich>
                  <a:bodyPr/>
                  <a:lstStyle/>
                  <a:p>
                    <a:fld id="{6999DAAA-6E4C-47F7-B2E9-D330D801744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5-4D8B-4DE8-89BA-AA89B4AB740C}"/>
                </c:ext>
              </c:extLst>
            </c:dLbl>
            <c:dLbl>
              <c:idx val="181"/>
              <c:tx>
                <c:rich>
                  <a:bodyPr/>
                  <a:lstStyle/>
                  <a:p>
                    <a:fld id="{A9CE2E72-2A3A-44AB-9753-764D0A57713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6-4D8B-4DE8-89BA-AA89B4AB740C}"/>
                </c:ext>
              </c:extLst>
            </c:dLbl>
            <c:dLbl>
              <c:idx val="182"/>
              <c:tx>
                <c:rich>
                  <a:bodyPr/>
                  <a:lstStyle/>
                  <a:p>
                    <a:fld id="{BCADCE75-6898-49EA-B161-FF9FD48A9A0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7-4D8B-4DE8-89BA-AA89B4AB740C}"/>
                </c:ext>
              </c:extLst>
            </c:dLbl>
            <c:dLbl>
              <c:idx val="183"/>
              <c:tx>
                <c:rich>
                  <a:bodyPr/>
                  <a:lstStyle/>
                  <a:p>
                    <a:fld id="{2AC87DCA-F3D8-4A4E-B25C-167DAD7B25C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8-4D8B-4DE8-89BA-AA89B4AB740C}"/>
                </c:ext>
              </c:extLst>
            </c:dLbl>
            <c:dLbl>
              <c:idx val="184"/>
              <c:tx>
                <c:rich>
                  <a:bodyPr/>
                  <a:lstStyle/>
                  <a:p>
                    <a:fld id="{7D9FA85E-F103-4B20-98F5-ABDEA3292F5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9-4D8B-4DE8-89BA-AA89B4AB740C}"/>
                </c:ext>
              </c:extLst>
            </c:dLbl>
            <c:dLbl>
              <c:idx val="185"/>
              <c:tx>
                <c:rich>
                  <a:bodyPr/>
                  <a:lstStyle/>
                  <a:p>
                    <a:fld id="{5260B203-61B9-4F9B-BC61-1CF1566BD01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A-4D8B-4DE8-89BA-AA89B4AB740C}"/>
                </c:ext>
              </c:extLst>
            </c:dLbl>
            <c:dLbl>
              <c:idx val="186"/>
              <c:tx>
                <c:rich>
                  <a:bodyPr/>
                  <a:lstStyle/>
                  <a:p>
                    <a:fld id="{5A4259A9-87F1-41DC-9B40-069D5526192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B-4D8B-4DE8-89BA-AA89B4AB740C}"/>
                </c:ext>
              </c:extLst>
            </c:dLbl>
            <c:dLbl>
              <c:idx val="187"/>
              <c:tx>
                <c:rich>
                  <a:bodyPr/>
                  <a:lstStyle/>
                  <a:p>
                    <a:fld id="{B6A7EE9D-BC77-4FF4-9628-B3054AEC114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C-4D8B-4DE8-89BA-AA89B4AB740C}"/>
                </c:ext>
              </c:extLst>
            </c:dLbl>
            <c:dLbl>
              <c:idx val="188"/>
              <c:tx>
                <c:rich>
                  <a:bodyPr/>
                  <a:lstStyle/>
                  <a:p>
                    <a:fld id="{857F90EE-0B42-4DA9-AD5B-4348A783B7F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D-4D8B-4DE8-89BA-AA89B4AB740C}"/>
                </c:ext>
              </c:extLst>
            </c:dLbl>
            <c:dLbl>
              <c:idx val="189"/>
              <c:tx>
                <c:rich>
                  <a:bodyPr/>
                  <a:lstStyle/>
                  <a:p>
                    <a:fld id="{E6590E8A-A549-4C9B-82F4-B3B34B287C6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E-4D8B-4DE8-89BA-AA89B4AB740C}"/>
                </c:ext>
              </c:extLst>
            </c:dLbl>
            <c:dLbl>
              <c:idx val="190"/>
              <c:tx>
                <c:rich>
                  <a:bodyPr/>
                  <a:lstStyle/>
                  <a:p>
                    <a:fld id="{5BA8DFA4-C2FA-41FC-BB00-EABBF8A6A42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F-4D8B-4DE8-89BA-AA89B4AB740C}"/>
                </c:ext>
              </c:extLst>
            </c:dLbl>
            <c:dLbl>
              <c:idx val="191"/>
              <c:tx>
                <c:rich>
                  <a:bodyPr/>
                  <a:lstStyle/>
                  <a:p>
                    <a:fld id="{C4159993-B5B3-4FC6-BCCE-7C84736A183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0-4D8B-4DE8-89BA-AA89B4AB740C}"/>
                </c:ext>
              </c:extLst>
            </c:dLbl>
            <c:dLbl>
              <c:idx val="192"/>
              <c:tx>
                <c:rich>
                  <a:bodyPr/>
                  <a:lstStyle/>
                  <a:p>
                    <a:fld id="{F69CA1DF-1E5D-4F9F-BF3E-AD9BED27304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1-4D8B-4DE8-89BA-AA89B4AB740C}"/>
                </c:ext>
              </c:extLst>
            </c:dLbl>
            <c:dLbl>
              <c:idx val="193"/>
              <c:tx>
                <c:rich>
                  <a:bodyPr/>
                  <a:lstStyle/>
                  <a:p>
                    <a:fld id="{9BA9A9C2-CE53-46B7-A2EE-813EDCCA6F1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2-4D8B-4DE8-89BA-AA89B4AB740C}"/>
                </c:ext>
              </c:extLst>
            </c:dLbl>
            <c:dLbl>
              <c:idx val="194"/>
              <c:tx>
                <c:rich>
                  <a:bodyPr/>
                  <a:lstStyle/>
                  <a:p>
                    <a:fld id="{77F9574D-1B77-456F-9943-231223A762D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3-4D8B-4DE8-89BA-AA89B4AB740C}"/>
                </c:ext>
              </c:extLst>
            </c:dLbl>
            <c:dLbl>
              <c:idx val="195"/>
              <c:tx>
                <c:rich>
                  <a:bodyPr/>
                  <a:lstStyle/>
                  <a:p>
                    <a:fld id="{54EBC635-AD55-478B-BF75-C45CBFDED71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4-4D8B-4DE8-89BA-AA89B4AB740C}"/>
                </c:ext>
              </c:extLst>
            </c:dLbl>
            <c:dLbl>
              <c:idx val="196"/>
              <c:tx>
                <c:rich>
                  <a:bodyPr/>
                  <a:lstStyle/>
                  <a:p>
                    <a:fld id="{18B22231-6DB9-40D3-9C1B-5828D4D6F81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5-4D8B-4DE8-89BA-AA89B4AB740C}"/>
                </c:ext>
              </c:extLst>
            </c:dLbl>
            <c:dLbl>
              <c:idx val="197"/>
              <c:tx>
                <c:rich>
                  <a:bodyPr/>
                  <a:lstStyle/>
                  <a:p>
                    <a:fld id="{231A2E09-6DF4-4554-BAAB-A4DE5CA2B76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6-4D8B-4DE8-89BA-AA89B4AB740C}"/>
                </c:ext>
              </c:extLst>
            </c:dLbl>
            <c:dLbl>
              <c:idx val="198"/>
              <c:tx>
                <c:rich>
                  <a:bodyPr/>
                  <a:lstStyle/>
                  <a:p>
                    <a:fld id="{71F2BCEC-CB13-4563-85C6-E276A2CCDFE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7-4D8B-4DE8-89BA-AA89B4AB740C}"/>
                </c:ext>
              </c:extLst>
            </c:dLbl>
            <c:dLbl>
              <c:idx val="199"/>
              <c:tx>
                <c:rich>
                  <a:bodyPr/>
                  <a:lstStyle/>
                  <a:p>
                    <a:fld id="{9A221106-31B4-4CCC-BE85-F646E6A843C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8-4D8B-4DE8-89BA-AA89B4AB740C}"/>
                </c:ext>
              </c:extLst>
            </c:dLbl>
            <c:dLbl>
              <c:idx val="200"/>
              <c:tx>
                <c:rich>
                  <a:bodyPr/>
                  <a:lstStyle/>
                  <a:p>
                    <a:fld id="{5AA4751B-E651-480F-A9CD-BAE83A96A6D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9-4D8B-4DE8-89BA-AA89B4AB740C}"/>
                </c:ext>
              </c:extLst>
            </c:dLbl>
            <c:dLbl>
              <c:idx val="201"/>
              <c:tx>
                <c:rich>
                  <a:bodyPr/>
                  <a:lstStyle/>
                  <a:p>
                    <a:fld id="{25CAFAFD-F807-4055-A56B-F214A7C4B09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A-4D8B-4DE8-89BA-AA89B4AB740C}"/>
                </c:ext>
              </c:extLst>
            </c:dLbl>
            <c:dLbl>
              <c:idx val="202"/>
              <c:tx>
                <c:rich>
                  <a:bodyPr/>
                  <a:lstStyle/>
                  <a:p>
                    <a:fld id="{C13FE382-F4B0-405B-8631-48E41CB52C5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B-4D8B-4DE8-89BA-AA89B4AB740C}"/>
                </c:ext>
              </c:extLst>
            </c:dLbl>
            <c:dLbl>
              <c:idx val="203"/>
              <c:tx>
                <c:rich>
                  <a:bodyPr/>
                  <a:lstStyle/>
                  <a:p>
                    <a:fld id="{D14FB288-BBA0-4C42-8029-8FBE696F1A8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C-4D8B-4DE8-89BA-AA89B4AB740C}"/>
                </c:ext>
              </c:extLst>
            </c:dLbl>
            <c:dLbl>
              <c:idx val="204"/>
              <c:tx>
                <c:rich>
                  <a:bodyPr/>
                  <a:lstStyle/>
                  <a:p>
                    <a:fld id="{F0C18B0B-9434-489F-AF2D-D8AA356E609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D-4D8B-4DE8-89BA-AA89B4AB740C}"/>
                </c:ext>
              </c:extLst>
            </c:dLbl>
            <c:dLbl>
              <c:idx val="205"/>
              <c:tx>
                <c:rich>
                  <a:bodyPr/>
                  <a:lstStyle/>
                  <a:p>
                    <a:fld id="{C0450733-8388-418E-8D38-D65CB639F72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E-4D8B-4DE8-89BA-AA89B4AB740C}"/>
                </c:ext>
              </c:extLst>
            </c:dLbl>
            <c:dLbl>
              <c:idx val="206"/>
              <c:tx>
                <c:rich>
                  <a:bodyPr/>
                  <a:lstStyle/>
                  <a:p>
                    <a:fld id="{273DCB6C-CA01-4B43-93BD-39645590162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F-4D8B-4DE8-89BA-AA89B4AB740C}"/>
                </c:ext>
              </c:extLst>
            </c:dLbl>
            <c:dLbl>
              <c:idx val="207"/>
              <c:tx>
                <c:rich>
                  <a:bodyPr/>
                  <a:lstStyle/>
                  <a:p>
                    <a:fld id="{40D54033-D5C8-4F4D-89B2-B21888BEB27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0-4D8B-4DE8-89BA-AA89B4AB740C}"/>
                </c:ext>
              </c:extLst>
            </c:dLbl>
            <c:dLbl>
              <c:idx val="208"/>
              <c:tx>
                <c:rich>
                  <a:bodyPr/>
                  <a:lstStyle/>
                  <a:p>
                    <a:fld id="{28A18F0B-970D-4F55-926F-881B1F51D8D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1-4D8B-4DE8-89BA-AA89B4AB740C}"/>
                </c:ext>
              </c:extLst>
            </c:dLbl>
            <c:dLbl>
              <c:idx val="209"/>
              <c:tx>
                <c:rich>
                  <a:bodyPr/>
                  <a:lstStyle/>
                  <a:p>
                    <a:fld id="{D5EF888E-298C-4EB5-A284-226B09104CF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2-4D8B-4DE8-89BA-AA89B4AB740C}"/>
                </c:ext>
              </c:extLst>
            </c:dLbl>
            <c:dLbl>
              <c:idx val="210"/>
              <c:tx>
                <c:rich>
                  <a:bodyPr/>
                  <a:lstStyle/>
                  <a:p>
                    <a:fld id="{DD0DA13B-1C99-4A7A-AD2A-5EEB880CBDD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3-4D8B-4DE8-89BA-AA89B4AB740C}"/>
                </c:ext>
              </c:extLst>
            </c:dLbl>
            <c:dLbl>
              <c:idx val="211"/>
              <c:tx>
                <c:rich>
                  <a:bodyPr/>
                  <a:lstStyle/>
                  <a:p>
                    <a:fld id="{821A4303-65DA-47EE-90DF-40F1A3B9E45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4-4D8B-4DE8-89BA-AA89B4AB740C}"/>
                </c:ext>
              </c:extLst>
            </c:dLbl>
            <c:dLbl>
              <c:idx val="212"/>
              <c:tx>
                <c:rich>
                  <a:bodyPr/>
                  <a:lstStyle/>
                  <a:p>
                    <a:fld id="{3030C6EB-5C36-428E-A3F4-1282D883B50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5-4D8B-4DE8-89BA-AA89B4AB740C}"/>
                </c:ext>
              </c:extLst>
            </c:dLbl>
            <c:dLbl>
              <c:idx val="213"/>
              <c:tx>
                <c:rich>
                  <a:bodyPr/>
                  <a:lstStyle/>
                  <a:p>
                    <a:fld id="{B56EB45E-47FE-4281-B3C5-D0DAA243E2F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6-4D8B-4DE8-89BA-AA89B4AB740C}"/>
                </c:ext>
              </c:extLst>
            </c:dLbl>
            <c:dLbl>
              <c:idx val="214"/>
              <c:tx>
                <c:rich>
                  <a:bodyPr/>
                  <a:lstStyle/>
                  <a:p>
                    <a:fld id="{B10B07EF-5E2F-42FF-9EC8-C103EAC9161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7-4D8B-4DE8-89BA-AA89B4AB740C}"/>
                </c:ext>
              </c:extLst>
            </c:dLbl>
            <c:dLbl>
              <c:idx val="215"/>
              <c:tx>
                <c:rich>
                  <a:bodyPr/>
                  <a:lstStyle/>
                  <a:p>
                    <a:fld id="{D6558DAA-9709-430A-BF72-3AAC00BF728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8-4D8B-4DE8-89BA-AA89B4AB740C}"/>
                </c:ext>
              </c:extLst>
            </c:dLbl>
            <c:dLbl>
              <c:idx val="216"/>
              <c:tx>
                <c:rich>
                  <a:bodyPr/>
                  <a:lstStyle/>
                  <a:p>
                    <a:fld id="{4404D690-0D97-433A-B653-B36D1650600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9-4D8B-4DE8-89BA-AA89B4AB740C}"/>
                </c:ext>
              </c:extLst>
            </c:dLbl>
            <c:dLbl>
              <c:idx val="217"/>
              <c:tx>
                <c:rich>
                  <a:bodyPr/>
                  <a:lstStyle/>
                  <a:p>
                    <a:fld id="{E1571A48-963D-4B3C-B243-E40AB97CAB1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A-4D8B-4DE8-89BA-AA89B4AB740C}"/>
                </c:ext>
              </c:extLst>
            </c:dLbl>
            <c:dLbl>
              <c:idx val="218"/>
              <c:tx>
                <c:rich>
                  <a:bodyPr/>
                  <a:lstStyle/>
                  <a:p>
                    <a:fld id="{A650AE4C-D45D-42C0-A770-35100497CDC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B-4D8B-4DE8-89BA-AA89B4AB740C}"/>
                </c:ext>
              </c:extLst>
            </c:dLbl>
            <c:dLbl>
              <c:idx val="219"/>
              <c:tx>
                <c:rich>
                  <a:bodyPr/>
                  <a:lstStyle/>
                  <a:p>
                    <a:fld id="{B968BAD7-92FE-4AEB-B7CD-31DA47E7939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C-4D8B-4DE8-89BA-AA89B4AB740C}"/>
                </c:ext>
              </c:extLst>
            </c:dLbl>
            <c:dLbl>
              <c:idx val="220"/>
              <c:tx>
                <c:rich>
                  <a:bodyPr/>
                  <a:lstStyle/>
                  <a:p>
                    <a:fld id="{B7905D15-6F88-45F1-B78F-8C7F110B4E7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D-4D8B-4DE8-89BA-AA89B4AB740C}"/>
                </c:ext>
              </c:extLst>
            </c:dLbl>
            <c:dLbl>
              <c:idx val="221"/>
              <c:tx>
                <c:rich>
                  <a:bodyPr/>
                  <a:lstStyle/>
                  <a:p>
                    <a:fld id="{B9416262-BE5E-47D9-A3B6-F71FFD43C3D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E-4D8B-4DE8-89BA-AA89B4AB740C}"/>
                </c:ext>
              </c:extLst>
            </c:dLbl>
            <c:dLbl>
              <c:idx val="222"/>
              <c:tx>
                <c:rich>
                  <a:bodyPr/>
                  <a:lstStyle/>
                  <a:p>
                    <a:fld id="{5318C37F-18FD-4B81-986E-0F70057C6D3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F-4D8B-4DE8-89BA-AA89B4AB740C}"/>
                </c:ext>
              </c:extLst>
            </c:dLbl>
            <c:dLbl>
              <c:idx val="223"/>
              <c:tx>
                <c:rich>
                  <a:bodyPr/>
                  <a:lstStyle/>
                  <a:p>
                    <a:fld id="{BCB5B3DD-130D-4D2B-9E10-E6147324707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0-4D8B-4DE8-89BA-AA89B4AB740C}"/>
                </c:ext>
              </c:extLst>
            </c:dLbl>
            <c:dLbl>
              <c:idx val="224"/>
              <c:tx>
                <c:rich>
                  <a:bodyPr/>
                  <a:lstStyle/>
                  <a:p>
                    <a:fld id="{EC47136D-5395-47BE-A94E-1918AC69D30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1-4D8B-4DE8-89BA-AA89B4AB740C}"/>
                </c:ext>
              </c:extLst>
            </c:dLbl>
            <c:dLbl>
              <c:idx val="225"/>
              <c:tx>
                <c:rich>
                  <a:bodyPr/>
                  <a:lstStyle/>
                  <a:p>
                    <a:fld id="{752FA482-C9AF-4E7B-8F77-AA952CE029D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2-4D8B-4DE8-89BA-AA89B4AB740C}"/>
                </c:ext>
              </c:extLst>
            </c:dLbl>
            <c:dLbl>
              <c:idx val="22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3-4D8B-4DE8-89BA-AA89B4AB740C}"/>
                </c:ext>
              </c:extLst>
            </c:dLbl>
            <c:dLbl>
              <c:idx val="22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4-4D8B-4DE8-89BA-AA89B4AB740C}"/>
                </c:ext>
              </c:extLst>
            </c:dLbl>
            <c:dLbl>
              <c:idx val="22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5-4D8B-4DE8-89BA-AA89B4AB740C}"/>
                </c:ext>
              </c:extLst>
            </c:dLbl>
            <c:dLbl>
              <c:idx val="22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6-4D8B-4DE8-89BA-AA89B4AB740C}"/>
                </c:ext>
              </c:extLst>
            </c:dLbl>
            <c:dLbl>
              <c:idx val="23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7-4D8B-4DE8-89BA-AA89B4AB740C}"/>
                </c:ext>
              </c:extLst>
            </c:dLbl>
            <c:dLbl>
              <c:idx val="23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8-4D8B-4DE8-89BA-AA89B4AB740C}"/>
                </c:ext>
              </c:extLst>
            </c:dLbl>
            <c:dLbl>
              <c:idx val="23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9-4D8B-4DE8-89BA-AA89B4AB740C}"/>
                </c:ext>
              </c:extLst>
            </c:dLbl>
            <c:dLbl>
              <c:idx val="23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A-4D8B-4DE8-89BA-AA89B4AB740C}"/>
                </c:ext>
              </c:extLst>
            </c:dLbl>
            <c:dLbl>
              <c:idx val="23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B-4D8B-4DE8-89BA-AA89B4AB740C}"/>
                </c:ext>
              </c:extLst>
            </c:dLbl>
            <c:dLbl>
              <c:idx val="23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C-4D8B-4DE8-89BA-AA89B4AB740C}"/>
                </c:ext>
              </c:extLst>
            </c:dLbl>
            <c:dLbl>
              <c:idx val="23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D-4D8B-4DE8-89BA-AA89B4AB740C}"/>
                </c:ext>
              </c:extLst>
            </c:dLbl>
            <c:dLbl>
              <c:idx val="23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E-4D8B-4DE8-89BA-AA89B4AB740C}"/>
                </c:ext>
              </c:extLst>
            </c:dLbl>
            <c:dLbl>
              <c:idx val="23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F-4D8B-4DE8-89BA-AA89B4AB740C}"/>
                </c:ext>
              </c:extLst>
            </c:dLbl>
            <c:dLbl>
              <c:idx val="23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0-4D8B-4DE8-89BA-AA89B4AB740C}"/>
                </c:ext>
              </c:extLst>
            </c:dLbl>
            <c:dLbl>
              <c:idx val="24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1-4D8B-4DE8-89BA-AA89B4AB740C}"/>
                </c:ext>
              </c:extLst>
            </c:dLbl>
            <c:dLbl>
              <c:idx val="24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2-4D8B-4DE8-89BA-AA89B4AB740C}"/>
                </c:ext>
              </c:extLst>
            </c:dLbl>
            <c:dLbl>
              <c:idx val="24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3-4D8B-4DE8-89BA-AA89B4AB740C}"/>
                </c:ext>
              </c:extLst>
            </c:dLbl>
            <c:dLbl>
              <c:idx val="24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4-4D8B-4DE8-89BA-AA89B4AB740C}"/>
                </c:ext>
              </c:extLst>
            </c:dLbl>
            <c:dLbl>
              <c:idx val="24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5-4D8B-4DE8-89BA-AA89B4AB740C}"/>
                </c:ext>
              </c:extLst>
            </c:dLbl>
            <c:dLbl>
              <c:idx val="24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6-4D8B-4DE8-89BA-AA89B4AB740C}"/>
                </c:ext>
              </c:extLst>
            </c:dLbl>
            <c:dLbl>
              <c:idx val="24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7-4D8B-4DE8-89BA-AA89B4AB740C}"/>
                </c:ext>
              </c:extLst>
            </c:dLbl>
            <c:dLbl>
              <c:idx val="24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8-4D8B-4DE8-89BA-AA89B4AB740C}"/>
                </c:ext>
              </c:extLst>
            </c:dLbl>
            <c:dLbl>
              <c:idx val="24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9-4D8B-4DE8-89BA-AA89B4AB740C}"/>
                </c:ext>
              </c:extLst>
            </c:dLbl>
            <c:dLbl>
              <c:idx val="24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A-4D8B-4DE8-89BA-AA89B4AB740C}"/>
                </c:ext>
              </c:extLst>
            </c:dLbl>
            <c:dLbl>
              <c:idx val="25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B-4D8B-4DE8-89BA-AA89B4AB740C}"/>
                </c:ext>
              </c:extLst>
            </c:dLbl>
            <c:dLbl>
              <c:idx val="25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C-4D8B-4DE8-89BA-AA89B4AB740C}"/>
                </c:ext>
              </c:extLst>
            </c:dLbl>
            <c:dLbl>
              <c:idx val="25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D-4D8B-4DE8-89BA-AA89B4AB740C}"/>
                </c:ext>
              </c:extLst>
            </c:dLbl>
            <c:dLbl>
              <c:idx val="25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E-4D8B-4DE8-89BA-AA89B4AB740C}"/>
                </c:ext>
              </c:extLst>
            </c:dLbl>
            <c:dLbl>
              <c:idx val="25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F-4D8B-4DE8-89BA-AA89B4AB740C}"/>
                </c:ext>
              </c:extLst>
            </c:dLbl>
            <c:dLbl>
              <c:idx val="25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0-4D8B-4DE8-89BA-AA89B4AB740C}"/>
                </c:ext>
              </c:extLst>
            </c:dLbl>
            <c:dLbl>
              <c:idx val="25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1-4D8B-4DE8-89BA-AA89B4AB740C}"/>
                </c:ext>
              </c:extLst>
            </c:dLbl>
            <c:dLbl>
              <c:idx val="25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2-4D8B-4DE8-89BA-AA89B4AB740C}"/>
                </c:ext>
              </c:extLst>
            </c:dLbl>
            <c:dLbl>
              <c:idx val="25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3-4D8B-4DE8-89BA-AA89B4AB740C}"/>
                </c:ext>
              </c:extLst>
            </c:dLbl>
            <c:dLbl>
              <c:idx val="25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4-4D8B-4DE8-89BA-AA89B4AB740C}"/>
                </c:ext>
              </c:extLst>
            </c:dLbl>
            <c:dLbl>
              <c:idx val="26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5-4D8B-4DE8-89BA-AA89B4AB740C}"/>
                </c:ext>
              </c:extLst>
            </c:dLbl>
            <c:dLbl>
              <c:idx val="26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6-4D8B-4DE8-89BA-AA89B4AB740C}"/>
                </c:ext>
              </c:extLst>
            </c:dLbl>
            <c:dLbl>
              <c:idx val="26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7-4D8B-4DE8-89BA-AA89B4AB740C}"/>
                </c:ext>
              </c:extLst>
            </c:dLbl>
            <c:dLbl>
              <c:idx val="26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8-4D8B-4DE8-89BA-AA89B4AB740C}"/>
                </c:ext>
              </c:extLst>
            </c:dLbl>
            <c:dLbl>
              <c:idx val="26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9-4D8B-4DE8-89BA-AA89B4AB740C}"/>
                </c:ext>
              </c:extLst>
            </c:dLbl>
            <c:dLbl>
              <c:idx val="26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A-4D8B-4DE8-89BA-AA89B4AB740C}"/>
                </c:ext>
              </c:extLst>
            </c:dLbl>
            <c:dLbl>
              <c:idx val="26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B-4D8B-4DE8-89BA-AA89B4AB740C}"/>
                </c:ext>
              </c:extLst>
            </c:dLbl>
            <c:dLbl>
              <c:idx val="26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C-4D8B-4DE8-89BA-AA89B4AB740C}"/>
                </c:ext>
              </c:extLst>
            </c:dLbl>
            <c:dLbl>
              <c:idx val="26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D-4D8B-4DE8-89BA-AA89B4AB740C}"/>
                </c:ext>
              </c:extLst>
            </c:dLbl>
            <c:dLbl>
              <c:idx val="26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E-4D8B-4DE8-89BA-AA89B4AB740C}"/>
                </c:ext>
              </c:extLst>
            </c:dLbl>
            <c:dLbl>
              <c:idx val="27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F-4D8B-4DE8-89BA-AA89B4AB740C}"/>
                </c:ext>
              </c:extLst>
            </c:dLbl>
            <c:dLbl>
              <c:idx val="27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0-4D8B-4DE8-89BA-AA89B4AB740C}"/>
                </c:ext>
              </c:extLst>
            </c:dLbl>
            <c:dLbl>
              <c:idx val="27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1-4D8B-4DE8-89BA-AA89B4AB740C}"/>
                </c:ext>
              </c:extLst>
            </c:dLbl>
            <c:dLbl>
              <c:idx val="27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2-4D8B-4DE8-89BA-AA89B4AB740C}"/>
                </c:ext>
              </c:extLst>
            </c:dLbl>
            <c:dLbl>
              <c:idx val="27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3-4D8B-4DE8-89BA-AA89B4AB740C}"/>
                </c:ext>
              </c:extLst>
            </c:dLbl>
            <c:dLbl>
              <c:idx val="27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4-4D8B-4DE8-89BA-AA89B4AB740C}"/>
                </c:ext>
              </c:extLst>
            </c:dLbl>
            <c:dLbl>
              <c:idx val="27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5-4D8B-4DE8-89BA-AA89B4AB740C}"/>
                </c:ext>
              </c:extLst>
            </c:dLbl>
            <c:dLbl>
              <c:idx val="27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6-4D8B-4DE8-89BA-AA89B4AB740C}"/>
                </c:ext>
              </c:extLst>
            </c:dLbl>
            <c:dLbl>
              <c:idx val="27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7-4D8B-4DE8-89BA-AA89B4AB740C}"/>
                </c:ext>
              </c:extLst>
            </c:dLbl>
            <c:dLbl>
              <c:idx val="27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8-4D8B-4DE8-89BA-AA89B4AB740C}"/>
                </c:ext>
              </c:extLst>
            </c:dLbl>
            <c:dLbl>
              <c:idx val="28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9-4D8B-4DE8-89BA-AA89B4AB740C}"/>
                </c:ext>
              </c:extLst>
            </c:dLbl>
            <c:dLbl>
              <c:idx val="28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A-4D8B-4DE8-89BA-AA89B4AB740C}"/>
                </c:ext>
              </c:extLst>
            </c:dLbl>
            <c:dLbl>
              <c:idx val="28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B-4D8B-4DE8-89BA-AA89B4AB740C}"/>
                </c:ext>
              </c:extLst>
            </c:dLbl>
            <c:dLbl>
              <c:idx val="28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C-4D8B-4DE8-89BA-AA89B4AB740C}"/>
                </c:ext>
              </c:extLst>
            </c:dLbl>
            <c:dLbl>
              <c:idx val="28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D-4D8B-4DE8-89BA-AA89B4AB740C}"/>
                </c:ext>
              </c:extLst>
            </c:dLbl>
            <c:dLbl>
              <c:idx val="28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E-4D8B-4DE8-89BA-AA89B4AB740C}"/>
                </c:ext>
              </c:extLst>
            </c:dLbl>
            <c:dLbl>
              <c:idx val="28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F-4D8B-4DE8-89BA-AA89B4AB740C}"/>
                </c:ext>
              </c:extLst>
            </c:dLbl>
            <c:dLbl>
              <c:idx val="28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0-4D8B-4DE8-89BA-AA89B4AB740C}"/>
                </c:ext>
              </c:extLst>
            </c:dLbl>
            <c:dLbl>
              <c:idx val="28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1-4D8B-4DE8-89BA-AA89B4AB740C}"/>
                </c:ext>
              </c:extLst>
            </c:dLbl>
            <c:dLbl>
              <c:idx val="28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2-4D8B-4DE8-89BA-AA89B4AB740C}"/>
                </c:ext>
              </c:extLst>
            </c:dLbl>
            <c:dLbl>
              <c:idx val="29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3-4D8B-4DE8-89BA-AA89B4AB740C}"/>
                </c:ext>
              </c:extLst>
            </c:dLbl>
            <c:dLbl>
              <c:idx val="29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4-4D8B-4DE8-89BA-AA89B4AB740C}"/>
                </c:ext>
              </c:extLst>
            </c:dLbl>
            <c:dLbl>
              <c:idx val="29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5-4D8B-4DE8-89BA-AA89B4AB740C}"/>
                </c:ext>
              </c:extLst>
            </c:dLbl>
            <c:dLbl>
              <c:idx val="29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6-4D8B-4DE8-89BA-AA89B4AB740C}"/>
                </c:ext>
              </c:extLst>
            </c:dLbl>
            <c:dLbl>
              <c:idx val="29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7-4D8B-4DE8-89BA-AA89B4AB740C}"/>
                </c:ext>
              </c:extLst>
            </c:dLbl>
            <c:dLbl>
              <c:idx val="29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8-4D8B-4DE8-89BA-AA89B4AB740C}"/>
                </c:ext>
              </c:extLst>
            </c:dLbl>
            <c:dLbl>
              <c:idx val="29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9-4D8B-4DE8-89BA-AA89B4AB740C}"/>
                </c:ext>
              </c:extLst>
            </c:dLbl>
            <c:dLbl>
              <c:idx val="29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A-4D8B-4DE8-89BA-AA89B4AB740C}"/>
                </c:ext>
              </c:extLst>
            </c:dLbl>
            <c:dLbl>
              <c:idx val="29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B-4D8B-4DE8-89BA-AA89B4AB740C}"/>
                </c:ext>
              </c:extLst>
            </c:dLbl>
            <c:spPr>
              <a:noFill/>
              <a:ln>
                <a:noFill/>
              </a:ln>
              <a:effectLst/>
            </c:spPr>
            <c:txPr>
              <a:bodyPr rot="-5400000" vert="horz" wrap="square" lIns="38100" tIns="19050" rIns="38100" bIns="19050" anchor="ctr">
                <a:spAutoFit/>
              </a:bodyPr>
              <a:lstStyle/>
              <a:p>
                <a:pPr>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ext>
            </c:extLst>
          </c:dLbls>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NormalisedUVVisData!$G$2:$G$300</c:f>
              <c:numCache>
                <c:formatCode>General</c:formatCode>
                <c:ptCount val="299"/>
                <c:pt idx="0">
                  <c:v>66.328742980957031</c:v>
                </c:pt>
                <c:pt idx="1">
                  <c:v>64.896110534667969</c:v>
                </c:pt>
                <c:pt idx="2">
                  <c:v>62.950954437255859</c:v>
                </c:pt>
                <c:pt idx="3">
                  <c:v>61.368198394775391</c:v>
                </c:pt>
                <c:pt idx="4">
                  <c:v>60.744972229003906</c:v>
                </c:pt>
                <c:pt idx="5">
                  <c:v>61.586761474609375</c:v>
                </c:pt>
                <c:pt idx="6">
                  <c:v>64.707305908203125</c:v>
                </c:pt>
                <c:pt idx="7">
                  <c:v>70.254661560058594</c:v>
                </c:pt>
                <c:pt idx="8">
                  <c:v>77.493629455566406</c:v>
                </c:pt>
                <c:pt idx="9">
                  <c:v>85.632553100585938</c:v>
                </c:pt>
                <c:pt idx="10">
                  <c:v>92.852928161621094</c:v>
                </c:pt>
                <c:pt idx="11">
                  <c:v>97.961090087890625</c:v>
                </c:pt>
                <c:pt idx="12">
                  <c:v>100</c:v>
                </c:pt>
                <c:pt idx="13">
                  <c:v>98.968757629394531</c:v>
                </c:pt>
                <c:pt idx="14">
                  <c:v>95.776084899902344</c:v>
                </c:pt>
                <c:pt idx="15">
                  <c:v>91.056915283203125</c:v>
                </c:pt>
                <c:pt idx="16">
                  <c:v>84.415420532226563</c:v>
                </c:pt>
                <c:pt idx="17">
                  <c:v>75.145744323730469</c:v>
                </c:pt>
                <c:pt idx="18">
                  <c:v>64.420402526855469</c:v>
                </c:pt>
                <c:pt idx="19">
                  <c:v>54.342700958251953</c:v>
                </c:pt>
                <c:pt idx="20">
                  <c:v>47.127300262451172</c:v>
                </c:pt>
                <c:pt idx="21">
                  <c:v>42.656688690185547</c:v>
                </c:pt>
                <c:pt idx="22">
                  <c:v>40.243610382080078</c:v>
                </c:pt>
                <c:pt idx="23">
                  <c:v>39.145671844482422</c:v>
                </c:pt>
                <c:pt idx="24">
                  <c:v>38.666629791259766</c:v>
                </c:pt>
                <c:pt idx="25">
                  <c:v>38.557209014892578</c:v>
                </c:pt>
                <c:pt idx="26">
                  <c:v>38.840950012207031</c:v>
                </c:pt>
                <c:pt idx="27">
                  <c:v>39.706897735595703</c:v>
                </c:pt>
                <c:pt idx="28">
                  <c:v>41.266380310058594</c:v>
                </c:pt>
                <c:pt idx="29">
                  <c:v>43.136444091796875</c:v>
                </c:pt>
                <c:pt idx="30">
                  <c:v>44.787776947021484</c:v>
                </c:pt>
                <c:pt idx="31">
                  <c:v>45.614780426025391</c:v>
                </c:pt>
                <c:pt idx="32">
                  <c:v>45.528171539306641</c:v>
                </c:pt>
                <c:pt idx="33">
                  <c:v>44.623733520507813</c:v>
                </c:pt>
                <c:pt idx="34">
                  <c:v>43.066879272460938</c:v>
                </c:pt>
                <c:pt idx="35">
                  <c:v>40.777427673339844</c:v>
                </c:pt>
                <c:pt idx="36">
                  <c:v>37.854286193847656</c:v>
                </c:pt>
                <c:pt idx="37">
                  <c:v>34.731510162353516</c:v>
                </c:pt>
                <c:pt idx="38">
                  <c:v>32.189380645751953</c:v>
                </c:pt>
                <c:pt idx="39">
                  <c:v>30.694793701171875</c:v>
                </c:pt>
                <c:pt idx="40">
                  <c:v>30.285367965698242</c:v>
                </c:pt>
                <c:pt idx="41">
                  <c:v>30.543399810791016</c:v>
                </c:pt>
                <c:pt idx="42">
                  <c:v>31.043458938598633</c:v>
                </c:pt>
                <c:pt idx="43">
                  <c:v>31.531406402587891</c:v>
                </c:pt>
                <c:pt idx="44">
                  <c:v>31.878122329711914</c:v>
                </c:pt>
                <c:pt idx="45">
                  <c:v>32.015460968017578</c:v>
                </c:pt>
                <c:pt idx="46">
                  <c:v>31.965221405029297</c:v>
                </c:pt>
                <c:pt idx="47">
                  <c:v>31.642721176147461</c:v>
                </c:pt>
                <c:pt idx="48">
                  <c:v>31.050710678100586</c:v>
                </c:pt>
                <c:pt idx="49">
                  <c:v>30.245010375976563</c:v>
                </c:pt>
                <c:pt idx="50">
                  <c:v>29.246894836425781</c:v>
                </c:pt>
                <c:pt idx="51">
                  <c:v>28.130340576171875</c:v>
                </c:pt>
                <c:pt idx="52">
                  <c:v>26.946113586425781</c:v>
                </c:pt>
                <c:pt idx="53">
                  <c:v>25.777309417724609</c:v>
                </c:pt>
                <c:pt idx="54">
                  <c:v>24.628046035766602</c:v>
                </c:pt>
                <c:pt idx="55">
                  <c:v>23.52586555480957</c:v>
                </c:pt>
                <c:pt idx="56">
                  <c:v>22.428350448608398</c:v>
                </c:pt>
                <c:pt idx="57">
                  <c:v>21.348518371582031</c:v>
                </c:pt>
                <c:pt idx="58">
                  <c:v>20.279867172241211</c:v>
                </c:pt>
                <c:pt idx="59">
                  <c:v>19.230083465576172</c:v>
                </c:pt>
                <c:pt idx="60">
                  <c:v>18.160974502563477</c:v>
                </c:pt>
                <c:pt idx="61">
                  <c:v>17.058109283447266</c:v>
                </c:pt>
                <c:pt idx="62">
                  <c:v>15.962742805480957</c:v>
                </c:pt>
                <c:pt idx="63">
                  <c:v>14.819137573242188</c:v>
                </c:pt>
                <c:pt idx="64">
                  <c:v>13.700900077819824</c:v>
                </c:pt>
                <c:pt idx="65">
                  <c:v>12.591713905334473</c:v>
                </c:pt>
                <c:pt idx="66">
                  <c:v>11.544644355773926</c:v>
                </c:pt>
                <c:pt idx="67">
                  <c:v>10.545557975769043</c:v>
                </c:pt>
                <c:pt idx="68">
                  <c:v>9.7095193862915039</c:v>
                </c:pt>
                <c:pt idx="69">
                  <c:v>8.9424037933349609</c:v>
                </c:pt>
                <c:pt idx="70">
                  <c:v>8.294102668762207</c:v>
                </c:pt>
                <c:pt idx="71">
                  <c:v>7.7658901214599609</c:v>
                </c:pt>
                <c:pt idx="72">
                  <c:v>7.2762956619262695</c:v>
                </c:pt>
                <c:pt idx="73">
                  <c:v>6.7871432304382324</c:v>
                </c:pt>
                <c:pt idx="74">
                  <c:v>6.3019533157348633</c:v>
                </c:pt>
                <c:pt idx="75">
                  <c:v>5.8617339134216309</c:v>
                </c:pt>
                <c:pt idx="76">
                  <c:v>5.4300746917724609</c:v>
                </c:pt>
                <c:pt idx="77">
                  <c:v>4.9945473670959473</c:v>
                </c:pt>
                <c:pt idx="78">
                  <c:v>4.579958438873291</c:v>
                </c:pt>
                <c:pt idx="79">
                  <c:v>4.2089347839355469</c:v>
                </c:pt>
                <c:pt idx="80">
                  <c:v>3.9037373065948486</c:v>
                </c:pt>
                <c:pt idx="81">
                  <c:v>3.6505439281463623</c:v>
                </c:pt>
                <c:pt idx="82">
                  <c:v>3.4138040542602539</c:v>
                </c:pt>
                <c:pt idx="83">
                  <c:v>3.2085888385772705</c:v>
                </c:pt>
                <c:pt idx="84">
                  <c:v>3.055804967880249</c:v>
                </c:pt>
                <c:pt idx="85">
                  <c:v>2.9546749591827393</c:v>
                </c:pt>
                <c:pt idx="86">
                  <c:v>2.8412063121795654</c:v>
                </c:pt>
                <c:pt idx="87">
                  <c:v>2.7391467094421387</c:v>
                </c:pt>
                <c:pt idx="88">
                  <c:v>2.7012748718261719</c:v>
                </c:pt>
                <c:pt idx="89">
                  <c:v>2.6694722175598145</c:v>
                </c:pt>
                <c:pt idx="90">
                  <c:v>2.6260251998901367</c:v>
                </c:pt>
                <c:pt idx="91">
                  <c:v>2.5683193206787109</c:v>
                </c:pt>
                <c:pt idx="92">
                  <c:v>2.4981284141540527</c:v>
                </c:pt>
                <c:pt idx="93">
                  <c:v>2.4971041679382324</c:v>
                </c:pt>
                <c:pt idx="94">
                  <c:v>2.4957268238067627</c:v>
                </c:pt>
                <c:pt idx="95">
                  <c:v>2.4610257148742676</c:v>
                </c:pt>
                <c:pt idx="96">
                  <c:v>2.4383137226104736</c:v>
                </c:pt>
                <c:pt idx="97">
                  <c:v>2.4457828998565674</c:v>
                </c:pt>
                <c:pt idx="98">
                  <c:v>2.4392578601837158</c:v>
                </c:pt>
                <c:pt idx="99">
                  <c:v>2.4400153160095215</c:v>
                </c:pt>
                <c:pt idx="100">
                  <c:v>2.4301385879516602</c:v>
                </c:pt>
                <c:pt idx="101">
                  <c:v>2.3866281509399414</c:v>
                </c:pt>
                <c:pt idx="102">
                  <c:v>2.3841862678527832</c:v>
                </c:pt>
                <c:pt idx="103">
                  <c:v>2.4140865802764893</c:v>
                </c:pt>
                <c:pt idx="104">
                  <c:v>2.4164910316467285</c:v>
                </c:pt>
                <c:pt idx="105">
                  <c:v>2.3944017887115479</c:v>
                </c:pt>
                <c:pt idx="106">
                  <c:v>2.3962554931640625</c:v>
                </c:pt>
                <c:pt idx="107">
                  <c:v>2.3872194290161133</c:v>
                </c:pt>
                <c:pt idx="108">
                  <c:v>2.3791415691375732</c:v>
                </c:pt>
                <c:pt idx="109">
                  <c:v>2.363832950592041</c:v>
                </c:pt>
                <c:pt idx="110">
                  <c:v>2.35791015625</c:v>
                </c:pt>
                <c:pt idx="111">
                  <c:v>2.3721458911895752</c:v>
                </c:pt>
                <c:pt idx="112">
                  <c:v>2.3705015182495117</c:v>
                </c:pt>
                <c:pt idx="113">
                  <c:v>2.3364665508270264</c:v>
                </c:pt>
                <c:pt idx="114">
                  <c:v>2.3033351898193359</c:v>
                </c:pt>
                <c:pt idx="115">
                  <c:v>2.3007268905639648</c:v>
                </c:pt>
                <c:pt idx="116">
                  <c:v>2.3187587261199951</c:v>
                </c:pt>
                <c:pt idx="117">
                  <c:v>2.3264575004577637</c:v>
                </c:pt>
                <c:pt idx="118">
                  <c:v>2.2909677028656006</c:v>
                </c:pt>
                <c:pt idx="119">
                  <c:v>2.2745082378387451</c:v>
                </c:pt>
                <c:pt idx="120">
                  <c:v>2.2822701930999756</c:v>
                </c:pt>
                <c:pt idx="121">
                  <c:v>2.2687575817108154</c:v>
                </c:pt>
                <c:pt idx="122">
                  <c:v>2.2651019096374512</c:v>
                </c:pt>
                <c:pt idx="123">
                  <c:v>2.2828755378723145</c:v>
                </c:pt>
                <c:pt idx="124">
                  <c:v>2.2854812145233154</c:v>
                </c:pt>
                <c:pt idx="125">
                  <c:v>2.240980863571167</c:v>
                </c:pt>
                <c:pt idx="126">
                  <c:v>2.2259876728057861</c:v>
                </c:pt>
                <c:pt idx="127">
                  <c:v>2.2364842891693115</c:v>
                </c:pt>
                <c:pt idx="128">
                  <c:v>2.2257580757141113</c:v>
                </c:pt>
                <c:pt idx="129">
                  <c:v>2.1971204280853271</c:v>
                </c:pt>
                <c:pt idx="130">
                  <c:v>2.1970689296722412</c:v>
                </c:pt>
                <c:pt idx="131">
                  <c:v>2.2167623043060303</c:v>
                </c:pt>
                <c:pt idx="132">
                  <c:v>2.2305989265441895</c:v>
                </c:pt>
                <c:pt idx="133">
                  <c:v>2.2234911918640137</c:v>
                </c:pt>
                <c:pt idx="134">
                  <c:v>2.2428059577941895</c:v>
                </c:pt>
                <c:pt idx="135">
                  <c:v>2.2722010612487793</c:v>
                </c:pt>
                <c:pt idx="136">
                  <c:v>2.1023035049438477</c:v>
                </c:pt>
                <c:pt idx="137">
                  <c:v>2</c:v>
                </c:pt>
                <c:pt idx="138">
                  <c:v>2.0902142524719238</c:v>
                </c:pt>
                <c:pt idx="139">
                  <c:v>2.16567063331604</c:v>
                </c:pt>
                <c:pt idx="140">
                  <c:v>2.1711916923522949</c:v>
                </c:pt>
                <c:pt idx="141">
                  <c:v>2.0993049144744873</c:v>
                </c:pt>
                <c:pt idx="142">
                  <c:v>2.1145877838134766</c:v>
                </c:pt>
                <c:pt idx="143">
                  <c:v>2.1552114486694336</c:v>
                </c:pt>
                <c:pt idx="144">
                  <c:v>2.1437246799468994</c:v>
                </c:pt>
                <c:pt idx="145">
                  <c:v>2.162198543548584</c:v>
                </c:pt>
                <c:pt idx="146">
                  <c:v>2.2337009906768799</c:v>
                </c:pt>
                <c:pt idx="147">
                  <c:v>2.1820297241210938</c:v>
                </c:pt>
                <c:pt idx="148">
                  <c:v>2.1772923469543457</c:v>
                </c:pt>
                <c:pt idx="149">
                  <c:v>2.2063860893249512</c:v>
                </c:pt>
                <c:pt idx="150">
                  <c:v>2.1428983211517334</c:v>
                </c:pt>
                <c:pt idx="151">
                  <c:v>2.1304905414581299</c:v>
                </c:pt>
                <c:pt idx="152">
                  <c:v>2.1765232086181641</c:v>
                </c:pt>
                <c:pt idx="153">
                  <c:v>2.1757054328918457</c:v>
                </c:pt>
                <c:pt idx="154">
                  <c:v>2.1500635147094727</c:v>
                </c:pt>
                <c:pt idx="155">
                  <c:v>2.1713724136352539</c:v>
                </c:pt>
                <c:pt idx="156">
                  <c:v>2.111663818359375</c:v>
                </c:pt>
                <c:pt idx="157">
                  <c:v>2.1272680759429932</c:v>
                </c:pt>
                <c:pt idx="158">
                  <c:v>2.168973445892334</c:v>
                </c:pt>
                <c:pt idx="159">
                  <c:v>2.1610679626464844</c:v>
                </c:pt>
                <c:pt idx="160">
                  <c:v>2.1885120868682861</c:v>
                </c:pt>
                <c:pt idx="161">
                  <c:v>2.1481208801269531</c:v>
                </c:pt>
                <c:pt idx="162">
                  <c:v>2.1458711624145508</c:v>
                </c:pt>
                <c:pt idx="163">
                  <c:v>2.1870858669281006</c:v>
                </c:pt>
                <c:pt idx="164">
                  <c:v>2.1451940536499023</c:v>
                </c:pt>
                <c:pt idx="165">
                  <c:v>2.1722705364227295</c:v>
                </c:pt>
                <c:pt idx="166">
                  <c:v>2.1688041687011719</c:v>
                </c:pt>
                <c:pt idx="167">
                  <c:v>2.1603794097900391</c:v>
                </c:pt>
                <c:pt idx="168">
                  <c:v>2.2121250629425049</c:v>
                </c:pt>
                <c:pt idx="169">
                  <c:v>2.1344075202941895</c:v>
                </c:pt>
                <c:pt idx="170">
                  <c:v>2.1029376983642578</c:v>
                </c:pt>
                <c:pt idx="171">
                  <c:v>2.132014274597168</c:v>
                </c:pt>
                <c:pt idx="172">
                  <c:v>2.1664683818817139</c:v>
                </c:pt>
                <c:pt idx="173">
                  <c:v>2.1668558120727539</c:v>
                </c:pt>
                <c:pt idx="174">
                  <c:v>2.1820096969604492</c:v>
                </c:pt>
                <c:pt idx="175">
                  <c:v>2.1895391941070557</c:v>
                </c:pt>
                <c:pt idx="176">
                  <c:v>2.1672518253326416</c:v>
                </c:pt>
                <c:pt idx="177">
                  <c:v>2.2014906406402588</c:v>
                </c:pt>
                <c:pt idx="178">
                  <c:v>2.1933097839355469</c:v>
                </c:pt>
                <c:pt idx="179">
                  <c:v>2.1978006362915039</c:v>
                </c:pt>
                <c:pt idx="180">
                  <c:v>2.1691169738769531</c:v>
                </c:pt>
                <c:pt idx="181">
                  <c:v>2.1837830543518066</c:v>
                </c:pt>
                <c:pt idx="182">
                  <c:v>2.2379219532012939</c:v>
                </c:pt>
                <c:pt idx="183">
                  <c:v>2.2717821598052979</c:v>
                </c:pt>
                <c:pt idx="184">
                  <c:v>2.2531905174255371</c:v>
                </c:pt>
                <c:pt idx="185">
                  <c:v>2.1533088684082031</c:v>
                </c:pt>
                <c:pt idx="186">
                  <c:v>2.1460204124450684</c:v>
                </c:pt>
                <c:pt idx="187">
                  <c:v>2.1834185123443604</c:v>
                </c:pt>
                <c:pt idx="188">
                  <c:v>2.1936311721801758</c:v>
                </c:pt>
                <c:pt idx="189">
                  <c:v>2.2853031158447266</c:v>
                </c:pt>
                <c:pt idx="190">
                  <c:v>2.2917883396148682</c:v>
                </c:pt>
                <c:pt idx="191">
                  <c:v>2.246013879776001</c:v>
                </c:pt>
                <c:pt idx="192">
                  <c:v>2.2334713935852051</c:v>
                </c:pt>
                <c:pt idx="193">
                  <c:v>2.2418675422668457</c:v>
                </c:pt>
                <c:pt idx="194">
                  <c:v>2.2859029769897461</c:v>
                </c:pt>
                <c:pt idx="195">
                  <c:v>2.2322547435760498</c:v>
                </c:pt>
                <c:pt idx="196">
                  <c:v>2.3217372894287109</c:v>
                </c:pt>
                <c:pt idx="197">
                  <c:v>2.2699570655822754</c:v>
                </c:pt>
                <c:pt idx="198">
                  <c:v>2.2120764255523682</c:v>
                </c:pt>
                <c:pt idx="199">
                  <c:v>2.2724850177764893</c:v>
                </c:pt>
                <c:pt idx="200">
                  <c:v>2.2875614166259766</c:v>
                </c:pt>
                <c:pt idx="201">
                  <c:v>2.2908070087432861</c:v>
                </c:pt>
                <c:pt idx="202">
                  <c:v>2.2285444736480713</c:v>
                </c:pt>
                <c:pt idx="203">
                  <c:v>2.2623701095581055</c:v>
                </c:pt>
                <c:pt idx="204">
                  <c:v>2.2038006782531738</c:v>
                </c:pt>
                <c:pt idx="205">
                  <c:v>2.2828009128570557</c:v>
                </c:pt>
                <c:pt idx="206">
                  <c:v>2.2745282649993896</c:v>
                </c:pt>
                <c:pt idx="207">
                  <c:v>2.2855556011199951</c:v>
                </c:pt>
                <c:pt idx="208">
                  <c:v>2.2465734481811523</c:v>
                </c:pt>
                <c:pt idx="209">
                  <c:v>2.2557013034820557</c:v>
                </c:pt>
                <c:pt idx="210">
                  <c:v>2.2737476825714111</c:v>
                </c:pt>
                <c:pt idx="211">
                  <c:v>2.2627604007720947</c:v>
                </c:pt>
                <c:pt idx="212">
                  <c:v>2.3039951324462891</c:v>
                </c:pt>
                <c:pt idx="213">
                  <c:v>2.2026243209838867</c:v>
                </c:pt>
                <c:pt idx="214">
                  <c:v>2.2428574562072754</c:v>
                </c:pt>
                <c:pt idx="215">
                  <c:v>2.2054879665374756</c:v>
                </c:pt>
                <c:pt idx="216">
                  <c:v>2.2622554302215576</c:v>
                </c:pt>
                <c:pt idx="217">
                  <c:v>2.2575321197509766</c:v>
                </c:pt>
                <c:pt idx="218">
                  <c:v>2.2675294876098633</c:v>
                </c:pt>
                <c:pt idx="219">
                  <c:v>2.4046285152435303</c:v>
                </c:pt>
                <c:pt idx="220">
                  <c:v>2.2763619422912598</c:v>
                </c:pt>
                <c:pt idx="221">
                  <c:v>2.2431213855743408</c:v>
                </c:pt>
                <c:pt idx="222">
                  <c:v>2.3504495620727539</c:v>
                </c:pt>
                <c:pt idx="223">
                  <c:v>2.2553169727325439</c:v>
                </c:pt>
                <c:pt idx="224">
                  <c:v>2.3283801078796387</c:v>
                </c:pt>
                <c:pt idx="225">
                  <c:v>2.2869503498077393</c:v>
                </c:pt>
              </c:numCache>
            </c:numRef>
          </c:yVal>
          <c:smooth val="1"/>
          <c:extLst>
            <c:ext xmlns:c15="http://schemas.microsoft.com/office/drawing/2012/chart" uri="{02D57815-91ED-43cb-92C2-25804820EDAC}">
              <c15:datalabelsRange>
                <c15:f>PeakLabels!$G$2:$G$300</c15:f>
                <c15:dlblRangeCache>
                  <c:ptCount val="299"/>
                  <c:pt idx="12">
                    <c:v>214</c:v>
                  </c:pt>
                  <c:pt idx="31">
                    <c:v>252</c:v>
                  </c:pt>
                  <c:pt idx="45">
                    <c:v>280</c:v>
                  </c:pt>
                </c15:dlblRangeCache>
              </c15:datalabelsRange>
            </c:ext>
            <c:ext xmlns:c16="http://schemas.microsoft.com/office/drawing/2014/chart" uri="{C3380CC4-5D6E-409C-BE32-E72D297353CC}">
              <c16:uniqueId val="{00000000-F3B2-46DE-AC41-2C44E136DB0E}"/>
            </c:ext>
          </c:extLst>
        </c:ser>
        <c:ser>
          <c:idx val="1"/>
          <c:order val="1"/>
          <c:spPr>
            <a:ln w="19050" cap="rnd" cmpd="sng" algn="ctr">
              <a:noFill/>
              <a:prstDash val="solid"/>
              <a:round/>
            </a:ln>
            <a:effectLst/>
            <a:extLst>
              <a:ext uri="{91240B29-F687-4F45-9708-019B960494DF}">
                <a14:hiddenLine xmlns:a14="http://schemas.microsoft.com/office/drawing/2010/main" w="19050" cap="rnd" cmpd="sng" algn="ctr">
                  <a:solidFill>
                    <a:srgbClr val="ED7D31"/>
                  </a:solidFill>
                  <a:prstDash val="solid"/>
                  <a:round/>
                </a14:hiddenLine>
              </a:ext>
            </a:extLst>
          </c:spPr>
          <c:marker>
            <c:symbol val="star"/>
            <c:size val="2"/>
            <c:spPr>
              <a:solidFill>
                <a:srgbClr val="000000"/>
              </a:solidFill>
              <a:ln w="6350" cap="flat" cmpd="sng" algn="ctr">
                <a:noFill/>
                <a:prstDash val="solid"/>
                <a:round/>
              </a:ln>
              <a:effectLst/>
              <a:extLst>
                <a:ext uri="{91240B29-F687-4F45-9708-019B960494DF}">
                  <a14:hiddenLine xmlns:a14="http://schemas.microsoft.com/office/drawing/2010/main" w="6350" cap="flat" cmpd="sng" algn="ctr">
                    <a:solidFill>
                      <a:srgbClr val="ED7D31"/>
                    </a:solidFill>
                    <a:prstDash val="solid"/>
                    <a:round/>
                  </a14:hiddenLine>
                </a:ext>
              </a:extLst>
            </c:spPr>
          </c:marker>
          <c:dLbls>
            <c:dLbl>
              <c:idx val="0"/>
              <c:tx>
                <c:rich>
                  <a:bodyPr/>
                  <a:lstStyle/>
                  <a:p>
                    <a:fld id="{549710C0-D16E-4A16-A5CD-D7086FC132A6}" type="CELLRANGE">
                      <a:rPr lang="en-US"/>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F3B2-46DE-AC41-2C44E136DB0E}"/>
                </c:ext>
              </c:extLst>
            </c:dLbl>
            <c:dLbl>
              <c:idx val="1"/>
              <c:tx>
                <c:rich>
                  <a:bodyPr/>
                  <a:lstStyle/>
                  <a:p>
                    <a:fld id="{58431C9C-5EFF-4614-BE0F-5EF06F77B17C}"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F3B2-46DE-AC41-2C44E136DB0E}"/>
                </c:ext>
              </c:extLst>
            </c:dLbl>
            <c:dLbl>
              <c:idx val="2"/>
              <c:tx>
                <c:rich>
                  <a:bodyPr/>
                  <a:lstStyle/>
                  <a:p>
                    <a:fld id="{3FF002B9-8CC6-4868-BF62-166DB828EF6E}"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F3B2-46DE-AC41-2C44E136DB0E}"/>
                </c:ext>
              </c:extLst>
            </c:dLbl>
            <c:dLbl>
              <c:idx val="3"/>
              <c:tx>
                <c:rich>
                  <a:bodyPr/>
                  <a:lstStyle/>
                  <a:p>
                    <a:fld id="{5785F887-E577-4C25-9D63-42837F8D7AE3}"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F3B2-46DE-AC41-2C44E136DB0E}"/>
                </c:ext>
              </c:extLst>
            </c:dLbl>
            <c:dLbl>
              <c:idx val="4"/>
              <c:tx>
                <c:rich>
                  <a:bodyPr/>
                  <a:lstStyle/>
                  <a:p>
                    <a:fld id="{D25F64E1-8BD7-4B33-9D16-87447FC894AE}" type="CELLRANGE">
                      <a:rPr lang="en-AU"/>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F3B2-46DE-AC41-2C44E136DB0E}"/>
                </c:ext>
              </c:extLst>
            </c:dLbl>
            <c:spPr>
              <a:noFill/>
              <a:ln>
                <a:noFill/>
              </a:ln>
              <a:effectLst/>
            </c:spPr>
            <c:txPr>
              <a:bodyPr wrap="square" lIns="38100" tIns="19050" rIns="38100" bIns="19050" anchor="ctr">
                <a:spAutoFit/>
              </a:bodyPr>
              <a:lstStyle/>
              <a:p>
                <a:pPr>
                  <a:defRPr sz="1100"/>
                </a:pPr>
                <a:endParaRPr lang="en-US"/>
              </a:p>
            </c:txPr>
            <c:dLblPos val="b"/>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ext>
            </c:extLst>
          </c:dLbls>
          <c:xVal>
            <c:numRef>
              <c:f>PeakLabels!$CY$2:$CY$6</c:f>
              <c:numCache>
                <c:formatCode>General</c:formatCode>
                <c:ptCount val="5"/>
                <c:pt idx="0">
                  <c:v>200</c:v>
                </c:pt>
                <c:pt idx="1">
                  <c:v>300</c:v>
                </c:pt>
                <c:pt idx="2">
                  <c:v>400</c:v>
                </c:pt>
                <c:pt idx="3">
                  <c:v>500</c:v>
                </c:pt>
                <c:pt idx="4">
                  <c:v>600</c:v>
                </c:pt>
              </c:numCache>
            </c:numRef>
          </c:xVal>
          <c:yVal>
            <c:numRef>
              <c:f>PeakLabels!$CZ$2:$CZ$6</c:f>
              <c:numCache>
                <c:formatCode>General</c:formatCode>
                <c:ptCount val="5"/>
                <c:pt idx="0">
                  <c:v>0</c:v>
                </c:pt>
                <c:pt idx="1">
                  <c:v>0</c:v>
                </c:pt>
                <c:pt idx="2">
                  <c:v>0</c:v>
                </c:pt>
                <c:pt idx="3">
                  <c:v>0</c:v>
                </c:pt>
                <c:pt idx="4">
                  <c:v>0</c:v>
                </c:pt>
              </c:numCache>
            </c:numRef>
          </c:yVal>
          <c:smooth val="1"/>
          <c:extLst>
            <c:ext xmlns:c15="http://schemas.microsoft.com/office/drawing/2012/chart" uri="{02D57815-91ED-43cb-92C2-25804820EDAC}">
              <c15:datalabelsRange>
                <c15:f>PeakLabels!$CY$2:$CY$7</c15:f>
                <c15:dlblRangeCache>
                  <c:ptCount val="6"/>
                  <c:pt idx="0">
                    <c:v>200</c:v>
                  </c:pt>
                  <c:pt idx="1">
                    <c:v>300</c:v>
                  </c:pt>
                  <c:pt idx="2">
                    <c:v>400</c:v>
                  </c:pt>
                  <c:pt idx="3">
                    <c:v>500</c:v>
                  </c:pt>
                  <c:pt idx="4">
                    <c:v>600</c:v>
                  </c:pt>
                </c15:dlblRangeCache>
              </c15:datalabelsRange>
            </c:ext>
            <c:ext xmlns:c16="http://schemas.microsoft.com/office/drawing/2014/chart" uri="{C3380CC4-5D6E-409C-BE32-E72D297353CC}">
              <c16:uniqueId val="{00000006-F3B2-46DE-AC41-2C44E136DB0E}"/>
            </c:ext>
          </c:extLst>
        </c:ser>
        <c:dLbls>
          <c:showLegendKey val="0"/>
          <c:showVal val="0"/>
          <c:showCatName val="0"/>
          <c:showSerName val="0"/>
          <c:showPercent val="0"/>
          <c:showBubbleSize val="0"/>
        </c:dLbls>
        <c:axId val="1767907360"/>
        <c:axId val="1767900288"/>
      </c:scatterChart>
      <c:valAx>
        <c:axId val="1767907360"/>
        <c:scaling>
          <c:orientation val="minMax"/>
          <c:max val="610"/>
          <c:min val="190"/>
        </c:scaling>
        <c:delete val="0"/>
        <c:axPos val="b"/>
        <c:majorGridlines>
          <c:spPr>
            <a:ln w="9525" cap="flat" cmpd="sng" algn="ctr">
              <a:noFill/>
              <a:prstDash val="solid"/>
              <a:round/>
            </a:ln>
            <a:effectLst/>
            <a:extLst>
              <a:ext uri="{91240B29-F687-4F45-9708-019B960494DF}">
                <a14:hiddenLine xmlns:a14="http://schemas.microsoft.com/office/drawing/2010/main" w="9525" cap="flat" cmpd="sng" algn="ctr">
                  <a:solidFill>
                    <a:sysClr val="windowText" lastClr="000000">
                      <a:lumMod val="15000"/>
                      <a:lumOff val="85000"/>
                    </a:sysClr>
                  </a:solidFill>
                  <a:prstDash val="solid"/>
                  <a:round/>
                </a14:hiddenLine>
              </a:ext>
            </a:extLst>
          </c:spPr>
        </c:majorGridlines>
        <c:numFmt formatCode="General" sourceLinked="1"/>
        <c:majorTickMark val="none"/>
        <c:minorTickMark val="none"/>
        <c:tickLblPos val="none"/>
        <c:spPr>
          <a:noFill/>
          <a:ln w="9525" cap="flat" cmpd="sng" algn="ctr">
            <a:solidFill>
              <a:sysClr val="windowText" lastClr="000000">
                <a:lumMod val="100000"/>
              </a:sysClr>
            </a:solidFill>
            <a:prstDash val="solid"/>
            <a:round/>
            <a:headEnd type="none" w="med" len="med"/>
            <a:tailEnd type="none" w="med" len="med"/>
          </a:ln>
          <a:effectLst/>
        </c:spPr>
        <c:txPr>
          <a:bodyPr rot="0" vert="horz"/>
          <a:lstStyle/>
          <a:p>
            <a:pPr>
              <a:defRPr sz="800" b="0" i="0" u="none" strike="noStrike" baseline="0">
                <a:solidFill>
                  <a:srgbClr val="333333"/>
                </a:solidFill>
                <a:latin typeface="Calibri"/>
                <a:ea typeface="Calibri"/>
                <a:cs typeface="Calibri"/>
              </a:defRPr>
            </a:pPr>
            <a:endParaRPr lang="en-US"/>
          </a:p>
        </c:txPr>
        <c:crossAx val="1767900288"/>
        <c:crossesAt val="0"/>
        <c:crossBetween val="midCat"/>
        <c:majorUnit val="100"/>
      </c:valAx>
      <c:valAx>
        <c:axId val="1767900288"/>
        <c:scaling>
          <c:orientation val="minMax"/>
          <c:max val="124"/>
          <c:min val="0"/>
        </c:scaling>
        <c:delete val="0"/>
        <c:axPos val="l"/>
        <c:majorGridlines>
          <c:spPr>
            <a:ln w="9525" cap="flat" cmpd="sng" algn="ctr">
              <a:noFill/>
              <a:prstDash val="solid"/>
              <a:round/>
            </a:ln>
            <a:effectLst/>
            <a:extLst>
              <a:ext uri="{91240B29-F687-4F45-9708-019B960494DF}">
                <a14:hiddenLine xmlns:a14="http://schemas.microsoft.com/office/drawing/2010/main" w="9525" cap="flat" cmpd="sng" algn="ctr">
                  <a:solidFill>
                    <a:sysClr val="windowText" lastClr="000000">
                      <a:lumMod val="15000"/>
                      <a:lumOff val="85000"/>
                    </a:sysClr>
                  </a:solidFill>
                  <a:prstDash val="solid"/>
                  <a:round/>
                </a14:hiddenLine>
              </a:ext>
            </a:extLst>
          </c:spPr>
        </c:majorGridlines>
        <c:numFmt formatCode="General" sourceLinked="1"/>
        <c:majorTickMark val="out"/>
        <c:minorTickMark val="none"/>
        <c:tickLblPos val="nextTo"/>
        <c:spPr>
          <a:ln w="12700" cap="flat" cmpd="sng" algn="ctr">
            <a:solidFill>
              <a:sysClr val="windowText" lastClr="000000">
                <a:lumMod val="100000"/>
              </a:sysClr>
            </a:solidFill>
            <a:prstDash val="solid"/>
            <a:round/>
            <a:headEnd type="none" w="med" len="med"/>
            <a:tailEnd type="none" w="med" len="med"/>
          </a:ln>
        </c:spPr>
        <c:crossAx val="1767907360"/>
        <c:crosses val="autoZero"/>
        <c:crossBetween val="midCat"/>
        <c:majorUnit val="25"/>
        <c:minorUnit val="5"/>
      </c:valAx>
      <c:spPr>
        <a:noFill/>
        <a:ln>
          <a:solidFill>
            <a:schemeClr val="tx1"/>
          </a:solidFill>
        </a:ln>
        <a:effectLst/>
      </c:spPr>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lumMod val="15000"/>
              <a:lumOff val="85000"/>
            </a:sysClr>
          </a:solidFill>
          <a:prstDash val="solid"/>
          <a:round/>
        </a14:hiddenLine>
      </a:ext>
    </a:ex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01447595124229"/>
          <c:y val="2.8268540749732153E-2"/>
          <c:w val="0.79415100719771992"/>
          <c:h val="0.81774581759149068"/>
        </c:manualLayout>
      </c:layout>
      <c:scatterChart>
        <c:scatterStyle val="smoothMarker"/>
        <c:varyColors val="0"/>
        <c:ser>
          <c:idx val="0"/>
          <c:order val="0"/>
          <c:spPr>
            <a:ln w="19050" cap="rnd" cmpd="sng" algn="ctr">
              <a:solidFill>
                <a:srgbClr val="0000FF"/>
              </a:solidFill>
              <a:prstDash val="solid"/>
              <a:round/>
              <a:headEnd type="none" w="med" len="med"/>
              <a:tailEnd type="none" w="med" len="med"/>
            </a:ln>
          </c:spPr>
          <c:marker>
            <c:symbol val="none"/>
          </c:marker>
          <c:dLbls>
            <c:dLbl>
              <c:idx val="0"/>
              <c:tx>
                <c:rich>
                  <a:bodyPr/>
                  <a:lstStyle/>
                  <a:p>
                    <a:fld id="{E46BCB5B-4180-4A96-9466-4F47CD5E57D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084E-4EA5-ADCC-FECA2D92894E}"/>
                </c:ext>
              </c:extLst>
            </c:dLbl>
            <c:dLbl>
              <c:idx val="1"/>
              <c:tx>
                <c:rich>
                  <a:bodyPr/>
                  <a:lstStyle/>
                  <a:p>
                    <a:fld id="{9D19FF2B-4E68-4B91-99D4-F551DDF2282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084E-4EA5-ADCC-FECA2D92894E}"/>
                </c:ext>
              </c:extLst>
            </c:dLbl>
            <c:dLbl>
              <c:idx val="2"/>
              <c:tx>
                <c:rich>
                  <a:bodyPr/>
                  <a:lstStyle/>
                  <a:p>
                    <a:fld id="{C26E8934-6C08-4D3C-99C1-F1F6903B553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084E-4EA5-ADCC-FECA2D92894E}"/>
                </c:ext>
              </c:extLst>
            </c:dLbl>
            <c:dLbl>
              <c:idx val="3"/>
              <c:tx>
                <c:rich>
                  <a:bodyPr/>
                  <a:lstStyle/>
                  <a:p>
                    <a:fld id="{1D787122-F968-43E1-8F48-5995F2C196D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084E-4EA5-ADCC-FECA2D92894E}"/>
                </c:ext>
              </c:extLst>
            </c:dLbl>
            <c:dLbl>
              <c:idx val="4"/>
              <c:tx>
                <c:rich>
                  <a:bodyPr/>
                  <a:lstStyle/>
                  <a:p>
                    <a:fld id="{EBBFA4F1-09C6-4D6D-A758-E8D1F2B861E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084E-4EA5-ADCC-FECA2D92894E}"/>
                </c:ext>
              </c:extLst>
            </c:dLbl>
            <c:dLbl>
              <c:idx val="5"/>
              <c:tx>
                <c:rich>
                  <a:bodyPr/>
                  <a:lstStyle/>
                  <a:p>
                    <a:fld id="{92C59AF1-E95E-4ADF-8810-8E0793ED33E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084E-4EA5-ADCC-FECA2D92894E}"/>
                </c:ext>
              </c:extLst>
            </c:dLbl>
            <c:dLbl>
              <c:idx val="6"/>
              <c:tx>
                <c:rich>
                  <a:bodyPr/>
                  <a:lstStyle/>
                  <a:p>
                    <a:fld id="{1E537769-1AD1-40B9-BBA7-F7F839D5C16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084E-4EA5-ADCC-FECA2D92894E}"/>
                </c:ext>
              </c:extLst>
            </c:dLbl>
            <c:dLbl>
              <c:idx val="7"/>
              <c:tx>
                <c:rich>
                  <a:bodyPr/>
                  <a:lstStyle/>
                  <a:p>
                    <a:fld id="{48ACB073-E53E-44B7-993B-FF8EF36C10B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084E-4EA5-ADCC-FECA2D92894E}"/>
                </c:ext>
              </c:extLst>
            </c:dLbl>
            <c:dLbl>
              <c:idx val="8"/>
              <c:tx>
                <c:rich>
                  <a:bodyPr/>
                  <a:lstStyle/>
                  <a:p>
                    <a:fld id="{07AC59B3-2E4D-41E2-99B0-0B48FDC9686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084E-4EA5-ADCC-FECA2D92894E}"/>
                </c:ext>
              </c:extLst>
            </c:dLbl>
            <c:dLbl>
              <c:idx val="9"/>
              <c:tx>
                <c:rich>
                  <a:bodyPr/>
                  <a:lstStyle/>
                  <a:p>
                    <a:fld id="{C2D7BE23-DC4C-4733-8F5C-7D68686FA27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084E-4EA5-ADCC-FECA2D92894E}"/>
                </c:ext>
              </c:extLst>
            </c:dLbl>
            <c:dLbl>
              <c:idx val="10"/>
              <c:tx>
                <c:rich>
                  <a:bodyPr/>
                  <a:lstStyle/>
                  <a:p>
                    <a:fld id="{A9EC6B10-8BF5-4B16-B231-C362A0465CD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084E-4EA5-ADCC-FECA2D92894E}"/>
                </c:ext>
              </c:extLst>
            </c:dLbl>
            <c:dLbl>
              <c:idx val="11"/>
              <c:tx>
                <c:rich>
                  <a:bodyPr/>
                  <a:lstStyle/>
                  <a:p>
                    <a:fld id="{4D589FAE-8C92-4F48-BAE8-58EF70F4638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084E-4EA5-ADCC-FECA2D92894E}"/>
                </c:ext>
              </c:extLst>
            </c:dLbl>
            <c:dLbl>
              <c:idx val="12"/>
              <c:tx>
                <c:rich>
                  <a:bodyPr/>
                  <a:lstStyle/>
                  <a:p>
                    <a:fld id="{4F2D7404-894B-47FD-BC88-99FA041F73D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084E-4EA5-ADCC-FECA2D92894E}"/>
                </c:ext>
              </c:extLst>
            </c:dLbl>
            <c:dLbl>
              <c:idx val="13"/>
              <c:tx>
                <c:rich>
                  <a:bodyPr/>
                  <a:lstStyle/>
                  <a:p>
                    <a:fld id="{DF0C6447-27B1-40AE-818E-381266FC917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084E-4EA5-ADCC-FECA2D92894E}"/>
                </c:ext>
              </c:extLst>
            </c:dLbl>
            <c:dLbl>
              <c:idx val="14"/>
              <c:tx>
                <c:rich>
                  <a:bodyPr/>
                  <a:lstStyle/>
                  <a:p>
                    <a:fld id="{EC49AD5A-D865-4A7A-A674-2569272DA9A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084E-4EA5-ADCC-FECA2D92894E}"/>
                </c:ext>
              </c:extLst>
            </c:dLbl>
            <c:dLbl>
              <c:idx val="15"/>
              <c:tx>
                <c:rich>
                  <a:bodyPr/>
                  <a:lstStyle/>
                  <a:p>
                    <a:fld id="{469FDA55-5026-4638-8AF5-57958E83ACC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084E-4EA5-ADCC-FECA2D92894E}"/>
                </c:ext>
              </c:extLst>
            </c:dLbl>
            <c:dLbl>
              <c:idx val="16"/>
              <c:tx>
                <c:rich>
                  <a:bodyPr/>
                  <a:lstStyle/>
                  <a:p>
                    <a:fld id="{9FF3358A-FC86-43CB-B837-84D882580F7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084E-4EA5-ADCC-FECA2D92894E}"/>
                </c:ext>
              </c:extLst>
            </c:dLbl>
            <c:dLbl>
              <c:idx val="17"/>
              <c:tx>
                <c:rich>
                  <a:bodyPr/>
                  <a:lstStyle/>
                  <a:p>
                    <a:fld id="{41C63780-F3BF-4882-BD4D-D335250A4FD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084E-4EA5-ADCC-FECA2D92894E}"/>
                </c:ext>
              </c:extLst>
            </c:dLbl>
            <c:dLbl>
              <c:idx val="18"/>
              <c:tx>
                <c:rich>
                  <a:bodyPr/>
                  <a:lstStyle/>
                  <a:p>
                    <a:fld id="{6C823EE4-88F5-466C-9CB3-5E107B41640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084E-4EA5-ADCC-FECA2D92894E}"/>
                </c:ext>
              </c:extLst>
            </c:dLbl>
            <c:dLbl>
              <c:idx val="19"/>
              <c:tx>
                <c:rich>
                  <a:bodyPr/>
                  <a:lstStyle/>
                  <a:p>
                    <a:fld id="{31F1101A-756E-48AC-8BA8-76534013824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084E-4EA5-ADCC-FECA2D92894E}"/>
                </c:ext>
              </c:extLst>
            </c:dLbl>
            <c:dLbl>
              <c:idx val="20"/>
              <c:tx>
                <c:rich>
                  <a:bodyPr/>
                  <a:lstStyle/>
                  <a:p>
                    <a:fld id="{14414434-85E2-4B8D-9E5D-21A63786440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084E-4EA5-ADCC-FECA2D92894E}"/>
                </c:ext>
              </c:extLst>
            </c:dLbl>
            <c:dLbl>
              <c:idx val="21"/>
              <c:tx>
                <c:rich>
                  <a:bodyPr/>
                  <a:lstStyle/>
                  <a:p>
                    <a:fld id="{A8A50432-9CC8-45B3-B48D-327E5392352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084E-4EA5-ADCC-FECA2D92894E}"/>
                </c:ext>
              </c:extLst>
            </c:dLbl>
            <c:dLbl>
              <c:idx val="22"/>
              <c:tx>
                <c:rich>
                  <a:bodyPr/>
                  <a:lstStyle/>
                  <a:p>
                    <a:fld id="{B5DBF850-B05F-4F47-AF1B-D19B7872B84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084E-4EA5-ADCC-FECA2D92894E}"/>
                </c:ext>
              </c:extLst>
            </c:dLbl>
            <c:dLbl>
              <c:idx val="23"/>
              <c:tx>
                <c:rich>
                  <a:bodyPr/>
                  <a:lstStyle/>
                  <a:p>
                    <a:fld id="{63DE2111-F735-438F-A6D4-D7016D29796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084E-4EA5-ADCC-FECA2D92894E}"/>
                </c:ext>
              </c:extLst>
            </c:dLbl>
            <c:dLbl>
              <c:idx val="24"/>
              <c:tx>
                <c:rich>
                  <a:bodyPr/>
                  <a:lstStyle/>
                  <a:p>
                    <a:fld id="{D320D544-6100-47A1-A48A-D4F8BE01741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084E-4EA5-ADCC-FECA2D92894E}"/>
                </c:ext>
              </c:extLst>
            </c:dLbl>
            <c:dLbl>
              <c:idx val="25"/>
              <c:tx>
                <c:rich>
                  <a:bodyPr/>
                  <a:lstStyle/>
                  <a:p>
                    <a:fld id="{5EB6BA36-FA36-45D0-86F4-DF9C7F6C9C7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084E-4EA5-ADCC-FECA2D92894E}"/>
                </c:ext>
              </c:extLst>
            </c:dLbl>
            <c:dLbl>
              <c:idx val="26"/>
              <c:tx>
                <c:rich>
                  <a:bodyPr/>
                  <a:lstStyle/>
                  <a:p>
                    <a:fld id="{4E7E342A-5A03-4566-A82D-C01F9322146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084E-4EA5-ADCC-FECA2D92894E}"/>
                </c:ext>
              </c:extLst>
            </c:dLbl>
            <c:dLbl>
              <c:idx val="27"/>
              <c:tx>
                <c:rich>
                  <a:bodyPr/>
                  <a:lstStyle/>
                  <a:p>
                    <a:fld id="{87CA8310-C56D-49BC-BC4B-3FC8E0CA1F7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084E-4EA5-ADCC-FECA2D92894E}"/>
                </c:ext>
              </c:extLst>
            </c:dLbl>
            <c:dLbl>
              <c:idx val="28"/>
              <c:tx>
                <c:rich>
                  <a:bodyPr/>
                  <a:lstStyle/>
                  <a:p>
                    <a:fld id="{3B9DF13B-A1D5-4D5B-BF80-C8B6571E4AF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084E-4EA5-ADCC-FECA2D92894E}"/>
                </c:ext>
              </c:extLst>
            </c:dLbl>
            <c:dLbl>
              <c:idx val="29"/>
              <c:tx>
                <c:rich>
                  <a:bodyPr/>
                  <a:lstStyle/>
                  <a:p>
                    <a:fld id="{BC324831-39C1-44D5-ACA4-112FED2B35F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084E-4EA5-ADCC-FECA2D92894E}"/>
                </c:ext>
              </c:extLst>
            </c:dLbl>
            <c:dLbl>
              <c:idx val="30"/>
              <c:tx>
                <c:rich>
                  <a:bodyPr/>
                  <a:lstStyle/>
                  <a:p>
                    <a:fld id="{9D955855-B817-4505-BEF5-68CC3951173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084E-4EA5-ADCC-FECA2D92894E}"/>
                </c:ext>
              </c:extLst>
            </c:dLbl>
            <c:dLbl>
              <c:idx val="31"/>
              <c:tx>
                <c:rich>
                  <a:bodyPr/>
                  <a:lstStyle/>
                  <a:p>
                    <a:fld id="{C7EC3AF2-DDD7-48FD-8257-70813DD2FE4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0-084E-4EA5-ADCC-FECA2D92894E}"/>
                </c:ext>
              </c:extLst>
            </c:dLbl>
            <c:dLbl>
              <c:idx val="32"/>
              <c:tx>
                <c:rich>
                  <a:bodyPr/>
                  <a:lstStyle/>
                  <a:p>
                    <a:fld id="{4131D02F-E119-41C0-B363-4FE5E56C092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084E-4EA5-ADCC-FECA2D92894E}"/>
                </c:ext>
              </c:extLst>
            </c:dLbl>
            <c:dLbl>
              <c:idx val="33"/>
              <c:tx>
                <c:rich>
                  <a:bodyPr/>
                  <a:lstStyle/>
                  <a:p>
                    <a:fld id="{B8D4B9E3-1096-4B82-9FED-F372B92F3CB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2-084E-4EA5-ADCC-FECA2D92894E}"/>
                </c:ext>
              </c:extLst>
            </c:dLbl>
            <c:dLbl>
              <c:idx val="34"/>
              <c:tx>
                <c:rich>
                  <a:bodyPr/>
                  <a:lstStyle/>
                  <a:p>
                    <a:fld id="{FA654FA6-681D-4150-B1EA-161B176535F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084E-4EA5-ADCC-FECA2D92894E}"/>
                </c:ext>
              </c:extLst>
            </c:dLbl>
            <c:dLbl>
              <c:idx val="35"/>
              <c:tx>
                <c:rich>
                  <a:bodyPr/>
                  <a:lstStyle/>
                  <a:p>
                    <a:fld id="{13C6C2C3-486B-40DC-86DC-AF5A97ABCDE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4-084E-4EA5-ADCC-FECA2D92894E}"/>
                </c:ext>
              </c:extLst>
            </c:dLbl>
            <c:dLbl>
              <c:idx val="36"/>
              <c:tx>
                <c:rich>
                  <a:bodyPr/>
                  <a:lstStyle/>
                  <a:p>
                    <a:fld id="{89EC613B-513C-4642-91A5-A6CD4642078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084E-4EA5-ADCC-FECA2D92894E}"/>
                </c:ext>
              </c:extLst>
            </c:dLbl>
            <c:dLbl>
              <c:idx val="37"/>
              <c:tx>
                <c:rich>
                  <a:bodyPr/>
                  <a:lstStyle/>
                  <a:p>
                    <a:fld id="{851563D0-A719-4616-8E83-87A0F08D52C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6-084E-4EA5-ADCC-FECA2D92894E}"/>
                </c:ext>
              </c:extLst>
            </c:dLbl>
            <c:dLbl>
              <c:idx val="38"/>
              <c:tx>
                <c:rich>
                  <a:bodyPr/>
                  <a:lstStyle/>
                  <a:p>
                    <a:fld id="{3FD357E2-5FF1-4487-A441-03DB791FC64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7-084E-4EA5-ADCC-FECA2D92894E}"/>
                </c:ext>
              </c:extLst>
            </c:dLbl>
            <c:dLbl>
              <c:idx val="39"/>
              <c:tx>
                <c:rich>
                  <a:bodyPr/>
                  <a:lstStyle/>
                  <a:p>
                    <a:fld id="{097D2F78-DB91-45C4-9C91-B0E4700F368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8-084E-4EA5-ADCC-FECA2D92894E}"/>
                </c:ext>
              </c:extLst>
            </c:dLbl>
            <c:dLbl>
              <c:idx val="40"/>
              <c:tx>
                <c:rich>
                  <a:bodyPr/>
                  <a:lstStyle/>
                  <a:p>
                    <a:fld id="{CE945F73-FB35-4E50-A69E-7BDE0A8A847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9-084E-4EA5-ADCC-FECA2D92894E}"/>
                </c:ext>
              </c:extLst>
            </c:dLbl>
            <c:dLbl>
              <c:idx val="41"/>
              <c:tx>
                <c:rich>
                  <a:bodyPr/>
                  <a:lstStyle/>
                  <a:p>
                    <a:fld id="{DDD106DA-F7F4-4B31-996F-51D2E7F59EE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A-084E-4EA5-ADCC-FECA2D92894E}"/>
                </c:ext>
              </c:extLst>
            </c:dLbl>
            <c:dLbl>
              <c:idx val="42"/>
              <c:tx>
                <c:rich>
                  <a:bodyPr/>
                  <a:lstStyle/>
                  <a:p>
                    <a:fld id="{C64C263D-3F86-4097-BBF4-98E1D23D984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B-084E-4EA5-ADCC-FECA2D92894E}"/>
                </c:ext>
              </c:extLst>
            </c:dLbl>
            <c:dLbl>
              <c:idx val="43"/>
              <c:tx>
                <c:rich>
                  <a:bodyPr/>
                  <a:lstStyle/>
                  <a:p>
                    <a:fld id="{92ABEB0D-BA14-4D8C-8E20-3DC523D3038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C-084E-4EA5-ADCC-FECA2D92894E}"/>
                </c:ext>
              </c:extLst>
            </c:dLbl>
            <c:dLbl>
              <c:idx val="44"/>
              <c:tx>
                <c:rich>
                  <a:bodyPr/>
                  <a:lstStyle/>
                  <a:p>
                    <a:fld id="{4A909BBC-3EDF-4C35-B59D-9A919058BF3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D-084E-4EA5-ADCC-FECA2D92894E}"/>
                </c:ext>
              </c:extLst>
            </c:dLbl>
            <c:dLbl>
              <c:idx val="45"/>
              <c:tx>
                <c:rich>
                  <a:bodyPr/>
                  <a:lstStyle/>
                  <a:p>
                    <a:fld id="{99594A29-5CC2-4C93-9B8E-DBF34AE3516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E-084E-4EA5-ADCC-FECA2D92894E}"/>
                </c:ext>
              </c:extLst>
            </c:dLbl>
            <c:dLbl>
              <c:idx val="46"/>
              <c:tx>
                <c:rich>
                  <a:bodyPr/>
                  <a:lstStyle/>
                  <a:p>
                    <a:fld id="{B6B0BF3E-7CB4-4C68-BA25-032094D6299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F-084E-4EA5-ADCC-FECA2D92894E}"/>
                </c:ext>
              </c:extLst>
            </c:dLbl>
            <c:dLbl>
              <c:idx val="47"/>
              <c:tx>
                <c:rich>
                  <a:bodyPr/>
                  <a:lstStyle/>
                  <a:p>
                    <a:fld id="{D57EE82C-2A08-4E5E-830F-FD14CFEC599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0-084E-4EA5-ADCC-FECA2D92894E}"/>
                </c:ext>
              </c:extLst>
            </c:dLbl>
            <c:dLbl>
              <c:idx val="48"/>
              <c:tx>
                <c:rich>
                  <a:bodyPr/>
                  <a:lstStyle/>
                  <a:p>
                    <a:fld id="{10DEC957-07BF-4D90-8B3D-B513251A68F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1-084E-4EA5-ADCC-FECA2D92894E}"/>
                </c:ext>
              </c:extLst>
            </c:dLbl>
            <c:dLbl>
              <c:idx val="49"/>
              <c:tx>
                <c:rich>
                  <a:bodyPr/>
                  <a:lstStyle/>
                  <a:p>
                    <a:fld id="{2D799E6C-BADA-4F30-8E15-DD04505FC91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2-084E-4EA5-ADCC-FECA2D92894E}"/>
                </c:ext>
              </c:extLst>
            </c:dLbl>
            <c:dLbl>
              <c:idx val="50"/>
              <c:tx>
                <c:rich>
                  <a:bodyPr/>
                  <a:lstStyle/>
                  <a:p>
                    <a:fld id="{D0A29876-3156-48C7-B109-FEF1ECD5C05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3-084E-4EA5-ADCC-FECA2D92894E}"/>
                </c:ext>
              </c:extLst>
            </c:dLbl>
            <c:dLbl>
              <c:idx val="51"/>
              <c:tx>
                <c:rich>
                  <a:bodyPr/>
                  <a:lstStyle/>
                  <a:p>
                    <a:fld id="{B8048D5E-EF11-44E7-9993-D50D1801260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4-084E-4EA5-ADCC-FECA2D92894E}"/>
                </c:ext>
              </c:extLst>
            </c:dLbl>
            <c:dLbl>
              <c:idx val="52"/>
              <c:tx>
                <c:rich>
                  <a:bodyPr/>
                  <a:lstStyle/>
                  <a:p>
                    <a:fld id="{9D40360B-A4F1-4F6C-B642-ABD9DD228D6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5-084E-4EA5-ADCC-FECA2D92894E}"/>
                </c:ext>
              </c:extLst>
            </c:dLbl>
            <c:dLbl>
              <c:idx val="53"/>
              <c:tx>
                <c:rich>
                  <a:bodyPr/>
                  <a:lstStyle/>
                  <a:p>
                    <a:fld id="{46644B93-E9A4-41CC-9D9F-2457A9B42E6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6-084E-4EA5-ADCC-FECA2D92894E}"/>
                </c:ext>
              </c:extLst>
            </c:dLbl>
            <c:dLbl>
              <c:idx val="54"/>
              <c:tx>
                <c:rich>
                  <a:bodyPr/>
                  <a:lstStyle/>
                  <a:p>
                    <a:fld id="{FD70E4C2-8B05-4325-8DA7-BA436458CC6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7-084E-4EA5-ADCC-FECA2D92894E}"/>
                </c:ext>
              </c:extLst>
            </c:dLbl>
            <c:dLbl>
              <c:idx val="55"/>
              <c:tx>
                <c:rich>
                  <a:bodyPr/>
                  <a:lstStyle/>
                  <a:p>
                    <a:fld id="{142F09F4-3633-40BB-A722-76F2D3348CE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8-084E-4EA5-ADCC-FECA2D92894E}"/>
                </c:ext>
              </c:extLst>
            </c:dLbl>
            <c:dLbl>
              <c:idx val="56"/>
              <c:tx>
                <c:rich>
                  <a:bodyPr/>
                  <a:lstStyle/>
                  <a:p>
                    <a:fld id="{211C6F2E-FC18-42A4-A65F-EAC36CF350A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9-084E-4EA5-ADCC-FECA2D92894E}"/>
                </c:ext>
              </c:extLst>
            </c:dLbl>
            <c:dLbl>
              <c:idx val="57"/>
              <c:tx>
                <c:rich>
                  <a:bodyPr/>
                  <a:lstStyle/>
                  <a:p>
                    <a:fld id="{BE053E57-17D3-4410-BFAB-5B42E8208C3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A-084E-4EA5-ADCC-FECA2D92894E}"/>
                </c:ext>
              </c:extLst>
            </c:dLbl>
            <c:dLbl>
              <c:idx val="58"/>
              <c:tx>
                <c:rich>
                  <a:bodyPr/>
                  <a:lstStyle/>
                  <a:p>
                    <a:fld id="{5B742BBE-605B-44FA-94F7-84A7C86DF75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B-084E-4EA5-ADCC-FECA2D92894E}"/>
                </c:ext>
              </c:extLst>
            </c:dLbl>
            <c:dLbl>
              <c:idx val="59"/>
              <c:tx>
                <c:rich>
                  <a:bodyPr/>
                  <a:lstStyle/>
                  <a:p>
                    <a:fld id="{BA81669E-533A-4DDC-8104-7BE26B5683E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C-084E-4EA5-ADCC-FECA2D92894E}"/>
                </c:ext>
              </c:extLst>
            </c:dLbl>
            <c:dLbl>
              <c:idx val="60"/>
              <c:tx>
                <c:rich>
                  <a:bodyPr/>
                  <a:lstStyle/>
                  <a:p>
                    <a:fld id="{1179FFE4-611F-4D8F-8A12-A4E4AEAD4E3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D-084E-4EA5-ADCC-FECA2D92894E}"/>
                </c:ext>
              </c:extLst>
            </c:dLbl>
            <c:dLbl>
              <c:idx val="61"/>
              <c:tx>
                <c:rich>
                  <a:bodyPr/>
                  <a:lstStyle/>
                  <a:p>
                    <a:fld id="{4763174D-92BC-4570-9BA8-F90B356F3C2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E-084E-4EA5-ADCC-FECA2D92894E}"/>
                </c:ext>
              </c:extLst>
            </c:dLbl>
            <c:dLbl>
              <c:idx val="62"/>
              <c:tx>
                <c:rich>
                  <a:bodyPr/>
                  <a:lstStyle/>
                  <a:p>
                    <a:fld id="{4FA6BA39-2CC0-4553-BF3F-6B7B3070804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F-084E-4EA5-ADCC-FECA2D92894E}"/>
                </c:ext>
              </c:extLst>
            </c:dLbl>
            <c:dLbl>
              <c:idx val="63"/>
              <c:tx>
                <c:rich>
                  <a:bodyPr/>
                  <a:lstStyle/>
                  <a:p>
                    <a:fld id="{DAF74840-570E-47E8-BFBF-C13887354E8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0-084E-4EA5-ADCC-FECA2D92894E}"/>
                </c:ext>
              </c:extLst>
            </c:dLbl>
            <c:dLbl>
              <c:idx val="64"/>
              <c:tx>
                <c:rich>
                  <a:bodyPr/>
                  <a:lstStyle/>
                  <a:p>
                    <a:fld id="{C009EBFD-247C-4C2B-8BE6-4239D3FF2B7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1-084E-4EA5-ADCC-FECA2D92894E}"/>
                </c:ext>
              </c:extLst>
            </c:dLbl>
            <c:dLbl>
              <c:idx val="65"/>
              <c:tx>
                <c:rich>
                  <a:bodyPr/>
                  <a:lstStyle/>
                  <a:p>
                    <a:fld id="{10C5E392-40BA-4538-B5E2-3FC026C2A81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2-084E-4EA5-ADCC-FECA2D92894E}"/>
                </c:ext>
              </c:extLst>
            </c:dLbl>
            <c:dLbl>
              <c:idx val="66"/>
              <c:tx>
                <c:rich>
                  <a:bodyPr/>
                  <a:lstStyle/>
                  <a:p>
                    <a:fld id="{46F7E9CF-3DD7-4DF1-9151-F8F4CCE8C90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3-084E-4EA5-ADCC-FECA2D92894E}"/>
                </c:ext>
              </c:extLst>
            </c:dLbl>
            <c:dLbl>
              <c:idx val="67"/>
              <c:tx>
                <c:rich>
                  <a:bodyPr/>
                  <a:lstStyle/>
                  <a:p>
                    <a:fld id="{47BF3559-FDCC-4A0D-B528-3BD5233F675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4-084E-4EA5-ADCC-FECA2D92894E}"/>
                </c:ext>
              </c:extLst>
            </c:dLbl>
            <c:dLbl>
              <c:idx val="68"/>
              <c:tx>
                <c:rich>
                  <a:bodyPr/>
                  <a:lstStyle/>
                  <a:p>
                    <a:fld id="{D1EA2397-4E9D-43D6-A2AA-5DF58783B4A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5-084E-4EA5-ADCC-FECA2D92894E}"/>
                </c:ext>
              </c:extLst>
            </c:dLbl>
            <c:dLbl>
              <c:idx val="69"/>
              <c:tx>
                <c:rich>
                  <a:bodyPr/>
                  <a:lstStyle/>
                  <a:p>
                    <a:fld id="{12D45C24-A753-4995-976A-8573B1BE176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6-084E-4EA5-ADCC-FECA2D92894E}"/>
                </c:ext>
              </c:extLst>
            </c:dLbl>
            <c:dLbl>
              <c:idx val="70"/>
              <c:tx>
                <c:rich>
                  <a:bodyPr/>
                  <a:lstStyle/>
                  <a:p>
                    <a:fld id="{B50EA413-8DA6-43B9-B872-B53C4A81DC9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7-084E-4EA5-ADCC-FECA2D92894E}"/>
                </c:ext>
              </c:extLst>
            </c:dLbl>
            <c:dLbl>
              <c:idx val="71"/>
              <c:tx>
                <c:rich>
                  <a:bodyPr/>
                  <a:lstStyle/>
                  <a:p>
                    <a:fld id="{19566BF0-797D-41C9-8B25-883CD3516D4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8-084E-4EA5-ADCC-FECA2D92894E}"/>
                </c:ext>
              </c:extLst>
            </c:dLbl>
            <c:dLbl>
              <c:idx val="72"/>
              <c:tx>
                <c:rich>
                  <a:bodyPr/>
                  <a:lstStyle/>
                  <a:p>
                    <a:fld id="{1A8B4C7F-3526-47C3-A248-CBC1D2E1F1A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9-084E-4EA5-ADCC-FECA2D92894E}"/>
                </c:ext>
              </c:extLst>
            </c:dLbl>
            <c:dLbl>
              <c:idx val="73"/>
              <c:tx>
                <c:rich>
                  <a:bodyPr/>
                  <a:lstStyle/>
                  <a:p>
                    <a:fld id="{6C820A6E-43D3-4622-8569-AF884D3338B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A-084E-4EA5-ADCC-FECA2D92894E}"/>
                </c:ext>
              </c:extLst>
            </c:dLbl>
            <c:dLbl>
              <c:idx val="74"/>
              <c:tx>
                <c:rich>
                  <a:bodyPr/>
                  <a:lstStyle/>
                  <a:p>
                    <a:fld id="{24E8B185-490F-4259-AC46-E7E3D35422F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B-084E-4EA5-ADCC-FECA2D92894E}"/>
                </c:ext>
              </c:extLst>
            </c:dLbl>
            <c:dLbl>
              <c:idx val="75"/>
              <c:tx>
                <c:rich>
                  <a:bodyPr/>
                  <a:lstStyle/>
                  <a:p>
                    <a:fld id="{5AE62FB0-156D-4E85-AE9B-7CC509D5BA7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C-084E-4EA5-ADCC-FECA2D92894E}"/>
                </c:ext>
              </c:extLst>
            </c:dLbl>
            <c:dLbl>
              <c:idx val="76"/>
              <c:tx>
                <c:rich>
                  <a:bodyPr/>
                  <a:lstStyle/>
                  <a:p>
                    <a:fld id="{4ACEF2A4-8079-46FA-9F52-C428130596A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D-084E-4EA5-ADCC-FECA2D92894E}"/>
                </c:ext>
              </c:extLst>
            </c:dLbl>
            <c:dLbl>
              <c:idx val="77"/>
              <c:tx>
                <c:rich>
                  <a:bodyPr/>
                  <a:lstStyle/>
                  <a:p>
                    <a:fld id="{08EB28E7-0E5D-4991-B1CE-2C428EC634D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E-084E-4EA5-ADCC-FECA2D92894E}"/>
                </c:ext>
              </c:extLst>
            </c:dLbl>
            <c:dLbl>
              <c:idx val="78"/>
              <c:tx>
                <c:rich>
                  <a:bodyPr/>
                  <a:lstStyle/>
                  <a:p>
                    <a:fld id="{4A629E24-5B6B-4BCB-AEEA-B223675C7AA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F-084E-4EA5-ADCC-FECA2D92894E}"/>
                </c:ext>
              </c:extLst>
            </c:dLbl>
            <c:dLbl>
              <c:idx val="79"/>
              <c:tx>
                <c:rich>
                  <a:bodyPr/>
                  <a:lstStyle/>
                  <a:p>
                    <a:fld id="{662F0DE9-A6A1-4627-8C12-27F7A45234E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0-084E-4EA5-ADCC-FECA2D92894E}"/>
                </c:ext>
              </c:extLst>
            </c:dLbl>
            <c:dLbl>
              <c:idx val="80"/>
              <c:tx>
                <c:rich>
                  <a:bodyPr/>
                  <a:lstStyle/>
                  <a:p>
                    <a:fld id="{26679063-6CD0-423D-B132-D01D0C51892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1-084E-4EA5-ADCC-FECA2D92894E}"/>
                </c:ext>
              </c:extLst>
            </c:dLbl>
            <c:dLbl>
              <c:idx val="81"/>
              <c:tx>
                <c:rich>
                  <a:bodyPr/>
                  <a:lstStyle/>
                  <a:p>
                    <a:fld id="{37E5EA0E-80D4-4CA8-82FB-30A1A09B6ED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2-084E-4EA5-ADCC-FECA2D92894E}"/>
                </c:ext>
              </c:extLst>
            </c:dLbl>
            <c:dLbl>
              <c:idx val="82"/>
              <c:tx>
                <c:rich>
                  <a:bodyPr/>
                  <a:lstStyle/>
                  <a:p>
                    <a:fld id="{735C07EC-29B1-49F7-AE1D-8AB39AD99C9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3-084E-4EA5-ADCC-FECA2D92894E}"/>
                </c:ext>
              </c:extLst>
            </c:dLbl>
            <c:dLbl>
              <c:idx val="83"/>
              <c:tx>
                <c:rich>
                  <a:bodyPr/>
                  <a:lstStyle/>
                  <a:p>
                    <a:fld id="{D70054CF-7392-406A-A023-1310A288B58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4-084E-4EA5-ADCC-FECA2D92894E}"/>
                </c:ext>
              </c:extLst>
            </c:dLbl>
            <c:dLbl>
              <c:idx val="84"/>
              <c:tx>
                <c:rich>
                  <a:bodyPr/>
                  <a:lstStyle/>
                  <a:p>
                    <a:fld id="{6D52ACEF-0DAB-4C79-B73C-B349F8E3ACC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5-084E-4EA5-ADCC-FECA2D92894E}"/>
                </c:ext>
              </c:extLst>
            </c:dLbl>
            <c:dLbl>
              <c:idx val="85"/>
              <c:tx>
                <c:rich>
                  <a:bodyPr/>
                  <a:lstStyle/>
                  <a:p>
                    <a:fld id="{6C052776-263C-4BC3-9927-F974796BBF9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6-084E-4EA5-ADCC-FECA2D92894E}"/>
                </c:ext>
              </c:extLst>
            </c:dLbl>
            <c:dLbl>
              <c:idx val="86"/>
              <c:tx>
                <c:rich>
                  <a:bodyPr/>
                  <a:lstStyle/>
                  <a:p>
                    <a:fld id="{A775B329-3A5F-45E4-9691-0279BA8A6DB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7-084E-4EA5-ADCC-FECA2D92894E}"/>
                </c:ext>
              </c:extLst>
            </c:dLbl>
            <c:dLbl>
              <c:idx val="87"/>
              <c:tx>
                <c:rich>
                  <a:bodyPr/>
                  <a:lstStyle/>
                  <a:p>
                    <a:fld id="{B14AD576-0E68-423A-826F-9E2F745B71F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8-084E-4EA5-ADCC-FECA2D92894E}"/>
                </c:ext>
              </c:extLst>
            </c:dLbl>
            <c:dLbl>
              <c:idx val="88"/>
              <c:tx>
                <c:rich>
                  <a:bodyPr/>
                  <a:lstStyle/>
                  <a:p>
                    <a:fld id="{105987E8-3AED-4999-A2D7-8985080EE8B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9-084E-4EA5-ADCC-FECA2D92894E}"/>
                </c:ext>
              </c:extLst>
            </c:dLbl>
            <c:dLbl>
              <c:idx val="89"/>
              <c:tx>
                <c:rich>
                  <a:bodyPr/>
                  <a:lstStyle/>
                  <a:p>
                    <a:fld id="{FCFBB88C-02A1-4F90-89DE-E3614D4D0C8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A-084E-4EA5-ADCC-FECA2D92894E}"/>
                </c:ext>
              </c:extLst>
            </c:dLbl>
            <c:dLbl>
              <c:idx val="90"/>
              <c:tx>
                <c:rich>
                  <a:bodyPr/>
                  <a:lstStyle/>
                  <a:p>
                    <a:fld id="{35823F05-4E16-4796-8FFE-F2E0B76C1F7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B-084E-4EA5-ADCC-FECA2D92894E}"/>
                </c:ext>
              </c:extLst>
            </c:dLbl>
            <c:dLbl>
              <c:idx val="91"/>
              <c:tx>
                <c:rich>
                  <a:bodyPr/>
                  <a:lstStyle/>
                  <a:p>
                    <a:fld id="{5B6C20DF-C6DA-44C3-A96A-55D26C61B46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C-084E-4EA5-ADCC-FECA2D92894E}"/>
                </c:ext>
              </c:extLst>
            </c:dLbl>
            <c:dLbl>
              <c:idx val="92"/>
              <c:tx>
                <c:rich>
                  <a:bodyPr/>
                  <a:lstStyle/>
                  <a:p>
                    <a:fld id="{54E0CAB8-07FC-481D-9A85-19E21C892CC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D-084E-4EA5-ADCC-FECA2D92894E}"/>
                </c:ext>
              </c:extLst>
            </c:dLbl>
            <c:dLbl>
              <c:idx val="93"/>
              <c:tx>
                <c:rich>
                  <a:bodyPr/>
                  <a:lstStyle/>
                  <a:p>
                    <a:fld id="{BBED265A-2C76-4FC9-AE5F-2CC0623BDFF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E-084E-4EA5-ADCC-FECA2D92894E}"/>
                </c:ext>
              </c:extLst>
            </c:dLbl>
            <c:dLbl>
              <c:idx val="94"/>
              <c:tx>
                <c:rich>
                  <a:bodyPr/>
                  <a:lstStyle/>
                  <a:p>
                    <a:fld id="{F9CFAE3B-B921-4E89-A17E-E7A9A06EDC7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F-084E-4EA5-ADCC-FECA2D92894E}"/>
                </c:ext>
              </c:extLst>
            </c:dLbl>
            <c:dLbl>
              <c:idx val="95"/>
              <c:tx>
                <c:rich>
                  <a:bodyPr/>
                  <a:lstStyle/>
                  <a:p>
                    <a:fld id="{A70B4150-2DA9-4CA4-89F3-C970EA4E231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0-084E-4EA5-ADCC-FECA2D92894E}"/>
                </c:ext>
              </c:extLst>
            </c:dLbl>
            <c:dLbl>
              <c:idx val="96"/>
              <c:tx>
                <c:rich>
                  <a:bodyPr/>
                  <a:lstStyle/>
                  <a:p>
                    <a:fld id="{6C1A6C3E-38AB-4E55-AFF1-4CE502566EE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1-084E-4EA5-ADCC-FECA2D92894E}"/>
                </c:ext>
              </c:extLst>
            </c:dLbl>
            <c:dLbl>
              <c:idx val="97"/>
              <c:tx>
                <c:rich>
                  <a:bodyPr/>
                  <a:lstStyle/>
                  <a:p>
                    <a:fld id="{F8AE8B33-5ABF-4750-BA05-8C0B5164CCA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2-084E-4EA5-ADCC-FECA2D92894E}"/>
                </c:ext>
              </c:extLst>
            </c:dLbl>
            <c:dLbl>
              <c:idx val="98"/>
              <c:tx>
                <c:rich>
                  <a:bodyPr/>
                  <a:lstStyle/>
                  <a:p>
                    <a:fld id="{2D3C4D2F-AD22-4881-84F9-52F4C6BB3E6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3-084E-4EA5-ADCC-FECA2D92894E}"/>
                </c:ext>
              </c:extLst>
            </c:dLbl>
            <c:dLbl>
              <c:idx val="99"/>
              <c:tx>
                <c:rich>
                  <a:bodyPr/>
                  <a:lstStyle/>
                  <a:p>
                    <a:fld id="{F756216C-9EEF-44F3-99B3-9BAA891495E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4-084E-4EA5-ADCC-FECA2D92894E}"/>
                </c:ext>
              </c:extLst>
            </c:dLbl>
            <c:dLbl>
              <c:idx val="100"/>
              <c:tx>
                <c:rich>
                  <a:bodyPr/>
                  <a:lstStyle/>
                  <a:p>
                    <a:fld id="{7AF2C6B1-B9BE-403B-A0E5-6A7A0781BF0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5-084E-4EA5-ADCC-FECA2D92894E}"/>
                </c:ext>
              </c:extLst>
            </c:dLbl>
            <c:dLbl>
              <c:idx val="101"/>
              <c:tx>
                <c:rich>
                  <a:bodyPr/>
                  <a:lstStyle/>
                  <a:p>
                    <a:fld id="{9C838483-02B8-4021-B9BB-7F0E4380D5B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6-084E-4EA5-ADCC-FECA2D92894E}"/>
                </c:ext>
              </c:extLst>
            </c:dLbl>
            <c:dLbl>
              <c:idx val="102"/>
              <c:tx>
                <c:rich>
                  <a:bodyPr/>
                  <a:lstStyle/>
                  <a:p>
                    <a:fld id="{C651A127-CE2A-4DA1-987A-CCFE44819EF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7-084E-4EA5-ADCC-FECA2D92894E}"/>
                </c:ext>
              </c:extLst>
            </c:dLbl>
            <c:dLbl>
              <c:idx val="103"/>
              <c:tx>
                <c:rich>
                  <a:bodyPr/>
                  <a:lstStyle/>
                  <a:p>
                    <a:fld id="{895EE26D-82B9-45F0-9138-C588D34D234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8-084E-4EA5-ADCC-FECA2D92894E}"/>
                </c:ext>
              </c:extLst>
            </c:dLbl>
            <c:dLbl>
              <c:idx val="104"/>
              <c:tx>
                <c:rich>
                  <a:bodyPr/>
                  <a:lstStyle/>
                  <a:p>
                    <a:fld id="{DD7DC4B2-5B76-4E14-B9AB-31ACA241257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9-084E-4EA5-ADCC-FECA2D92894E}"/>
                </c:ext>
              </c:extLst>
            </c:dLbl>
            <c:dLbl>
              <c:idx val="105"/>
              <c:tx>
                <c:rich>
                  <a:bodyPr/>
                  <a:lstStyle/>
                  <a:p>
                    <a:fld id="{FA8F0EB4-0D67-41F5-BEB5-7CC20365F03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A-084E-4EA5-ADCC-FECA2D92894E}"/>
                </c:ext>
              </c:extLst>
            </c:dLbl>
            <c:dLbl>
              <c:idx val="106"/>
              <c:tx>
                <c:rich>
                  <a:bodyPr/>
                  <a:lstStyle/>
                  <a:p>
                    <a:fld id="{93264F2F-3C38-4641-8958-39C7D8D7537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B-084E-4EA5-ADCC-FECA2D92894E}"/>
                </c:ext>
              </c:extLst>
            </c:dLbl>
            <c:dLbl>
              <c:idx val="107"/>
              <c:tx>
                <c:rich>
                  <a:bodyPr/>
                  <a:lstStyle/>
                  <a:p>
                    <a:fld id="{17213BE0-7565-4911-9FAC-3B0D55E06D1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C-084E-4EA5-ADCC-FECA2D92894E}"/>
                </c:ext>
              </c:extLst>
            </c:dLbl>
            <c:dLbl>
              <c:idx val="108"/>
              <c:tx>
                <c:rich>
                  <a:bodyPr/>
                  <a:lstStyle/>
                  <a:p>
                    <a:fld id="{29526A67-A739-4BB0-AB5F-C640E6BB539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D-084E-4EA5-ADCC-FECA2D92894E}"/>
                </c:ext>
              </c:extLst>
            </c:dLbl>
            <c:dLbl>
              <c:idx val="109"/>
              <c:tx>
                <c:rich>
                  <a:bodyPr/>
                  <a:lstStyle/>
                  <a:p>
                    <a:fld id="{3DBEDF13-4214-46DE-AC9B-83A2DD47E58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E-084E-4EA5-ADCC-FECA2D92894E}"/>
                </c:ext>
              </c:extLst>
            </c:dLbl>
            <c:dLbl>
              <c:idx val="110"/>
              <c:tx>
                <c:rich>
                  <a:bodyPr/>
                  <a:lstStyle/>
                  <a:p>
                    <a:fld id="{B78BC3D3-96BA-4755-B3C2-BC23B201688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F-084E-4EA5-ADCC-FECA2D92894E}"/>
                </c:ext>
              </c:extLst>
            </c:dLbl>
            <c:dLbl>
              <c:idx val="111"/>
              <c:tx>
                <c:rich>
                  <a:bodyPr/>
                  <a:lstStyle/>
                  <a:p>
                    <a:fld id="{55A57E52-2ACC-49C7-B8C3-83ED258D5C0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0-084E-4EA5-ADCC-FECA2D92894E}"/>
                </c:ext>
              </c:extLst>
            </c:dLbl>
            <c:dLbl>
              <c:idx val="112"/>
              <c:tx>
                <c:rich>
                  <a:bodyPr/>
                  <a:lstStyle/>
                  <a:p>
                    <a:fld id="{6D581075-B730-4C2E-B91E-75D6F31976A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1-084E-4EA5-ADCC-FECA2D92894E}"/>
                </c:ext>
              </c:extLst>
            </c:dLbl>
            <c:dLbl>
              <c:idx val="113"/>
              <c:tx>
                <c:rich>
                  <a:bodyPr/>
                  <a:lstStyle/>
                  <a:p>
                    <a:fld id="{B69CA2DD-B19D-4061-B6BE-3FC44F16D3F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2-084E-4EA5-ADCC-FECA2D92894E}"/>
                </c:ext>
              </c:extLst>
            </c:dLbl>
            <c:dLbl>
              <c:idx val="114"/>
              <c:tx>
                <c:rich>
                  <a:bodyPr/>
                  <a:lstStyle/>
                  <a:p>
                    <a:fld id="{3519A5D1-7E77-487E-969F-2EB8EB2A617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3-084E-4EA5-ADCC-FECA2D92894E}"/>
                </c:ext>
              </c:extLst>
            </c:dLbl>
            <c:dLbl>
              <c:idx val="115"/>
              <c:tx>
                <c:rich>
                  <a:bodyPr/>
                  <a:lstStyle/>
                  <a:p>
                    <a:fld id="{DF6BAC50-F555-49C2-AAD5-21EDB6C4887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4-084E-4EA5-ADCC-FECA2D92894E}"/>
                </c:ext>
              </c:extLst>
            </c:dLbl>
            <c:dLbl>
              <c:idx val="116"/>
              <c:tx>
                <c:rich>
                  <a:bodyPr/>
                  <a:lstStyle/>
                  <a:p>
                    <a:fld id="{37B8F3E1-4327-44AE-A958-61EF4528479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5-084E-4EA5-ADCC-FECA2D92894E}"/>
                </c:ext>
              </c:extLst>
            </c:dLbl>
            <c:dLbl>
              <c:idx val="117"/>
              <c:tx>
                <c:rich>
                  <a:bodyPr/>
                  <a:lstStyle/>
                  <a:p>
                    <a:fld id="{0F6DB645-9E65-4BA9-A723-5145148D5C5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6-084E-4EA5-ADCC-FECA2D92894E}"/>
                </c:ext>
              </c:extLst>
            </c:dLbl>
            <c:dLbl>
              <c:idx val="118"/>
              <c:tx>
                <c:rich>
                  <a:bodyPr/>
                  <a:lstStyle/>
                  <a:p>
                    <a:fld id="{1860F5F0-0B5D-4D1D-BC26-7B17AD199C5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7-084E-4EA5-ADCC-FECA2D92894E}"/>
                </c:ext>
              </c:extLst>
            </c:dLbl>
            <c:dLbl>
              <c:idx val="119"/>
              <c:tx>
                <c:rich>
                  <a:bodyPr/>
                  <a:lstStyle/>
                  <a:p>
                    <a:fld id="{9BE5DAF7-3E5F-4DE7-83E9-8FB294DD960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8-084E-4EA5-ADCC-FECA2D92894E}"/>
                </c:ext>
              </c:extLst>
            </c:dLbl>
            <c:dLbl>
              <c:idx val="120"/>
              <c:tx>
                <c:rich>
                  <a:bodyPr/>
                  <a:lstStyle/>
                  <a:p>
                    <a:fld id="{903DCB9A-A92D-4603-BE5D-8D41B18B315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9-084E-4EA5-ADCC-FECA2D92894E}"/>
                </c:ext>
              </c:extLst>
            </c:dLbl>
            <c:dLbl>
              <c:idx val="121"/>
              <c:tx>
                <c:rich>
                  <a:bodyPr/>
                  <a:lstStyle/>
                  <a:p>
                    <a:fld id="{88C06217-9524-482B-B0C1-CF4EE3FF754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A-084E-4EA5-ADCC-FECA2D92894E}"/>
                </c:ext>
              </c:extLst>
            </c:dLbl>
            <c:dLbl>
              <c:idx val="122"/>
              <c:tx>
                <c:rich>
                  <a:bodyPr/>
                  <a:lstStyle/>
                  <a:p>
                    <a:fld id="{8E8380FC-883D-4D65-84EB-C077E172160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B-084E-4EA5-ADCC-FECA2D92894E}"/>
                </c:ext>
              </c:extLst>
            </c:dLbl>
            <c:dLbl>
              <c:idx val="123"/>
              <c:tx>
                <c:rich>
                  <a:bodyPr/>
                  <a:lstStyle/>
                  <a:p>
                    <a:fld id="{1544A48C-0AA7-4F2C-8F77-54F03FC401F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C-084E-4EA5-ADCC-FECA2D92894E}"/>
                </c:ext>
              </c:extLst>
            </c:dLbl>
            <c:dLbl>
              <c:idx val="124"/>
              <c:tx>
                <c:rich>
                  <a:bodyPr/>
                  <a:lstStyle/>
                  <a:p>
                    <a:fld id="{D3BA44C4-2FBC-4852-B769-835C6875255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D-084E-4EA5-ADCC-FECA2D92894E}"/>
                </c:ext>
              </c:extLst>
            </c:dLbl>
            <c:dLbl>
              <c:idx val="125"/>
              <c:tx>
                <c:rich>
                  <a:bodyPr/>
                  <a:lstStyle/>
                  <a:p>
                    <a:fld id="{FDC9F19C-7894-4482-B9CD-E13FF257AE2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E-084E-4EA5-ADCC-FECA2D92894E}"/>
                </c:ext>
              </c:extLst>
            </c:dLbl>
            <c:dLbl>
              <c:idx val="126"/>
              <c:tx>
                <c:rich>
                  <a:bodyPr/>
                  <a:lstStyle/>
                  <a:p>
                    <a:fld id="{B8198DBA-8223-4A71-BE99-1384A6A559E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F-084E-4EA5-ADCC-FECA2D92894E}"/>
                </c:ext>
              </c:extLst>
            </c:dLbl>
            <c:dLbl>
              <c:idx val="127"/>
              <c:tx>
                <c:rich>
                  <a:bodyPr/>
                  <a:lstStyle/>
                  <a:p>
                    <a:fld id="{AE6D29E1-D78B-4714-95CC-101AFDAC879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0-084E-4EA5-ADCC-FECA2D92894E}"/>
                </c:ext>
              </c:extLst>
            </c:dLbl>
            <c:dLbl>
              <c:idx val="128"/>
              <c:tx>
                <c:rich>
                  <a:bodyPr/>
                  <a:lstStyle/>
                  <a:p>
                    <a:fld id="{861F2AD9-94A6-4B7C-BE91-CF023D47E80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1-084E-4EA5-ADCC-FECA2D92894E}"/>
                </c:ext>
              </c:extLst>
            </c:dLbl>
            <c:dLbl>
              <c:idx val="129"/>
              <c:tx>
                <c:rich>
                  <a:bodyPr/>
                  <a:lstStyle/>
                  <a:p>
                    <a:fld id="{8DA36613-186D-4DCF-B3D6-7794F6BD234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2-084E-4EA5-ADCC-FECA2D92894E}"/>
                </c:ext>
              </c:extLst>
            </c:dLbl>
            <c:dLbl>
              <c:idx val="130"/>
              <c:tx>
                <c:rich>
                  <a:bodyPr/>
                  <a:lstStyle/>
                  <a:p>
                    <a:fld id="{21BB3B3A-1642-48B8-BA4B-00B9B163DD7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3-084E-4EA5-ADCC-FECA2D92894E}"/>
                </c:ext>
              </c:extLst>
            </c:dLbl>
            <c:dLbl>
              <c:idx val="131"/>
              <c:tx>
                <c:rich>
                  <a:bodyPr/>
                  <a:lstStyle/>
                  <a:p>
                    <a:fld id="{70377843-C4C8-4E2A-AA12-FA9EF295968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4-084E-4EA5-ADCC-FECA2D92894E}"/>
                </c:ext>
              </c:extLst>
            </c:dLbl>
            <c:dLbl>
              <c:idx val="132"/>
              <c:tx>
                <c:rich>
                  <a:bodyPr/>
                  <a:lstStyle/>
                  <a:p>
                    <a:fld id="{07058706-F180-4D2F-983D-8CCB9BAF1F5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5-084E-4EA5-ADCC-FECA2D92894E}"/>
                </c:ext>
              </c:extLst>
            </c:dLbl>
            <c:dLbl>
              <c:idx val="133"/>
              <c:tx>
                <c:rich>
                  <a:bodyPr/>
                  <a:lstStyle/>
                  <a:p>
                    <a:fld id="{8FDA53F4-15BE-4581-A2B3-5C79DA5CF1D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6-084E-4EA5-ADCC-FECA2D92894E}"/>
                </c:ext>
              </c:extLst>
            </c:dLbl>
            <c:dLbl>
              <c:idx val="134"/>
              <c:tx>
                <c:rich>
                  <a:bodyPr/>
                  <a:lstStyle/>
                  <a:p>
                    <a:fld id="{A42B2D1F-E823-4C51-AE70-45482BD14DC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7-084E-4EA5-ADCC-FECA2D92894E}"/>
                </c:ext>
              </c:extLst>
            </c:dLbl>
            <c:dLbl>
              <c:idx val="135"/>
              <c:tx>
                <c:rich>
                  <a:bodyPr/>
                  <a:lstStyle/>
                  <a:p>
                    <a:fld id="{BFC59234-EF4D-4ABD-BF7C-034E5264DD8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8-084E-4EA5-ADCC-FECA2D92894E}"/>
                </c:ext>
              </c:extLst>
            </c:dLbl>
            <c:dLbl>
              <c:idx val="136"/>
              <c:tx>
                <c:rich>
                  <a:bodyPr/>
                  <a:lstStyle/>
                  <a:p>
                    <a:fld id="{68B91FA0-7622-4997-AC04-392B25CA8B2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9-084E-4EA5-ADCC-FECA2D92894E}"/>
                </c:ext>
              </c:extLst>
            </c:dLbl>
            <c:dLbl>
              <c:idx val="137"/>
              <c:tx>
                <c:rich>
                  <a:bodyPr/>
                  <a:lstStyle/>
                  <a:p>
                    <a:fld id="{991AED4C-D835-4DB3-BC83-223AE078EB1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A-084E-4EA5-ADCC-FECA2D92894E}"/>
                </c:ext>
              </c:extLst>
            </c:dLbl>
            <c:dLbl>
              <c:idx val="138"/>
              <c:tx>
                <c:rich>
                  <a:bodyPr/>
                  <a:lstStyle/>
                  <a:p>
                    <a:fld id="{FC15644F-7675-4D12-BC69-7341B0B603A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B-084E-4EA5-ADCC-FECA2D92894E}"/>
                </c:ext>
              </c:extLst>
            </c:dLbl>
            <c:dLbl>
              <c:idx val="139"/>
              <c:tx>
                <c:rich>
                  <a:bodyPr/>
                  <a:lstStyle/>
                  <a:p>
                    <a:fld id="{BA7BFEE6-0622-4347-AB1B-5843A84AF16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C-084E-4EA5-ADCC-FECA2D92894E}"/>
                </c:ext>
              </c:extLst>
            </c:dLbl>
            <c:dLbl>
              <c:idx val="140"/>
              <c:tx>
                <c:rich>
                  <a:bodyPr/>
                  <a:lstStyle/>
                  <a:p>
                    <a:fld id="{787E00CF-A4FC-4487-9AF4-A132E56B5BC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D-084E-4EA5-ADCC-FECA2D92894E}"/>
                </c:ext>
              </c:extLst>
            </c:dLbl>
            <c:dLbl>
              <c:idx val="141"/>
              <c:tx>
                <c:rich>
                  <a:bodyPr/>
                  <a:lstStyle/>
                  <a:p>
                    <a:fld id="{CF26BF8A-2E62-4CC8-8D59-E67D2606448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E-084E-4EA5-ADCC-FECA2D92894E}"/>
                </c:ext>
              </c:extLst>
            </c:dLbl>
            <c:dLbl>
              <c:idx val="142"/>
              <c:tx>
                <c:rich>
                  <a:bodyPr/>
                  <a:lstStyle/>
                  <a:p>
                    <a:fld id="{E9967DA6-8D6C-40FC-8C2F-05D56038C91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F-084E-4EA5-ADCC-FECA2D92894E}"/>
                </c:ext>
              </c:extLst>
            </c:dLbl>
            <c:dLbl>
              <c:idx val="143"/>
              <c:tx>
                <c:rich>
                  <a:bodyPr/>
                  <a:lstStyle/>
                  <a:p>
                    <a:fld id="{9FBED931-5F7F-48E2-A42B-BFA4ACAD994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0-084E-4EA5-ADCC-FECA2D92894E}"/>
                </c:ext>
              </c:extLst>
            </c:dLbl>
            <c:dLbl>
              <c:idx val="144"/>
              <c:tx>
                <c:rich>
                  <a:bodyPr/>
                  <a:lstStyle/>
                  <a:p>
                    <a:fld id="{15C6E89B-62D1-4E01-88AD-E6BF4D469B8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1-084E-4EA5-ADCC-FECA2D92894E}"/>
                </c:ext>
              </c:extLst>
            </c:dLbl>
            <c:dLbl>
              <c:idx val="145"/>
              <c:tx>
                <c:rich>
                  <a:bodyPr/>
                  <a:lstStyle/>
                  <a:p>
                    <a:fld id="{05368355-544C-42A2-9FEC-89FC90BD7DD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2-084E-4EA5-ADCC-FECA2D92894E}"/>
                </c:ext>
              </c:extLst>
            </c:dLbl>
            <c:dLbl>
              <c:idx val="146"/>
              <c:tx>
                <c:rich>
                  <a:bodyPr/>
                  <a:lstStyle/>
                  <a:p>
                    <a:fld id="{4458C0D4-D701-45AF-87F8-8E3A143EF19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3-084E-4EA5-ADCC-FECA2D92894E}"/>
                </c:ext>
              </c:extLst>
            </c:dLbl>
            <c:dLbl>
              <c:idx val="147"/>
              <c:tx>
                <c:rich>
                  <a:bodyPr/>
                  <a:lstStyle/>
                  <a:p>
                    <a:fld id="{C7301B58-A070-4B2B-86D4-4EE610C66D2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4-084E-4EA5-ADCC-FECA2D92894E}"/>
                </c:ext>
              </c:extLst>
            </c:dLbl>
            <c:dLbl>
              <c:idx val="148"/>
              <c:tx>
                <c:rich>
                  <a:bodyPr/>
                  <a:lstStyle/>
                  <a:p>
                    <a:fld id="{F55ACF78-2D20-4624-9362-33859075EF3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5-084E-4EA5-ADCC-FECA2D92894E}"/>
                </c:ext>
              </c:extLst>
            </c:dLbl>
            <c:dLbl>
              <c:idx val="149"/>
              <c:tx>
                <c:rich>
                  <a:bodyPr/>
                  <a:lstStyle/>
                  <a:p>
                    <a:fld id="{859C53E6-A921-40E4-94A2-15EE4735253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6-084E-4EA5-ADCC-FECA2D92894E}"/>
                </c:ext>
              </c:extLst>
            </c:dLbl>
            <c:dLbl>
              <c:idx val="150"/>
              <c:tx>
                <c:rich>
                  <a:bodyPr/>
                  <a:lstStyle/>
                  <a:p>
                    <a:fld id="{C9407EE8-F27D-4AEA-BBD6-635616F2B05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7-084E-4EA5-ADCC-FECA2D92894E}"/>
                </c:ext>
              </c:extLst>
            </c:dLbl>
            <c:dLbl>
              <c:idx val="151"/>
              <c:tx>
                <c:rich>
                  <a:bodyPr/>
                  <a:lstStyle/>
                  <a:p>
                    <a:fld id="{D9094D5D-AD02-43B4-BF47-D078310E167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8-084E-4EA5-ADCC-FECA2D92894E}"/>
                </c:ext>
              </c:extLst>
            </c:dLbl>
            <c:dLbl>
              <c:idx val="152"/>
              <c:tx>
                <c:rich>
                  <a:bodyPr/>
                  <a:lstStyle/>
                  <a:p>
                    <a:fld id="{DC25BDFB-8EA8-4799-87D9-1E13E9417FB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9-084E-4EA5-ADCC-FECA2D92894E}"/>
                </c:ext>
              </c:extLst>
            </c:dLbl>
            <c:dLbl>
              <c:idx val="153"/>
              <c:tx>
                <c:rich>
                  <a:bodyPr/>
                  <a:lstStyle/>
                  <a:p>
                    <a:fld id="{614FCCB8-05EA-4813-812A-A9533632864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A-084E-4EA5-ADCC-FECA2D92894E}"/>
                </c:ext>
              </c:extLst>
            </c:dLbl>
            <c:dLbl>
              <c:idx val="154"/>
              <c:tx>
                <c:rich>
                  <a:bodyPr/>
                  <a:lstStyle/>
                  <a:p>
                    <a:fld id="{7C72FCE6-24E4-462F-B2A0-B7B72147117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B-084E-4EA5-ADCC-FECA2D92894E}"/>
                </c:ext>
              </c:extLst>
            </c:dLbl>
            <c:dLbl>
              <c:idx val="155"/>
              <c:tx>
                <c:rich>
                  <a:bodyPr/>
                  <a:lstStyle/>
                  <a:p>
                    <a:fld id="{FC86CD6D-23BC-4CDE-A7C3-D4735629A64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C-084E-4EA5-ADCC-FECA2D92894E}"/>
                </c:ext>
              </c:extLst>
            </c:dLbl>
            <c:dLbl>
              <c:idx val="156"/>
              <c:tx>
                <c:rich>
                  <a:bodyPr/>
                  <a:lstStyle/>
                  <a:p>
                    <a:fld id="{1D0EFF95-1576-4378-97A9-4FA9DAA12C1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D-084E-4EA5-ADCC-FECA2D92894E}"/>
                </c:ext>
              </c:extLst>
            </c:dLbl>
            <c:dLbl>
              <c:idx val="157"/>
              <c:tx>
                <c:rich>
                  <a:bodyPr/>
                  <a:lstStyle/>
                  <a:p>
                    <a:fld id="{A18FE389-C145-44D6-8DCB-62AA861D4B8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E-084E-4EA5-ADCC-FECA2D92894E}"/>
                </c:ext>
              </c:extLst>
            </c:dLbl>
            <c:dLbl>
              <c:idx val="158"/>
              <c:tx>
                <c:rich>
                  <a:bodyPr/>
                  <a:lstStyle/>
                  <a:p>
                    <a:fld id="{74A4F613-ED71-4B4A-B3E6-A7ABCB6B844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F-084E-4EA5-ADCC-FECA2D92894E}"/>
                </c:ext>
              </c:extLst>
            </c:dLbl>
            <c:dLbl>
              <c:idx val="159"/>
              <c:tx>
                <c:rich>
                  <a:bodyPr/>
                  <a:lstStyle/>
                  <a:p>
                    <a:fld id="{1CAF6EE2-FB64-4CE4-B883-F01F99A5B9F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0-084E-4EA5-ADCC-FECA2D92894E}"/>
                </c:ext>
              </c:extLst>
            </c:dLbl>
            <c:dLbl>
              <c:idx val="160"/>
              <c:tx>
                <c:rich>
                  <a:bodyPr/>
                  <a:lstStyle/>
                  <a:p>
                    <a:fld id="{74BEC106-5369-4029-872F-B6C2AFB06BA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1-084E-4EA5-ADCC-FECA2D92894E}"/>
                </c:ext>
              </c:extLst>
            </c:dLbl>
            <c:dLbl>
              <c:idx val="161"/>
              <c:tx>
                <c:rich>
                  <a:bodyPr/>
                  <a:lstStyle/>
                  <a:p>
                    <a:fld id="{FD886D8C-80FD-4B91-80AE-8F2E4CB2B48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2-084E-4EA5-ADCC-FECA2D92894E}"/>
                </c:ext>
              </c:extLst>
            </c:dLbl>
            <c:dLbl>
              <c:idx val="162"/>
              <c:tx>
                <c:rich>
                  <a:bodyPr/>
                  <a:lstStyle/>
                  <a:p>
                    <a:fld id="{F6399EF0-F85B-47F6-B014-75F5982254E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3-084E-4EA5-ADCC-FECA2D92894E}"/>
                </c:ext>
              </c:extLst>
            </c:dLbl>
            <c:dLbl>
              <c:idx val="163"/>
              <c:tx>
                <c:rich>
                  <a:bodyPr/>
                  <a:lstStyle/>
                  <a:p>
                    <a:fld id="{62798423-9E65-442D-B8B8-32123E7203F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4-084E-4EA5-ADCC-FECA2D92894E}"/>
                </c:ext>
              </c:extLst>
            </c:dLbl>
            <c:dLbl>
              <c:idx val="164"/>
              <c:tx>
                <c:rich>
                  <a:bodyPr/>
                  <a:lstStyle/>
                  <a:p>
                    <a:fld id="{7A388183-BF0D-441E-9C8D-568F0B7B978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5-084E-4EA5-ADCC-FECA2D92894E}"/>
                </c:ext>
              </c:extLst>
            </c:dLbl>
            <c:dLbl>
              <c:idx val="165"/>
              <c:tx>
                <c:rich>
                  <a:bodyPr/>
                  <a:lstStyle/>
                  <a:p>
                    <a:fld id="{D70920D3-3FC8-4356-B807-0AE4EA8389D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6-084E-4EA5-ADCC-FECA2D92894E}"/>
                </c:ext>
              </c:extLst>
            </c:dLbl>
            <c:dLbl>
              <c:idx val="166"/>
              <c:tx>
                <c:rich>
                  <a:bodyPr/>
                  <a:lstStyle/>
                  <a:p>
                    <a:fld id="{CAA24C9D-FDD4-44B2-ACAB-2F697AA6900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7-084E-4EA5-ADCC-FECA2D92894E}"/>
                </c:ext>
              </c:extLst>
            </c:dLbl>
            <c:dLbl>
              <c:idx val="167"/>
              <c:tx>
                <c:rich>
                  <a:bodyPr/>
                  <a:lstStyle/>
                  <a:p>
                    <a:fld id="{D6AF424F-087F-470B-84FE-7B7AA108034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8-084E-4EA5-ADCC-FECA2D92894E}"/>
                </c:ext>
              </c:extLst>
            </c:dLbl>
            <c:dLbl>
              <c:idx val="168"/>
              <c:tx>
                <c:rich>
                  <a:bodyPr/>
                  <a:lstStyle/>
                  <a:p>
                    <a:fld id="{3AFC4CDB-394E-49BF-8454-D35B0E6F1DB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9-084E-4EA5-ADCC-FECA2D92894E}"/>
                </c:ext>
              </c:extLst>
            </c:dLbl>
            <c:dLbl>
              <c:idx val="169"/>
              <c:tx>
                <c:rich>
                  <a:bodyPr/>
                  <a:lstStyle/>
                  <a:p>
                    <a:fld id="{F837E4E0-6FFE-4522-A6CA-C0ECF63A91E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A-084E-4EA5-ADCC-FECA2D92894E}"/>
                </c:ext>
              </c:extLst>
            </c:dLbl>
            <c:dLbl>
              <c:idx val="170"/>
              <c:tx>
                <c:rich>
                  <a:bodyPr/>
                  <a:lstStyle/>
                  <a:p>
                    <a:fld id="{341B19B5-B966-47FD-A592-BA353E2D41F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B-084E-4EA5-ADCC-FECA2D92894E}"/>
                </c:ext>
              </c:extLst>
            </c:dLbl>
            <c:dLbl>
              <c:idx val="171"/>
              <c:tx>
                <c:rich>
                  <a:bodyPr/>
                  <a:lstStyle/>
                  <a:p>
                    <a:fld id="{D9E71880-8D05-40F9-BD4D-B68701B42EC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C-084E-4EA5-ADCC-FECA2D92894E}"/>
                </c:ext>
              </c:extLst>
            </c:dLbl>
            <c:dLbl>
              <c:idx val="172"/>
              <c:tx>
                <c:rich>
                  <a:bodyPr/>
                  <a:lstStyle/>
                  <a:p>
                    <a:fld id="{1C702EC3-505C-4072-8A74-DB84923DCDD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D-084E-4EA5-ADCC-FECA2D92894E}"/>
                </c:ext>
              </c:extLst>
            </c:dLbl>
            <c:dLbl>
              <c:idx val="173"/>
              <c:tx>
                <c:rich>
                  <a:bodyPr/>
                  <a:lstStyle/>
                  <a:p>
                    <a:fld id="{204725CE-573A-42FE-99DC-C463D5FE1DA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E-084E-4EA5-ADCC-FECA2D92894E}"/>
                </c:ext>
              </c:extLst>
            </c:dLbl>
            <c:dLbl>
              <c:idx val="174"/>
              <c:tx>
                <c:rich>
                  <a:bodyPr/>
                  <a:lstStyle/>
                  <a:p>
                    <a:fld id="{DC5D4C4F-DC75-4627-B0BF-0D93529F5BC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F-084E-4EA5-ADCC-FECA2D92894E}"/>
                </c:ext>
              </c:extLst>
            </c:dLbl>
            <c:dLbl>
              <c:idx val="175"/>
              <c:tx>
                <c:rich>
                  <a:bodyPr/>
                  <a:lstStyle/>
                  <a:p>
                    <a:fld id="{6F731500-7A87-4F1B-AAF9-B3D48F39830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0-084E-4EA5-ADCC-FECA2D92894E}"/>
                </c:ext>
              </c:extLst>
            </c:dLbl>
            <c:dLbl>
              <c:idx val="176"/>
              <c:tx>
                <c:rich>
                  <a:bodyPr/>
                  <a:lstStyle/>
                  <a:p>
                    <a:fld id="{4EAA6717-E23B-44A3-AD9C-998FE949676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1-084E-4EA5-ADCC-FECA2D92894E}"/>
                </c:ext>
              </c:extLst>
            </c:dLbl>
            <c:dLbl>
              <c:idx val="177"/>
              <c:tx>
                <c:rich>
                  <a:bodyPr/>
                  <a:lstStyle/>
                  <a:p>
                    <a:fld id="{12725804-AC0D-40DD-9683-44416FFF92B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2-084E-4EA5-ADCC-FECA2D92894E}"/>
                </c:ext>
              </c:extLst>
            </c:dLbl>
            <c:dLbl>
              <c:idx val="178"/>
              <c:tx>
                <c:rich>
                  <a:bodyPr/>
                  <a:lstStyle/>
                  <a:p>
                    <a:fld id="{3C34A5E8-DA9C-490A-B993-E35A2DEEE31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3-084E-4EA5-ADCC-FECA2D92894E}"/>
                </c:ext>
              </c:extLst>
            </c:dLbl>
            <c:dLbl>
              <c:idx val="179"/>
              <c:tx>
                <c:rich>
                  <a:bodyPr/>
                  <a:lstStyle/>
                  <a:p>
                    <a:fld id="{6F2AFE05-4FDD-486F-913B-191A44CB16F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4-084E-4EA5-ADCC-FECA2D92894E}"/>
                </c:ext>
              </c:extLst>
            </c:dLbl>
            <c:dLbl>
              <c:idx val="180"/>
              <c:tx>
                <c:rich>
                  <a:bodyPr/>
                  <a:lstStyle/>
                  <a:p>
                    <a:fld id="{FC72D419-2AF9-4605-82A3-E1ADDBBB177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5-084E-4EA5-ADCC-FECA2D92894E}"/>
                </c:ext>
              </c:extLst>
            </c:dLbl>
            <c:dLbl>
              <c:idx val="181"/>
              <c:tx>
                <c:rich>
                  <a:bodyPr/>
                  <a:lstStyle/>
                  <a:p>
                    <a:fld id="{28D29C1F-A5DF-413B-AFF6-D002E143A6E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6-084E-4EA5-ADCC-FECA2D92894E}"/>
                </c:ext>
              </c:extLst>
            </c:dLbl>
            <c:dLbl>
              <c:idx val="182"/>
              <c:tx>
                <c:rich>
                  <a:bodyPr/>
                  <a:lstStyle/>
                  <a:p>
                    <a:fld id="{8969AB8A-7DD9-408D-AF17-8DF94545EED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7-084E-4EA5-ADCC-FECA2D92894E}"/>
                </c:ext>
              </c:extLst>
            </c:dLbl>
            <c:dLbl>
              <c:idx val="183"/>
              <c:tx>
                <c:rich>
                  <a:bodyPr/>
                  <a:lstStyle/>
                  <a:p>
                    <a:fld id="{5100A005-36B6-4660-B8BE-2253E6F6D2F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8-084E-4EA5-ADCC-FECA2D92894E}"/>
                </c:ext>
              </c:extLst>
            </c:dLbl>
            <c:dLbl>
              <c:idx val="184"/>
              <c:tx>
                <c:rich>
                  <a:bodyPr/>
                  <a:lstStyle/>
                  <a:p>
                    <a:fld id="{74FFC76C-863D-4C56-AD09-7F905D94402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9-084E-4EA5-ADCC-FECA2D92894E}"/>
                </c:ext>
              </c:extLst>
            </c:dLbl>
            <c:dLbl>
              <c:idx val="185"/>
              <c:tx>
                <c:rich>
                  <a:bodyPr/>
                  <a:lstStyle/>
                  <a:p>
                    <a:fld id="{F1F96B8A-8642-4650-86CA-A4FED2898BE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A-084E-4EA5-ADCC-FECA2D92894E}"/>
                </c:ext>
              </c:extLst>
            </c:dLbl>
            <c:dLbl>
              <c:idx val="186"/>
              <c:tx>
                <c:rich>
                  <a:bodyPr/>
                  <a:lstStyle/>
                  <a:p>
                    <a:fld id="{B87928D4-270A-434C-B447-C900A2088E3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B-084E-4EA5-ADCC-FECA2D92894E}"/>
                </c:ext>
              </c:extLst>
            </c:dLbl>
            <c:dLbl>
              <c:idx val="187"/>
              <c:tx>
                <c:rich>
                  <a:bodyPr/>
                  <a:lstStyle/>
                  <a:p>
                    <a:fld id="{8086B9B9-4A2C-4844-A293-A2295CAA830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C-084E-4EA5-ADCC-FECA2D92894E}"/>
                </c:ext>
              </c:extLst>
            </c:dLbl>
            <c:dLbl>
              <c:idx val="188"/>
              <c:tx>
                <c:rich>
                  <a:bodyPr/>
                  <a:lstStyle/>
                  <a:p>
                    <a:fld id="{E8B96231-1616-4339-88E7-048F7422EE4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D-084E-4EA5-ADCC-FECA2D92894E}"/>
                </c:ext>
              </c:extLst>
            </c:dLbl>
            <c:dLbl>
              <c:idx val="189"/>
              <c:tx>
                <c:rich>
                  <a:bodyPr/>
                  <a:lstStyle/>
                  <a:p>
                    <a:fld id="{01ACA987-A810-401A-AABD-CB4E3680104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E-084E-4EA5-ADCC-FECA2D92894E}"/>
                </c:ext>
              </c:extLst>
            </c:dLbl>
            <c:dLbl>
              <c:idx val="190"/>
              <c:tx>
                <c:rich>
                  <a:bodyPr/>
                  <a:lstStyle/>
                  <a:p>
                    <a:fld id="{80A2A263-2F04-4C11-9AD1-B6A4676336D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F-084E-4EA5-ADCC-FECA2D92894E}"/>
                </c:ext>
              </c:extLst>
            </c:dLbl>
            <c:dLbl>
              <c:idx val="191"/>
              <c:tx>
                <c:rich>
                  <a:bodyPr/>
                  <a:lstStyle/>
                  <a:p>
                    <a:fld id="{8BC9FC28-8136-48D7-B479-65E71893F75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0-084E-4EA5-ADCC-FECA2D92894E}"/>
                </c:ext>
              </c:extLst>
            </c:dLbl>
            <c:dLbl>
              <c:idx val="192"/>
              <c:tx>
                <c:rich>
                  <a:bodyPr/>
                  <a:lstStyle/>
                  <a:p>
                    <a:fld id="{3EB8B5A5-9012-440F-9F3E-1EDED2ABC5D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1-084E-4EA5-ADCC-FECA2D92894E}"/>
                </c:ext>
              </c:extLst>
            </c:dLbl>
            <c:dLbl>
              <c:idx val="193"/>
              <c:tx>
                <c:rich>
                  <a:bodyPr/>
                  <a:lstStyle/>
                  <a:p>
                    <a:fld id="{409D335C-9ADC-4F13-A368-39D96E7BBD4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2-084E-4EA5-ADCC-FECA2D92894E}"/>
                </c:ext>
              </c:extLst>
            </c:dLbl>
            <c:dLbl>
              <c:idx val="194"/>
              <c:tx>
                <c:rich>
                  <a:bodyPr/>
                  <a:lstStyle/>
                  <a:p>
                    <a:fld id="{815F5436-CAF7-4A18-81DD-39E2611253C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3-084E-4EA5-ADCC-FECA2D92894E}"/>
                </c:ext>
              </c:extLst>
            </c:dLbl>
            <c:dLbl>
              <c:idx val="195"/>
              <c:tx>
                <c:rich>
                  <a:bodyPr/>
                  <a:lstStyle/>
                  <a:p>
                    <a:fld id="{B62B9C6D-0346-42FE-8178-B3C120CCA34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4-084E-4EA5-ADCC-FECA2D92894E}"/>
                </c:ext>
              </c:extLst>
            </c:dLbl>
            <c:dLbl>
              <c:idx val="196"/>
              <c:tx>
                <c:rich>
                  <a:bodyPr/>
                  <a:lstStyle/>
                  <a:p>
                    <a:fld id="{A9AFD3C5-4C1E-49FF-8D41-75C4DF81B57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5-084E-4EA5-ADCC-FECA2D92894E}"/>
                </c:ext>
              </c:extLst>
            </c:dLbl>
            <c:dLbl>
              <c:idx val="197"/>
              <c:tx>
                <c:rich>
                  <a:bodyPr/>
                  <a:lstStyle/>
                  <a:p>
                    <a:fld id="{A31E0307-9679-4E33-863F-0FD35E52ED6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6-084E-4EA5-ADCC-FECA2D92894E}"/>
                </c:ext>
              </c:extLst>
            </c:dLbl>
            <c:dLbl>
              <c:idx val="198"/>
              <c:tx>
                <c:rich>
                  <a:bodyPr/>
                  <a:lstStyle/>
                  <a:p>
                    <a:fld id="{729D40FF-4ADC-4A43-80E5-8014224EE60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7-084E-4EA5-ADCC-FECA2D92894E}"/>
                </c:ext>
              </c:extLst>
            </c:dLbl>
            <c:dLbl>
              <c:idx val="199"/>
              <c:tx>
                <c:rich>
                  <a:bodyPr/>
                  <a:lstStyle/>
                  <a:p>
                    <a:fld id="{C820F8C2-039C-406F-8FE4-5AEC543E8B2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8-084E-4EA5-ADCC-FECA2D92894E}"/>
                </c:ext>
              </c:extLst>
            </c:dLbl>
            <c:dLbl>
              <c:idx val="200"/>
              <c:tx>
                <c:rich>
                  <a:bodyPr/>
                  <a:lstStyle/>
                  <a:p>
                    <a:fld id="{53F86EE0-563B-48CB-A39C-D315FEFEFD5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9-084E-4EA5-ADCC-FECA2D92894E}"/>
                </c:ext>
              </c:extLst>
            </c:dLbl>
            <c:dLbl>
              <c:idx val="201"/>
              <c:tx>
                <c:rich>
                  <a:bodyPr/>
                  <a:lstStyle/>
                  <a:p>
                    <a:fld id="{809C9D7D-6888-406F-96BE-E874A747265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A-084E-4EA5-ADCC-FECA2D92894E}"/>
                </c:ext>
              </c:extLst>
            </c:dLbl>
            <c:dLbl>
              <c:idx val="202"/>
              <c:tx>
                <c:rich>
                  <a:bodyPr/>
                  <a:lstStyle/>
                  <a:p>
                    <a:fld id="{CFA2B223-D64B-4D3F-8728-B4E78F12217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B-084E-4EA5-ADCC-FECA2D92894E}"/>
                </c:ext>
              </c:extLst>
            </c:dLbl>
            <c:dLbl>
              <c:idx val="203"/>
              <c:tx>
                <c:rich>
                  <a:bodyPr/>
                  <a:lstStyle/>
                  <a:p>
                    <a:fld id="{14765B55-2FC4-4F6A-9AF7-8BDFF2D481E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C-084E-4EA5-ADCC-FECA2D92894E}"/>
                </c:ext>
              </c:extLst>
            </c:dLbl>
            <c:dLbl>
              <c:idx val="204"/>
              <c:tx>
                <c:rich>
                  <a:bodyPr/>
                  <a:lstStyle/>
                  <a:p>
                    <a:fld id="{DA8D3E85-E4F0-4BEA-B87C-5E3332A2DD0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D-084E-4EA5-ADCC-FECA2D92894E}"/>
                </c:ext>
              </c:extLst>
            </c:dLbl>
            <c:dLbl>
              <c:idx val="205"/>
              <c:tx>
                <c:rich>
                  <a:bodyPr/>
                  <a:lstStyle/>
                  <a:p>
                    <a:fld id="{25B42C0C-C464-476A-9204-2A4EC94E3E3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E-084E-4EA5-ADCC-FECA2D92894E}"/>
                </c:ext>
              </c:extLst>
            </c:dLbl>
            <c:dLbl>
              <c:idx val="206"/>
              <c:tx>
                <c:rich>
                  <a:bodyPr/>
                  <a:lstStyle/>
                  <a:p>
                    <a:fld id="{AD775CFF-9C93-4020-B92E-4B2062BC21E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F-084E-4EA5-ADCC-FECA2D92894E}"/>
                </c:ext>
              </c:extLst>
            </c:dLbl>
            <c:dLbl>
              <c:idx val="207"/>
              <c:tx>
                <c:rich>
                  <a:bodyPr/>
                  <a:lstStyle/>
                  <a:p>
                    <a:fld id="{A0C7E9DE-5842-4B6F-8C23-DDB0E213099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0-084E-4EA5-ADCC-FECA2D92894E}"/>
                </c:ext>
              </c:extLst>
            </c:dLbl>
            <c:dLbl>
              <c:idx val="208"/>
              <c:tx>
                <c:rich>
                  <a:bodyPr/>
                  <a:lstStyle/>
                  <a:p>
                    <a:fld id="{5F6B60BA-4BCA-41E6-B642-810DE9ECB95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1-084E-4EA5-ADCC-FECA2D92894E}"/>
                </c:ext>
              </c:extLst>
            </c:dLbl>
            <c:dLbl>
              <c:idx val="209"/>
              <c:tx>
                <c:rich>
                  <a:bodyPr/>
                  <a:lstStyle/>
                  <a:p>
                    <a:fld id="{061F4315-184F-4BC6-A2EC-E027A6622E9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2-084E-4EA5-ADCC-FECA2D92894E}"/>
                </c:ext>
              </c:extLst>
            </c:dLbl>
            <c:dLbl>
              <c:idx val="210"/>
              <c:tx>
                <c:rich>
                  <a:bodyPr/>
                  <a:lstStyle/>
                  <a:p>
                    <a:fld id="{B92A65CE-6EB7-4CF5-BA57-A125174A1D8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3-084E-4EA5-ADCC-FECA2D92894E}"/>
                </c:ext>
              </c:extLst>
            </c:dLbl>
            <c:dLbl>
              <c:idx val="211"/>
              <c:tx>
                <c:rich>
                  <a:bodyPr/>
                  <a:lstStyle/>
                  <a:p>
                    <a:fld id="{05C6EF24-C949-4553-9893-BBDCAAA1060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4-084E-4EA5-ADCC-FECA2D92894E}"/>
                </c:ext>
              </c:extLst>
            </c:dLbl>
            <c:dLbl>
              <c:idx val="212"/>
              <c:tx>
                <c:rich>
                  <a:bodyPr/>
                  <a:lstStyle/>
                  <a:p>
                    <a:fld id="{832A4EC1-7D73-4241-8C1A-BEF7E942A3F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5-084E-4EA5-ADCC-FECA2D92894E}"/>
                </c:ext>
              </c:extLst>
            </c:dLbl>
            <c:dLbl>
              <c:idx val="213"/>
              <c:tx>
                <c:rich>
                  <a:bodyPr/>
                  <a:lstStyle/>
                  <a:p>
                    <a:fld id="{95E48DFF-EAA8-4893-B3EC-FFE6AA8D585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6-084E-4EA5-ADCC-FECA2D92894E}"/>
                </c:ext>
              </c:extLst>
            </c:dLbl>
            <c:dLbl>
              <c:idx val="214"/>
              <c:tx>
                <c:rich>
                  <a:bodyPr/>
                  <a:lstStyle/>
                  <a:p>
                    <a:fld id="{73B54213-B594-48EE-B81D-5BF0190A760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7-084E-4EA5-ADCC-FECA2D92894E}"/>
                </c:ext>
              </c:extLst>
            </c:dLbl>
            <c:dLbl>
              <c:idx val="215"/>
              <c:tx>
                <c:rich>
                  <a:bodyPr/>
                  <a:lstStyle/>
                  <a:p>
                    <a:fld id="{44CBD4E9-27AE-4711-AF86-6F721AFEF53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8-084E-4EA5-ADCC-FECA2D92894E}"/>
                </c:ext>
              </c:extLst>
            </c:dLbl>
            <c:dLbl>
              <c:idx val="216"/>
              <c:tx>
                <c:rich>
                  <a:bodyPr/>
                  <a:lstStyle/>
                  <a:p>
                    <a:fld id="{8A835327-FE25-40FA-A534-8DA85C3D17C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9-084E-4EA5-ADCC-FECA2D92894E}"/>
                </c:ext>
              </c:extLst>
            </c:dLbl>
            <c:dLbl>
              <c:idx val="217"/>
              <c:tx>
                <c:rich>
                  <a:bodyPr/>
                  <a:lstStyle/>
                  <a:p>
                    <a:fld id="{55100CBA-F97D-4BFB-B330-85A133D731A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A-084E-4EA5-ADCC-FECA2D92894E}"/>
                </c:ext>
              </c:extLst>
            </c:dLbl>
            <c:dLbl>
              <c:idx val="218"/>
              <c:tx>
                <c:rich>
                  <a:bodyPr/>
                  <a:lstStyle/>
                  <a:p>
                    <a:fld id="{CD50C679-D549-46AE-928C-54FD2D279DD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B-084E-4EA5-ADCC-FECA2D92894E}"/>
                </c:ext>
              </c:extLst>
            </c:dLbl>
            <c:dLbl>
              <c:idx val="219"/>
              <c:tx>
                <c:rich>
                  <a:bodyPr/>
                  <a:lstStyle/>
                  <a:p>
                    <a:fld id="{A78BAD74-F7FB-47AB-928B-80099117A31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C-084E-4EA5-ADCC-FECA2D92894E}"/>
                </c:ext>
              </c:extLst>
            </c:dLbl>
            <c:dLbl>
              <c:idx val="220"/>
              <c:tx>
                <c:rich>
                  <a:bodyPr/>
                  <a:lstStyle/>
                  <a:p>
                    <a:fld id="{6AB1F844-14D1-435C-8F66-A443C136568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D-084E-4EA5-ADCC-FECA2D92894E}"/>
                </c:ext>
              </c:extLst>
            </c:dLbl>
            <c:dLbl>
              <c:idx val="221"/>
              <c:tx>
                <c:rich>
                  <a:bodyPr/>
                  <a:lstStyle/>
                  <a:p>
                    <a:fld id="{B47D7B85-9AEE-4C8E-A873-6CDBC22B0FF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E-084E-4EA5-ADCC-FECA2D92894E}"/>
                </c:ext>
              </c:extLst>
            </c:dLbl>
            <c:dLbl>
              <c:idx val="222"/>
              <c:tx>
                <c:rich>
                  <a:bodyPr/>
                  <a:lstStyle/>
                  <a:p>
                    <a:fld id="{4AEE3705-5C3A-4FD6-B32F-1F068E71CBD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F-084E-4EA5-ADCC-FECA2D92894E}"/>
                </c:ext>
              </c:extLst>
            </c:dLbl>
            <c:dLbl>
              <c:idx val="223"/>
              <c:tx>
                <c:rich>
                  <a:bodyPr/>
                  <a:lstStyle/>
                  <a:p>
                    <a:fld id="{EE73A79A-EE13-41BA-9A61-A6560E73BE4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0-084E-4EA5-ADCC-FECA2D92894E}"/>
                </c:ext>
              </c:extLst>
            </c:dLbl>
            <c:dLbl>
              <c:idx val="224"/>
              <c:tx>
                <c:rich>
                  <a:bodyPr/>
                  <a:lstStyle/>
                  <a:p>
                    <a:fld id="{2DE17129-564F-4AB5-8796-26259ACFE08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1-084E-4EA5-ADCC-FECA2D92894E}"/>
                </c:ext>
              </c:extLst>
            </c:dLbl>
            <c:dLbl>
              <c:idx val="225"/>
              <c:tx>
                <c:rich>
                  <a:bodyPr/>
                  <a:lstStyle/>
                  <a:p>
                    <a:fld id="{6CD25143-EA7C-400F-A5B9-137CC3FCA1E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2-084E-4EA5-ADCC-FECA2D92894E}"/>
                </c:ext>
              </c:extLst>
            </c:dLbl>
            <c:dLbl>
              <c:idx val="22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3-084E-4EA5-ADCC-FECA2D92894E}"/>
                </c:ext>
              </c:extLst>
            </c:dLbl>
            <c:dLbl>
              <c:idx val="22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4-084E-4EA5-ADCC-FECA2D92894E}"/>
                </c:ext>
              </c:extLst>
            </c:dLbl>
            <c:dLbl>
              <c:idx val="22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5-084E-4EA5-ADCC-FECA2D92894E}"/>
                </c:ext>
              </c:extLst>
            </c:dLbl>
            <c:dLbl>
              <c:idx val="22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6-084E-4EA5-ADCC-FECA2D92894E}"/>
                </c:ext>
              </c:extLst>
            </c:dLbl>
            <c:dLbl>
              <c:idx val="23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7-084E-4EA5-ADCC-FECA2D92894E}"/>
                </c:ext>
              </c:extLst>
            </c:dLbl>
            <c:dLbl>
              <c:idx val="23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8-084E-4EA5-ADCC-FECA2D92894E}"/>
                </c:ext>
              </c:extLst>
            </c:dLbl>
            <c:dLbl>
              <c:idx val="23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9-084E-4EA5-ADCC-FECA2D92894E}"/>
                </c:ext>
              </c:extLst>
            </c:dLbl>
            <c:dLbl>
              <c:idx val="23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A-084E-4EA5-ADCC-FECA2D92894E}"/>
                </c:ext>
              </c:extLst>
            </c:dLbl>
            <c:dLbl>
              <c:idx val="23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B-084E-4EA5-ADCC-FECA2D92894E}"/>
                </c:ext>
              </c:extLst>
            </c:dLbl>
            <c:dLbl>
              <c:idx val="23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C-084E-4EA5-ADCC-FECA2D92894E}"/>
                </c:ext>
              </c:extLst>
            </c:dLbl>
            <c:dLbl>
              <c:idx val="23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D-084E-4EA5-ADCC-FECA2D92894E}"/>
                </c:ext>
              </c:extLst>
            </c:dLbl>
            <c:dLbl>
              <c:idx val="23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E-084E-4EA5-ADCC-FECA2D92894E}"/>
                </c:ext>
              </c:extLst>
            </c:dLbl>
            <c:dLbl>
              <c:idx val="23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F-084E-4EA5-ADCC-FECA2D92894E}"/>
                </c:ext>
              </c:extLst>
            </c:dLbl>
            <c:dLbl>
              <c:idx val="23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0-084E-4EA5-ADCC-FECA2D92894E}"/>
                </c:ext>
              </c:extLst>
            </c:dLbl>
            <c:dLbl>
              <c:idx val="24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1-084E-4EA5-ADCC-FECA2D92894E}"/>
                </c:ext>
              </c:extLst>
            </c:dLbl>
            <c:dLbl>
              <c:idx val="24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2-084E-4EA5-ADCC-FECA2D92894E}"/>
                </c:ext>
              </c:extLst>
            </c:dLbl>
            <c:dLbl>
              <c:idx val="24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3-084E-4EA5-ADCC-FECA2D92894E}"/>
                </c:ext>
              </c:extLst>
            </c:dLbl>
            <c:dLbl>
              <c:idx val="24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4-084E-4EA5-ADCC-FECA2D92894E}"/>
                </c:ext>
              </c:extLst>
            </c:dLbl>
            <c:dLbl>
              <c:idx val="24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5-084E-4EA5-ADCC-FECA2D92894E}"/>
                </c:ext>
              </c:extLst>
            </c:dLbl>
            <c:dLbl>
              <c:idx val="24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6-084E-4EA5-ADCC-FECA2D92894E}"/>
                </c:ext>
              </c:extLst>
            </c:dLbl>
            <c:dLbl>
              <c:idx val="24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7-084E-4EA5-ADCC-FECA2D92894E}"/>
                </c:ext>
              </c:extLst>
            </c:dLbl>
            <c:dLbl>
              <c:idx val="24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8-084E-4EA5-ADCC-FECA2D92894E}"/>
                </c:ext>
              </c:extLst>
            </c:dLbl>
            <c:dLbl>
              <c:idx val="24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9-084E-4EA5-ADCC-FECA2D92894E}"/>
                </c:ext>
              </c:extLst>
            </c:dLbl>
            <c:dLbl>
              <c:idx val="24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A-084E-4EA5-ADCC-FECA2D92894E}"/>
                </c:ext>
              </c:extLst>
            </c:dLbl>
            <c:dLbl>
              <c:idx val="25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B-084E-4EA5-ADCC-FECA2D92894E}"/>
                </c:ext>
              </c:extLst>
            </c:dLbl>
            <c:dLbl>
              <c:idx val="25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C-084E-4EA5-ADCC-FECA2D92894E}"/>
                </c:ext>
              </c:extLst>
            </c:dLbl>
            <c:dLbl>
              <c:idx val="25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D-084E-4EA5-ADCC-FECA2D92894E}"/>
                </c:ext>
              </c:extLst>
            </c:dLbl>
            <c:dLbl>
              <c:idx val="25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E-084E-4EA5-ADCC-FECA2D92894E}"/>
                </c:ext>
              </c:extLst>
            </c:dLbl>
            <c:dLbl>
              <c:idx val="25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F-084E-4EA5-ADCC-FECA2D92894E}"/>
                </c:ext>
              </c:extLst>
            </c:dLbl>
            <c:dLbl>
              <c:idx val="25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0-084E-4EA5-ADCC-FECA2D92894E}"/>
                </c:ext>
              </c:extLst>
            </c:dLbl>
            <c:dLbl>
              <c:idx val="25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1-084E-4EA5-ADCC-FECA2D92894E}"/>
                </c:ext>
              </c:extLst>
            </c:dLbl>
            <c:dLbl>
              <c:idx val="25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2-084E-4EA5-ADCC-FECA2D92894E}"/>
                </c:ext>
              </c:extLst>
            </c:dLbl>
            <c:dLbl>
              <c:idx val="25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3-084E-4EA5-ADCC-FECA2D92894E}"/>
                </c:ext>
              </c:extLst>
            </c:dLbl>
            <c:dLbl>
              <c:idx val="25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4-084E-4EA5-ADCC-FECA2D92894E}"/>
                </c:ext>
              </c:extLst>
            </c:dLbl>
            <c:dLbl>
              <c:idx val="26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5-084E-4EA5-ADCC-FECA2D92894E}"/>
                </c:ext>
              </c:extLst>
            </c:dLbl>
            <c:dLbl>
              <c:idx val="26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6-084E-4EA5-ADCC-FECA2D92894E}"/>
                </c:ext>
              </c:extLst>
            </c:dLbl>
            <c:dLbl>
              <c:idx val="26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7-084E-4EA5-ADCC-FECA2D92894E}"/>
                </c:ext>
              </c:extLst>
            </c:dLbl>
            <c:dLbl>
              <c:idx val="26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8-084E-4EA5-ADCC-FECA2D92894E}"/>
                </c:ext>
              </c:extLst>
            </c:dLbl>
            <c:dLbl>
              <c:idx val="26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9-084E-4EA5-ADCC-FECA2D92894E}"/>
                </c:ext>
              </c:extLst>
            </c:dLbl>
            <c:dLbl>
              <c:idx val="26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A-084E-4EA5-ADCC-FECA2D92894E}"/>
                </c:ext>
              </c:extLst>
            </c:dLbl>
            <c:dLbl>
              <c:idx val="26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B-084E-4EA5-ADCC-FECA2D92894E}"/>
                </c:ext>
              </c:extLst>
            </c:dLbl>
            <c:dLbl>
              <c:idx val="26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C-084E-4EA5-ADCC-FECA2D92894E}"/>
                </c:ext>
              </c:extLst>
            </c:dLbl>
            <c:dLbl>
              <c:idx val="26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D-084E-4EA5-ADCC-FECA2D92894E}"/>
                </c:ext>
              </c:extLst>
            </c:dLbl>
            <c:dLbl>
              <c:idx val="26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E-084E-4EA5-ADCC-FECA2D92894E}"/>
                </c:ext>
              </c:extLst>
            </c:dLbl>
            <c:dLbl>
              <c:idx val="27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F-084E-4EA5-ADCC-FECA2D92894E}"/>
                </c:ext>
              </c:extLst>
            </c:dLbl>
            <c:dLbl>
              <c:idx val="27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0-084E-4EA5-ADCC-FECA2D92894E}"/>
                </c:ext>
              </c:extLst>
            </c:dLbl>
            <c:dLbl>
              <c:idx val="27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1-084E-4EA5-ADCC-FECA2D92894E}"/>
                </c:ext>
              </c:extLst>
            </c:dLbl>
            <c:dLbl>
              <c:idx val="27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2-084E-4EA5-ADCC-FECA2D92894E}"/>
                </c:ext>
              </c:extLst>
            </c:dLbl>
            <c:dLbl>
              <c:idx val="27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3-084E-4EA5-ADCC-FECA2D92894E}"/>
                </c:ext>
              </c:extLst>
            </c:dLbl>
            <c:dLbl>
              <c:idx val="27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4-084E-4EA5-ADCC-FECA2D92894E}"/>
                </c:ext>
              </c:extLst>
            </c:dLbl>
            <c:dLbl>
              <c:idx val="27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5-084E-4EA5-ADCC-FECA2D92894E}"/>
                </c:ext>
              </c:extLst>
            </c:dLbl>
            <c:dLbl>
              <c:idx val="27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6-084E-4EA5-ADCC-FECA2D92894E}"/>
                </c:ext>
              </c:extLst>
            </c:dLbl>
            <c:dLbl>
              <c:idx val="27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7-084E-4EA5-ADCC-FECA2D92894E}"/>
                </c:ext>
              </c:extLst>
            </c:dLbl>
            <c:dLbl>
              <c:idx val="27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8-084E-4EA5-ADCC-FECA2D92894E}"/>
                </c:ext>
              </c:extLst>
            </c:dLbl>
            <c:dLbl>
              <c:idx val="28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9-084E-4EA5-ADCC-FECA2D92894E}"/>
                </c:ext>
              </c:extLst>
            </c:dLbl>
            <c:dLbl>
              <c:idx val="28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A-084E-4EA5-ADCC-FECA2D92894E}"/>
                </c:ext>
              </c:extLst>
            </c:dLbl>
            <c:dLbl>
              <c:idx val="28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B-084E-4EA5-ADCC-FECA2D92894E}"/>
                </c:ext>
              </c:extLst>
            </c:dLbl>
            <c:dLbl>
              <c:idx val="28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C-084E-4EA5-ADCC-FECA2D92894E}"/>
                </c:ext>
              </c:extLst>
            </c:dLbl>
            <c:dLbl>
              <c:idx val="28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D-084E-4EA5-ADCC-FECA2D92894E}"/>
                </c:ext>
              </c:extLst>
            </c:dLbl>
            <c:dLbl>
              <c:idx val="28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E-084E-4EA5-ADCC-FECA2D92894E}"/>
                </c:ext>
              </c:extLst>
            </c:dLbl>
            <c:dLbl>
              <c:idx val="28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F-084E-4EA5-ADCC-FECA2D92894E}"/>
                </c:ext>
              </c:extLst>
            </c:dLbl>
            <c:dLbl>
              <c:idx val="28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0-084E-4EA5-ADCC-FECA2D92894E}"/>
                </c:ext>
              </c:extLst>
            </c:dLbl>
            <c:dLbl>
              <c:idx val="28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1-084E-4EA5-ADCC-FECA2D92894E}"/>
                </c:ext>
              </c:extLst>
            </c:dLbl>
            <c:dLbl>
              <c:idx val="28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2-084E-4EA5-ADCC-FECA2D92894E}"/>
                </c:ext>
              </c:extLst>
            </c:dLbl>
            <c:dLbl>
              <c:idx val="29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3-084E-4EA5-ADCC-FECA2D92894E}"/>
                </c:ext>
              </c:extLst>
            </c:dLbl>
            <c:dLbl>
              <c:idx val="29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4-084E-4EA5-ADCC-FECA2D92894E}"/>
                </c:ext>
              </c:extLst>
            </c:dLbl>
            <c:dLbl>
              <c:idx val="29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5-084E-4EA5-ADCC-FECA2D92894E}"/>
                </c:ext>
              </c:extLst>
            </c:dLbl>
            <c:dLbl>
              <c:idx val="29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6-084E-4EA5-ADCC-FECA2D92894E}"/>
                </c:ext>
              </c:extLst>
            </c:dLbl>
            <c:dLbl>
              <c:idx val="29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7-084E-4EA5-ADCC-FECA2D92894E}"/>
                </c:ext>
              </c:extLst>
            </c:dLbl>
            <c:dLbl>
              <c:idx val="29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8-084E-4EA5-ADCC-FECA2D92894E}"/>
                </c:ext>
              </c:extLst>
            </c:dLbl>
            <c:dLbl>
              <c:idx val="29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9-084E-4EA5-ADCC-FECA2D92894E}"/>
                </c:ext>
              </c:extLst>
            </c:dLbl>
            <c:dLbl>
              <c:idx val="29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A-084E-4EA5-ADCC-FECA2D92894E}"/>
                </c:ext>
              </c:extLst>
            </c:dLbl>
            <c:dLbl>
              <c:idx val="29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B-084E-4EA5-ADCC-FECA2D92894E}"/>
                </c:ext>
              </c:extLst>
            </c:dLbl>
            <c:spPr>
              <a:noFill/>
              <a:ln>
                <a:noFill/>
              </a:ln>
              <a:effectLst/>
            </c:spPr>
            <c:txPr>
              <a:bodyPr rot="-5400000" vert="horz" wrap="square" lIns="38100" tIns="19050" rIns="38100" bIns="19050" anchor="ctr">
                <a:spAutoFit/>
              </a:bodyPr>
              <a:lstStyle/>
              <a:p>
                <a:pPr>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ext>
            </c:extLst>
          </c:dLbls>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NormalisedUVVisData!$H$2:$H$300</c:f>
              <c:numCache>
                <c:formatCode>General</c:formatCode>
                <c:ptCount val="299"/>
                <c:pt idx="0">
                  <c:v>48.574314117431641</c:v>
                </c:pt>
                <c:pt idx="1">
                  <c:v>50.445053100585938</c:v>
                </c:pt>
                <c:pt idx="2">
                  <c:v>50.757942199707031</c:v>
                </c:pt>
                <c:pt idx="3">
                  <c:v>50.210697174072266</c:v>
                </c:pt>
                <c:pt idx="4">
                  <c:v>48.933311462402344</c:v>
                </c:pt>
                <c:pt idx="5">
                  <c:v>46.944751739501953</c:v>
                </c:pt>
                <c:pt idx="6">
                  <c:v>44.139595031738281</c:v>
                </c:pt>
                <c:pt idx="7">
                  <c:v>41.074260711669922</c:v>
                </c:pt>
                <c:pt idx="8">
                  <c:v>38.470436096191406</c:v>
                </c:pt>
                <c:pt idx="9">
                  <c:v>36.574665069580078</c:v>
                </c:pt>
                <c:pt idx="10">
                  <c:v>35.484958648681641</c:v>
                </c:pt>
                <c:pt idx="11">
                  <c:v>34.793941497802734</c:v>
                </c:pt>
                <c:pt idx="12">
                  <c:v>34.135982513427734</c:v>
                </c:pt>
                <c:pt idx="13">
                  <c:v>33.326431274414063</c:v>
                </c:pt>
                <c:pt idx="14">
                  <c:v>32.279701232910156</c:v>
                </c:pt>
                <c:pt idx="15">
                  <c:v>31.029972076416016</c:v>
                </c:pt>
                <c:pt idx="16">
                  <c:v>29.645483016967773</c:v>
                </c:pt>
                <c:pt idx="17">
                  <c:v>28.222209930419922</c:v>
                </c:pt>
                <c:pt idx="18">
                  <c:v>26.970527648925781</c:v>
                </c:pt>
                <c:pt idx="19">
                  <c:v>25.977441787719727</c:v>
                </c:pt>
                <c:pt idx="20">
                  <c:v>25.441366195678711</c:v>
                </c:pt>
                <c:pt idx="21">
                  <c:v>25.440839767456055</c:v>
                </c:pt>
                <c:pt idx="22">
                  <c:v>26.081100463867188</c:v>
                </c:pt>
                <c:pt idx="23">
                  <c:v>27.347671508789063</c:v>
                </c:pt>
                <c:pt idx="24">
                  <c:v>29.299823760986328</c:v>
                </c:pt>
                <c:pt idx="25">
                  <c:v>31.904994964599609</c:v>
                </c:pt>
                <c:pt idx="26">
                  <c:v>35.249786376953125</c:v>
                </c:pt>
                <c:pt idx="27">
                  <c:v>39.059822082519531</c:v>
                </c:pt>
                <c:pt idx="28">
                  <c:v>43.456466674804688</c:v>
                </c:pt>
                <c:pt idx="29">
                  <c:v>48.052196502685547</c:v>
                </c:pt>
                <c:pt idx="30">
                  <c:v>53.038566589355469</c:v>
                </c:pt>
                <c:pt idx="31">
                  <c:v>58.037155151367188</c:v>
                </c:pt>
                <c:pt idx="32">
                  <c:v>63.252803802490234</c:v>
                </c:pt>
                <c:pt idx="33">
                  <c:v>68.444023132324219</c:v>
                </c:pt>
                <c:pt idx="34">
                  <c:v>73.41522216796875</c:v>
                </c:pt>
                <c:pt idx="35">
                  <c:v>78.360771179199219</c:v>
                </c:pt>
                <c:pt idx="36">
                  <c:v>83.008934020996094</c:v>
                </c:pt>
                <c:pt idx="37">
                  <c:v>87.309707641601563</c:v>
                </c:pt>
                <c:pt idx="38">
                  <c:v>91.086585998535156</c:v>
                </c:pt>
                <c:pt idx="39">
                  <c:v>94.475143432617188</c:v>
                </c:pt>
                <c:pt idx="40">
                  <c:v>97.211738586425781</c:v>
                </c:pt>
                <c:pt idx="41">
                  <c:v>99.083236694335938</c:v>
                </c:pt>
                <c:pt idx="42">
                  <c:v>100.00000762939453</c:v>
                </c:pt>
                <c:pt idx="43">
                  <c:v>99.901336669921875</c:v>
                </c:pt>
                <c:pt idx="44">
                  <c:v>98.759017944335938</c:v>
                </c:pt>
                <c:pt idx="45">
                  <c:v>96.611076354980469</c:v>
                </c:pt>
                <c:pt idx="46">
                  <c:v>93.523353576660156</c:v>
                </c:pt>
                <c:pt idx="47">
                  <c:v>89.574882507324219</c:v>
                </c:pt>
                <c:pt idx="48">
                  <c:v>84.853950500488281</c:v>
                </c:pt>
                <c:pt idx="49">
                  <c:v>79.478584289550781</c:v>
                </c:pt>
                <c:pt idx="50">
                  <c:v>73.597137451171875</c:v>
                </c:pt>
                <c:pt idx="51">
                  <c:v>67.299812316894531</c:v>
                </c:pt>
                <c:pt idx="52">
                  <c:v>60.740215301513672</c:v>
                </c:pt>
                <c:pt idx="53">
                  <c:v>54.105857849121094</c:v>
                </c:pt>
                <c:pt idx="54">
                  <c:v>47.358860015869141</c:v>
                </c:pt>
                <c:pt idx="55">
                  <c:v>41.031364440917969</c:v>
                </c:pt>
                <c:pt idx="56">
                  <c:v>35.044986724853516</c:v>
                </c:pt>
                <c:pt idx="57">
                  <c:v>29.483198165893555</c:v>
                </c:pt>
                <c:pt idx="58">
                  <c:v>24.358606338500977</c:v>
                </c:pt>
                <c:pt idx="59">
                  <c:v>19.9696044921875</c:v>
                </c:pt>
                <c:pt idx="60">
                  <c:v>16.172492980957031</c:v>
                </c:pt>
                <c:pt idx="61">
                  <c:v>12.939757347106934</c:v>
                </c:pt>
                <c:pt idx="62">
                  <c:v>10.36704158782959</c:v>
                </c:pt>
                <c:pt idx="63">
                  <c:v>8.2603664398193359</c:v>
                </c:pt>
                <c:pt idx="64">
                  <c:v>6.6444897651672363</c:v>
                </c:pt>
                <c:pt idx="65">
                  <c:v>5.3980112075805664</c:v>
                </c:pt>
                <c:pt idx="66">
                  <c:v>4.4862527847290039</c:v>
                </c:pt>
                <c:pt idx="67">
                  <c:v>3.7420792579650879</c:v>
                </c:pt>
                <c:pt idx="68">
                  <c:v>3.2293844223022461</c:v>
                </c:pt>
                <c:pt idx="69">
                  <c:v>2.8704953193664551</c:v>
                </c:pt>
                <c:pt idx="70">
                  <c:v>2.630803108215332</c:v>
                </c:pt>
                <c:pt idx="71">
                  <c:v>2.4558515548706055</c:v>
                </c:pt>
                <c:pt idx="72">
                  <c:v>2.3218839168548584</c:v>
                </c:pt>
                <c:pt idx="73">
                  <c:v>2.2479329109191895</c:v>
                </c:pt>
                <c:pt idx="74">
                  <c:v>2.1950728893280029</c:v>
                </c:pt>
                <c:pt idx="75">
                  <c:v>2.1566958427429199</c:v>
                </c:pt>
                <c:pt idx="76">
                  <c:v>2.1565587520599365</c:v>
                </c:pt>
                <c:pt idx="77">
                  <c:v>2.15413498878479</c:v>
                </c:pt>
                <c:pt idx="78">
                  <c:v>2.1417829990386963</c:v>
                </c:pt>
                <c:pt idx="79">
                  <c:v>2.1256401538848877</c:v>
                </c:pt>
                <c:pt idx="80">
                  <c:v>2.1065020561218262</c:v>
                </c:pt>
                <c:pt idx="81">
                  <c:v>2.1115598678588867</c:v>
                </c:pt>
                <c:pt idx="82">
                  <c:v>2.1154880523681641</c:v>
                </c:pt>
                <c:pt idx="83">
                  <c:v>2.1245427131652832</c:v>
                </c:pt>
                <c:pt idx="84">
                  <c:v>2.125612735748291</c:v>
                </c:pt>
                <c:pt idx="85">
                  <c:v>2.1386826038360596</c:v>
                </c:pt>
                <c:pt idx="86">
                  <c:v>2.1152410507202148</c:v>
                </c:pt>
                <c:pt idx="87">
                  <c:v>2.1103708744049072</c:v>
                </c:pt>
                <c:pt idx="88">
                  <c:v>2.1440329551696777</c:v>
                </c:pt>
                <c:pt idx="89">
                  <c:v>2.1302132606506348</c:v>
                </c:pt>
                <c:pt idx="90">
                  <c:v>2.1215291023254395</c:v>
                </c:pt>
                <c:pt idx="91">
                  <c:v>2.1005706787109375</c:v>
                </c:pt>
                <c:pt idx="92">
                  <c:v>2.079045295715332</c:v>
                </c:pt>
                <c:pt idx="93">
                  <c:v>2.0969488620758057</c:v>
                </c:pt>
                <c:pt idx="94">
                  <c:v>2.1270029544830322</c:v>
                </c:pt>
                <c:pt idx="95">
                  <c:v>2.1414401531219482</c:v>
                </c:pt>
                <c:pt idx="96">
                  <c:v>2.1497676372528076</c:v>
                </c:pt>
                <c:pt idx="97">
                  <c:v>2.1500101089477539</c:v>
                </c:pt>
                <c:pt idx="98">
                  <c:v>2.0983023643493652</c:v>
                </c:pt>
                <c:pt idx="99">
                  <c:v>2.0679922103881836</c:v>
                </c:pt>
                <c:pt idx="100">
                  <c:v>2.0977811813354492</c:v>
                </c:pt>
                <c:pt idx="101">
                  <c:v>2.0707542896270752</c:v>
                </c:pt>
                <c:pt idx="102">
                  <c:v>2.0651066303253174</c:v>
                </c:pt>
                <c:pt idx="103">
                  <c:v>2.111710786819458</c:v>
                </c:pt>
                <c:pt idx="104">
                  <c:v>2.1096572875976563</c:v>
                </c:pt>
                <c:pt idx="105">
                  <c:v>2.1106634140014648</c:v>
                </c:pt>
                <c:pt idx="106">
                  <c:v>2.1058754920959473</c:v>
                </c:pt>
                <c:pt idx="107">
                  <c:v>2.1340179443359375</c:v>
                </c:pt>
                <c:pt idx="108">
                  <c:v>2.1346490383148193</c:v>
                </c:pt>
                <c:pt idx="109">
                  <c:v>2.1030080318450928</c:v>
                </c:pt>
                <c:pt idx="110">
                  <c:v>2.105276346206665</c:v>
                </c:pt>
                <c:pt idx="111">
                  <c:v>2.1173675060272217</c:v>
                </c:pt>
                <c:pt idx="112">
                  <c:v>2.0948224067687988</c:v>
                </c:pt>
                <c:pt idx="113">
                  <c:v>2.0719113349914551</c:v>
                </c:pt>
                <c:pt idx="114">
                  <c:v>2.1074211597442627</c:v>
                </c:pt>
                <c:pt idx="115">
                  <c:v>2.1267788410186768</c:v>
                </c:pt>
                <c:pt idx="116">
                  <c:v>2.1382160186767578</c:v>
                </c:pt>
                <c:pt idx="117">
                  <c:v>2.1267697811126709</c:v>
                </c:pt>
                <c:pt idx="118">
                  <c:v>2.0718884468078613</c:v>
                </c:pt>
                <c:pt idx="119">
                  <c:v>2.0489089488983154</c:v>
                </c:pt>
                <c:pt idx="120">
                  <c:v>2.1171433925628662</c:v>
                </c:pt>
                <c:pt idx="121">
                  <c:v>2.1612231731414795</c:v>
                </c:pt>
                <c:pt idx="122">
                  <c:v>2.1083860397338867</c:v>
                </c:pt>
                <c:pt idx="123">
                  <c:v>2.107311487197876</c:v>
                </c:pt>
                <c:pt idx="124">
                  <c:v>2.1048877239227295</c:v>
                </c:pt>
                <c:pt idx="125">
                  <c:v>2.1075811386108398</c:v>
                </c:pt>
                <c:pt idx="126">
                  <c:v>2.0941455364227295</c:v>
                </c:pt>
                <c:pt idx="127">
                  <c:v>2.0654220581054688</c:v>
                </c:pt>
                <c:pt idx="128">
                  <c:v>2.067690372467041</c:v>
                </c:pt>
                <c:pt idx="129">
                  <c:v>2.04736328125</c:v>
                </c:pt>
                <c:pt idx="130">
                  <c:v>2.0601403713226318</c:v>
                </c:pt>
                <c:pt idx="131">
                  <c:v>2.0486025810241699</c:v>
                </c:pt>
                <c:pt idx="132">
                  <c:v>2.0691399574279785</c:v>
                </c:pt>
                <c:pt idx="133">
                  <c:v>2.1193568706512451</c:v>
                </c:pt>
                <c:pt idx="134">
                  <c:v>2.1053769588470459</c:v>
                </c:pt>
                <c:pt idx="135">
                  <c:v>2.1177060604095459</c:v>
                </c:pt>
                <c:pt idx="136">
                  <c:v>2.4916632175445557</c:v>
                </c:pt>
                <c:pt idx="137">
                  <c:v>2.674818754196167</c:v>
                </c:pt>
                <c:pt idx="138">
                  <c:v>2.3070123195648193</c:v>
                </c:pt>
                <c:pt idx="139">
                  <c:v>2.0879306793212891</c:v>
                </c:pt>
                <c:pt idx="140">
                  <c:v>2.1284847259521484</c:v>
                </c:pt>
                <c:pt idx="141">
                  <c:v>2.1047368049621582</c:v>
                </c:pt>
                <c:pt idx="142">
                  <c:v>2.0877935886383057</c:v>
                </c:pt>
                <c:pt idx="143">
                  <c:v>2.0909168720245361</c:v>
                </c:pt>
                <c:pt idx="144">
                  <c:v>2.1168370246887207</c:v>
                </c:pt>
                <c:pt idx="145">
                  <c:v>2.1024410724639893</c:v>
                </c:pt>
                <c:pt idx="146">
                  <c:v>2.1395149230957031</c:v>
                </c:pt>
                <c:pt idx="147">
                  <c:v>2.1398532390594482</c:v>
                </c:pt>
                <c:pt idx="148">
                  <c:v>2.0689435005187988</c:v>
                </c:pt>
                <c:pt idx="149">
                  <c:v>2.0577166080474854</c:v>
                </c:pt>
                <c:pt idx="150">
                  <c:v>2.073676586151123</c:v>
                </c:pt>
                <c:pt idx="151">
                  <c:v>2.129399299621582</c:v>
                </c:pt>
                <c:pt idx="152">
                  <c:v>2.2076945304870605</c:v>
                </c:pt>
                <c:pt idx="153">
                  <c:v>2.1541669368743896</c:v>
                </c:pt>
                <c:pt idx="154">
                  <c:v>2.0958559513092041</c:v>
                </c:pt>
                <c:pt idx="155">
                  <c:v>2.1537141799926758</c:v>
                </c:pt>
                <c:pt idx="156">
                  <c:v>2.1356141567230225</c:v>
                </c:pt>
                <c:pt idx="157">
                  <c:v>2.069277286529541</c:v>
                </c:pt>
                <c:pt idx="158">
                  <c:v>2.0771932601928711</c:v>
                </c:pt>
                <c:pt idx="159">
                  <c:v>2.0787708759307861</c:v>
                </c:pt>
                <c:pt idx="160">
                  <c:v>2.1349508762359619</c:v>
                </c:pt>
                <c:pt idx="161">
                  <c:v>2.2142798900604248</c:v>
                </c:pt>
                <c:pt idx="162">
                  <c:v>2.1358473300933838</c:v>
                </c:pt>
                <c:pt idx="163">
                  <c:v>2.0961027145385742</c:v>
                </c:pt>
                <c:pt idx="164">
                  <c:v>2.1823506355285645</c:v>
                </c:pt>
                <c:pt idx="165">
                  <c:v>2.1731679439544678</c:v>
                </c:pt>
                <c:pt idx="166">
                  <c:v>2.1679317951202393</c:v>
                </c:pt>
                <c:pt idx="167">
                  <c:v>2.1030631065368652</c:v>
                </c:pt>
                <c:pt idx="168">
                  <c:v>2.064699649810791</c:v>
                </c:pt>
                <c:pt idx="169">
                  <c:v>2.1379051208496094</c:v>
                </c:pt>
                <c:pt idx="170">
                  <c:v>2.1785550117492676</c:v>
                </c:pt>
                <c:pt idx="171">
                  <c:v>2.1625630855560303</c:v>
                </c:pt>
                <c:pt idx="172">
                  <c:v>2.1779284477233887</c:v>
                </c:pt>
                <c:pt idx="173">
                  <c:v>2.1483545303344727</c:v>
                </c:pt>
                <c:pt idx="174">
                  <c:v>2.1502616405487061</c:v>
                </c:pt>
                <c:pt idx="175">
                  <c:v>2.206953763961792</c:v>
                </c:pt>
                <c:pt idx="176">
                  <c:v>2.2105298042297363</c:v>
                </c:pt>
                <c:pt idx="177">
                  <c:v>2.1741604804992676</c:v>
                </c:pt>
                <c:pt idx="178">
                  <c:v>2.1996779441833496</c:v>
                </c:pt>
                <c:pt idx="179">
                  <c:v>2.1512494087219238</c:v>
                </c:pt>
                <c:pt idx="180">
                  <c:v>2.1066253185272217</c:v>
                </c:pt>
                <c:pt idx="181">
                  <c:v>2.1438455581665039</c:v>
                </c:pt>
                <c:pt idx="182">
                  <c:v>2.1570067405700684</c:v>
                </c:pt>
                <c:pt idx="183">
                  <c:v>2.197528600692749</c:v>
                </c:pt>
                <c:pt idx="184">
                  <c:v>2.2270660400390625</c:v>
                </c:pt>
                <c:pt idx="185">
                  <c:v>2.1656134128570557</c:v>
                </c:pt>
                <c:pt idx="186">
                  <c:v>2.1535861492156982</c:v>
                </c:pt>
                <c:pt idx="187">
                  <c:v>2.1519627571105957</c:v>
                </c:pt>
                <c:pt idx="188">
                  <c:v>2.1100232601165771</c:v>
                </c:pt>
                <c:pt idx="189">
                  <c:v>2.1170198917388916</c:v>
                </c:pt>
                <c:pt idx="190">
                  <c:v>2.1282238960266113</c:v>
                </c:pt>
                <c:pt idx="191">
                  <c:v>2.1241219043731689</c:v>
                </c:pt>
                <c:pt idx="192">
                  <c:v>2.080636739730835</c:v>
                </c:pt>
                <c:pt idx="193">
                  <c:v>2.0942416191101074</c:v>
                </c:pt>
                <c:pt idx="194">
                  <c:v>2.1049654483795166</c:v>
                </c:pt>
                <c:pt idx="195">
                  <c:v>2.1362588405609131</c:v>
                </c:pt>
                <c:pt idx="196">
                  <c:v>2.158973217010498</c:v>
                </c:pt>
                <c:pt idx="197">
                  <c:v>2.1441154479980469</c:v>
                </c:pt>
                <c:pt idx="198">
                  <c:v>2.149301290512085</c:v>
                </c:pt>
                <c:pt idx="199">
                  <c:v>2.1417052745819092</c:v>
                </c:pt>
                <c:pt idx="200">
                  <c:v>2.1231296062469482</c:v>
                </c:pt>
                <c:pt idx="201">
                  <c:v>2.0762283802032471</c:v>
                </c:pt>
                <c:pt idx="202">
                  <c:v>2.1334419250488281</c:v>
                </c:pt>
                <c:pt idx="203">
                  <c:v>2.1763508319854736</c:v>
                </c:pt>
                <c:pt idx="204">
                  <c:v>2.1166267395019531</c:v>
                </c:pt>
                <c:pt idx="205">
                  <c:v>2.0981514453887939</c:v>
                </c:pt>
                <c:pt idx="206">
                  <c:v>2.0872540473937988</c:v>
                </c:pt>
                <c:pt idx="207">
                  <c:v>2.0842220783233643</c:v>
                </c:pt>
                <c:pt idx="208">
                  <c:v>2.0972552299499512</c:v>
                </c:pt>
                <c:pt idx="209">
                  <c:v>2.1280274391174316</c:v>
                </c:pt>
                <c:pt idx="210">
                  <c:v>2.1318733692169189</c:v>
                </c:pt>
                <c:pt idx="211">
                  <c:v>2.10959792137146</c:v>
                </c:pt>
                <c:pt idx="212">
                  <c:v>2.0923209190368652</c:v>
                </c:pt>
                <c:pt idx="213">
                  <c:v>2.1363320350646973</c:v>
                </c:pt>
                <c:pt idx="214">
                  <c:v>2.1175277233123779</c:v>
                </c:pt>
                <c:pt idx="215">
                  <c:v>2.123673677444458</c:v>
                </c:pt>
                <c:pt idx="216">
                  <c:v>2.1598055362701416</c:v>
                </c:pt>
                <c:pt idx="217">
                  <c:v>2.0699586868286133</c:v>
                </c:pt>
                <c:pt idx="218">
                  <c:v>2.0810253620147705</c:v>
                </c:pt>
                <c:pt idx="219">
                  <c:v>2.1731817722320557</c:v>
                </c:pt>
                <c:pt idx="220">
                  <c:v>2.1858353614807129</c:v>
                </c:pt>
                <c:pt idx="221">
                  <c:v>2.2584097385406494</c:v>
                </c:pt>
                <c:pt idx="222">
                  <c:v>2.244631290435791</c:v>
                </c:pt>
                <c:pt idx="223">
                  <c:v>2.2335734367370605</c:v>
                </c:pt>
                <c:pt idx="224">
                  <c:v>2.1542949676513672</c:v>
                </c:pt>
                <c:pt idx="225">
                  <c:v>2</c:v>
                </c:pt>
              </c:numCache>
            </c:numRef>
          </c:yVal>
          <c:smooth val="1"/>
          <c:extLst>
            <c:ext xmlns:c15="http://schemas.microsoft.com/office/drawing/2012/chart" uri="{02D57815-91ED-43cb-92C2-25804820EDAC}">
              <c15:datalabelsRange>
                <c15:f>PeakLabels!$H$2:$H$300</c15:f>
                <c15:dlblRangeCache>
                  <c:ptCount val="299"/>
                  <c:pt idx="2">
                    <c:v>194</c:v>
                  </c:pt>
                  <c:pt idx="11">
                    <c:v>214s</c:v>
                  </c:pt>
                  <c:pt idx="42">
                    <c:v>274</c:v>
                  </c:pt>
                </c15:dlblRangeCache>
              </c15:datalabelsRange>
            </c:ext>
            <c:ext xmlns:c16="http://schemas.microsoft.com/office/drawing/2014/chart" uri="{C3380CC4-5D6E-409C-BE32-E72D297353CC}">
              <c16:uniqueId val="{00000000-5141-46A1-A384-3EAD28626209}"/>
            </c:ext>
          </c:extLst>
        </c:ser>
        <c:ser>
          <c:idx val="1"/>
          <c:order val="1"/>
          <c:spPr>
            <a:ln w="19050" cap="rnd" cmpd="sng" algn="ctr">
              <a:noFill/>
              <a:prstDash val="solid"/>
              <a:round/>
            </a:ln>
            <a:effectLst/>
            <a:extLst>
              <a:ext uri="{91240B29-F687-4F45-9708-019B960494DF}">
                <a14:hiddenLine xmlns:a14="http://schemas.microsoft.com/office/drawing/2010/main" w="19050" cap="rnd" cmpd="sng" algn="ctr">
                  <a:solidFill>
                    <a:srgbClr val="ED7D31"/>
                  </a:solidFill>
                  <a:prstDash val="solid"/>
                  <a:round/>
                </a14:hiddenLine>
              </a:ext>
            </a:extLst>
          </c:spPr>
          <c:marker>
            <c:symbol val="star"/>
            <c:size val="2"/>
            <c:spPr>
              <a:solidFill>
                <a:srgbClr val="000000"/>
              </a:solidFill>
              <a:ln w="6350" cap="flat" cmpd="sng" algn="ctr">
                <a:noFill/>
                <a:prstDash val="solid"/>
                <a:round/>
              </a:ln>
              <a:effectLst/>
              <a:extLst>
                <a:ext uri="{91240B29-F687-4F45-9708-019B960494DF}">
                  <a14:hiddenLine xmlns:a14="http://schemas.microsoft.com/office/drawing/2010/main" w="6350" cap="flat" cmpd="sng" algn="ctr">
                    <a:solidFill>
                      <a:srgbClr val="ED7D31"/>
                    </a:solidFill>
                    <a:prstDash val="solid"/>
                    <a:round/>
                  </a14:hiddenLine>
                </a:ext>
              </a:extLst>
            </c:spPr>
          </c:marker>
          <c:dLbls>
            <c:dLbl>
              <c:idx val="0"/>
              <c:tx>
                <c:rich>
                  <a:bodyPr/>
                  <a:lstStyle/>
                  <a:p>
                    <a:fld id="{35E7A735-59A5-4EC7-B12F-614A2BCFBC7E}" type="CELLRANGE">
                      <a:rPr lang="en-US"/>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5141-46A1-A384-3EAD28626209}"/>
                </c:ext>
              </c:extLst>
            </c:dLbl>
            <c:dLbl>
              <c:idx val="1"/>
              <c:tx>
                <c:rich>
                  <a:bodyPr/>
                  <a:lstStyle/>
                  <a:p>
                    <a:fld id="{5C24ADC6-C46E-4151-946E-18DF0F080536}" type="CELLRANGE">
                      <a:rPr lang="en-US"/>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5141-46A1-A384-3EAD28626209}"/>
                </c:ext>
              </c:extLst>
            </c:dLbl>
            <c:dLbl>
              <c:idx val="2"/>
              <c:tx>
                <c:rich>
                  <a:bodyPr/>
                  <a:lstStyle/>
                  <a:p>
                    <a:fld id="{D0CD4744-36A7-4057-95BC-3F351296F4B4}" type="CELLRANGE">
                      <a:rPr lang="en-US"/>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5141-46A1-A384-3EAD28626209}"/>
                </c:ext>
              </c:extLst>
            </c:dLbl>
            <c:dLbl>
              <c:idx val="3"/>
              <c:tx>
                <c:rich>
                  <a:bodyPr/>
                  <a:lstStyle/>
                  <a:p>
                    <a:fld id="{AC79FD91-7C06-4010-A6CA-2E348AF2D7FE}" type="CELLRANGE">
                      <a:rPr lang="en-US"/>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5141-46A1-A384-3EAD28626209}"/>
                </c:ext>
              </c:extLst>
            </c:dLbl>
            <c:dLbl>
              <c:idx val="4"/>
              <c:tx>
                <c:rich>
                  <a:bodyPr/>
                  <a:lstStyle/>
                  <a:p>
                    <a:fld id="{0A0A8FB6-0DD2-4BD9-B7E8-34D202BCF537}" type="CELLRANGE">
                      <a:rPr lang="en-US"/>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5141-46A1-A384-3EAD28626209}"/>
                </c:ext>
              </c:extLst>
            </c:dLbl>
            <c:spPr>
              <a:noFill/>
              <a:ln>
                <a:noFill/>
              </a:ln>
              <a:effectLst/>
            </c:spPr>
            <c:txPr>
              <a:bodyPr wrap="square" lIns="38100" tIns="19050" rIns="38100" bIns="19050" anchor="ctr">
                <a:spAutoFit/>
              </a:bodyPr>
              <a:lstStyle/>
              <a:p>
                <a:pPr>
                  <a:defRPr sz="1100"/>
                </a:pPr>
                <a:endParaRPr lang="en-US"/>
              </a:p>
            </c:txPr>
            <c:dLblPos val="b"/>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ext>
            </c:extLst>
          </c:dLbls>
          <c:xVal>
            <c:numRef>
              <c:f>PeakLabels!$CY$2:$CY$6</c:f>
              <c:numCache>
                <c:formatCode>General</c:formatCode>
                <c:ptCount val="5"/>
                <c:pt idx="0">
                  <c:v>200</c:v>
                </c:pt>
                <c:pt idx="1">
                  <c:v>300</c:v>
                </c:pt>
                <c:pt idx="2">
                  <c:v>400</c:v>
                </c:pt>
                <c:pt idx="3">
                  <c:v>500</c:v>
                </c:pt>
                <c:pt idx="4">
                  <c:v>600</c:v>
                </c:pt>
              </c:numCache>
            </c:numRef>
          </c:xVal>
          <c:yVal>
            <c:numRef>
              <c:f>PeakLabels!$CZ$2:$CZ$6</c:f>
              <c:numCache>
                <c:formatCode>General</c:formatCode>
                <c:ptCount val="5"/>
                <c:pt idx="0">
                  <c:v>0</c:v>
                </c:pt>
                <c:pt idx="1">
                  <c:v>0</c:v>
                </c:pt>
                <c:pt idx="2">
                  <c:v>0</c:v>
                </c:pt>
                <c:pt idx="3">
                  <c:v>0</c:v>
                </c:pt>
                <c:pt idx="4">
                  <c:v>0</c:v>
                </c:pt>
              </c:numCache>
            </c:numRef>
          </c:yVal>
          <c:smooth val="1"/>
          <c:extLst>
            <c:ext xmlns:c15="http://schemas.microsoft.com/office/drawing/2012/chart" uri="{02D57815-91ED-43cb-92C2-25804820EDAC}">
              <c15:datalabelsRange>
                <c15:f>PeakLabels!$CY$2:$CY$7</c15:f>
                <c15:dlblRangeCache>
                  <c:ptCount val="6"/>
                  <c:pt idx="0">
                    <c:v>200</c:v>
                  </c:pt>
                  <c:pt idx="1">
                    <c:v>300</c:v>
                  </c:pt>
                  <c:pt idx="2">
                    <c:v>400</c:v>
                  </c:pt>
                  <c:pt idx="3">
                    <c:v>500</c:v>
                  </c:pt>
                  <c:pt idx="4">
                    <c:v>600</c:v>
                  </c:pt>
                </c15:dlblRangeCache>
              </c15:datalabelsRange>
            </c:ext>
            <c:ext xmlns:c16="http://schemas.microsoft.com/office/drawing/2014/chart" uri="{C3380CC4-5D6E-409C-BE32-E72D297353CC}">
              <c16:uniqueId val="{00000006-5141-46A1-A384-3EAD28626209}"/>
            </c:ext>
          </c:extLst>
        </c:ser>
        <c:dLbls>
          <c:showLegendKey val="0"/>
          <c:showVal val="0"/>
          <c:showCatName val="0"/>
          <c:showSerName val="0"/>
          <c:showPercent val="0"/>
          <c:showBubbleSize val="0"/>
        </c:dLbls>
        <c:axId val="1767902464"/>
        <c:axId val="1767907904"/>
      </c:scatterChart>
      <c:valAx>
        <c:axId val="1767902464"/>
        <c:scaling>
          <c:orientation val="minMax"/>
          <c:max val="610"/>
          <c:min val="190"/>
        </c:scaling>
        <c:delete val="0"/>
        <c:axPos val="b"/>
        <c:majorGridlines>
          <c:spPr>
            <a:ln w="9525" cap="flat" cmpd="sng" algn="ctr">
              <a:noFill/>
              <a:prstDash val="solid"/>
              <a:round/>
            </a:ln>
            <a:effectLst/>
            <a:extLst>
              <a:ext uri="{91240B29-F687-4F45-9708-019B960494DF}">
                <a14:hiddenLine xmlns:a14="http://schemas.microsoft.com/office/drawing/2010/main" w="9525" cap="flat" cmpd="sng" algn="ctr">
                  <a:solidFill>
                    <a:sysClr val="windowText" lastClr="000000">
                      <a:lumMod val="15000"/>
                      <a:lumOff val="85000"/>
                    </a:sysClr>
                  </a:solidFill>
                  <a:prstDash val="solid"/>
                  <a:round/>
                </a14:hiddenLine>
              </a:ext>
            </a:extLst>
          </c:spPr>
        </c:majorGridlines>
        <c:numFmt formatCode="General" sourceLinked="1"/>
        <c:majorTickMark val="none"/>
        <c:minorTickMark val="none"/>
        <c:tickLblPos val="none"/>
        <c:spPr>
          <a:noFill/>
          <a:ln w="9525" cap="flat" cmpd="sng" algn="ctr">
            <a:solidFill>
              <a:sysClr val="windowText" lastClr="000000">
                <a:lumMod val="100000"/>
              </a:sysClr>
            </a:solidFill>
            <a:prstDash val="solid"/>
            <a:round/>
            <a:headEnd type="none" w="med" len="med"/>
            <a:tailEnd type="none" w="med" len="med"/>
          </a:ln>
          <a:effectLst/>
        </c:spPr>
        <c:txPr>
          <a:bodyPr rot="0" vert="horz"/>
          <a:lstStyle/>
          <a:p>
            <a:pPr>
              <a:defRPr sz="800" b="0" i="0" u="none" strike="noStrike" baseline="0">
                <a:solidFill>
                  <a:srgbClr val="333333"/>
                </a:solidFill>
                <a:latin typeface="Calibri"/>
                <a:ea typeface="Calibri"/>
                <a:cs typeface="Calibri"/>
              </a:defRPr>
            </a:pPr>
            <a:endParaRPr lang="en-US"/>
          </a:p>
        </c:txPr>
        <c:crossAx val="1767907904"/>
        <c:crossesAt val="0"/>
        <c:crossBetween val="midCat"/>
        <c:majorUnit val="100"/>
      </c:valAx>
      <c:valAx>
        <c:axId val="1767907904"/>
        <c:scaling>
          <c:orientation val="minMax"/>
          <c:max val="124"/>
          <c:min val="0"/>
        </c:scaling>
        <c:delete val="0"/>
        <c:axPos val="l"/>
        <c:majorGridlines>
          <c:spPr>
            <a:ln w="9525" cap="flat" cmpd="sng" algn="ctr">
              <a:noFill/>
              <a:prstDash val="solid"/>
              <a:round/>
            </a:ln>
            <a:effectLst/>
            <a:extLst>
              <a:ext uri="{91240B29-F687-4F45-9708-019B960494DF}">
                <a14:hiddenLine xmlns:a14="http://schemas.microsoft.com/office/drawing/2010/main" w="9525" cap="flat" cmpd="sng" algn="ctr">
                  <a:solidFill>
                    <a:sysClr val="windowText" lastClr="000000">
                      <a:lumMod val="15000"/>
                      <a:lumOff val="85000"/>
                    </a:sysClr>
                  </a:solidFill>
                  <a:prstDash val="solid"/>
                  <a:round/>
                </a14:hiddenLine>
              </a:ext>
            </a:extLst>
          </c:spPr>
        </c:majorGridlines>
        <c:numFmt formatCode="General" sourceLinked="1"/>
        <c:majorTickMark val="out"/>
        <c:minorTickMark val="none"/>
        <c:tickLblPos val="nextTo"/>
        <c:spPr>
          <a:ln w="12700" cap="flat" cmpd="sng" algn="ctr">
            <a:solidFill>
              <a:sysClr val="windowText" lastClr="000000">
                <a:lumMod val="100000"/>
              </a:sysClr>
            </a:solidFill>
            <a:prstDash val="solid"/>
            <a:round/>
            <a:headEnd type="none" w="med" len="med"/>
            <a:tailEnd type="none" w="med" len="med"/>
          </a:ln>
        </c:spPr>
        <c:crossAx val="1767902464"/>
        <c:crosses val="autoZero"/>
        <c:crossBetween val="midCat"/>
        <c:majorUnit val="25"/>
        <c:minorUnit val="5"/>
      </c:valAx>
      <c:spPr>
        <a:noFill/>
        <a:ln>
          <a:solidFill>
            <a:schemeClr val="tx1"/>
          </a:solidFill>
        </a:ln>
        <a:effectLst/>
      </c:spPr>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lumMod val="15000"/>
              <a:lumOff val="85000"/>
            </a:sysClr>
          </a:solidFill>
          <a:prstDash val="solid"/>
          <a:round/>
        </a14:hiddenLine>
      </a:ext>
    </a:ex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01447595124229"/>
          <c:y val="2.8268540749732153E-2"/>
          <c:w val="0.79415100719771992"/>
          <c:h val="0.81774581759149068"/>
        </c:manualLayout>
      </c:layout>
      <c:scatterChart>
        <c:scatterStyle val="smoothMarker"/>
        <c:varyColors val="0"/>
        <c:ser>
          <c:idx val="0"/>
          <c:order val="0"/>
          <c:spPr>
            <a:ln w="19050" cap="rnd" cmpd="sng" algn="ctr">
              <a:solidFill>
                <a:srgbClr val="0000FF"/>
              </a:solidFill>
              <a:prstDash val="solid"/>
              <a:round/>
              <a:headEnd type="none" w="med" len="med"/>
              <a:tailEnd type="none" w="med" len="med"/>
            </a:ln>
          </c:spPr>
          <c:marker>
            <c:symbol val="none"/>
          </c:marker>
          <c:dLbls>
            <c:dLbl>
              <c:idx val="0"/>
              <c:tx>
                <c:rich>
                  <a:bodyPr/>
                  <a:lstStyle/>
                  <a:p>
                    <a:fld id="{6659D5BA-D680-4FA0-A3D5-5CB89BE4C3B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9C27-4339-A0A3-D6E098C2FD5E}"/>
                </c:ext>
              </c:extLst>
            </c:dLbl>
            <c:dLbl>
              <c:idx val="1"/>
              <c:tx>
                <c:rich>
                  <a:bodyPr/>
                  <a:lstStyle/>
                  <a:p>
                    <a:fld id="{CD466EA4-04BE-467D-83BC-44175BEF904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9C27-4339-A0A3-D6E098C2FD5E}"/>
                </c:ext>
              </c:extLst>
            </c:dLbl>
            <c:dLbl>
              <c:idx val="2"/>
              <c:tx>
                <c:rich>
                  <a:bodyPr/>
                  <a:lstStyle/>
                  <a:p>
                    <a:fld id="{8D8288B1-BF75-4BCB-9E22-578CB9A4842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9C27-4339-A0A3-D6E098C2FD5E}"/>
                </c:ext>
              </c:extLst>
            </c:dLbl>
            <c:dLbl>
              <c:idx val="3"/>
              <c:tx>
                <c:rich>
                  <a:bodyPr/>
                  <a:lstStyle/>
                  <a:p>
                    <a:fld id="{B3453F30-A420-4E93-85FE-10833362DBB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9C27-4339-A0A3-D6E098C2FD5E}"/>
                </c:ext>
              </c:extLst>
            </c:dLbl>
            <c:dLbl>
              <c:idx val="4"/>
              <c:tx>
                <c:rich>
                  <a:bodyPr/>
                  <a:lstStyle/>
                  <a:p>
                    <a:fld id="{F76BD2D9-861A-4432-8AEE-DC9F577A999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9C27-4339-A0A3-D6E098C2FD5E}"/>
                </c:ext>
              </c:extLst>
            </c:dLbl>
            <c:dLbl>
              <c:idx val="5"/>
              <c:tx>
                <c:rich>
                  <a:bodyPr/>
                  <a:lstStyle/>
                  <a:p>
                    <a:fld id="{13DBE88E-637A-469E-80BB-9F0C99B972A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9C27-4339-A0A3-D6E098C2FD5E}"/>
                </c:ext>
              </c:extLst>
            </c:dLbl>
            <c:dLbl>
              <c:idx val="6"/>
              <c:tx>
                <c:rich>
                  <a:bodyPr/>
                  <a:lstStyle/>
                  <a:p>
                    <a:fld id="{255E3E03-13C6-4313-9AE7-3E392BDEF8A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9C27-4339-A0A3-D6E098C2FD5E}"/>
                </c:ext>
              </c:extLst>
            </c:dLbl>
            <c:dLbl>
              <c:idx val="7"/>
              <c:tx>
                <c:rich>
                  <a:bodyPr/>
                  <a:lstStyle/>
                  <a:p>
                    <a:fld id="{8669F00D-5ECD-4C8E-871D-87E86B6C629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9C27-4339-A0A3-D6E098C2FD5E}"/>
                </c:ext>
              </c:extLst>
            </c:dLbl>
            <c:dLbl>
              <c:idx val="8"/>
              <c:tx>
                <c:rich>
                  <a:bodyPr/>
                  <a:lstStyle/>
                  <a:p>
                    <a:fld id="{C7E02035-EA5B-48A3-89A3-A800D7EAD5B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9C27-4339-A0A3-D6E098C2FD5E}"/>
                </c:ext>
              </c:extLst>
            </c:dLbl>
            <c:dLbl>
              <c:idx val="9"/>
              <c:tx>
                <c:rich>
                  <a:bodyPr/>
                  <a:lstStyle/>
                  <a:p>
                    <a:fld id="{B9E1A9B9-662D-4D92-86CD-3352CAC94D9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9C27-4339-A0A3-D6E098C2FD5E}"/>
                </c:ext>
              </c:extLst>
            </c:dLbl>
            <c:dLbl>
              <c:idx val="10"/>
              <c:tx>
                <c:rich>
                  <a:bodyPr/>
                  <a:lstStyle/>
                  <a:p>
                    <a:fld id="{1D7DD27A-316A-4D26-9AA5-4429A80B8CA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9C27-4339-A0A3-D6E098C2FD5E}"/>
                </c:ext>
              </c:extLst>
            </c:dLbl>
            <c:dLbl>
              <c:idx val="11"/>
              <c:tx>
                <c:rich>
                  <a:bodyPr/>
                  <a:lstStyle/>
                  <a:p>
                    <a:fld id="{09AE7965-E590-4370-93C4-AF40BD15B02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9C27-4339-A0A3-D6E098C2FD5E}"/>
                </c:ext>
              </c:extLst>
            </c:dLbl>
            <c:dLbl>
              <c:idx val="12"/>
              <c:tx>
                <c:rich>
                  <a:bodyPr/>
                  <a:lstStyle/>
                  <a:p>
                    <a:fld id="{83515F4B-755A-4760-96C8-288DF1A6F8D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9C27-4339-A0A3-D6E098C2FD5E}"/>
                </c:ext>
              </c:extLst>
            </c:dLbl>
            <c:dLbl>
              <c:idx val="13"/>
              <c:tx>
                <c:rich>
                  <a:bodyPr/>
                  <a:lstStyle/>
                  <a:p>
                    <a:fld id="{B4B0BB30-48CD-4996-815A-0E2422DEF4C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9C27-4339-A0A3-D6E098C2FD5E}"/>
                </c:ext>
              </c:extLst>
            </c:dLbl>
            <c:dLbl>
              <c:idx val="14"/>
              <c:tx>
                <c:rich>
                  <a:bodyPr/>
                  <a:lstStyle/>
                  <a:p>
                    <a:fld id="{6E76FB78-EBEA-4298-9F43-5C15C09DED3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9C27-4339-A0A3-D6E098C2FD5E}"/>
                </c:ext>
              </c:extLst>
            </c:dLbl>
            <c:dLbl>
              <c:idx val="15"/>
              <c:tx>
                <c:rich>
                  <a:bodyPr/>
                  <a:lstStyle/>
                  <a:p>
                    <a:fld id="{7A5C7ECF-2268-4599-9DF7-D1E142420CE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9C27-4339-A0A3-D6E098C2FD5E}"/>
                </c:ext>
              </c:extLst>
            </c:dLbl>
            <c:dLbl>
              <c:idx val="16"/>
              <c:tx>
                <c:rich>
                  <a:bodyPr/>
                  <a:lstStyle/>
                  <a:p>
                    <a:fld id="{CBAA061C-959C-4A49-A40B-EDD249DF4C7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9C27-4339-A0A3-D6E098C2FD5E}"/>
                </c:ext>
              </c:extLst>
            </c:dLbl>
            <c:dLbl>
              <c:idx val="17"/>
              <c:tx>
                <c:rich>
                  <a:bodyPr/>
                  <a:lstStyle/>
                  <a:p>
                    <a:fld id="{E0FC83D4-BE0E-4D8B-AAD9-4DAFBB1428E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9C27-4339-A0A3-D6E098C2FD5E}"/>
                </c:ext>
              </c:extLst>
            </c:dLbl>
            <c:dLbl>
              <c:idx val="18"/>
              <c:tx>
                <c:rich>
                  <a:bodyPr/>
                  <a:lstStyle/>
                  <a:p>
                    <a:fld id="{2E58F85B-F061-4D6B-9C82-C87444DD0FA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9C27-4339-A0A3-D6E098C2FD5E}"/>
                </c:ext>
              </c:extLst>
            </c:dLbl>
            <c:dLbl>
              <c:idx val="19"/>
              <c:tx>
                <c:rich>
                  <a:bodyPr/>
                  <a:lstStyle/>
                  <a:p>
                    <a:fld id="{10D4DE5C-5C36-4D2D-97E1-1BB7871AA37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9C27-4339-A0A3-D6E098C2FD5E}"/>
                </c:ext>
              </c:extLst>
            </c:dLbl>
            <c:dLbl>
              <c:idx val="20"/>
              <c:tx>
                <c:rich>
                  <a:bodyPr/>
                  <a:lstStyle/>
                  <a:p>
                    <a:fld id="{26D1B1C0-3B98-4968-A8FE-30DA068A521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9C27-4339-A0A3-D6E098C2FD5E}"/>
                </c:ext>
              </c:extLst>
            </c:dLbl>
            <c:dLbl>
              <c:idx val="21"/>
              <c:tx>
                <c:rich>
                  <a:bodyPr/>
                  <a:lstStyle/>
                  <a:p>
                    <a:fld id="{93697D0A-A6CA-4C0E-ADB3-8F23373D8B9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9C27-4339-A0A3-D6E098C2FD5E}"/>
                </c:ext>
              </c:extLst>
            </c:dLbl>
            <c:dLbl>
              <c:idx val="22"/>
              <c:tx>
                <c:rich>
                  <a:bodyPr/>
                  <a:lstStyle/>
                  <a:p>
                    <a:fld id="{990010DC-F13E-44CB-9CB4-12BC94E2941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9C27-4339-A0A3-D6E098C2FD5E}"/>
                </c:ext>
              </c:extLst>
            </c:dLbl>
            <c:dLbl>
              <c:idx val="23"/>
              <c:tx>
                <c:rich>
                  <a:bodyPr/>
                  <a:lstStyle/>
                  <a:p>
                    <a:fld id="{2CB71C56-C5B2-4ACB-91E7-88A1873FA0D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9C27-4339-A0A3-D6E098C2FD5E}"/>
                </c:ext>
              </c:extLst>
            </c:dLbl>
            <c:dLbl>
              <c:idx val="24"/>
              <c:tx>
                <c:rich>
                  <a:bodyPr/>
                  <a:lstStyle/>
                  <a:p>
                    <a:fld id="{0059333A-96F7-4937-B7EA-B4BF6C273AF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9C27-4339-A0A3-D6E098C2FD5E}"/>
                </c:ext>
              </c:extLst>
            </c:dLbl>
            <c:dLbl>
              <c:idx val="25"/>
              <c:tx>
                <c:rich>
                  <a:bodyPr/>
                  <a:lstStyle/>
                  <a:p>
                    <a:fld id="{72052801-38BA-4463-8939-98F267EDC1E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9C27-4339-A0A3-D6E098C2FD5E}"/>
                </c:ext>
              </c:extLst>
            </c:dLbl>
            <c:dLbl>
              <c:idx val="26"/>
              <c:tx>
                <c:rich>
                  <a:bodyPr/>
                  <a:lstStyle/>
                  <a:p>
                    <a:fld id="{E598A2E0-BC9D-4D93-9042-8CC1EF51839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9C27-4339-A0A3-D6E098C2FD5E}"/>
                </c:ext>
              </c:extLst>
            </c:dLbl>
            <c:dLbl>
              <c:idx val="27"/>
              <c:tx>
                <c:rich>
                  <a:bodyPr/>
                  <a:lstStyle/>
                  <a:p>
                    <a:fld id="{274E31F4-BB88-4542-BF4E-06344ABC8F3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9C27-4339-A0A3-D6E098C2FD5E}"/>
                </c:ext>
              </c:extLst>
            </c:dLbl>
            <c:dLbl>
              <c:idx val="28"/>
              <c:tx>
                <c:rich>
                  <a:bodyPr/>
                  <a:lstStyle/>
                  <a:p>
                    <a:fld id="{AC58C47F-CCF5-4038-82CB-67F250DC1D2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9C27-4339-A0A3-D6E098C2FD5E}"/>
                </c:ext>
              </c:extLst>
            </c:dLbl>
            <c:dLbl>
              <c:idx val="29"/>
              <c:tx>
                <c:rich>
                  <a:bodyPr/>
                  <a:lstStyle/>
                  <a:p>
                    <a:fld id="{20A866C6-86C8-4AF3-9486-6B878E8F1E3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9C27-4339-A0A3-D6E098C2FD5E}"/>
                </c:ext>
              </c:extLst>
            </c:dLbl>
            <c:dLbl>
              <c:idx val="30"/>
              <c:tx>
                <c:rich>
                  <a:bodyPr/>
                  <a:lstStyle/>
                  <a:p>
                    <a:fld id="{8B7AEAD9-3339-4E1A-913A-CD87D755B30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9C27-4339-A0A3-D6E098C2FD5E}"/>
                </c:ext>
              </c:extLst>
            </c:dLbl>
            <c:dLbl>
              <c:idx val="31"/>
              <c:tx>
                <c:rich>
                  <a:bodyPr/>
                  <a:lstStyle/>
                  <a:p>
                    <a:fld id="{1846FF42-F844-477F-9F44-5CD8504D189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0-9C27-4339-A0A3-D6E098C2FD5E}"/>
                </c:ext>
              </c:extLst>
            </c:dLbl>
            <c:dLbl>
              <c:idx val="32"/>
              <c:tx>
                <c:rich>
                  <a:bodyPr/>
                  <a:lstStyle/>
                  <a:p>
                    <a:fld id="{3B7E9160-2AD4-40F9-8C65-C5FCA74CEBD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9C27-4339-A0A3-D6E098C2FD5E}"/>
                </c:ext>
              </c:extLst>
            </c:dLbl>
            <c:dLbl>
              <c:idx val="33"/>
              <c:tx>
                <c:rich>
                  <a:bodyPr/>
                  <a:lstStyle/>
                  <a:p>
                    <a:fld id="{D7A8414B-F946-480E-9505-9AB35004EA9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2-9C27-4339-A0A3-D6E098C2FD5E}"/>
                </c:ext>
              </c:extLst>
            </c:dLbl>
            <c:dLbl>
              <c:idx val="34"/>
              <c:tx>
                <c:rich>
                  <a:bodyPr/>
                  <a:lstStyle/>
                  <a:p>
                    <a:fld id="{35B64698-7831-4E04-92D1-DA324075667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9C27-4339-A0A3-D6E098C2FD5E}"/>
                </c:ext>
              </c:extLst>
            </c:dLbl>
            <c:dLbl>
              <c:idx val="35"/>
              <c:tx>
                <c:rich>
                  <a:bodyPr/>
                  <a:lstStyle/>
                  <a:p>
                    <a:fld id="{C2CB0328-9BD5-4E60-AF1C-5C292F5B5BB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4-9C27-4339-A0A3-D6E098C2FD5E}"/>
                </c:ext>
              </c:extLst>
            </c:dLbl>
            <c:dLbl>
              <c:idx val="36"/>
              <c:tx>
                <c:rich>
                  <a:bodyPr/>
                  <a:lstStyle/>
                  <a:p>
                    <a:fld id="{A3BB5EFF-B0F8-4998-8B7F-EC7DA74A133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9C27-4339-A0A3-D6E098C2FD5E}"/>
                </c:ext>
              </c:extLst>
            </c:dLbl>
            <c:dLbl>
              <c:idx val="37"/>
              <c:tx>
                <c:rich>
                  <a:bodyPr/>
                  <a:lstStyle/>
                  <a:p>
                    <a:fld id="{38AC1775-2E69-4956-B17F-714C3EC5439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6-9C27-4339-A0A3-D6E098C2FD5E}"/>
                </c:ext>
              </c:extLst>
            </c:dLbl>
            <c:dLbl>
              <c:idx val="38"/>
              <c:tx>
                <c:rich>
                  <a:bodyPr/>
                  <a:lstStyle/>
                  <a:p>
                    <a:fld id="{60953081-433E-4B31-9BE9-5BD473B39C1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7-9C27-4339-A0A3-D6E098C2FD5E}"/>
                </c:ext>
              </c:extLst>
            </c:dLbl>
            <c:dLbl>
              <c:idx val="39"/>
              <c:tx>
                <c:rich>
                  <a:bodyPr/>
                  <a:lstStyle/>
                  <a:p>
                    <a:fld id="{76C17F02-5A61-4BB5-B62C-86E7ADFAF15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8-9C27-4339-A0A3-D6E098C2FD5E}"/>
                </c:ext>
              </c:extLst>
            </c:dLbl>
            <c:dLbl>
              <c:idx val="40"/>
              <c:tx>
                <c:rich>
                  <a:bodyPr/>
                  <a:lstStyle/>
                  <a:p>
                    <a:fld id="{71447587-953E-4589-B972-4135181F21E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9-9C27-4339-A0A3-D6E098C2FD5E}"/>
                </c:ext>
              </c:extLst>
            </c:dLbl>
            <c:dLbl>
              <c:idx val="41"/>
              <c:tx>
                <c:rich>
                  <a:bodyPr/>
                  <a:lstStyle/>
                  <a:p>
                    <a:fld id="{1F159D52-9E24-4519-84FE-EFD7F04B42B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A-9C27-4339-A0A3-D6E098C2FD5E}"/>
                </c:ext>
              </c:extLst>
            </c:dLbl>
            <c:dLbl>
              <c:idx val="42"/>
              <c:tx>
                <c:rich>
                  <a:bodyPr/>
                  <a:lstStyle/>
                  <a:p>
                    <a:fld id="{2E662700-BC7F-4C77-9CF4-BF7F992DEA4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B-9C27-4339-A0A3-D6E098C2FD5E}"/>
                </c:ext>
              </c:extLst>
            </c:dLbl>
            <c:dLbl>
              <c:idx val="43"/>
              <c:tx>
                <c:rich>
                  <a:bodyPr/>
                  <a:lstStyle/>
                  <a:p>
                    <a:fld id="{14AA5E65-3CA7-4DA2-B9CA-8CE9C5661DF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C-9C27-4339-A0A3-D6E098C2FD5E}"/>
                </c:ext>
              </c:extLst>
            </c:dLbl>
            <c:dLbl>
              <c:idx val="44"/>
              <c:tx>
                <c:rich>
                  <a:bodyPr/>
                  <a:lstStyle/>
                  <a:p>
                    <a:fld id="{C8D9F2B8-75BE-43A2-ADF8-D63E446D2F3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D-9C27-4339-A0A3-D6E098C2FD5E}"/>
                </c:ext>
              </c:extLst>
            </c:dLbl>
            <c:dLbl>
              <c:idx val="45"/>
              <c:tx>
                <c:rich>
                  <a:bodyPr/>
                  <a:lstStyle/>
                  <a:p>
                    <a:fld id="{02ADC4CB-E83F-4ED3-9E5A-433A5740829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E-9C27-4339-A0A3-D6E098C2FD5E}"/>
                </c:ext>
              </c:extLst>
            </c:dLbl>
            <c:dLbl>
              <c:idx val="46"/>
              <c:tx>
                <c:rich>
                  <a:bodyPr/>
                  <a:lstStyle/>
                  <a:p>
                    <a:fld id="{129D38F6-D6D8-4202-A469-9E03FDE78D1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F-9C27-4339-A0A3-D6E098C2FD5E}"/>
                </c:ext>
              </c:extLst>
            </c:dLbl>
            <c:dLbl>
              <c:idx val="47"/>
              <c:tx>
                <c:rich>
                  <a:bodyPr/>
                  <a:lstStyle/>
                  <a:p>
                    <a:fld id="{4234573B-129F-433A-BADE-EFCA3B5AA2B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0-9C27-4339-A0A3-D6E098C2FD5E}"/>
                </c:ext>
              </c:extLst>
            </c:dLbl>
            <c:dLbl>
              <c:idx val="48"/>
              <c:tx>
                <c:rich>
                  <a:bodyPr/>
                  <a:lstStyle/>
                  <a:p>
                    <a:fld id="{C781C3C7-8793-4DFD-ABE9-54A75C30C22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1-9C27-4339-A0A3-D6E098C2FD5E}"/>
                </c:ext>
              </c:extLst>
            </c:dLbl>
            <c:dLbl>
              <c:idx val="49"/>
              <c:tx>
                <c:rich>
                  <a:bodyPr/>
                  <a:lstStyle/>
                  <a:p>
                    <a:fld id="{9064562C-D888-4A38-92B4-66DB554878D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2-9C27-4339-A0A3-D6E098C2FD5E}"/>
                </c:ext>
              </c:extLst>
            </c:dLbl>
            <c:dLbl>
              <c:idx val="50"/>
              <c:tx>
                <c:rich>
                  <a:bodyPr/>
                  <a:lstStyle/>
                  <a:p>
                    <a:fld id="{08C60622-A61B-43CB-B688-400AC7BC2E6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3-9C27-4339-A0A3-D6E098C2FD5E}"/>
                </c:ext>
              </c:extLst>
            </c:dLbl>
            <c:dLbl>
              <c:idx val="51"/>
              <c:tx>
                <c:rich>
                  <a:bodyPr/>
                  <a:lstStyle/>
                  <a:p>
                    <a:fld id="{ED965191-0270-4973-8561-01E148DA57D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4-9C27-4339-A0A3-D6E098C2FD5E}"/>
                </c:ext>
              </c:extLst>
            </c:dLbl>
            <c:dLbl>
              <c:idx val="52"/>
              <c:tx>
                <c:rich>
                  <a:bodyPr/>
                  <a:lstStyle/>
                  <a:p>
                    <a:fld id="{95DA11A5-5450-45B5-B9A5-AE6DE0DE251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5-9C27-4339-A0A3-D6E098C2FD5E}"/>
                </c:ext>
              </c:extLst>
            </c:dLbl>
            <c:dLbl>
              <c:idx val="53"/>
              <c:tx>
                <c:rich>
                  <a:bodyPr/>
                  <a:lstStyle/>
                  <a:p>
                    <a:fld id="{90A290F9-2B26-4BD1-AE19-56B0BC6A154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6-9C27-4339-A0A3-D6E098C2FD5E}"/>
                </c:ext>
              </c:extLst>
            </c:dLbl>
            <c:dLbl>
              <c:idx val="54"/>
              <c:tx>
                <c:rich>
                  <a:bodyPr/>
                  <a:lstStyle/>
                  <a:p>
                    <a:fld id="{911EE682-E7A3-4A89-BC52-5CF4E117D8D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7-9C27-4339-A0A3-D6E098C2FD5E}"/>
                </c:ext>
              </c:extLst>
            </c:dLbl>
            <c:dLbl>
              <c:idx val="55"/>
              <c:tx>
                <c:rich>
                  <a:bodyPr/>
                  <a:lstStyle/>
                  <a:p>
                    <a:fld id="{C80788D5-13BC-49E9-A0D5-50024A42021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8-9C27-4339-A0A3-D6E098C2FD5E}"/>
                </c:ext>
              </c:extLst>
            </c:dLbl>
            <c:dLbl>
              <c:idx val="56"/>
              <c:tx>
                <c:rich>
                  <a:bodyPr/>
                  <a:lstStyle/>
                  <a:p>
                    <a:fld id="{610EE59E-2FEE-4FCC-A175-03687D13EA8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9-9C27-4339-A0A3-D6E098C2FD5E}"/>
                </c:ext>
              </c:extLst>
            </c:dLbl>
            <c:dLbl>
              <c:idx val="57"/>
              <c:tx>
                <c:rich>
                  <a:bodyPr/>
                  <a:lstStyle/>
                  <a:p>
                    <a:fld id="{2ECB50FE-BE7B-4A3D-9B51-F2AFACFEF02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A-9C27-4339-A0A3-D6E098C2FD5E}"/>
                </c:ext>
              </c:extLst>
            </c:dLbl>
            <c:dLbl>
              <c:idx val="58"/>
              <c:tx>
                <c:rich>
                  <a:bodyPr/>
                  <a:lstStyle/>
                  <a:p>
                    <a:fld id="{EE0290D9-69EF-45B1-9BBC-7CA40A0BDD7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B-9C27-4339-A0A3-D6E098C2FD5E}"/>
                </c:ext>
              </c:extLst>
            </c:dLbl>
            <c:dLbl>
              <c:idx val="59"/>
              <c:tx>
                <c:rich>
                  <a:bodyPr/>
                  <a:lstStyle/>
                  <a:p>
                    <a:fld id="{12DD3A58-DD8A-4A46-AE55-D6BFA36EC3E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C-9C27-4339-A0A3-D6E098C2FD5E}"/>
                </c:ext>
              </c:extLst>
            </c:dLbl>
            <c:dLbl>
              <c:idx val="60"/>
              <c:tx>
                <c:rich>
                  <a:bodyPr/>
                  <a:lstStyle/>
                  <a:p>
                    <a:fld id="{253D9FD7-EA67-4C53-A70A-44FABFD4EE2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D-9C27-4339-A0A3-D6E098C2FD5E}"/>
                </c:ext>
              </c:extLst>
            </c:dLbl>
            <c:dLbl>
              <c:idx val="61"/>
              <c:tx>
                <c:rich>
                  <a:bodyPr/>
                  <a:lstStyle/>
                  <a:p>
                    <a:fld id="{95389D98-E976-455B-8338-87D67A651B5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E-9C27-4339-A0A3-D6E098C2FD5E}"/>
                </c:ext>
              </c:extLst>
            </c:dLbl>
            <c:dLbl>
              <c:idx val="62"/>
              <c:tx>
                <c:rich>
                  <a:bodyPr/>
                  <a:lstStyle/>
                  <a:p>
                    <a:fld id="{825DC467-4624-414A-8126-15E45F65E7B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F-9C27-4339-A0A3-D6E098C2FD5E}"/>
                </c:ext>
              </c:extLst>
            </c:dLbl>
            <c:dLbl>
              <c:idx val="63"/>
              <c:tx>
                <c:rich>
                  <a:bodyPr/>
                  <a:lstStyle/>
                  <a:p>
                    <a:fld id="{AC3B6428-DB52-457A-988C-C6D5D1BEFEA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0-9C27-4339-A0A3-D6E098C2FD5E}"/>
                </c:ext>
              </c:extLst>
            </c:dLbl>
            <c:dLbl>
              <c:idx val="64"/>
              <c:tx>
                <c:rich>
                  <a:bodyPr/>
                  <a:lstStyle/>
                  <a:p>
                    <a:fld id="{E3754BF1-4433-4F27-B45C-E60B8B7816D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1-9C27-4339-A0A3-D6E098C2FD5E}"/>
                </c:ext>
              </c:extLst>
            </c:dLbl>
            <c:dLbl>
              <c:idx val="65"/>
              <c:tx>
                <c:rich>
                  <a:bodyPr/>
                  <a:lstStyle/>
                  <a:p>
                    <a:fld id="{54733020-1FC5-40FD-8386-59C7A33F04C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2-9C27-4339-A0A3-D6E098C2FD5E}"/>
                </c:ext>
              </c:extLst>
            </c:dLbl>
            <c:dLbl>
              <c:idx val="66"/>
              <c:tx>
                <c:rich>
                  <a:bodyPr/>
                  <a:lstStyle/>
                  <a:p>
                    <a:fld id="{75A82934-7E13-4249-AA2A-E2CAEBD36E2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3-9C27-4339-A0A3-D6E098C2FD5E}"/>
                </c:ext>
              </c:extLst>
            </c:dLbl>
            <c:dLbl>
              <c:idx val="67"/>
              <c:tx>
                <c:rich>
                  <a:bodyPr/>
                  <a:lstStyle/>
                  <a:p>
                    <a:fld id="{0654BD5F-B969-4FB5-8F93-0B10C549F51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4-9C27-4339-A0A3-D6E098C2FD5E}"/>
                </c:ext>
              </c:extLst>
            </c:dLbl>
            <c:dLbl>
              <c:idx val="68"/>
              <c:tx>
                <c:rich>
                  <a:bodyPr/>
                  <a:lstStyle/>
                  <a:p>
                    <a:fld id="{49567874-1E7D-4622-A55E-27B410FB988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5-9C27-4339-A0A3-D6E098C2FD5E}"/>
                </c:ext>
              </c:extLst>
            </c:dLbl>
            <c:dLbl>
              <c:idx val="69"/>
              <c:tx>
                <c:rich>
                  <a:bodyPr/>
                  <a:lstStyle/>
                  <a:p>
                    <a:fld id="{8B4E4E6D-AA01-4203-B788-1A7B5CD66DF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6-9C27-4339-A0A3-D6E098C2FD5E}"/>
                </c:ext>
              </c:extLst>
            </c:dLbl>
            <c:dLbl>
              <c:idx val="70"/>
              <c:tx>
                <c:rich>
                  <a:bodyPr/>
                  <a:lstStyle/>
                  <a:p>
                    <a:fld id="{3041AB68-4F78-43AD-84A0-F9176E08716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7-9C27-4339-A0A3-D6E098C2FD5E}"/>
                </c:ext>
              </c:extLst>
            </c:dLbl>
            <c:dLbl>
              <c:idx val="71"/>
              <c:tx>
                <c:rich>
                  <a:bodyPr/>
                  <a:lstStyle/>
                  <a:p>
                    <a:fld id="{10C421A7-D2BB-424F-8158-202F941280D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8-9C27-4339-A0A3-D6E098C2FD5E}"/>
                </c:ext>
              </c:extLst>
            </c:dLbl>
            <c:dLbl>
              <c:idx val="72"/>
              <c:tx>
                <c:rich>
                  <a:bodyPr/>
                  <a:lstStyle/>
                  <a:p>
                    <a:fld id="{8493317F-DE36-460E-B425-D368FDB1FDB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9-9C27-4339-A0A3-D6E098C2FD5E}"/>
                </c:ext>
              </c:extLst>
            </c:dLbl>
            <c:dLbl>
              <c:idx val="73"/>
              <c:tx>
                <c:rich>
                  <a:bodyPr/>
                  <a:lstStyle/>
                  <a:p>
                    <a:fld id="{CABCC5A6-A96D-4E78-8EF0-1115DAF209E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A-9C27-4339-A0A3-D6E098C2FD5E}"/>
                </c:ext>
              </c:extLst>
            </c:dLbl>
            <c:dLbl>
              <c:idx val="74"/>
              <c:tx>
                <c:rich>
                  <a:bodyPr/>
                  <a:lstStyle/>
                  <a:p>
                    <a:fld id="{34042574-2AD6-47A3-AEA4-21FE51C27EC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B-9C27-4339-A0A3-D6E098C2FD5E}"/>
                </c:ext>
              </c:extLst>
            </c:dLbl>
            <c:dLbl>
              <c:idx val="75"/>
              <c:tx>
                <c:rich>
                  <a:bodyPr/>
                  <a:lstStyle/>
                  <a:p>
                    <a:fld id="{2546EDB1-9D97-42E6-A087-5F59B5094BF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C-9C27-4339-A0A3-D6E098C2FD5E}"/>
                </c:ext>
              </c:extLst>
            </c:dLbl>
            <c:dLbl>
              <c:idx val="76"/>
              <c:tx>
                <c:rich>
                  <a:bodyPr/>
                  <a:lstStyle/>
                  <a:p>
                    <a:fld id="{B64AF2AF-0B5C-490D-AC63-79D20667F23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D-9C27-4339-A0A3-D6E098C2FD5E}"/>
                </c:ext>
              </c:extLst>
            </c:dLbl>
            <c:dLbl>
              <c:idx val="77"/>
              <c:tx>
                <c:rich>
                  <a:bodyPr/>
                  <a:lstStyle/>
                  <a:p>
                    <a:fld id="{17A3CD47-EAA8-412E-8318-B371EA9D9A9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E-9C27-4339-A0A3-D6E098C2FD5E}"/>
                </c:ext>
              </c:extLst>
            </c:dLbl>
            <c:dLbl>
              <c:idx val="78"/>
              <c:tx>
                <c:rich>
                  <a:bodyPr/>
                  <a:lstStyle/>
                  <a:p>
                    <a:fld id="{21DAADBB-6686-4049-8D44-C2568E976DE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F-9C27-4339-A0A3-D6E098C2FD5E}"/>
                </c:ext>
              </c:extLst>
            </c:dLbl>
            <c:dLbl>
              <c:idx val="79"/>
              <c:tx>
                <c:rich>
                  <a:bodyPr/>
                  <a:lstStyle/>
                  <a:p>
                    <a:fld id="{B800B382-6E2C-47FE-890C-FD469E180C0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0-9C27-4339-A0A3-D6E098C2FD5E}"/>
                </c:ext>
              </c:extLst>
            </c:dLbl>
            <c:dLbl>
              <c:idx val="80"/>
              <c:tx>
                <c:rich>
                  <a:bodyPr/>
                  <a:lstStyle/>
                  <a:p>
                    <a:fld id="{FD7B47B0-28CD-4043-A8AB-1A6C1C715FC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1-9C27-4339-A0A3-D6E098C2FD5E}"/>
                </c:ext>
              </c:extLst>
            </c:dLbl>
            <c:dLbl>
              <c:idx val="81"/>
              <c:tx>
                <c:rich>
                  <a:bodyPr/>
                  <a:lstStyle/>
                  <a:p>
                    <a:fld id="{04651E19-8337-4899-8FE0-EFD3F3A2B3D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2-9C27-4339-A0A3-D6E098C2FD5E}"/>
                </c:ext>
              </c:extLst>
            </c:dLbl>
            <c:dLbl>
              <c:idx val="82"/>
              <c:tx>
                <c:rich>
                  <a:bodyPr/>
                  <a:lstStyle/>
                  <a:p>
                    <a:fld id="{9C5FC610-8FA5-4D78-A02F-25E86D7E2A3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3-9C27-4339-A0A3-D6E098C2FD5E}"/>
                </c:ext>
              </c:extLst>
            </c:dLbl>
            <c:dLbl>
              <c:idx val="83"/>
              <c:tx>
                <c:rich>
                  <a:bodyPr/>
                  <a:lstStyle/>
                  <a:p>
                    <a:fld id="{58DCA29B-1052-45EC-AAC2-DDA01618560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4-9C27-4339-A0A3-D6E098C2FD5E}"/>
                </c:ext>
              </c:extLst>
            </c:dLbl>
            <c:dLbl>
              <c:idx val="84"/>
              <c:tx>
                <c:rich>
                  <a:bodyPr/>
                  <a:lstStyle/>
                  <a:p>
                    <a:fld id="{3AEC11D4-0029-4AA2-8527-3E2188E1391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5-9C27-4339-A0A3-D6E098C2FD5E}"/>
                </c:ext>
              </c:extLst>
            </c:dLbl>
            <c:dLbl>
              <c:idx val="85"/>
              <c:tx>
                <c:rich>
                  <a:bodyPr/>
                  <a:lstStyle/>
                  <a:p>
                    <a:fld id="{8834F16D-C7F1-4689-BCBE-F12B4E1CA09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6-9C27-4339-A0A3-D6E098C2FD5E}"/>
                </c:ext>
              </c:extLst>
            </c:dLbl>
            <c:dLbl>
              <c:idx val="86"/>
              <c:tx>
                <c:rich>
                  <a:bodyPr/>
                  <a:lstStyle/>
                  <a:p>
                    <a:fld id="{754815E3-86B3-4C95-A92E-A46077E8F67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7-9C27-4339-A0A3-D6E098C2FD5E}"/>
                </c:ext>
              </c:extLst>
            </c:dLbl>
            <c:dLbl>
              <c:idx val="87"/>
              <c:tx>
                <c:rich>
                  <a:bodyPr/>
                  <a:lstStyle/>
                  <a:p>
                    <a:fld id="{C2130F43-8989-4EE4-8F53-86012C8E503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8-9C27-4339-A0A3-D6E098C2FD5E}"/>
                </c:ext>
              </c:extLst>
            </c:dLbl>
            <c:dLbl>
              <c:idx val="88"/>
              <c:tx>
                <c:rich>
                  <a:bodyPr/>
                  <a:lstStyle/>
                  <a:p>
                    <a:fld id="{EA1D598B-2166-40DB-A8C9-2F776315D47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9-9C27-4339-A0A3-D6E098C2FD5E}"/>
                </c:ext>
              </c:extLst>
            </c:dLbl>
            <c:dLbl>
              <c:idx val="89"/>
              <c:tx>
                <c:rich>
                  <a:bodyPr/>
                  <a:lstStyle/>
                  <a:p>
                    <a:fld id="{7AF70301-757E-498D-A81A-E6CBD92DC9D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A-9C27-4339-A0A3-D6E098C2FD5E}"/>
                </c:ext>
              </c:extLst>
            </c:dLbl>
            <c:dLbl>
              <c:idx val="90"/>
              <c:tx>
                <c:rich>
                  <a:bodyPr/>
                  <a:lstStyle/>
                  <a:p>
                    <a:fld id="{44C4FA79-C450-4352-A44B-3494477EEC2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B-9C27-4339-A0A3-D6E098C2FD5E}"/>
                </c:ext>
              </c:extLst>
            </c:dLbl>
            <c:dLbl>
              <c:idx val="91"/>
              <c:tx>
                <c:rich>
                  <a:bodyPr/>
                  <a:lstStyle/>
                  <a:p>
                    <a:fld id="{2A55446E-0525-4364-9A3A-8508697904A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C-9C27-4339-A0A3-D6E098C2FD5E}"/>
                </c:ext>
              </c:extLst>
            </c:dLbl>
            <c:dLbl>
              <c:idx val="92"/>
              <c:tx>
                <c:rich>
                  <a:bodyPr/>
                  <a:lstStyle/>
                  <a:p>
                    <a:fld id="{9E256654-4465-4470-93D9-A3AB1548D14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D-9C27-4339-A0A3-D6E098C2FD5E}"/>
                </c:ext>
              </c:extLst>
            </c:dLbl>
            <c:dLbl>
              <c:idx val="93"/>
              <c:tx>
                <c:rich>
                  <a:bodyPr/>
                  <a:lstStyle/>
                  <a:p>
                    <a:fld id="{20E95827-FDA8-4929-BE6B-2D2B8F69950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E-9C27-4339-A0A3-D6E098C2FD5E}"/>
                </c:ext>
              </c:extLst>
            </c:dLbl>
            <c:dLbl>
              <c:idx val="94"/>
              <c:tx>
                <c:rich>
                  <a:bodyPr/>
                  <a:lstStyle/>
                  <a:p>
                    <a:fld id="{FBCDF314-09E5-4337-80F0-57A6D728E77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5F-9C27-4339-A0A3-D6E098C2FD5E}"/>
                </c:ext>
              </c:extLst>
            </c:dLbl>
            <c:dLbl>
              <c:idx val="95"/>
              <c:tx>
                <c:rich>
                  <a:bodyPr/>
                  <a:lstStyle/>
                  <a:p>
                    <a:fld id="{3FF91613-DEEA-431F-877C-7FD774D23E7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0-9C27-4339-A0A3-D6E098C2FD5E}"/>
                </c:ext>
              </c:extLst>
            </c:dLbl>
            <c:dLbl>
              <c:idx val="96"/>
              <c:tx>
                <c:rich>
                  <a:bodyPr/>
                  <a:lstStyle/>
                  <a:p>
                    <a:fld id="{086C4554-F026-4EA0-80F6-FAEF8AA3D5F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1-9C27-4339-A0A3-D6E098C2FD5E}"/>
                </c:ext>
              </c:extLst>
            </c:dLbl>
            <c:dLbl>
              <c:idx val="97"/>
              <c:tx>
                <c:rich>
                  <a:bodyPr/>
                  <a:lstStyle/>
                  <a:p>
                    <a:fld id="{4CCD71D8-37EA-4FDD-A7CA-5766AA1DF5B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2-9C27-4339-A0A3-D6E098C2FD5E}"/>
                </c:ext>
              </c:extLst>
            </c:dLbl>
            <c:dLbl>
              <c:idx val="98"/>
              <c:tx>
                <c:rich>
                  <a:bodyPr/>
                  <a:lstStyle/>
                  <a:p>
                    <a:fld id="{DD72C124-25E0-487F-8992-C3C3EC151BA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3-9C27-4339-A0A3-D6E098C2FD5E}"/>
                </c:ext>
              </c:extLst>
            </c:dLbl>
            <c:dLbl>
              <c:idx val="99"/>
              <c:tx>
                <c:rich>
                  <a:bodyPr/>
                  <a:lstStyle/>
                  <a:p>
                    <a:fld id="{3D3D86C0-C83C-4E90-8660-FF769E611A0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4-9C27-4339-A0A3-D6E098C2FD5E}"/>
                </c:ext>
              </c:extLst>
            </c:dLbl>
            <c:dLbl>
              <c:idx val="100"/>
              <c:tx>
                <c:rich>
                  <a:bodyPr/>
                  <a:lstStyle/>
                  <a:p>
                    <a:fld id="{D4C4B732-23B1-474D-B40A-6340878F2A5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5-9C27-4339-A0A3-D6E098C2FD5E}"/>
                </c:ext>
              </c:extLst>
            </c:dLbl>
            <c:dLbl>
              <c:idx val="101"/>
              <c:tx>
                <c:rich>
                  <a:bodyPr/>
                  <a:lstStyle/>
                  <a:p>
                    <a:fld id="{AFC242F4-DD9C-4E6B-9A72-FEBA806F0A6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6-9C27-4339-A0A3-D6E098C2FD5E}"/>
                </c:ext>
              </c:extLst>
            </c:dLbl>
            <c:dLbl>
              <c:idx val="102"/>
              <c:tx>
                <c:rich>
                  <a:bodyPr/>
                  <a:lstStyle/>
                  <a:p>
                    <a:fld id="{8A4C5713-45DA-4E6A-8965-1769F0BD88D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7-9C27-4339-A0A3-D6E098C2FD5E}"/>
                </c:ext>
              </c:extLst>
            </c:dLbl>
            <c:dLbl>
              <c:idx val="103"/>
              <c:tx>
                <c:rich>
                  <a:bodyPr/>
                  <a:lstStyle/>
                  <a:p>
                    <a:fld id="{08A2D9DA-82A1-452C-A368-3BA15821122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8-9C27-4339-A0A3-D6E098C2FD5E}"/>
                </c:ext>
              </c:extLst>
            </c:dLbl>
            <c:dLbl>
              <c:idx val="104"/>
              <c:tx>
                <c:rich>
                  <a:bodyPr/>
                  <a:lstStyle/>
                  <a:p>
                    <a:fld id="{448E8C37-E5A9-4215-878E-38A909D3B12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9-9C27-4339-A0A3-D6E098C2FD5E}"/>
                </c:ext>
              </c:extLst>
            </c:dLbl>
            <c:dLbl>
              <c:idx val="105"/>
              <c:tx>
                <c:rich>
                  <a:bodyPr/>
                  <a:lstStyle/>
                  <a:p>
                    <a:fld id="{57ED482D-E8F9-414A-A8C4-0F5CFCD8646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A-9C27-4339-A0A3-D6E098C2FD5E}"/>
                </c:ext>
              </c:extLst>
            </c:dLbl>
            <c:dLbl>
              <c:idx val="106"/>
              <c:tx>
                <c:rich>
                  <a:bodyPr/>
                  <a:lstStyle/>
                  <a:p>
                    <a:fld id="{EDA1D7F0-2742-4C36-8D96-C2764E343EF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B-9C27-4339-A0A3-D6E098C2FD5E}"/>
                </c:ext>
              </c:extLst>
            </c:dLbl>
            <c:dLbl>
              <c:idx val="107"/>
              <c:tx>
                <c:rich>
                  <a:bodyPr/>
                  <a:lstStyle/>
                  <a:p>
                    <a:fld id="{A0ECFF5E-D108-4956-AC60-D446C29D830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C-9C27-4339-A0A3-D6E098C2FD5E}"/>
                </c:ext>
              </c:extLst>
            </c:dLbl>
            <c:dLbl>
              <c:idx val="108"/>
              <c:tx>
                <c:rich>
                  <a:bodyPr/>
                  <a:lstStyle/>
                  <a:p>
                    <a:fld id="{2E6D9B1F-B4F5-4271-B9F0-EDB80DD77FB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D-9C27-4339-A0A3-D6E098C2FD5E}"/>
                </c:ext>
              </c:extLst>
            </c:dLbl>
            <c:dLbl>
              <c:idx val="109"/>
              <c:tx>
                <c:rich>
                  <a:bodyPr/>
                  <a:lstStyle/>
                  <a:p>
                    <a:fld id="{8DDD584B-812E-4804-88C4-A993E182EA7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E-9C27-4339-A0A3-D6E098C2FD5E}"/>
                </c:ext>
              </c:extLst>
            </c:dLbl>
            <c:dLbl>
              <c:idx val="110"/>
              <c:tx>
                <c:rich>
                  <a:bodyPr/>
                  <a:lstStyle/>
                  <a:p>
                    <a:fld id="{6FD4D917-7699-4B7A-9D6F-1C6EA00BCF2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6F-9C27-4339-A0A3-D6E098C2FD5E}"/>
                </c:ext>
              </c:extLst>
            </c:dLbl>
            <c:dLbl>
              <c:idx val="111"/>
              <c:tx>
                <c:rich>
                  <a:bodyPr/>
                  <a:lstStyle/>
                  <a:p>
                    <a:fld id="{B03C5C4D-C8C9-4E04-9D55-66D09D78B66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0-9C27-4339-A0A3-D6E098C2FD5E}"/>
                </c:ext>
              </c:extLst>
            </c:dLbl>
            <c:dLbl>
              <c:idx val="112"/>
              <c:tx>
                <c:rich>
                  <a:bodyPr/>
                  <a:lstStyle/>
                  <a:p>
                    <a:fld id="{95C8E235-8061-4455-B3CB-EC509616A80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1-9C27-4339-A0A3-D6E098C2FD5E}"/>
                </c:ext>
              </c:extLst>
            </c:dLbl>
            <c:dLbl>
              <c:idx val="113"/>
              <c:tx>
                <c:rich>
                  <a:bodyPr/>
                  <a:lstStyle/>
                  <a:p>
                    <a:fld id="{2193D0D6-FADD-4F7B-9BC0-67828CEB46E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2-9C27-4339-A0A3-D6E098C2FD5E}"/>
                </c:ext>
              </c:extLst>
            </c:dLbl>
            <c:dLbl>
              <c:idx val="114"/>
              <c:tx>
                <c:rich>
                  <a:bodyPr/>
                  <a:lstStyle/>
                  <a:p>
                    <a:fld id="{B12DBB00-0A62-4B3A-B135-64683492C1C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3-9C27-4339-A0A3-D6E098C2FD5E}"/>
                </c:ext>
              </c:extLst>
            </c:dLbl>
            <c:dLbl>
              <c:idx val="115"/>
              <c:tx>
                <c:rich>
                  <a:bodyPr/>
                  <a:lstStyle/>
                  <a:p>
                    <a:fld id="{A103A1C9-6B80-4831-B069-770D0EA5321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4-9C27-4339-A0A3-D6E098C2FD5E}"/>
                </c:ext>
              </c:extLst>
            </c:dLbl>
            <c:dLbl>
              <c:idx val="116"/>
              <c:tx>
                <c:rich>
                  <a:bodyPr/>
                  <a:lstStyle/>
                  <a:p>
                    <a:fld id="{B4EDFC0B-6830-4BAC-AB39-AC8169EC3E0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5-9C27-4339-A0A3-D6E098C2FD5E}"/>
                </c:ext>
              </c:extLst>
            </c:dLbl>
            <c:dLbl>
              <c:idx val="117"/>
              <c:tx>
                <c:rich>
                  <a:bodyPr/>
                  <a:lstStyle/>
                  <a:p>
                    <a:fld id="{CC4E8952-F096-4A3B-9BAE-25352E028EC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6-9C27-4339-A0A3-D6E098C2FD5E}"/>
                </c:ext>
              </c:extLst>
            </c:dLbl>
            <c:dLbl>
              <c:idx val="118"/>
              <c:tx>
                <c:rich>
                  <a:bodyPr/>
                  <a:lstStyle/>
                  <a:p>
                    <a:fld id="{E10879CD-14AD-48BD-AB44-45F9E4F4A64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7-9C27-4339-A0A3-D6E098C2FD5E}"/>
                </c:ext>
              </c:extLst>
            </c:dLbl>
            <c:dLbl>
              <c:idx val="119"/>
              <c:tx>
                <c:rich>
                  <a:bodyPr/>
                  <a:lstStyle/>
                  <a:p>
                    <a:fld id="{2611751C-0915-4253-96D4-05C0CAF5EA8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8-9C27-4339-A0A3-D6E098C2FD5E}"/>
                </c:ext>
              </c:extLst>
            </c:dLbl>
            <c:dLbl>
              <c:idx val="120"/>
              <c:tx>
                <c:rich>
                  <a:bodyPr/>
                  <a:lstStyle/>
                  <a:p>
                    <a:fld id="{2E40EE60-4360-419A-B67C-8757C4ADCD4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9-9C27-4339-A0A3-D6E098C2FD5E}"/>
                </c:ext>
              </c:extLst>
            </c:dLbl>
            <c:dLbl>
              <c:idx val="121"/>
              <c:tx>
                <c:rich>
                  <a:bodyPr/>
                  <a:lstStyle/>
                  <a:p>
                    <a:fld id="{204044C2-A395-41F3-B66B-B5868B48944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A-9C27-4339-A0A3-D6E098C2FD5E}"/>
                </c:ext>
              </c:extLst>
            </c:dLbl>
            <c:dLbl>
              <c:idx val="122"/>
              <c:tx>
                <c:rich>
                  <a:bodyPr/>
                  <a:lstStyle/>
                  <a:p>
                    <a:fld id="{C311CB04-3DE6-4EE7-B09D-0CB2154833D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B-9C27-4339-A0A3-D6E098C2FD5E}"/>
                </c:ext>
              </c:extLst>
            </c:dLbl>
            <c:dLbl>
              <c:idx val="123"/>
              <c:tx>
                <c:rich>
                  <a:bodyPr/>
                  <a:lstStyle/>
                  <a:p>
                    <a:fld id="{80E2C813-1692-45FA-B808-7EE0DA0C5D1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C-9C27-4339-A0A3-D6E098C2FD5E}"/>
                </c:ext>
              </c:extLst>
            </c:dLbl>
            <c:dLbl>
              <c:idx val="124"/>
              <c:tx>
                <c:rich>
                  <a:bodyPr/>
                  <a:lstStyle/>
                  <a:p>
                    <a:fld id="{27FAE958-B6A7-424C-A726-2CC99EF2CEC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D-9C27-4339-A0A3-D6E098C2FD5E}"/>
                </c:ext>
              </c:extLst>
            </c:dLbl>
            <c:dLbl>
              <c:idx val="125"/>
              <c:tx>
                <c:rich>
                  <a:bodyPr/>
                  <a:lstStyle/>
                  <a:p>
                    <a:fld id="{F0017D0B-5DD4-4FF8-AB85-F15757372C0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E-9C27-4339-A0A3-D6E098C2FD5E}"/>
                </c:ext>
              </c:extLst>
            </c:dLbl>
            <c:dLbl>
              <c:idx val="126"/>
              <c:tx>
                <c:rich>
                  <a:bodyPr/>
                  <a:lstStyle/>
                  <a:p>
                    <a:fld id="{669AC7EA-8571-4050-92FE-7FA06FD5815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7F-9C27-4339-A0A3-D6E098C2FD5E}"/>
                </c:ext>
              </c:extLst>
            </c:dLbl>
            <c:dLbl>
              <c:idx val="127"/>
              <c:tx>
                <c:rich>
                  <a:bodyPr/>
                  <a:lstStyle/>
                  <a:p>
                    <a:fld id="{28E4BA3E-0BB2-4FC6-A685-E747DC4BBF2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0-9C27-4339-A0A3-D6E098C2FD5E}"/>
                </c:ext>
              </c:extLst>
            </c:dLbl>
            <c:dLbl>
              <c:idx val="128"/>
              <c:tx>
                <c:rich>
                  <a:bodyPr/>
                  <a:lstStyle/>
                  <a:p>
                    <a:fld id="{FAD9D42E-2DEE-4100-87B9-ACECA7AC3FE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1-9C27-4339-A0A3-D6E098C2FD5E}"/>
                </c:ext>
              </c:extLst>
            </c:dLbl>
            <c:dLbl>
              <c:idx val="129"/>
              <c:tx>
                <c:rich>
                  <a:bodyPr/>
                  <a:lstStyle/>
                  <a:p>
                    <a:fld id="{03D7FF34-FC3B-4AC9-8802-412C1E06BA2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2-9C27-4339-A0A3-D6E098C2FD5E}"/>
                </c:ext>
              </c:extLst>
            </c:dLbl>
            <c:dLbl>
              <c:idx val="130"/>
              <c:tx>
                <c:rich>
                  <a:bodyPr/>
                  <a:lstStyle/>
                  <a:p>
                    <a:fld id="{EB223684-5E4D-4825-96DE-CA661C7B926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3-9C27-4339-A0A3-D6E098C2FD5E}"/>
                </c:ext>
              </c:extLst>
            </c:dLbl>
            <c:dLbl>
              <c:idx val="131"/>
              <c:tx>
                <c:rich>
                  <a:bodyPr/>
                  <a:lstStyle/>
                  <a:p>
                    <a:fld id="{B7DD6C85-E4DD-4743-82E6-9B242A46957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4-9C27-4339-A0A3-D6E098C2FD5E}"/>
                </c:ext>
              </c:extLst>
            </c:dLbl>
            <c:dLbl>
              <c:idx val="132"/>
              <c:tx>
                <c:rich>
                  <a:bodyPr/>
                  <a:lstStyle/>
                  <a:p>
                    <a:fld id="{00CADEC9-3C77-482D-A343-B7737958867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5-9C27-4339-A0A3-D6E098C2FD5E}"/>
                </c:ext>
              </c:extLst>
            </c:dLbl>
            <c:dLbl>
              <c:idx val="133"/>
              <c:tx>
                <c:rich>
                  <a:bodyPr/>
                  <a:lstStyle/>
                  <a:p>
                    <a:fld id="{1BF85E84-C38E-4789-8E16-F75A125033F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6-9C27-4339-A0A3-D6E098C2FD5E}"/>
                </c:ext>
              </c:extLst>
            </c:dLbl>
            <c:dLbl>
              <c:idx val="134"/>
              <c:tx>
                <c:rich>
                  <a:bodyPr/>
                  <a:lstStyle/>
                  <a:p>
                    <a:fld id="{4D788E53-8D39-4C38-A6B8-1CBA913113A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7-9C27-4339-A0A3-D6E098C2FD5E}"/>
                </c:ext>
              </c:extLst>
            </c:dLbl>
            <c:dLbl>
              <c:idx val="135"/>
              <c:tx>
                <c:rich>
                  <a:bodyPr/>
                  <a:lstStyle/>
                  <a:p>
                    <a:fld id="{FADB614C-1AAB-4487-8CC6-9A009DF0B27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8-9C27-4339-A0A3-D6E098C2FD5E}"/>
                </c:ext>
              </c:extLst>
            </c:dLbl>
            <c:dLbl>
              <c:idx val="136"/>
              <c:tx>
                <c:rich>
                  <a:bodyPr/>
                  <a:lstStyle/>
                  <a:p>
                    <a:fld id="{5F637F92-114D-4C3B-8B03-737275F7A27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9-9C27-4339-A0A3-D6E098C2FD5E}"/>
                </c:ext>
              </c:extLst>
            </c:dLbl>
            <c:dLbl>
              <c:idx val="137"/>
              <c:tx>
                <c:rich>
                  <a:bodyPr/>
                  <a:lstStyle/>
                  <a:p>
                    <a:fld id="{64A01147-D05D-4654-B3C3-AC8B822F8E4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A-9C27-4339-A0A3-D6E098C2FD5E}"/>
                </c:ext>
              </c:extLst>
            </c:dLbl>
            <c:dLbl>
              <c:idx val="138"/>
              <c:tx>
                <c:rich>
                  <a:bodyPr/>
                  <a:lstStyle/>
                  <a:p>
                    <a:fld id="{6EF727A5-CB9B-45DD-95C3-ED9AA5482B8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B-9C27-4339-A0A3-D6E098C2FD5E}"/>
                </c:ext>
              </c:extLst>
            </c:dLbl>
            <c:dLbl>
              <c:idx val="139"/>
              <c:tx>
                <c:rich>
                  <a:bodyPr/>
                  <a:lstStyle/>
                  <a:p>
                    <a:fld id="{9E696961-21F3-401E-B058-FE6F2CE9486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C-9C27-4339-A0A3-D6E098C2FD5E}"/>
                </c:ext>
              </c:extLst>
            </c:dLbl>
            <c:dLbl>
              <c:idx val="140"/>
              <c:tx>
                <c:rich>
                  <a:bodyPr/>
                  <a:lstStyle/>
                  <a:p>
                    <a:fld id="{72016887-A35F-4E9C-8A8F-85C5E522E71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D-9C27-4339-A0A3-D6E098C2FD5E}"/>
                </c:ext>
              </c:extLst>
            </c:dLbl>
            <c:dLbl>
              <c:idx val="141"/>
              <c:tx>
                <c:rich>
                  <a:bodyPr/>
                  <a:lstStyle/>
                  <a:p>
                    <a:fld id="{9997D052-9827-4D06-9AA6-3CADCD40E54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E-9C27-4339-A0A3-D6E098C2FD5E}"/>
                </c:ext>
              </c:extLst>
            </c:dLbl>
            <c:dLbl>
              <c:idx val="142"/>
              <c:tx>
                <c:rich>
                  <a:bodyPr/>
                  <a:lstStyle/>
                  <a:p>
                    <a:fld id="{3BD70C97-7814-4C83-95EF-ABB132B85A0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8F-9C27-4339-A0A3-D6E098C2FD5E}"/>
                </c:ext>
              </c:extLst>
            </c:dLbl>
            <c:dLbl>
              <c:idx val="143"/>
              <c:tx>
                <c:rich>
                  <a:bodyPr/>
                  <a:lstStyle/>
                  <a:p>
                    <a:fld id="{A179631C-E5B5-4DD2-879E-177E872DC41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0-9C27-4339-A0A3-D6E098C2FD5E}"/>
                </c:ext>
              </c:extLst>
            </c:dLbl>
            <c:dLbl>
              <c:idx val="144"/>
              <c:tx>
                <c:rich>
                  <a:bodyPr/>
                  <a:lstStyle/>
                  <a:p>
                    <a:fld id="{452CCBAA-966C-4968-B926-1B5F7664D62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1-9C27-4339-A0A3-D6E098C2FD5E}"/>
                </c:ext>
              </c:extLst>
            </c:dLbl>
            <c:dLbl>
              <c:idx val="145"/>
              <c:tx>
                <c:rich>
                  <a:bodyPr/>
                  <a:lstStyle/>
                  <a:p>
                    <a:fld id="{AEC9B0D3-52D4-45BD-B2DB-5C401AD55A0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2-9C27-4339-A0A3-D6E098C2FD5E}"/>
                </c:ext>
              </c:extLst>
            </c:dLbl>
            <c:dLbl>
              <c:idx val="146"/>
              <c:tx>
                <c:rich>
                  <a:bodyPr/>
                  <a:lstStyle/>
                  <a:p>
                    <a:fld id="{BEB26DD4-2B20-4016-8BF3-103C07FB03F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3-9C27-4339-A0A3-D6E098C2FD5E}"/>
                </c:ext>
              </c:extLst>
            </c:dLbl>
            <c:dLbl>
              <c:idx val="147"/>
              <c:tx>
                <c:rich>
                  <a:bodyPr/>
                  <a:lstStyle/>
                  <a:p>
                    <a:fld id="{7485E282-36BE-4260-88C4-06B7643DCCD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4-9C27-4339-A0A3-D6E098C2FD5E}"/>
                </c:ext>
              </c:extLst>
            </c:dLbl>
            <c:dLbl>
              <c:idx val="148"/>
              <c:tx>
                <c:rich>
                  <a:bodyPr/>
                  <a:lstStyle/>
                  <a:p>
                    <a:fld id="{F5965BD5-2421-426E-B935-A0994981355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5-9C27-4339-A0A3-D6E098C2FD5E}"/>
                </c:ext>
              </c:extLst>
            </c:dLbl>
            <c:dLbl>
              <c:idx val="149"/>
              <c:tx>
                <c:rich>
                  <a:bodyPr/>
                  <a:lstStyle/>
                  <a:p>
                    <a:fld id="{B6795D25-972D-4ED6-BADE-A69DC59C6EC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6-9C27-4339-A0A3-D6E098C2FD5E}"/>
                </c:ext>
              </c:extLst>
            </c:dLbl>
            <c:dLbl>
              <c:idx val="150"/>
              <c:tx>
                <c:rich>
                  <a:bodyPr/>
                  <a:lstStyle/>
                  <a:p>
                    <a:fld id="{62CA3D58-B8FB-4038-BBF8-10F7957161F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7-9C27-4339-A0A3-D6E098C2FD5E}"/>
                </c:ext>
              </c:extLst>
            </c:dLbl>
            <c:dLbl>
              <c:idx val="151"/>
              <c:tx>
                <c:rich>
                  <a:bodyPr/>
                  <a:lstStyle/>
                  <a:p>
                    <a:fld id="{453EA6D9-594C-44E0-8E51-2C71326C500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8-9C27-4339-A0A3-D6E098C2FD5E}"/>
                </c:ext>
              </c:extLst>
            </c:dLbl>
            <c:dLbl>
              <c:idx val="152"/>
              <c:tx>
                <c:rich>
                  <a:bodyPr/>
                  <a:lstStyle/>
                  <a:p>
                    <a:fld id="{DE132E4B-3CF9-49C7-83D6-43EE917B2DA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9-9C27-4339-A0A3-D6E098C2FD5E}"/>
                </c:ext>
              </c:extLst>
            </c:dLbl>
            <c:dLbl>
              <c:idx val="153"/>
              <c:tx>
                <c:rich>
                  <a:bodyPr/>
                  <a:lstStyle/>
                  <a:p>
                    <a:fld id="{BE4D07CF-8712-41E1-A113-24551EF2C6B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A-9C27-4339-A0A3-D6E098C2FD5E}"/>
                </c:ext>
              </c:extLst>
            </c:dLbl>
            <c:dLbl>
              <c:idx val="154"/>
              <c:tx>
                <c:rich>
                  <a:bodyPr/>
                  <a:lstStyle/>
                  <a:p>
                    <a:fld id="{19B3F0A0-0BB4-429C-9152-F9ED2C8B0EA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B-9C27-4339-A0A3-D6E098C2FD5E}"/>
                </c:ext>
              </c:extLst>
            </c:dLbl>
            <c:dLbl>
              <c:idx val="155"/>
              <c:tx>
                <c:rich>
                  <a:bodyPr/>
                  <a:lstStyle/>
                  <a:p>
                    <a:fld id="{76B0565A-8494-4472-9A2B-E4C2D1FC6EE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C-9C27-4339-A0A3-D6E098C2FD5E}"/>
                </c:ext>
              </c:extLst>
            </c:dLbl>
            <c:dLbl>
              <c:idx val="156"/>
              <c:tx>
                <c:rich>
                  <a:bodyPr/>
                  <a:lstStyle/>
                  <a:p>
                    <a:fld id="{BA26A0D4-1A3B-4A1C-B382-9CF1CBCBCA8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D-9C27-4339-A0A3-D6E098C2FD5E}"/>
                </c:ext>
              </c:extLst>
            </c:dLbl>
            <c:dLbl>
              <c:idx val="157"/>
              <c:tx>
                <c:rich>
                  <a:bodyPr/>
                  <a:lstStyle/>
                  <a:p>
                    <a:fld id="{F9F5727E-ADA7-468D-AA5D-63787BCA1E0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E-9C27-4339-A0A3-D6E098C2FD5E}"/>
                </c:ext>
              </c:extLst>
            </c:dLbl>
            <c:dLbl>
              <c:idx val="158"/>
              <c:tx>
                <c:rich>
                  <a:bodyPr/>
                  <a:lstStyle/>
                  <a:p>
                    <a:fld id="{895F19E2-2C68-4F38-98E4-A7139816C6B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9F-9C27-4339-A0A3-D6E098C2FD5E}"/>
                </c:ext>
              </c:extLst>
            </c:dLbl>
            <c:dLbl>
              <c:idx val="159"/>
              <c:tx>
                <c:rich>
                  <a:bodyPr/>
                  <a:lstStyle/>
                  <a:p>
                    <a:fld id="{3D2EBA36-63EE-4C91-8655-CC7036A91EE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0-9C27-4339-A0A3-D6E098C2FD5E}"/>
                </c:ext>
              </c:extLst>
            </c:dLbl>
            <c:dLbl>
              <c:idx val="160"/>
              <c:tx>
                <c:rich>
                  <a:bodyPr/>
                  <a:lstStyle/>
                  <a:p>
                    <a:fld id="{D8FBA5EB-3D31-4452-8A22-4AA6CA34F6C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1-9C27-4339-A0A3-D6E098C2FD5E}"/>
                </c:ext>
              </c:extLst>
            </c:dLbl>
            <c:dLbl>
              <c:idx val="161"/>
              <c:tx>
                <c:rich>
                  <a:bodyPr/>
                  <a:lstStyle/>
                  <a:p>
                    <a:fld id="{221DA19B-03C7-43AE-9EE5-2E5263185F2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2-9C27-4339-A0A3-D6E098C2FD5E}"/>
                </c:ext>
              </c:extLst>
            </c:dLbl>
            <c:dLbl>
              <c:idx val="162"/>
              <c:tx>
                <c:rich>
                  <a:bodyPr/>
                  <a:lstStyle/>
                  <a:p>
                    <a:fld id="{E2813870-4466-435F-99F7-D4AE86F84A2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3-9C27-4339-A0A3-D6E098C2FD5E}"/>
                </c:ext>
              </c:extLst>
            </c:dLbl>
            <c:dLbl>
              <c:idx val="163"/>
              <c:tx>
                <c:rich>
                  <a:bodyPr/>
                  <a:lstStyle/>
                  <a:p>
                    <a:fld id="{573E04A8-F83D-44E0-8005-40650E588B5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4-9C27-4339-A0A3-D6E098C2FD5E}"/>
                </c:ext>
              </c:extLst>
            </c:dLbl>
            <c:dLbl>
              <c:idx val="164"/>
              <c:tx>
                <c:rich>
                  <a:bodyPr/>
                  <a:lstStyle/>
                  <a:p>
                    <a:fld id="{2C9EDD0C-FFD2-4B32-8EE7-456B8E8BDC4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5-9C27-4339-A0A3-D6E098C2FD5E}"/>
                </c:ext>
              </c:extLst>
            </c:dLbl>
            <c:dLbl>
              <c:idx val="165"/>
              <c:tx>
                <c:rich>
                  <a:bodyPr/>
                  <a:lstStyle/>
                  <a:p>
                    <a:fld id="{E2AC8DCC-0E08-41EA-BFEE-BD4EB01BAD4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6-9C27-4339-A0A3-D6E098C2FD5E}"/>
                </c:ext>
              </c:extLst>
            </c:dLbl>
            <c:dLbl>
              <c:idx val="166"/>
              <c:tx>
                <c:rich>
                  <a:bodyPr/>
                  <a:lstStyle/>
                  <a:p>
                    <a:fld id="{4A9F574E-DA4E-415A-B7CC-9B0DFCB691F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7-9C27-4339-A0A3-D6E098C2FD5E}"/>
                </c:ext>
              </c:extLst>
            </c:dLbl>
            <c:dLbl>
              <c:idx val="167"/>
              <c:tx>
                <c:rich>
                  <a:bodyPr/>
                  <a:lstStyle/>
                  <a:p>
                    <a:fld id="{B1CBC21F-BF29-4B15-8FC8-4824F4C4FC9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8-9C27-4339-A0A3-D6E098C2FD5E}"/>
                </c:ext>
              </c:extLst>
            </c:dLbl>
            <c:dLbl>
              <c:idx val="168"/>
              <c:tx>
                <c:rich>
                  <a:bodyPr/>
                  <a:lstStyle/>
                  <a:p>
                    <a:fld id="{43BE6829-D70D-4862-A8AB-DD6DC9F35AD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9-9C27-4339-A0A3-D6E098C2FD5E}"/>
                </c:ext>
              </c:extLst>
            </c:dLbl>
            <c:dLbl>
              <c:idx val="169"/>
              <c:tx>
                <c:rich>
                  <a:bodyPr/>
                  <a:lstStyle/>
                  <a:p>
                    <a:fld id="{D2DCE818-4EE2-49E7-8C87-19D785E89AA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A-9C27-4339-A0A3-D6E098C2FD5E}"/>
                </c:ext>
              </c:extLst>
            </c:dLbl>
            <c:dLbl>
              <c:idx val="170"/>
              <c:tx>
                <c:rich>
                  <a:bodyPr/>
                  <a:lstStyle/>
                  <a:p>
                    <a:fld id="{D4A473D8-8452-44E7-900A-99D9E9C8934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B-9C27-4339-A0A3-D6E098C2FD5E}"/>
                </c:ext>
              </c:extLst>
            </c:dLbl>
            <c:dLbl>
              <c:idx val="171"/>
              <c:tx>
                <c:rich>
                  <a:bodyPr/>
                  <a:lstStyle/>
                  <a:p>
                    <a:fld id="{1E3111E8-4335-4879-853C-C6E12EC765E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C-9C27-4339-A0A3-D6E098C2FD5E}"/>
                </c:ext>
              </c:extLst>
            </c:dLbl>
            <c:dLbl>
              <c:idx val="172"/>
              <c:tx>
                <c:rich>
                  <a:bodyPr/>
                  <a:lstStyle/>
                  <a:p>
                    <a:fld id="{02B48BD8-7381-484C-8C48-388BB3ED264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D-9C27-4339-A0A3-D6E098C2FD5E}"/>
                </c:ext>
              </c:extLst>
            </c:dLbl>
            <c:dLbl>
              <c:idx val="173"/>
              <c:tx>
                <c:rich>
                  <a:bodyPr/>
                  <a:lstStyle/>
                  <a:p>
                    <a:fld id="{C8BEE574-5D36-44CC-91D9-A0BE3E2238B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E-9C27-4339-A0A3-D6E098C2FD5E}"/>
                </c:ext>
              </c:extLst>
            </c:dLbl>
            <c:dLbl>
              <c:idx val="174"/>
              <c:tx>
                <c:rich>
                  <a:bodyPr/>
                  <a:lstStyle/>
                  <a:p>
                    <a:fld id="{1CC39DD7-EF53-4A80-84E9-A3981A0980A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AF-9C27-4339-A0A3-D6E098C2FD5E}"/>
                </c:ext>
              </c:extLst>
            </c:dLbl>
            <c:dLbl>
              <c:idx val="175"/>
              <c:tx>
                <c:rich>
                  <a:bodyPr/>
                  <a:lstStyle/>
                  <a:p>
                    <a:fld id="{7D7CEA48-DC68-4B90-93B9-2D8E2FE4787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0-9C27-4339-A0A3-D6E098C2FD5E}"/>
                </c:ext>
              </c:extLst>
            </c:dLbl>
            <c:dLbl>
              <c:idx val="176"/>
              <c:tx>
                <c:rich>
                  <a:bodyPr/>
                  <a:lstStyle/>
                  <a:p>
                    <a:fld id="{25AAA0B0-897B-462C-AE69-267E00F1CD5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1-9C27-4339-A0A3-D6E098C2FD5E}"/>
                </c:ext>
              </c:extLst>
            </c:dLbl>
            <c:dLbl>
              <c:idx val="177"/>
              <c:tx>
                <c:rich>
                  <a:bodyPr/>
                  <a:lstStyle/>
                  <a:p>
                    <a:fld id="{A2EE3A2E-C375-479A-842C-6F89C03DC9C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2-9C27-4339-A0A3-D6E098C2FD5E}"/>
                </c:ext>
              </c:extLst>
            </c:dLbl>
            <c:dLbl>
              <c:idx val="178"/>
              <c:tx>
                <c:rich>
                  <a:bodyPr/>
                  <a:lstStyle/>
                  <a:p>
                    <a:fld id="{78E57A0B-498B-4678-9012-962FA9B0214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3-9C27-4339-A0A3-D6E098C2FD5E}"/>
                </c:ext>
              </c:extLst>
            </c:dLbl>
            <c:dLbl>
              <c:idx val="179"/>
              <c:tx>
                <c:rich>
                  <a:bodyPr/>
                  <a:lstStyle/>
                  <a:p>
                    <a:fld id="{40DC3356-87DF-4DF8-B244-377CE2B799B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4-9C27-4339-A0A3-D6E098C2FD5E}"/>
                </c:ext>
              </c:extLst>
            </c:dLbl>
            <c:dLbl>
              <c:idx val="180"/>
              <c:tx>
                <c:rich>
                  <a:bodyPr/>
                  <a:lstStyle/>
                  <a:p>
                    <a:fld id="{6474059D-6166-4F6B-8A9D-47B8B651BBA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5-9C27-4339-A0A3-D6E098C2FD5E}"/>
                </c:ext>
              </c:extLst>
            </c:dLbl>
            <c:dLbl>
              <c:idx val="181"/>
              <c:tx>
                <c:rich>
                  <a:bodyPr/>
                  <a:lstStyle/>
                  <a:p>
                    <a:fld id="{C8D22382-575D-4696-9592-A2DAEC0C12C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6-9C27-4339-A0A3-D6E098C2FD5E}"/>
                </c:ext>
              </c:extLst>
            </c:dLbl>
            <c:dLbl>
              <c:idx val="182"/>
              <c:tx>
                <c:rich>
                  <a:bodyPr/>
                  <a:lstStyle/>
                  <a:p>
                    <a:fld id="{3DACF06C-AAA0-4F67-B49F-BE52FD6E5B8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7-9C27-4339-A0A3-D6E098C2FD5E}"/>
                </c:ext>
              </c:extLst>
            </c:dLbl>
            <c:dLbl>
              <c:idx val="183"/>
              <c:tx>
                <c:rich>
                  <a:bodyPr/>
                  <a:lstStyle/>
                  <a:p>
                    <a:fld id="{17246209-026C-4EF5-B6A6-3D334A27F43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8-9C27-4339-A0A3-D6E098C2FD5E}"/>
                </c:ext>
              </c:extLst>
            </c:dLbl>
            <c:dLbl>
              <c:idx val="184"/>
              <c:tx>
                <c:rich>
                  <a:bodyPr/>
                  <a:lstStyle/>
                  <a:p>
                    <a:fld id="{526B5EC1-0A71-460C-8294-4225A51C48E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9-9C27-4339-A0A3-D6E098C2FD5E}"/>
                </c:ext>
              </c:extLst>
            </c:dLbl>
            <c:dLbl>
              <c:idx val="185"/>
              <c:tx>
                <c:rich>
                  <a:bodyPr/>
                  <a:lstStyle/>
                  <a:p>
                    <a:fld id="{06D5E419-06FF-44FE-B771-1266113D0ED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A-9C27-4339-A0A3-D6E098C2FD5E}"/>
                </c:ext>
              </c:extLst>
            </c:dLbl>
            <c:dLbl>
              <c:idx val="186"/>
              <c:tx>
                <c:rich>
                  <a:bodyPr/>
                  <a:lstStyle/>
                  <a:p>
                    <a:fld id="{F8D80A77-090E-4938-BFF1-97EE0CA6B12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B-9C27-4339-A0A3-D6E098C2FD5E}"/>
                </c:ext>
              </c:extLst>
            </c:dLbl>
            <c:dLbl>
              <c:idx val="187"/>
              <c:tx>
                <c:rich>
                  <a:bodyPr/>
                  <a:lstStyle/>
                  <a:p>
                    <a:fld id="{C09328C9-BD42-46B7-BA43-3C9E19A0566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C-9C27-4339-A0A3-D6E098C2FD5E}"/>
                </c:ext>
              </c:extLst>
            </c:dLbl>
            <c:dLbl>
              <c:idx val="188"/>
              <c:tx>
                <c:rich>
                  <a:bodyPr/>
                  <a:lstStyle/>
                  <a:p>
                    <a:fld id="{4393C68B-D9C2-4A46-A41E-E563C8E4A4A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D-9C27-4339-A0A3-D6E098C2FD5E}"/>
                </c:ext>
              </c:extLst>
            </c:dLbl>
            <c:dLbl>
              <c:idx val="189"/>
              <c:tx>
                <c:rich>
                  <a:bodyPr/>
                  <a:lstStyle/>
                  <a:p>
                    <a:fld id="{D8D691FB-1118-4FD5-A650-41D7F922BB8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E-9C27-4339-A0A3-D6E098C2FD5E}"/>
                </c:ext>
              </c:extLst>
            </c:dLbl>
            <c:dLbl>
              <c:idx val="190"/>
              <c:tx>
                <c:rich>
                  <a:bodyPr/>
                  <a:lstStyle/>
                  <a:p>
                    <a:fld id="{3F0CDAFC-C904-40C4-95A7-5FD0481B9D0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BF-9C27-4339-A0A3-D6E098C2FD5E}"/>
                </c:ext>
              </c:extLst>
            </c:dLbl>
            <c:dLbl>
              <c:idx val="191"/>
              <c:tx>
                <c:rich>
                  <a:bodyPr/>
                  <a:lstStyle/>
                  <a:p>
                    <a:fld id="{D4030B9A-D361-4EF3-B377-9113B34196A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0-9C27-4339-A0A3-D6E098C2FD5E}"/>
                </c:ext>
              </c:extLst>
            </c:dLbl>
            <c:dLbl>
              <c:idx val="192"/>
              <c:tx>
                <c:rich>
                  <a:bodyPr/>
                  <a:lstStyle/>
                  <a:p>
                    <a:fld id="{0033C693-EB0D-4DCB-84F2-0DEA79E923B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1-9C27-4339-A0A3-D6E098C2FD5E}"/>
                </c:ext>
              </c:extLst>
            </c:dLbl>
            <c:dLbl>
              <c:idx val="193"/>
              <c:tx>
                <c:rich>
                  <a:bodyPr/>
                  <a:lstStyle/>
                  <a:p>
                    <a:fld id="{270FD16C-1F8D-4EE5-B91F-F43E1052234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2-9C27-4339-A0A3-D6E098C2FD5E}"/>
                </c:ext>
              </c:extLst>
            </c:dLbl>
            <c:dLbl>
              <c:idx val="194"/>
              <c:tx>
                <c:rich>
                  <a:bodyPr/>
                  <a:lstStyle/>
                  <a:p>
                    <a:fld id="{579F3D06-D49C-4E66-ADBE-4FB03B15FBB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3-9C27-4339-A0A3-D6E098C2FD5E}"/>
                </c:ext>
              </c:extLst>
            </c:dLbl>
            <c:dLbl>
              <c:idx val="195"/>
              <c:tx>
                <c:rich>
                  <a:bodyPr/>
                  <a:lstStyle/>
                  <a:p>
                    <a:fld id="{A8EBB62D-85AF-467D-9C02-C07CCD8211D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4-9C27-4339-A0A3-D6E098C2FD5E}"/>
                </c:ext>
              </c:extLst>
            </c:dLbl>
            <c:dLbl>
              <c:idx val="196"/>
              <c:tx>
                <c:rich>
                  <a:bodyPr/>
                  <a:lstStyle/>
                  <a:p>
                    <a:fld id="{18DF158C-E1B4-4AE3-A334-C1177E948F6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5-9C27-4339-A0A3-D6E098C2FD5E}"/>
                </c:ext>
              </c:extLst>
            </c:dLbl>
            <c:dLbl>
              <c:idx val="197"/>
              <c:tx>
                <c:rich>
                  <a:bodyPr/>
                  <a:lstStyle/>
                  <a:p>
                    <a:fld id="{A8CA5E37-9A6E-4B55-A9B2-C56FB457BDE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6-9C27-4339-A0A3-D6E098C2FD5E}"/>
                </c:ext>
              </c:extLst>
            </c:dLbl>
            <c:dLbl>
              <c:idx val="198"/>
              <c:tx>
                <c:rich>
                  <a:bodyPr/>
                  <a:lstStyle/>
                  <a:p>
                    <a:fld id="{A51B4F56-55DF-4EC7-A0D3-AEB7C01E02C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7-9C27-4339-A0A3-D6E098C2FD5E}"/>
                </c:ext>
              </c:extLst>
            </c:dLbl>
            <c:dLbl>
              <c:idx val="199"/>
              <c:tx>
                <c:rich>
                  <a:bodyPr/>
                  <a:lstStyle/>
                  <a:p>
                    <a:fld id="{D00198B1-37C0-475A-8811-E9369EA4CC8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8-9C27-4339-A0A3-D6E098C2FD5E}"/>
                </c:ext>
              </c:extLst>
            </c:dLbl>
            <c:dLbl>
              <c:idx val="200"/>
              <c:tx>
                <c:rich>
                  <a:bodyPr/>
                  <a:lstStyle/>
                  <a:p>
                    <a:fld id="{5FA70779-2A30-4704-8094-C36DA3051B4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9-9C27-4339-A0A3-D6E098C2FD5E}"/>
                </c:ext>
              </c:extLst>
            </c:dLbl>
            <c:dLbl>
              <c:idx val="201"/>
              <c:tx>
                <c:rich>
                  <a:bodyPr/>
                  <a:lstStyle/>
                  <a:p>
                    <a:fld id="{82A06ED4-AB6F-4F05-AE99-B9F7AFAD4CC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A-9C27-4339-A0A3-D6E098C2FD5E}"/>
                </c:ext>
              </c:extLst>
            </c:dLbl>
            <c:dLbl>
              <c:idx val="202"/>
              <c:tx>
                <c:rich>
                  <a:bodyPr/>
                  <a:lstStyle/>
                  <a:p>
                    <a:fld id="{AB26C4D4-28DD-4FF8-ABF9-93690BE9D5B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B-9C27-4339-A0A3-D6E098C2FD5E}"/>
                </c:ext>
              </c:extLst>
            </c:dLbl>
            <c:dLbl>
              <c:idx val="203"/>
              <c:tx>
                <c:rich>
                  <a:bodyPr/>
                  <a:lstStyle/>
                  <a:p>
                    <a:fld id="{0AEABE7A-6002-43D3-862A-431F8407B79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C-9C27-4339-A0A3-D6E098C2FD5E}"/>
                </c:ext>
              </c:extLst>
            </c:dLbl>
            <c:dLbl>
              <c:idx val="204"/>
              <c:tx>
                <c:rich>
                  <a:bodyPr/>
                  <a:lstStyle/>
                  <a:p>
                    <a:fld id="{FEC65A84-B68A-4948-AB12-F5FBDFE5CE6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D-9C27-4339-A0A3-D6E098C2FD5E}"/>
                </c:ext>
              </c:extLst>
            </c:dLbl>
            <c:dLbl>
              <c:idx val="205"/>
              <c:tx>
                <c:rich>
                  <a:bodyPr/>
                  <a:lstStyle/>
                  <a:p>
                    <a:fld id="{274562B2-3B88-430F-B5BC-48F618B50ED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E-9C27-4339-A0A3-D6E098C2FD5E}"/>
                </c:ext>
              </c:extLst>
            </c:dLbl>
            <c:dLbl>
              <c:idx val="206"/>
              <c:tx>
                <c:rich>
                  <a:bodyPr/>
                  <a:lstStyle/>
                  <a:p>
                    <a:fld id="{D42344DF-12E7-4A30-964D-FAD3C0825EA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CF-9C27-4339-A0A3-D6E098C2FD5E}"/>
                </c:ext>
              </c:extLst>
            </c:dLbl>
            <c:dLbl>
              <c:idx val="207"/>
              <c:tx>
                <c:rich>
                  <a:bodyPr/>
                  <a:lstStyle/>
                  <a:p>
                    <a:fld id="{6F63E5FF-E830-4162-BD89-061F106D0F8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0-9C27-4339-A0A3-D6E098C2FD5E}"/>
                </c:ext>
              </c:extLst>
            </c:dLbl>
            <c:dLbl>
              <c:idx val="208"/>
              <c:tx>
                <c:rich>
                  <a:bodyPr/>
                  <a:lstStyle/>
                  <a:p>
                    <a:fld id="{099F9AFA-A0A1-4751-BEA5-3EAB351E8EB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1-9C27-4339-A0A3-D6E098C2FD5E}"/>
                </c:ext>
              </c:extLst>
            </c:dLbl>
            <c:dLbl>
              <c:idx val="209"/>
              <c:tx>
                <c:rich>
                  <a:bodyPr/>
                  <a:lstStyle/>
                  <a:p>
                    <a:fld id="{A4ACE98F-DD88-402F-9793-70D34339D89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2-9C27-4339-A0A3-D6E098C2FD5E}"/>
                </c:ext>
              </c:extLst>
            </c:dLbl>
            <c:dLbl>
              <c:idx val="210"/>
              <c:tx>
                <c:rich>
                  <a:bodyPr/>
                  <a:lstStyle/>
                  <a:p>
                    <a:fld id="{787A0F0C-29F3-4425-9F24-A1539D4EA3D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3-9C27-4339-A0A3-D6E098C2FD5E}"/>
                </c:ext>
              </c:extLst>
            </c:dLbl>
            <c:dLbl>
              <c:idx val="211"/>
              <c:tx>
                <c:rich>
                  <a:bodyPr/>
                  <a:lstStyle/>
                  <a:p>
                    <a:fld id="{7012013C-295F-40A9-898B-7AE155DA780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4-9C27-4339-A0A3-D6E098C2FD5E}"/>
                </c:ext>
              </c:extLst>
            </c:dLbl>
            <c:dLbl>
              <c:idx val="212"/>
              <c:tx>
                <c:rich>
                  <a:bodyPr/>
                  <a:lstStyle/>
                  <a:p>
                    <a:fld id="{0BD14F15-6B2B-45DB-A0DB-1CBEF339A42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5-9C27-4339-A0A3-D6E098C2FD5E}"/>
                </c:ext>
              </c:extLst>
            </c:dLbl>
            <c:dLbl>
              <c:idx val="213"/>
              <c:tx>
                <c:rich>
                  <a:bodyPr/>
                  <a:lstStyle/>
                  <a:p>
                    <a:fld id="{DE84D125-86F6-43B7-B80B-D4106A524AD6}"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6-9C27-4339-A0A3-D6E098C2FD5E}"/>
                </c:ext>
              </c:extLst>
            </c:dLbl>
            <c:dLbl>
              <c:idx val="214"/>
              <c:tx>
                <c:rich>
                  <a:bodyPr/>
                  <a:lstStyle/>
                  <a:p>
                    <a:fld id="{8CCA51BF-EA78-4246-BCA4-9336574283F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7-9C27-4339-A0A3-D6E098C2FD5E}"/>
                </c:ext>
              </c:extLst>
            </c:dLbl>
            <c:dLbl>
              <c:idx val="215"/>
              <c:tx>
                <c:rich>
                  <a:bodyPr/>
                  <a:lstStyle/>
                  <a:p>
                    <a:fld id="{0F365B32-4172-495C-98AD-862436351E6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8-9C27-4339-A0A3-D6E098C2FD5E}"/>
                </c:ext>
              </c:extLst>
            </c:dLbl>
            <c:dLbl>
              <c:idx val="216"/>
              <c:tx>
                <c:rich>
                  <a:bodyPr/>
                  <a:lstStyle/>
                  <a:p>
                    <a:fld id="{1FED4FF9-69F4-40C7-8A22-1B5804E0208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9-9C27-4339-A0A3-D6E098C2FD5E}"/>
                </c:ext>
              </c:extLst>
            </c:dLbl>
            <c:dLbl>
              <c:idx val="217"/>
              <c:tx>
                <c:rich>
                  <a:bodyPr/>
                  <a:lstStyle/>
                  <a:p>
                    <a:fld id="{EB27A927-FC90-4BCE-8BD0-9EFF82974AB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A-9C27-4339-A0A3-D6E098C2FD5E}"/>
                </c:ext>
              </c:extLst>
            </c:dLbl>
            <c:dLbl>
              <c:idx val="218"/>
              <c:tx>
                <c:rich>
                  <a:bodyPr/>
                  <a:lstStyle/>
                  <a:p>
                    <a:fld id="{8A4DD2F0-006A-4658-A10E-F9590A0F1A8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B-9C27-4339-A0A3-D6E098C2FD5E}"/>
                </c:ext>
              </c:extLst>
            </c:dLbl>
            <c:dLbl>
              <c:idx val="219"/>
              <c:tx>
                <c:rich>
                  <a:bodyPr/>
                  <a:lstStyle/>
                  <a:p>
                    <a:fld id="{8B417E4F-094A-4B7B-B29D-E9EA4D19E4E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C-9C27-4339-A0A3-D6E098C2FD5E}"/>
                </c:ext>
              </c:extLst>
            </c:dLbl>
            <c:dLbl>
              <c:idx val="220"/>
              <c:tx>
                <c:rich>
                  <a:bodyPr/>
                  <a:lstStyle/>
                  <a:p>
                    <a:fld id="{01CF655B-2CE8-4BD7-99AE-6D2239122FDF}"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D-9C27-4339-A0A3-D6E098C2FD5E}"/>
                </c:ext>
              </c:extLst>
            </c:dLbl>
            <c:dLbl>
              <c:idx val="221"/>
              <c:tx>
                <c:rich>
                  <a:bodyPr/>
                  <a:lstStyle/>
                  <a:p>
                    <a:fld id="{F88AE3DD-2BB3-4EB6-BECD-331BB4120AA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E-9C27-4339-A0A3-D6E098C2FD5E}"/>
                </c:ext>
              </c:extLst>
            </c:dLbl>
            <c:dLbl>
              <c:idx val="222"/>
              <c:tx>
                <c:rich>
                  <a:bodyPr/>
                  <a:lstStyle/>
                  <a:p>
                    <a:fld id="{136A1F3F-D582-49AE-A21A-C5259ADAC78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DF-9C27-4339-A0A3-D6E098C2FD5E}"/>
                </c:ext>
              </c:extLst>
            </c:dLbl>
            <c:dLbl>
              <c:idx val="223"/>
              <c:tx>
                <c:rich>
                  <a:bodyPr/>
                  <a:lstStyle/>
                  <a:p>
                    <a:fld id="{DD0EFDAD-C8FF-4C90-90F5-CE758D17923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0-9C27-4339-A0A3-D6E098C2FD5E}"/>
                </c:ext>
              </c:extLst>
            </c:dLbl>
            <c:dLbl>
              <c:idx val="224"/>
              <c:tx>
                <c:rich>
                  <a:bodyPr/>
                  <a:lstStyle/>
                  <a:p>
                    <a:fld id="{F9C9DD91-4FB9-4BE2-9556-6DBF2300FDB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1-9C27-4339-A0A3-D6E098C2FD5E}"/>
                </c:ext>
              </c:extLst>
            </c:dLbl>
            <c:dLbl>
              <c:idx val="225"/>
              <c:tx>
                <c:rich>
                  <a:bodyPr/>
                  <a:lstStyle/>
                  <a:p>
                    <a:fld id="{CE7FE7CC-8021-46FB-A375-F5C3B41DB11A}"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E2-9C27-4339-A0A3-D6E098C2FD5E}"/>
                </c:ext>
              </c:extLst>
            </c:dLbl>
            <c:dLbl>
              <c:idx val="22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3-9C27-4339-A0A3-D6E098C2FD5E}"/>
                </c:ext>
              </c:extLst>
            </c:dLbl>
            <c:dLbl>
              <c:idx val="22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4-9C27-4339-A0A3-D6E098C2FD5E}"/>
                </c:ext>
              </c:extLst>
            </c:dLbl>
            <c:dLbl>
              <c:idx val="22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5-9C27-4339-A0A3-D6E098C2FD5E}"/>
                </c:ext>
              </c:extLst>
            </c:dLbl>
            <c:dLbl>
              <c:idx val="22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6-9C27-4339-A0A3-D6E098C2FD5E}"/>
                </c:ext>
              </c:extLst>
            </c:dLbl>
            <c:dLbl>
              <c:idx val="23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7-9C27-4339-A0A3-D6E098C2FD5E}"/>
                </c:ext>
              </c:extLst>
            </c:dLbl>
            <c:dLbl>
              <c:idx val="23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8-9C27-4339-A0A3-D6E098C2FD5E}"/>
                </c:ext>
              </c:extLst>
            </c:dLbl>
            <c:dLbl>
              <c:idx val="23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9-9C27-4339-A0A3-D6E098C2FD5E}"/>
                </c:ext>
              </c:extLst>
            </c:dLbl>
            <c:dLbl>
              <c:idx val="23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A-9C27-4339-A0A3-D6E098C2FD5E}"/>
                </c:ext>
              </c:extLst>
            </c:dLbl>
            <c:dLbl>
              <c:idx val="23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B-9C27-4339-A0A3-D6E098C2FD5E}"/>
                </c:ext>
              </c:extLst>
            </c:dLbl>
            <c:dLbl>
              <c:idx val="23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C-9C27-4339-A0A3-D6E098C2FD5E}"/>
                </c:ext>
              </c:extLst>
            </c:dLbl>
            <c:dLbl>
              <c:idx val="23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D-9C27-4339-A0A3-D6E098C2FD5E}"/>
                </c:ext>
              </c:extLst>
            </c:dLbl>
            <c:dLbl>
              <c:idx val="23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E-9C27-4339-A0A3-D6E098C2FD5E}"/>
                </c:ext>
              </c:extLst>
            </c:dLbl>
            <c:dLbl>
              <c:idx val="23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F-9C27-4339-A0A3-D6E098C2FD5E}"/>
                </c:ext>
              </c:extLst>
            </c:dLbl>
            <c:dLbl>
              <c:idx val="23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0-9C27-4339-A0A3-D6E098C2FD5E}"/>
                </c:ext>
              </c:extLst>
            </c:dLbl>
            <c:dLbl>
              <c:idx val="24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1-9C27-4339-A0A3-D6E098C2FD5E}"/>
                </c:ext>
              </c:extLst>
            </c:dLbl>
            <c:dLbl>
              <c:idx val="24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2-9C27-4339-A0A3-D6E098C2FD5E}"/>
                </c:ext>
              </c:extLst>
            </c:dLbl>
            <c:dLbl>
              <c:idx val="24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3-9C27-4339-A0A3-D6E098C2FD5E}"/>
                </c:ext>
              </c:extLst>
            </c:dLbl>
            <c:dLbl>
              <c:idx val="24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4-9C27-4339-A0A3-D6E098C2FD5E}"/>
                </c:ext>
              </c:extLst>
            </c:dLbl>
            <c:dLbl>
              <c:idx val="24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5-9C27-4339-A0A3-D6E098C2FD5E}"/>
                </c:ext>
              </c:extLst>
            </c:dLbl>
            <c:dLbl>
              <c:idx val="24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6-9C27-4339-A0A3-D6E098C2FD5E}"/>
                </c:ext>
              </c:extLst>
            </c:dLbl>
            <c:dLbl>
              <c:idx val="24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7-9C27-4339-A0A3-D6E098C2FD5E}"/>
                </c:ext>
              </c:extLst>
            </c:dLbl>
            <c:dLbl>
              <c:idx val="24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8-9C27-4339-A0A3-D6E098C2FD5E}"/>
                </c:ext>
              </c:extLst>
            </c:dLbl>
            <c:dLbl>
              <c:idx val="24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9-9C27-4339-A0A3-D6E098C2FD5E}"/>
                </c:ext>
              </c:extLst>
            </c:dLbl>
            <c:dLbl>
              <c:idx val="24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A-9C27-4339-A0A3-D6E098C2FD5E}"/>
                </c:ext>
              </c:extLst>
            </c:dLbl>
            <c:dLbl>
              <c:idx val="25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B-9C27-4339-A0A3-D6E098C2FD5E}"/>
                </c:ext>
              </c:extLst>
            </c:dLbl>
            <c:dLbl>
              <c:idx val="25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C-9C27-4339-A0A3-D6E098C2FD5E}"/>
                </c:ext>
              </c:extLst>
            </c:dLbl>
            <c:dLbl>
              <c:idx val="25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D-9C27-4339-A0A3-D6E098C2FD5E}"/>
                </c:ext>
              </c:extLst>
            </c:dLbl>
            <c:dLbl>
              <c:idx val="25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E-9C27-4339-A0A3-D6E098C2FD5E}"/>
                </c:ext>
              </c:extLst>
            </c:dLbl>
            <c:dLbl>
              <c:idx val="25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F-9C27-4339-A0A3-D6E098C2FD5E}"/>
                </c:ext>
              </c:extLst>
            </c:dLbl>
            <c:dLbl>
              <c:idx val="25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0-9C27-4339-A0A3-D6E098C2FD5E}"/>
                </c:ext>
              </c:extLst>
            </c:dLbl>
            <c:dLbl>
              <c:idx val="25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1-9C27-4339-A0A3-D6E098C2FD5E}"/>
                </c:ext>
              </c:extLst>
            </c:dLbl>
            <c:dLbl>
              <c:idx val="25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2-9C27-4339-A0A3-D6E098C2FD5E}"/>
                </c:ext>
              </c:extLst>
            </c:dLbl>
            <c:dLbl>
              <c:idx val="25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3-9C27-4339-A0A3-D6E098C2FD5E}"/>
                </c:ext>
              </c:extLst>
            </c:dLbl>
            <c:dLbl>
              <c:idx val="25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4-9C27-4339-A0A3-D6E098C2FD5E}"/>
                </c:ext>
              </c:extLst>
            </c:dLbl>
            <c:dLbl>
              <c:idx val="26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5-9C27-4339-A0A3-D6E098C2FD5E}"/>
                </c:ext>
              </c:extLst>
            </c:dLbl>
            <c:dLbl>
              <c:idx val="26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6-9C27-4339-A0A3-D6E098C2FD5E}"/>
                </c:ext>
              </c:extLst>
            </c:dLbl>
            <c:dLbl>
              <c:idx val="26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7-9C27-4339-A0A3-D6E098C2FD5E}"/>
                </c:ext>
              </c:extLst>
            </c:dLbl>
            <c:dLbl>
              <c:idx val="26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8-9C27-4339-A0A3-D6E098C2FD5E}"/>
                </c:ext>
              </c:extLst>
            </c:dLbl>
            <c:dLbl>
              <c:idx val="26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9-9C27-4339-A0A3-D6E098C2FD5E}"/>
                </c:ext>
              </c:extLst>
            </c:dLbl>
            <c:dLbl>
              <c:idx val="26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A-9C27-4339-A0A3-D6E098C2FD5E}"/>
                </c:ext>
              </c:extLst>
            </c:dLbl>
            <c:dLbl>
              <c:idx val="26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B-9C27-4339-A0A3-D6E098C2FD5E}"/>
                </c:ext>
              </c:extLst>
            </c:dLbl>
            <c:dLbl>
              <c:idx val="26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C-9C27-4339-A0A3-D6E098C2FD5E}"/>
                </c:ext>
              </c:extLst>
            </c:dLbl>
            <c:dLbl>
              <c:idx val="26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D-9C27-4339-A0A3-D6E098C2FD5E}"/>
                </c:ext>
              </c:extLst>
            </c:dLbl>
            <c:dLbl>
              <c:idx val="26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E-9C27-4339-A0A3-D6E098C2FD5E}"/>
                </c:ext>
              </c:extLst>
            </c:dLbl>
            <c:dLbl>
              <c:idx val="27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F-9C27-4339-A0A3-D6E098C2FD5E}"/>
                </c:ext>
              </c:extLst>
            </c:dLbl>
            <c:dLbl>
              <c:idx val="27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0-9C27-4339-A0A3-D6E098C2FD5E}"/>
                </c:ext>
              </c:extLst>
            </c:dLbl>
            <c:dLbl>
              <c:idx val="27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1-9C27-4339-A0A3-D6E098C2FD5E}"/>
                </c:ext>
              </c:extLst>
            </c:dLbl>
            <c:dLbl>
              <c:idx val="27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2-9C27-4339-A0A3-D6E098C2FD5E}"/>
                </c:ext>
              </c:extLst>
            </c:dLbl>
            <c:dLbl>
              <c:idx val="27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3-9C27-4339-A0A3-D6E098C2FD5E}"/>
                </c:ext>
              </c:extLst>
            </c:dLbl>
            <c:dLbl>
              <c:idx val="27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4-9C27-4339-A0A3-D6E098C2FD5E}"/>
                </c:ext>
              </c:extLst>
            </c:dLbl>
            <c:dLbl>
              <c:idx val="27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5-9C27-4339-A0A3-D6E098C2FD5E}"/>
                </c:ext>
              </c:extLst>
            </c:dLbl>
            <c:dLbl>
              <c:idx val="27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6-9C27-4339-A0A3-D6E098C2FD5E}"/>
                </c:ext>
              </c:extLst>
            </c:dLbl>
            <c:dLbl>
              <c:idx val="27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7-9C27-4339-A0A3-D6E098C2FD5E}"/>
                </c:ext>
              </c:extLst>
            </c:dLbl>
            <c:dLbl>
              <c:idx val="27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8-9C27-4339-A0A3-D6E098C2FD5E}"/>
                </c:ext>
              </c:extLst>
            </c:dLbl>
            <c:dLbl>
              <c:idx val="28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9-9C27-4339-A0A3-D6E098C2FD5E}"/>
                </c:ext>
              </c:extLst>
            </c:dLbl>
            <c:dLbl>
              <c:idx val="28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A-9C27-4339-A0A3-D6E098C2FD5E}"/>
                </c:ext>
              </c:extLst>
            </c:dLbl>
            <c:dLbl>
              <c:idx val="28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B-9C27-4339-A0A3-D6E098C2FD5E}"/>
                </c:ext>
              </c:extLst>
            </c:dLbl>
            <c:dLbl>
              <c:idx val="28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C-9C27-4339-A0A3-D6E098C2FD5E}"/>
                </c:ext>
              </c:extLst>
            </c:dLbl>
            <c:dLbl>
              <c:idx val="28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D-9C27-4339-A0A3-D6E098C2FD5E}"/>
                </c:ext>
              </c:extLst>
            </c:dLbl>
            <c:dLbl>
              <c:idx val="28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E-9C27-4339-A0A3-D6E098C2FD5E}"/>
                </c:ext>
              </c:extLst>
            </c:dLbl>
            <c:dLbl>
              <c:idx val="28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F-9C27-4339-A0A3-D6E098C2FD5E}"/>
                </c:ext>
              </c:extLst>
            </c:dLbl>
            <c:dLbl>
              <c:idx val="28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0-9C27-4339-A0A3-D6E098C2FD5E}"/>
                </c:ext>
              </c:extLst>
            </c:dLbl>
            <c:dLbl>
              <c:idx val="28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1-9C27-4339-A0A3-D6E098C2FD5E}"/>
                </c:ext>
              </c:extLst>
            </c:dLbl>
            <c:dLbl>
              <c:idx val="28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2-9C27-4339-A0A3-D6E098C2FD5E}"/>
                </c:ext>
              </c:extLst>
            </c:dLbl>
            <c:dLbl>
              <c:idx val="29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3-9C27-4339-A0A3-D6E098C2FD5E}"/>
                </c:ext>
              </c:extLst>
            </c:dLbl>
            <c:dLbl>
              <c:idx val="29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4-9C27-4339-A0A3-D6E098C2FD5E}"/>
                </c:ext>
              </c:extLst>
            </c:dLbl>
            <c:dLbl>
              <c:idx val="29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5-9C27-4339-A0A3-D6E098C2FD5E}"/>
                </c:ext>
              </c:extLst>
            </c:dLbl>
            <c:dLbl>
              <c:idx val="29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6-9C27-4339-A0A3-D6E098C2FD5E}"/>
                </c:ext>
              </c:extLst>
            </c:dLbl>
            <c:dLbl>
              <c:idx val="29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7-9C27-4339-A0A3-D6E098C2FD5E}"/>
                </c:ext>
              </c:extLst>
            </c:dLbl>
            <c:dLbl>
              <c:idx val="29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8-9C27-4339-A0A3-D6E098C2FD5E}"/>
                </c:ext>
              </c:extLst>
            </c:dLbl>
            <c:dLbl>
              <c:idx val="29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9-9C27-4339-A0A3-D6E098C2FD5E}"/>
                </c:ext>
              </c:extLst>
            </c:dLbl>
            <c:dLbl>
              <c:idx val="29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A-9C27-4339-A0A3-D6E098C2FD5E}"/>
                </c:ext>
              </c:extLst>
            </c:dLbl>
            <c:dLbl>
              <c:idx val="29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B-9C27-4339-A0A3-D6E098C2FD5E}"/>
                </c:ext>
              </c:extLst>
            </c:dLbl>
            <c:spPr>
              <a:noFill/>
              <a:ln>
                <a:noFill/>
              </a:ln>
              <a:effectLst/>
            </c:spPr>
            <c:txPr>
              <a:bodyPr rot="-5400000" vert="horz" wrap="square" lIns="38100" tIns="19050" rIns="38100" bIns="19050" anchor="ctr">
                <a:spAutoFit/>
              </a:bodyPr>
              <a:lstStyle/>
              <a:p>
                <a:pPr>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ext>
            </c:extLst>
          </c:dLbls>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NormalisedUVVisData!$I$2:$I$300</c:f>
              <c:numCache>
                <c:formatCode>General</c:formatCode>
                <c:ptCount val="299"/>
                <c:pt idx="0">
                  <c:v>100</c:v>
                </c:pt>
                <c:pt idx="1">
                  <c:v>86.344573974609375</c:v>
                </c:pt>
                <c:pt idx="2">
                  <c:v>71.910797119140625</c:v>
                </c:pt>
                <c:pt idx="3">
                  <c:v>58.720592498779297</c:v>
                </c:pt>
                <c:pt idx="4">
                  <c:v>47.625778198242188</c:v>
                </c:pt>
                <c:pt idx="5">
                  <c:v>38.467159271240234</c:v>
                </c:pt>
                <c:pt idx="6">
                  <c:v>30.40962028503418</c:v>
                </c:pt>
                <c:pt idx="7">
                  <c:v>23.820709228515625</c:v>
                </c:pt>
                <c:pt idx="8">
                  <c:v>18.407428741455078</c:v>
                </c:pt>
                <c:pt idx="9">
                  <c:v>13.642251968383789</c:v>
                </c:pt>
                <c:pt idx="10">
                  <c:v>9.8537406921386719</c:v>
                </c:pt>
                <c:pt idx="11">
                  <c:v>7.0498008728027344</c:v>
                </c:pt>
                <c:pt idx="12">
                  <c:v>5.1340389251708984</c:v>
                </c:pt>
                <c:pt idx="13">
                  <c:v>3.8511583805084229</c:v>
                </c:pt>
                <c:pt idx="14">
                  <c:v>3.043381929397583</c:v>
                </c:pt>
                <c:pt idx="15">
                  <c:v>2.553682804107666</c:v>
                </c:pt>
                <c:pt idx="16">
                  <c:v>2.2685034275054932</c:v>
                </c:pt>
                <c:pt idx="17">
                  <c:v>2.1072254180908203</c:v>
                </c:pt>
                <c:pt idx="18">
                  <c:v>2.0293178558349609</c:v>
                </c:pt>
                <c:pt idx="19">
                  <c:v>2</c:v>
                </c:pt>
                <c:pt idx="20">
                  <c:v>2.0035519599914551</c:v>
                </c:pt>
                <c:pt idx="21">
                  <c:v>2.0271761417388916</c:v>
                </c:pt>
                <c:pt idx="22">
                  <c:v>2.0636997222900391</c:v>
                </c:pt>
                <c:pt idx="23">
                  <c:v>2.1033620834350586</c:v>
                </c:pt>
                <c:pt idx="24">
                  <c:v>2.1452758312225342</c:v>
                </c:pt>
                <c:pt idx="25">
                  <c:v>2.1923339366912842</c:v>
                </c:pt>
                <c:pt idx="26">
                  <c:v>2.240633487701416</c:v>
                </c:pt>
                <c:pt idx="27">
                  <c:v>2.2739198207855225</c:v>
                </c:pt>
                <c:pt idx="28">
                  <c:v>2.3007926940917969</c:v>
                </c:pt>
                <c:pt idx="29">
                  <c:v>2.3328213691711426</c:v>
                </c:pt>
                <c:pt idx="30">
                  <c:v>2.3635444641113281</c:v>
                </c:pt>
                <c:pt idx="31">
                  <c:v>2.3770489692687988</c:v>
                </c:pt>
                <c:pt idx="32">
                  <c:v>2.3916800022125244</c:v>
                </c:pt>
                <c:pt idx="33">
                  <c:v>2.4095449447631836</c:v>
                </c:pt>
                <c:pt idx="34">
                  <c:v>2.4184103012084961</c:v>
                </c:pt>
                <c:pt idx="35">
                  <c:v>2.4174983501434326</c:v>
                </c:pt>
                <c:pt idx="36">
                  <c:v>2.4239940643310547</c:v>
                </c:pt>
                <c:pt idx="37">
                  <c:v>2.42803955078125</c:v>
                </c:pt>
                <c:pt idx="38">
                  <c:v>2.4289956092834473</c:v>
                </c:pt>
                <c:pt idx="39">
                  <c:v>2.4246318340301514</c:v>
                </c:pt>
                <c:pt idx="40">
                  <c:v>2.4214653968811035</c:v>
                </c:pt>
                <c:pt idx="41">
                  <c:v>2.4034512042999268</c:v>
                </c:pt>
                <c:pt idx="42">
                  <c:v>2.4022819995880127</c:v>
                </c:pt>
                <c:pt idx="43">
                  <c:v>2.4190299510955811</c:v>
                </c:pt>
                <c:pt idx="44">
                  <c:v>2.4232659339904785</c:v>
                </c:pt>
                <c:pt idx="45">
                  <c:v>2.4253370761871338</c:v>
                </c:pt>
                <c:pt idx="46">
                  <c:v>2.4113717079162598</c:v>
                </c:pt>
                <c:pt idx="47">
                  <c:v>2.41522216796875</c:v>
                </c:pt>
                <c:pt idx="48">
                  <c:v>2.4313867092132568</c:v>
                </c:pt>
                <c:pt idx="49">
                  <c:v>2.4496171474456787</c:v>
                </c:pt>
                <c:pt idx="50">
                  <c:v>2.4484415054321289</c:v>
                </c:pt>
                <c:pt idx="51">
                  <c:v>2.4462308883666992</c:v>
                </c:pt>
                <c:pt idx="52">
                  <c:v>2.4482429027557373</c:v>
                </c:pt>
                <c:pt idx="53">
                  <c:v>2.4502813816070557</c:v>
                </c:pt>
                <c:pt idx="54">
                  <c:v>2.4482529163360596</c:v>
                </c:pt>
                <c:pt idx="55">
                  <c:v>2.4456191062927246</c:v>
                </c:pt>
                <c:pt idx="56">
                  <c:v>2.4427182674407959</c:v>
                </c:pt>
                <c:pt idx="57">
                  <c:v>2.4470558166503906</c:v>
                </c:pt>
                <c:pt idx="58">
                  <c:v>2.4552304744720459</c:v>
                </c:pt>
                <c:pt idx="59">
                  <c:v>2.4559602737426758</c:v>
                </c:pt>
                <c:pt idx="60">
                  <c:v>2.4490334987640381</c:v>
                </c:pt>
                <c:pt idx="61">
                  <c:v>2.4620671272277832</c:v>
                </c:pt>
                <c:pt idx="62">
                  <c:v>2.4710192680358887</c:v>
                </c:pt>
                <c:pt idx="63">
                  <c:v>2.4700911045074463</c:v>
                </c:pt>
                <c:pt idx="64">
                  <c:v>2.4836087226867676</c:v>
                </c:pt>
                <c:pt idx="65">
                  <c:v>2.4874362945556641</c:v>
                </c:pt>
                <c:pt idx="66">
                  <c:v>2.4737250804901123</c:v>
                </c:pt>
                <c:pt idx="67">
                  <c:v>2.4585971832275391</c:v>
                </c:pt>
                <c:pt idx="68">
                  <c:v>2.4675378799438477</c:v>
                </c:pt>
                <c:pt idx="69">
                  <c:v>2.4745876789093018</c:v>
                </c:pt>
                <c:pt idx="70">
                  <c:v>2.4630839824676514</c:v>
                </c:pt>
                <c:pt idx="71">
                  <c:v>2.460735559463501</c:v>
                </c:pt>
                <c:pt idx="72">
                  <c:v>2.4600830078125</c:v>
                </c:pt>
                <c:pt idx="73">
                  <c:v>2.4607996940612793</c:v>
                </c:pt>
                <c:pt idx="74">
                  <c:v>2.468944787979126</c:v>
                </c:pt>
                <c:pt idx="75">
                  <c:v>2.4633300304412842</c:v>
                </c:pt>
                <c:pt idx="76">
                  <c:v>2.4658684730529785</c:v>
                </c:pt>
                <c:pt idx="77">
                  <c:v>2.4733397960662842</c:v>
                </c:pt>
                <c:pt idx="78">
                  <c:v>2.4843089580535889</c:v>
                </c:pt>
                <c:pt idx="79">
                  <c:v>2.4882447719573975</c:v>
                </c:pt>
                <c:pt idx="80">
                  <c:v>2.4818408489227295</c:v>
                </c:pt>
                <c:pt idx="81">
                  <c:v>2.4748518466949463</c:v>
                </c:pt>
                <c:pt idx="82">
                  <c:v>2.4691433906555176</c:v>
                </c:pt>
                <c:pt idx="83">
                  <c:v>2.4784693717956543</c:v>
                </c:pt>
                <c:pt idx="84">
                  <c:v>2.4833216667175293</c:v>
                </c:pt>
                <c:pt idx="85">
                  <c:v>2.4780693054199219</c:v>
                </c:pt>
                <c:pt idx="86">
                  <c:v>2.4757847785949707</c:v>
                </c:pt>
                <c:pt idx="87">
                  <c:v>2.4746417999267578</c:v>
                </c:pt>
                <c:pt idx="88">
                  <c:v>2.47845458984375</c:v>
                </c:pt>
                <c:pt idx="89">
                  <c:v>2.4658882617950439</c:v>
                </c:pt>
                <c:pt idx="90">
                  <c:v>2.4385659694671631</c:v>
                </c:pt>
                <c:pt idx="91">
                  <c:v>2.4333250522613525</c:v>
                </c:pt>
                <c:pt idx="92">
                  <c:v>2.4431838989257813</c:v>
                </c:pt>
                <c:pt idx="93">
                  <c:v>2.4484577178955078</c:v>
                </c:pt>
                <c:pt idx="94">
                  <c:v>2.461143970489502</c:v>
                </c:pt>
                <c:pt idx="95">
                  <c:v>2.4499647617340088</c:v>
                </c:pt>
                <c:pt idx="96">
                  <c:v>2.4427132606506348</c:v>
                </c:pt>
                <c:pt idx="97">
                  <c:v>2.450127124786377</c:v>
                </c:pt>
                <c:pt idx="98">
                  <c:v>2.4543678760528564</c:v>
                </c:pt>
                <c:pt idx="99">
                  <c:v>2.4575953483581543</c:v>
                </c:pt>
                <c:pt idx="100">
                  <c:v>2.4560079574584961</c:v>
                </c:pt>
                <c:pt idx="101">
                  <c:v>2.4566457271575928</c:v>
                </c:pt>
                <c:pt idx="102">
                  <c:v>2.4551632404327393</c:v>
                </c:pt>
                <c:pt idx="103">
                  <c:v>2.4658734798431396</c:v>
                </c:pt>
                <c:pt idx="104">
                  <c:v>2.4571425914764404</c:v>
                </c:pt>
                <c:pt idx="105">
                  <c:v>2.4451026916503906</c:v>
                </c:pt>
                <c:pt idx="106">
                  <c:v>2.4649894237518311</c:v>
                </c:pt>
                <c:pt idx="107">
                  <c:v>2.4705600738525391</c:v>
                </c:pt>
                <c:pt idx="108">
                  <c:v>2.4623672962188721</c:v>
                </c:pt>
                <c:pt idx="109">
                  <c:v>2.4661407470703125</c:v>
                </c:pt>
                <c:pt idx="110">
                  <c:v>2.4573099613189697</c:v>
                </c:pt>
                <c:pt idx="111">
                  <c:v>2.4464964866638184</c:v>
                </c:pt>
                <c:pt idx="112">
                  <c:v>2.447232723236084</c:v>
                </c:pt>
                <c:pt idx="113">
                  <c:v>2.4522311687469482</c:v>
                </c:pt>
                <c:pt idx="114">
                  <c:v>2.4695205688476563</c:v>
                </c:pt>
                <c:pt idx="115">
                  <c:v>2.4746696949005127</c:v>
                </c:pt>
                <c:pt idx="116">
                  <c:v>2.4678444862365723</c:v>
                </c:pt>
                <c:pt idx="117">
                  <c:v>2.4597237110137939</c:v>
                </c:pt>
                <c:pt idx="118">
                  <c:v>2.4669589996337891</c:v>
                </c:pt>
                <c:pt idx="119">
                  <c:v>2.4686415195465088</c:v>
                </c:pt>
                <c:pt idx="120">
                  <c:v>2.4489235877990723</c:v>
                </c:pt>
                <c:pt idx="121">
                  <c:v>2.4448337554931641</c:v>
                </c:pt>
                <c:pt idx="122">
                  <c:v>2.4513359069824219</c:v>
                </c:pt>
                <c:pt idx="123">
                  <c:v>2.4670853614807129</c:v>
                </c:pt>
                <c:pt idx="124">
                  <c:v>2.4756176471710205</c:v>
                </c:pt>
                <c:pt idx="125">
                  <c:v>2.4651141166687012</c:v>
                </c:pt>
                <c:pt idx="126">
                  <c:v>2.4489383697509766</c:v>
                </c:pt>
                <c:pt idx="127">
                  <c:v>2.4515554904937744</c:v>
                </c:pt>
                <c:pt idx="128">
                  <c:v>2.4689302444458008</c:v>
                </c:pt>
                <c:pt idx="129">
                  <c:v>2.4733331203460693</c:v>
                </c:pt>
                <c:pt idx="130">
                  <c:v>2.4733726978302002</c:v>
                </c:pt>
                <c:pt idx="131">
                  <c:v>2.4642908573150635</c:v>
                </c:pt>
                <c:pt idx="132">
                  <c:v>2.4599206447601318</c:v>
                </c:pt>
                <c:pt idx="133">
                  <c:v>2.4638121128082275</c:v>
                </c:pt>
                <c:pt idx="134">
                  <c:v>2.4576592445373535</c:v>
                </c:pt>
                <c:pt idx="135">
                  <c:v>2.4722590446472168</c:v>
                </c:pt>
                <c:pt idx="136">
                  <c:v>2.7011215686798096</c:v>
                </c:pt>
                <c:pt idx="137">
                  <c:v>2.8179011344909668</c:v>
                </c:pt>
                <c:pt idx="138">
                  <c:v>2.604511022567749</c:v>
                </c:pt>
                <c:pt idx="139">
                  <c:v>2.4591743946075439</c:v>
                </c:pt>
                <c:pt idx="140">
                  <c:v>2.4516048431396484</c:v>
                </c:pt>
                <c:pt idx="141">
                  <c:v>2.443000316619873</c:v>
                </c:pt>
                <c:pt idx="142">
                  <c:v>2.4453601837158203</c:v>
                </c:pt>
                <c:pt idx="143">
                  <c:v>2.4350583553314209</c:v>
                </c:pt>
                <c:pt idx="144">
                  <c:v>2.4377820491790771</c:v>
                </c:pt>
                <c:pt idx="145">
                  <c:v>2.4615161418914795</c:v>
                </c:pt>
                <c:pt idx="146">
                  <c:v>2.4505486488342285</c:v>
                </c:pt>
                <c:pt idx="147">
                  <c:v>2.4746108055114746</c:v>
                </c:pt>
                <c:pt idx="148">
                  <c:v>2.5638303756713867</c:v>
                </c:pt>
                <c:pt idx="149">
                  <c:v>2.554645299911499</c:v>
                </c:pt>
                <c:pt idx="150">
                  <c:v>2.4355928897857666</c:v>
                </c:pt>
                <c:pt idx="151">
                  <c:v>2.4495794773101807</c:v>
                </c:pt>
                <c:pt idx="152">
                  <c:v>2.4359912872314453</c:v>
                </c:pt>
                <c:pt idx="153">
                  <c:v>2.4454913139343262</c:v>
                </c:pt>
                <c:pt idx="154">
                  <c:v>2.4793188571929932</c:v>
                </c:pt>
                <c:pt idx="155">
                  <c:v>2.4667129516601563</c:v>
                </c:pt>
                <c:pt idx="156">
                  <c:v>2.4450106620788574</c:v>
                </c:pt>
                <c:pt idx="157">
                  <c:v>2.4596483707427979</c:v>
                </c:pt>
                <c:pt idx="158">
                  <c:v>2.4588825702667236</c:v>
                </c:pt>
                <c:pt idx="159">
                  <c:v>2.4404075145721436</c:v>
                </c:pt>
                <c:pt idx="160">
                  <c:v>2.4523279666900635</c:v>
                </c:pt>
                <c:pt idx="161">
                  <c:v>2.4642481803894043</c:v>
                </c:pt>
                <c:pt idx="162">
                  <c:v>2.4600682258605957</c:v>
                </c:pt>
                <c:pt idx="163">
                  <c:v>2.4690268039703369</c:v>
                </c:pt>
                <c:pt idx="164">
                  <c:v>2.4512341022491455</c:v>
                </c:pt>
                <c:pt idx="165">
                  <c:v>2.4455797672271729</c:v>
                </c:pt>
                <c:pt idx="166">
                  <c:v>2.4804978370666504</c:v>
                </c:pt>
                <c:pt idx="167">
                  <c:v>2.4517982006072998</c:v>
                </c:pt>
                <c:pt idx="168">
                  <c:v>2.4686169624328613</c:v>
                </c:pt>
                <c:pt idx="169">
                  <c:v>2.4960653781890869</c:v>
                </c:pt>
                <c:pt idx="170">
                  <c:v>2.4864130020141602</c:v>
                </c:pt>
                <c:pt idx="171">
                  <c:v>2.4483447074890137</c:v>
                </c:pt>
                <c:pt idx="172">
                  <c:v>2.4487283229827881</c:v>
                </c:pt>
                <c:pt idx="173">
                  <c:v>2.4657487869262695</c:v>
                </c:pt>
                <c:pt idx="174">
                  <c:v>2.4449074268341064</c:v>
                </c:pt>
                <c:pt idx="175">
                  <c:v>2.4869132041931152</c:v>
                </c:pt>
                <c:pt idx="176">
                  <c:v>2.4821164608001709</c:v>
                </c:pt>
                <c:pt idx="177">
                  <c:v>2.4540925025939941</c:v>
                </c:pt>
                <c:pt idx="178">
                  <c:v>2.4668574333190918</c:v>
                </c:pt>
                <c:pt idx="179">
                  <c:v>2.4813883304595947</c:v>
                </c:pt>
                <c:pt idx="180">
                  <c:v>2.4925920963287354</c:v>
                </c:pt>
                <c:pt idx="181">
                  <c:v>2.4816246032714844</c:v>
                </c:pt>
                <c:pt idx="182">
                  <c:v>2.4768540859222412</c:v>
                </c:pt>
                <c:pt idx="183">
                  <c:v>2.4720640182495117</c:v>
                </c:pt>
                <c:pt idx="184">
                  <c:v>2.4799535274505615</c:v>
                </c:pt>
                <c:pt idx="185">
                  <c:v>2.4937925338745117</c:v>
                </c:pt>
                <c:pt idx="186">
                  <c:v>2.497201681137085</c:v>
                </c:pt>
                <c:pt idx="187">
                  <c:v>2.485255241394043</c:v>
                </c:pt>
                <c:pt idx="188">
                  <c:v>2.4438300132751465</c:v>
                </c:pt>
                <c:pt idx="189">
                  <c:v>2.4791514873504639</c:v>
                </c:pt>
                <c:pt idx="190">
                  <c:v>2.4889366626739502</c:v>
                </c:pt>
                <c:pt idx="191">
                  <c:v>2.4451649188995361</c:v>
                </c:pt>
                <c:pt idx="192">
                  <c:v>2.4461734294891357</c:v>
                </c:pt>
                <c:pt idx="193">
                  <c:v>2.4489777088165283</c:v>
                </c:pt>
                <c:pt idx="194">
                  <c:v>2.4711489677429199</c:v>
                </c:pt>
                <c:pt idx="195">
                  <c:v>2.4626247882843018</c:v>
                </c:pt>
                <c:pt idx="196">
                  <c:v>2.4963457584381104</c:v>
                </c:pt>
                <c:pt idx="197">
                  <c:v>2.4859998226165771</c:v>
                </c:pt>
                <c:pt idx="198">
                  <c:v>2.4683446884155273</c:v>
                </c:pt>
                <c:pt idx="199">
                  <c:v>2.4813752174377441</c:v>
                </c:pt>
                <c:pt idx="200">
                  <c:v>2.5015079975128174</c:v>
                </c:pt>
                <c:pt idx="201">
                  <c:v>2.4970786571502686</c:v>
                </c:pt>
                <c:pt idx="202">
                  <c:v>2.4542760848999023</c:v>
                </c:pt>
                <c:pt idx="203">
                  <c:v>2.4935300350189209</c:v>
                </c:pt>
                <c:pt idx="204">
                  <c:v>2.48236083984375</c:v>
                </c:pt>
                <c:pt idx="205">
                  <c:v>2.4861619472503662</c:v>
                </c:pt>
                <c:pt idx="206">
                  <c:v>2.4592154026031494</c:v>
                </c:pt>
                <c:pt idx="207">
                  <c:v>2.4617030620574951</c:v>
                </c:pt>
                <c:pt idx="208">
                  <c:v>2.4331281185150146</c:v>
                </c:pt>
                <c:pt idx="209">
                  <c:v>2.4458439350128174</c:v>
                </c:pt>
                <c:pt idx="210">
                  <c:v>2.4663407802581787</c:v>
                </c:pt>
                <c:pt idx="211">
                  <c:v>2.4506044387817383</c:v>
                </c:pt>
                <c:pt idx="212">
                  <c:v>2.4954946041107178</c:v>
                </c:pt>
                <c:pt idx="213">
                  <c:v>2.4480478763580322</c:v>
                </c:pt>
                <c:pt idx="214">
                  <c:v>2.4577903747558594</c:v>
                </c:pt>
                <c:pt idx="215">
                  <c:v>2.4328362941741943</c:v>
                </c:pt>
                <c:pt idx="216">
                  <c:v>2.433175802230835</c:v>
                </c:pt>
                <c:pt idx="217">
                  <c:v>2.4399862289428711</c:v>
                </c:pt>
                <c:pt idx="218">
                  <c:v>2.3953075408935547</c:v>
                </c:pt>
                <c:pt idx="219">
                  <c:v>2.4452650547027588</c:v>
                </c:pt>
                <c:pt idx="220">
                  <c:v>2.4139349460601807</c:v>
                </c:pt>
                <c:pt idx="221">
                  <c:v>2.4767031669616699</c:v>
                </c:pt>
                <c:pt idx="222">
                  <c:v>2.5511965751647949</c:v>
                </c:pt>
                <c:pt idx="223">
                  <c:v>2.4792170524597168</c:v>
                </c:pt>
                <c:pt idx="224">
                  <c:v>2.5541024208068848</c:v>
                </c:pt>
                <c:pt idx="225">
                  <c:v>2.4130165576934814</c:v>
                </c:pt>
              </c:numCache>
            </c:numRef>
          </c:yVal>
          <c:smooth val="1"/>
          <c:extLst>
            <c:ext xmlns:c15="http://schemas.microsoft.com/office/drawing/2012/chart" uri="{02D57815-91ED-43cb-92C2-25804820EDAC}">
              <c15:datalabelsRange>
                <c15:f>PeakLabels!$I$2:$I$300</c15:f>
                <c15:dlblRangeCache>
                  <c:ptCount val="299"/>
                </c15:dlblRangeCache>
              </c15:datalabelsRange>
            </c:ext>
            <c:ext xmlns:c16="http://schemas.microsoft.com/office/drawing/2014/chart" uri="{C3380CC4-5D6E-409C-BE32-E72D297353CC}">
              <c16:uniqueId val="{00000000-9771-4271-BB9C-73DAD03ECF59}"/>
            </c:ext>
          </c:extLst>
        </c:ser>
        <c:ser>
          <c:idx val="1"/>
          <c:order val="1"/>
          <c:spPr>
            <a:ln w="19050" cap="rnd" cmpd="sng" algn="ctr">
              <a:noFill/>
              <a:prstDash val="solid"/>
              <a:round/>
            </a:ln>
            <a:effectLst/>
            <a:extLst>
              <a:ext uri="{91240B29-F687-4F45-9708-019B960494DF}">
                <a14:hiddenLine xmlns:a14="http://schemas.microsoft.com/office/drawing/2010/main" w="19050" cap="rnd" cmpd="sng" algn="ctr">
                  <a:solidFill>
                    <a:srgbClr val="ED7D31"/>
                  </a:solidFill>
                  <a:prstDash val="solid"/>
                  <a:round/>
                </a14:hiddenLine>
              </a:ext>
            </a:extLst>
          </c:spPr>
          <c:marker>
            <c:symbol val="star"/>
            <c:size val="2"/>
            <c:spPr>
              <a:solidFill>
                <a:srgbClr val="000000"/>
              </a:solidFill>
              <a:ln w="6350" cap="flat" cmpd="sng" algn="ctr">
                <a:noFill/>
                <a:prstDash val="solid"/>
                <a:round/>
              </a:ln>
              <a:effectLst/>
              <a:extLst>
                <a:ext uri="{91240B29-F687-4F45-9708-019B960494DF}">
                  <a14:hiddenLine xmlns:a14="http://schemas.microsoft.com/office/drawing/2010/main" w="6350" cap="flat" cmpd="sng" algn="ctr">
                    <a:solidFill>
                      <a:srgbClr val="ED7D31"/>
                    </a:solidFill>
                    <a:prstDash val="solid"/>
                    <a:round/>
                  </a14:hiddenLine>
                </a:ext>
              </a:extLst>
            </c:spPr>
          </c:marker>
          <c:dLbls>
            <c:dLbl>
              <c:idx val="0"/>
              <c:tx>
                <c:rich>
                  <a:bodyPr/>
                  <a:lstStyle/>
                  <a:p>
                    <a:fld id="{4F4027D1-C47B-45E4-9B1F-210418D7A2AA}" type="CELLRANGE">
                      <a:rPr lang="en-US"/>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9771-4271-BB9C-73DAD03ECF59}"/>
                </c:ext>
              </c:extLst>
            </c:dLbl>
            <c:dLbl>
              <c:idx val="1"/>
              <c:tx>
                <c:rich>
                  <a:bodyPr/>
                  <a:lstStyle/>
                  <a:p>
                    <a:fld id="{E272B9D1-4C30-4A86-AC78-CFFF4FFE65DA}" type="CELLRANGE">
                      <a:rPr lang="en-US"/>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9771-4271-BB9C-73DAD03ECF59}"/>
                </c:ext>
              </c:extLst>
            </c:dLbl>
            <c:dLbl>
              <c:idx val="2"/>
              <c:tx>
                <c:rich>
                  <a:bodyPr/>
                  <a:lstStyle/>
                  <a:p>
                    <a:fld id="{D441F668-0096-4381-A0B3-EE56C5059A3D}" type="CELLRANGE">
                      <a:rPr lang="en-US"/>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9771-4271-BB9C-73DAD03ECF59}"/>
                </c:ext>
              </c:extLst>
            </c:dLbl>
            <c:dLbl>
              <c:idx val="3"/>
              <c:tx>
                <c:rich>
                  <a:bodyPr/>
                  <a:lstStyle/>
                  <a:p>
                    <a:fld id="{D28288E0-7179-48A4-A334-CCCB3769D9B4}" type="CELLRANGE">
                      <a:rPr lang="en-US"/>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9771-4271-BB9C-73DAD03ECF59}"/>
                </c:ext>
              </c:extLst>
            </c:dLbl>
            <c:dLbl>
              <c:idx val="4"/>
              <c:tx>
                <c:rich>
                  <a:bodyPr/>
                  <a:lstStyle/>
                  <a:p>
                    <a:fld id="{FEF3ED5B-7860-4734-88D7-BDE3B015F5F2}" type="CELLRANGE">
                      <a:rPr lang="en-US"/>
                      <a:pPr/>
                      <a:t>[CELLRANGE]</a:t>
                    </a:fld>
                    <a:endParaRPr lang="en-AU"/>
                  </a:p>
                </c:rich>
              </c:tx>
              <c:dLblPos val="b"/>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9771-4271-BB9C-73DAD03ECF59}"/>
                </c:ext>
              </c:extLst>
            </c:dLbl>
            <c:spPr>
              <a:noFill/>
              <a:ln>
                <a:noFill/>
              </a:ln>
              <a:effectLst/>
            </c:spPr>
            <c:txPr>
              <a:bodyPr wrap="square" lIns="38100" tIns="19050" rIns="38100" bIns="19050" anchor="ctr">
                <a:spAutoFit/>
              </a:bodyPr>
              <a:lstStyle/>
              <a:p>
                <a:pPr>
                  <a:defRPr sz="1100"/>
                </a:pPr>
                <a:endParaRPr lang="en-US"/>
              </a:p>
            </c:txPr>
            <c:dLblPos val="b"/>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ext>
            </c:extLst>
          </c:dLbls>
          <c:xVal>
            <c:numRef>
              <c:f>PeakLabels!$CY$2:$CY$6</c:f>
              <c:numCache>
                <c:formatCode>General</c:formatCode>
                <c:ptCount val="5"/>
                <c:pt idx="0">
                  <c:v>200</c:v>
                </c:pt>
                <c:pt idx="1">
                  <c:v>300</c:v>
                </c:pt>
                <c:pt idx="2">
                  <c:v>400</c:v>
                </c:pt>
                <c:pt idx="3">
                  <c:v>500</c:v>
                </c:pt>
                <c:pt idx="4">
                  <c:v>600</c:v>
                </c:pt>
              </c:numCache>
            </c:numRef>
          </c:xVal>
          <c:yVal>
            <c:numRef>
              <c:f>PeakLabels!$CZ$2:$CZ$6</c:f>
              <c:numCache>
                <c:formatCode>General</c:formatCode>
                <c:ptCount val="5"/>
                <c:pt idx="0">
                  <c:v>0</c:v>
                </c:pt>
                <c:pt idx="1">
                  <c:v>0</c:v>
                </c:pt>
                <c:pt idx="2">
                  <c:v>0</c:v>
                </c:pt>
                <c:pt idx="3">
                  <c:v>0</c:v>
                </c:pt>
                <c:pt idx="4">
                  <c:v>0</c:v>
                </c:pt>
              </c:numCache>
            </c:numRef>
          </c:yVal>
          <c:smooth val="1"/>
          <c:extLst>
            <c:ext xmlns:c15="http://schemas.microsoft.com/office/drawing/2012/chart" uri="{02D57815-91ED-43cb-92C2-25804820EDAC}">
              <c15:datalabelsRange>
                <c15:f>PeakLabels!$CY$2:$CY$7</c15:f>
                <c15:dlblRangeCache>
                  <c:ptCount val="6"/>
                  <c:pt idx="0">
                    <c:v>200</c:v>
                  </c:pt>
                  <c:pt idx="1">
                    <c:v>300</c:v>
                  </c:pt>
                  <c:pt idx="2">
                    <c:v>400</c:v>
                  </c:pt>
                  <c:pt idx="3">
                    <c:v>500</c:v>
                  </c:pt>
                  <c:pt idx="4">
                    <c:v>600</c:v>
                  </c:pt>
                </c15:dlblRangeCache>
              </c15:datalabelsRange>
            </c:ext>
            <c:ext xmlns:c16="http://schemas.microsoft.com/office/drawing/2014/chart" uri="{C3380CC4-5D6E-409C-BE32-E72D297353CC}">
              <c16:uniqueId val="{00000006-9771-4271-BB9C-73DAD03ECF59}"/>
            </c:ext>
          </c:extLst>
        </c:ser>
        <c:dLbls>
          <c:showLegendKey val="0"/>
          <c:showVal val="0"/>
          <c:showCatName val="0"/>
          <c:showSerName val="0"/>
          <c:showPercent val="0"/>
          <c:showBubbleSize val="0"/>
        </c:dLbls>
        <c:axId val="1767899744"/>
        <c:axId val="1767906272"/>
      </c:scatterChart>
      <c:valAx>
        <c:axId val="1767899744"/>
        <c:scaling>
          <c:orientation val="minMax"/>
          <c:max val="610"/>
          <c:min val="190"/>
        </c:scaling>
        <c:delete val="0"/>
        <c:axPos val="b"/>
        <c:majorGridlines>
          <c:spPr>
            <a:ln w="9525" cap="flat" cmpd="sng" algn="ctr">
              <a:noFill/>
              <a:prstDash val="solid"/>
              <a:round/>
            </a:ln>
            <a:effectLst/>
            <a:extLst>
              <a:ext uri="{91240B29-F687-4F45-9708-019B960494DF}">
                <a14:hiddenLine xmlns:a14="http://schemas.microsoft.com/office/drawing/2010/main" w="9525" cap="flat" cmpd="sng" algn="ctr">
                  <a:solidFill>
                    <a:sysClr val="windowText" lastClr="000000">
                      <a:lumMod val="15000"/>
                      <a:lumOff val="85000"/>
                    </a:sysClr>
                  </a:solidFill>
                  <a:prstDash val="solid"/>
                  <a:round/>
                </a14:hiddenLine>
              </a:ext>
            </a:extLst>
          </c:spPr>
        </c:majorGridlines>
        <c:numFmt formatCode="General" sourceLinked="1"/>
        <c:majorTickMark val="none"/>
        <c:minorTickMark val="none"/>
        <c:tickLblPos val="none"/>
        <c:spPr>
          <a:noFill/>
          <a:ln w="9525" cap="flat" cmpd="sng" algn="ctr">
            <a:solidFill>
              <a:sysClr val="windowText" lastClr="000000">
                <a:lumMod val="100000"/>
              </a:sysClr>
            </a:solidFill>
            <a:prstDash val="solid"/>
            <a:round/>
            <a:headEnd type="none" w="med" len="med"/>
            <a:tailEnd type="none" w="med" len="med"/>
          </a:ln>
          <a:effectLst/>
        </c:spPr>
        <c:txPr>
          <a:bodyPr rot="0" vert="horz"/>
          <a:lstStyle/>
          <a:p>
            <a:pPr>
              <a:defRPr sz="800" b="0" i="0" u="none" strike="noStrike" baseline="0">
                <a:solidFill>
                  <a:srgbClr val="333333"/>
                </a:solidFill>
                <a:latin typeface="Calibri"/>
                <a:ea typeface="Calibri"/>
                <a:cs typeface="Calibri"/>
              </a:defRPr>
            </a:pPr>
            <a:endParaRPr lang="en-US"/>
          </a:p>
        </c:txPr>
        <c:crossAx val="1767906272"/>
        <c:crossesAt val="0"/>
        <c:crossBetween val="midCat"/>
        <c:majorUnit val="100"/>
      </c:valAx>
      <c:valAx>
        <c:axId val="1767906272"/>
        <c:scaling>
          <c:orientation val="minMax"/>
          <c:max val="124"/>
          <c:min val="0"/>
        </c:scaling>
        <c:delete val="0"/>
        <c:axPos val="l"/>
        <c:majorGridlines>
          <c:spPr>
            <a:ln w="9525" cap="flat" cmpd="sng" algn="ctr">
              <a:noFill/>
              <a:prstDash val="solid"/>
              <a:round/>
            </a:ln>
            <a:effectLst/>
            <a:extLst>
              <a:ext uri="{91240B29-F687-4F45-9708-019B960494DF}">
                <a14:hiddenLine xmlns:a14="http://schemas.microsoft.com/office/drawing/2010/main" w="9525" cap="flat" cmpd="sng" algn="ctr">
                  <a:solidFill>
                    <a:sysClr val="windowText" lastClr="000000">
                      <a:lumMod val="15000"/>
                      <a:lumOff val="85000"/>
                    </a:sysClr>
                  </a:solidFill>
                  <a:prstDash val="solid"/>
                  <a:round/>
                </a14:hiddenLine>
              </a:ext>
            </a:extLst>
          </c:spPr>
        </c:majorGridlines>
        <c:numFmt formatCode="General" sourceLinked="1"/>
        <c:majorTickMark val="out"/>
        <c:minorTickMark val="none"/>
        <c:tickLblPos val="nextTo"/>
        <c:spPr>
          <a:ln w="12700" cap="flat" cmpd="sng" algn="ctr">
            <a:solidFill>
              <a:sysClr val="windowText" lastClr="000000">
                <a:lumMod val="100000"/>
              </a:sysClr>
            </a:solidFill>
            <a:prstDash val="solid"/>
            <a:round/>
            <a:headEnd type="none" w="med" len="med"/>
            <a:tailEnd type="none" w="med" len="med"/>
          </a:ln>
        </c:spPr>
        <c:crossAx val="1767899744"/>
        <c:crosses val="autoZero"/>
        <c:crossBetween val="midCat"/>
        <c:majorUnit val="25"/>
        <c:minorUnit val="5"/>
      </c:valAx>
      <c:spPr>
        <a:noFill/>
        <a:ln>
          <a:solidFill>
            <a:schemeClr val="tx1"/>
          </a:solidFill>
        </a:ln>
        <a:effectLst/>
      </c:spPr>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lumMod val="15000"/>
              <a:lumOff val="85000"/>
            </a:sysClr>
          </a:solidFill>
          <a:prstDash val="solid"/>
          <a:round/>
        </a14:hiddenLine>
      </a:ext>
    </a:ex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ChromatogramData!$B$1</c:f>
              <c:strCache>
                <c:ptCount val="1"/>
                <c:pt idx="0">
                  <c:v>210 nm</c:v>
                </c:pt>
              </c:strCache>
            </c:strRef>
          </c:tx>
          <c:spPr>
            <a:ln w="12700" cap="rnd">
              <a:solidFill>
                <a:srgbClr val="0000FF"/>
              </a:solidFill>
              <a:round/>
            </a:ln>
            <a:effectLst/>
          </c:spPr>
          <c:marker>
            <c:symbol val="none"/>
          </c:marker>
          <c:xVal>
            <c:numRef>
              <c:f>ChromatogramData!$A$2:$A$10001</c:f>
              <c:numCache>
                <c:formatCode>General</c:formatCode>
                <c:ptCount val="10000"/>
                <c:pt idx="0">
                  <c:v>0.51</c:v>
                </c:pt>
                <c:pt idx="1">
                  <c:v>0.53600000000000003</c:v>
                </c:pt>
                <c:pt idx="2">
                  <c:v>0.56299999999999994</c:v>
                </c:pt>
                <c:pt idx="3">
                  <c:v>0.59</c:v>
                </c:pt>
                <c:pt idx="4">
                  <c:v>0.61599999999999999</c:v>
                </c:pt>
                <c:pt idx="5">
                  <c:v>0.64300000000000002</c:v>
                </c:pt>
                <c:pt idx="6">
                  <c:v>0.67</c:v>
                </c:pt>
                <c:pt idx="7">
                  <c:v>0.69599999999999995</c:v>
                </c:pt>
                <c:pt idx="8">
                  <c:v>0.72299999999999998</c:v>
                </c:pt>
                <c:pt idx="9">
                  <c:v>0.75</c:v>
                </c:pt>
                <c:pt idx="10">
                  <c:v>0.77600000000000002</c:v>
                </c:pt>
                <c:pt idx="11">
                  <c:v>0.80300000000000005</c:v>
                </c:pt>
                <c:pt idx="12">
                  <c:v>0.83</c:v>
                </c:pt>
                <c:pt idx="13">
                  <c:v>0.85599999999999998</c:v>
                </c:pt>
                <c:pt idx="14">
                  <c:v>0.88300000000000001</c:v>
                </c:pt>
                <c:pt idx="15">
                  <c:v>0.91</c:v>
                </c:pt>
                <c:pt idx="16">
                  <c:v>0.93600000000000005</c:v>
                </c:pt>
                <c:pt idx="17">
                  <c:v>0.96299999999999997</c:v>
                </c:pt>
                <c:pt idx="18">
                  <c:v>0.99</c:v>
                </c:pt>
                <c:pt idx="19">
                  <c:v>1.016</c:v>
                </c:pt>
                <c:pt idx="20">
                  <c:v>1.0429999999999999</c:v>
                </c:pt>
                <c:pt idx="21">
                  <c:v>1.07</c:v>
                </c:pt>
                <c:pt idx="22">
                  <c:v>1.0960000000000001</c:v>
                </c:pt>
                <c:pt idx="23">
                  <c:v>1.123</c:v>
                </c:pt>
                <c:pt idx="24">
                  <c:v>1.1499999999999999</c:v>
                </c:pt>
                <c:pt idx="25">
                  <c:v>1.1759999999999999</c:v>
                </c:pt>
                <c:pt idx="26">
                  <c:v>1.2030000000000001</c:v>
                </c:pt>
                <c:pt idx="27">
                  <c:v>1.23</c:v>
                </c:pt>
                <c:pt idx="28">
                  <c:v>1.256</c:v>
                </c:pt>
                <c:pt idx="29">
                  <c:v>1.2829999999999999</c:v>
                </c:pt>
                <c:pt idx="30">
                  <c:v>1.31</c:v>
                </c:pt>
                <c:pt idx="31">
                  <c:v>1.3360000000000001</c:v>
                </c:pt>
                <c:pt idx="32">
                  <c:v>1.363</c:v>
                </c:pt>
                <c:pt idx="33">
                  <c:v>1.39</c:v>
                </c:pt>
                <c:pt idx="34">
                  <c:v>1.4159999999999999</c:v>
                </c:pt>
                <c:pt idx="35">
                  <c:v>1.4430000000000001</c:v>
                </c:pt>
                <c:pt idx="36">
                  <c:v>1.47</c:v>
                </c:pt>
                <c:pt idx="37">
                  <c:v>1.496</c:v>
                </c:pt>
                <c:pt idx="38">
                  <c:v>1.5229999999999999</c:v>
                </c:pt>
                <c:pt idx="39">
                  <c:v>1.55</c:v>
                </c:pt>
                <c:pt idx="40">
                  <c:v>1.5760000000000001</c:v>
                </c:pt>
                <c:pt idx="41">
                  <c:v>1.603</c:v>
                </c:pt>
                <c:pt idx="42">
                  <c:v>1.63</c:v>
                </c:pt>
                <c:pt idx="43">
                  <c:v>1.6559999999999999</c:v>
                </c:pt>
                <c:pt idx="44">
                  <c:v>1.6830000000000001</c:v>
                </c:pt>
                <c:pt idx="45">
                  <c:v>1.71</c:v>
                </c:pt>
                <c:pt idx="46">
                  <c:v>1.736</c:v>
                </c:pt>
                <c:pt idx="47">
                  <c:v>1.7629999999999999</c:v>
                </c:pt>
                <c:pt idx="48">
                  <c:v>1.79</c:v>
                </c:pt>
                <c:pt idx="49">
                  <c:v>1.8160000000000001</c:v>
                </c:pt>
                <c:pt idx="50">
                  <c:v>1.843</c:v>
                </c:pt>
                <c:pt idx="51">
                  <c:v>1.87</c:v>
                </c:pt>
                <c:pt idx="52">
                  <c:v>1.8959999999999999</c:v>
                </c:pt>
                <c:pt idx="53">
                  <c:v>1.923</c:v>
                </c:pt>
                <c:pt idx="54">
                  <c:v>1.95</c:v>
                </c:pt>
                <c:pt idx="55">
                  <c:v>1.976</c:v>
                </c:pt>
                <c:pt idx="56">
                  <c:v>2.0030000000000001</c:v>
                </c:pt>
                <c:pt idx="57">
                  <c:v>2.0299999999999998</c:v>
                </c:pt>
                <c:pt idx="58">
                  <c:v>2.056</c:v>
                </c:pt>
                <c:pt idx="59">
                  <c:v>2.0830000000000002</c:v>
                </c:pt>
                <c:pt idx="60">
                  <c:v>2.11</c:v>
                </c:pt>
                <c:pt idx="61">
                  <c:v>2.1360000000000001</c:v>
                </c:pt>
                <c:pt idx="62">
                  <c:v>2.1629999999999998</c:v>
                </c:pt>
                <c:pt idx="63">
                  <c:v>2.19</c:v>
                </c:pt>
                <c:pt idx="64">
                  <c:v>2.2160000000000002</c:v>
                </c:pt>
                <c:pt idx="65">
                  <c:v>2.2429999999999999</c:v>
                </c:pt>
                <c:pt idx="66">
                  <c:v>2.27</c:v>
                </c:pt>
                <c:pt idx="67">
                  <c:v>2.2959999999999998</c:v>
                </c:pt>
                <c:pt idx="68">
                  <c:v>2.323</c:v>
                </c:pt>
                <c:pt idx="69">
                  <c:v>2.35</c:v>
                </c:pt>
                <c:pt idx="70">
                  <c:v>2.3759999999999999</c:v>
                </c:pt>
                <c:pt idx="71">
                  <c:v>2.403</c:v>
                </c:pt>
                <c:pt idx="72">
                  <c:v>2.4300000000000002</c:v>
                </c:pt>
                <c:pt idx="73">
                  <c:v>2.456</c:v>
                </c:pt>
                <c:pt idx="74">
                  <c:v>2.4830000000000001</c:v>
                </c:pt>
                <c:pt idx="75">
                  <c:v>2.5099999999999998</c:v>
                </c:pt>
                <c:pt idx="76">
                  <c:v>2.536</c:v>
                </c:pt>
                <c:pt idx="77">
                  <c:v>2.5630000000000002</c:v>
                </c:pt>
                <c:pt idx="78">
                  <c:v>2.59</c:v>
                </c:pt>
                <c:pt idx="79">
                  <c:v>2.6160000000000001</c:v>
                </c:pt>
                <c:pt idx="80">
                  <c:v>2.6429999999999998</c:v>
                </c:pt>
                <c:pt idx="81">
                  <c:v>2.67</c:v>
                </c:pt>
                <c:pt idx="82">
                  <c:v>2.6960000000000002</c:v>
                </c:pt>
                <c:pt idx="83">
                  <c:v>2.7229999999999999</c:v>
                </c:pt>
                <c:pt idx="84">
                  <c:v>2.75</c:v>
                </c:pt>
                <c:pt idx="85">
                  <c:v>2.7759999999999998</c:v>
                </c:pt>
                <c:pt idx="86">
                  <c:v>2.8029999999999999</c:v>
                </c:pt>
                <c:pt idx="87">
                  <c:v>2.83</c:v>
                </c:pt>
                <c:pt idx="88">
                  <c:v>2.8559999999999999</c:v>
                </c:pt>
                <c:pt idx="89">
                  <c:v>2.883</c:v>
                </c:pt>
                <c:pt idx="90">
                  <c:v>2.91</c:v>
                </c:pt>
                <c:pt idx="91">
                  <c:v>2.9359999999999999</c:v>
                </c:pt>
                <c:pt idx="92">
                  <c:v>2.9630000000000001</c:v>
                </c:pt>
                <c:pt idx="93">
                  <c:v>2.99</c:v>
                </c:pt>
                <c:pt idx="94">
                  <c:v>3.016</c:v>
                </c:pt>
                <c:pt idx="95">
                  <c:v>3.0430000000000001</c:v>
                </c:pt>
                <c:pt idx="96">
                  <c:v>3.07</c:v>
                </c:pt>
                <c:pt idx="97">
                  <c:v>3.0960000000000001</c:v>
                </c:pt>
                <c:pt idx="98">
                  <c:v>3.1230000000000002</c:v>
                </c:pt>
                <c:pt idx="99">
                  <c:v>3.15</c:v>
                </c:pt>
                <c:pt idx="100">
                  <c:v>3.1760000000000002</c:v>
                </c:pt>
                <c:pt idx="101">
                  <c:v>3.2029999999999998</c:v>
                </c:pt>
                <c:pt idx="102">
                  <c:v>3.23</c:v>
                </c:pt>
                <c:pt idx="103">
                  <c:v>3.2559999999999998</c:v>
                </c:pt>
                <c:pt idx="104">
                  <c:v>3.2829999999999999</c:v>
                </c:pt>
                <c:pt idx="105">
                  <c:v>3.31</c:v>
                </c:pt>
                <c:pt idx="106">
                  <c:v>3.3359999999999999</c:v>
                </c:pt>
                <c:pt idx="107">
                  <c:v>3.363</c:v>
                </c:pt>
                <c:pt idx="108">
                  <c:v>3.39</c:v>
                </c:pt>
                <c:pt idx="109">
                  <c:v>3.4159999999999999</c:v>
                </c:pt>
                <c:pt idx="110">
                  <c:v>3.4430000000000001</c:v>
                </c:pt>
                <c:pt idx="111">
                  <c:v>3.47</c:v>
                </c:pt>
                <c:pt idx="112">
                  <c:v>3.496</c:v>
                </c:pt>
                <c:pt idx="113">
                  <c:v>3.5230000000000001</c:v>
                </c:pt>
                <c:pt idx="114">
                  <c:v>3.55</c:v>
                </c:pt>
                <c:pt idx="115">
                  <c:v>3.5760000000000001</c:v>
                </c:pt>
                <c:pt idx="116">
                  <c:v>3.6030000000000002</c:v>
                </c:pt>
                <c:pt idx="117">
                  <c:v>3.63</c:v>
                </c:pt>
                <c:pt idx="118">
                  <c:v>3.6560000000000001</c:v>
                </c:pt>
                <c:pt idx="119">
                  <c:v>3.6829999999999998</c:v>
                </c:pt>
                <c:pt idx="120">
                  <c:v>3.71</c:v>
                </c:pt>
                <c:pt idx="121">
                  <c:v>3.7360000000000002</c:v>
                </c:pt>
                <c:pt idx="122">
                  <c:v>3.7629999999999999</c:v>
                </c:pt>
                <c:pt idx="123">
                  <c:v>3.79</c:v>
                </c:pt>
                <c:pt idx="124">
                  <c:v>3.8159999999999998</c:v>
                </c:pt>
                <c:pt idx="125">
                  <c:v>3.843</c:v>
                </c:pt>
                <c:pt idx="126">
                  <c:v>3.87</c:v>
                </c:pt>
                <c:pt idx="127">
                  <c:v>3.8959999999999999</c:v>
                </c:pt>
                <c:pt idx="128">
                  <c:v>3.923</c:v>
                </c:pt>
                <c:pt idx="129">
                  <c:v>3.95</c:v>
                </c:pt>
                <c:pt idx="130">
                  <c:v>3.976</c:v>
                </c:pt>
                <c:pt idx="131">
                  <c:v>4.0030000000000001</c:v>
                </c:pt>
                <c:pt idx="132">
                  <c:v>4.03</c:v>
                </c:pt>
                <c:pt idx="133">
                  <c:v>4.056</c:v>
                </c:pt>
                <c:pt idx="134">
                  <c:v>4.0830000000000002</c:v>
                </c:pt>
                <c:pt idx="135">
                  <c:v>4.1100000000000003</c:v>
                </c:pt>
                <c:pt idx="136">
                  <c:v>4.1360000000000001</c:v>
                </c:pt>
                <c:pt idx="137">
                  <c:v>4.1630000000000003</c:v>
                </c:pt>
                <c:pt idx="138">
                  <c:v>4.1900000000000004</c:v>
                </c:pt>
                <c:pt idx="139">
                  <c:v>4.2160000000000002</c:v>
                </c:pt>
                <c:pt idx="140">
                  <c:v>4.2430000000000003</c:v>
                </c:pt>
                <c:pt idx="141">
                  <c:v>4.2699999999999996</c:v>
                </c:pt>
                <c:pt idx="142">
                  <c:v>4.2960000000000003</c:v>
                </c:pt>
                <c:pt idx="143">
                  <c:v>4.3230000000000004</c:v>
                </c:pt>
                <c:pt idx="144">
                  <c:v>4.3499999999999996</c:v>
                </c:pt>
                <c:pt idx="145">
                  <c:v>4.3760000000000003</c:v>
                </c:pt>
                <c:pt idx="146">
                  <c:v>4.4029999999999996</c:v>
                </c:pt>
                <c:pt idx="147">
                  <c:v>4.43</c:v>
                </c:pt>
                <c:pt idx="148">
                  <c:v>4.4560000000000004</c:v>
                </c:pt>
                <c:pt idx="149">
                  <c:v>4.4829999999999997</c:v>
                </c:pt>
                <c:pt idx="150">
                  <c:v>4.51</c:v>
                </c:pt>
                <c:pt idx="151">
                  <c:v>4.5359999999999996</c:v>
                </c:pt>
                <c:pt idx="152">
                  <c:v>4.5629999999999997</c:v>
                </c:pt>
                <c:pt idx="153">
                  <c:v>4.59</c:v>
                </c:pt>
                <c:pt idx="154">
                  <c:v>4.6159999999999997</c:v>
                </c:pt>
                <c:pt idx="155">
                  <c:v>4.6429999999999998</c:v>
                </c:pt>
                <c:pt idx="156">
                  <c:v>4.67</c:v>
                </c:pt>
                <c:pt idx="157">
                  <c:v>4.6959999999999997</c:v>
                </c:pt>
                <c:pt idx="158">
                  <c:v>4.7229999999999999</c:v>
                </c:pt>
                <c:pt idx="159">
                  <c:v>4.75</c:v>
                </c:pt>
                <c:pt idx="160">
                  <c:v>4.7759999999999998</c:v>
                </c:pt>
                <c:pt idx="161">
                  <c:v>4.8029999999999999</c:v>
                </c:pt>
                <c:pt idx="162">
                  <c:v>4.83</c:v>
                </c:pt>
                <c:pt idx="163">
                  <c:v>4.8559999999999999</c:v>
                </c:pt>
                <c:pt idx="164">
                  <c:v>4.883</c:v>
                </c:pt>
                <c:pt idx="165">
                  <c:v>4.91</c:v>
                </c:pt>
                <c:pt idx="166">
                  <c:v>4.9359999999999999</c:v>
                </c:pt>
                <c:pt idx="167">
                  <c:v>4.9630000000000001</c:v>
                </c:pt>
                <c:pt idx="168">
                  <c:v>4.99</c:v>
                </c:pt>
                <c:pt idx="169">
                  <c:v>5.016</c:v>
                </c:pt>
                <c:pt idx="170">
                  <c:v>5.0430000000000001</c:v>
                </c:pt>
                <c:pt idx="171">
                  <c:v>5.07</c:v>
                </c:pt>
                <c:pt idx="172">
                  <c:v>5.0960000000000001</c:v>
                </c:pt>
                <c:pt idx="173">
                  <c:v>5.1230000000000002</c:v>
                </c:pt>
                <c:pt idx="174">
                  <c:v>5.15</c:v>
                </c:pt>
                <c:pt idx="175">
                  <c:v>5.1760000000000002</c:v>
                </c:pt>
                <c:pt idx="176">
                  <c:v>5.2030000000000003</c:v>
                </c:pt>
                <c:pt idx="177">
                  <c:v>5.23</c:v>
                </c:pt>
                <c:pt idx="178">
                  <c:v>5.2560000000000002</c:v>
                </c:pt>
                <c:pt idx="179">
                  <c:v>5.2830000000000004</c:v>
                </c:pt>
                <c:pt idx="180">
                  <c:v>5.31</c:v>
                </c:pt>
                <c:pt idx="181">
                  <c:v>5.3360000000000003</c:v>
                </c:pt>
                <c:pt idx="182">
                  <c:v>5.3630000000000004</c:v>
                </c:pt>
                <c:pt idx="183">
                  <c:v>5.39</c:v>
                </c:pt>
                <c:pt idx="184">
                  <c:v>5.4160000000000004</c:v>
                </c:pt>
                <c:pt idx="185">
                  <c:v>5.4429999999999996</c:v>
                </c:pt>
                <c:pt idx="186">
                  <c:v>5.47</c:v>
                </c:pt>
                <c:pt idx="187">
                  <c:v>5.4960000000000004</c:v>
                </c:pt>
                <c:pt idx="188">
                  <c:v>5.5229999999999997</c:v>
                </c:pt>
                <c:pt idx="189">
                  <c:v>5.55</c:v>
                </c:pt>
                <c:pt idx="190">
                  <c:v>5.5759999999999996</c:v>
                </c:pt>
                <c:pt idx="191">
                  <c:v>5.6029999999999998</c:v>
                </c:pt>
                <c:pt idx="192">
                  <c:v>5.63</c:v>
                </c:pt>
                <c:pt idx="193">
                  <c:v>5.6559999999999997</c:v>
                </c:pt>
                <c:pt idx="194">
                  <c:v>5.6829999999999998</c:v>
                </c:pt>
                <c:pt idx="195">
                  <c:v>5.71</c:v>
                </c:pt>
                <c:pt idx="196">
                  <c:v>5.7359999999999998</c:v>
                </c:pt>
                <c:pt idx="197">
                  <c:v>5.7629999999999999</c:v>
                </c:pt>
                <c:pt idx="198">
                  <c:v>5.79</c:v>
                </c:pt>
                <c:pt idx="199">
                  <c:v>5.8159999999999998</c:v>
                </c:pt>
                <c:pt idx="200">
                  <c:v>5.843</c:v>
                </c:pt>
                <c:pt idx="201">
                  <c:v>5.87</c:v>
                </c:pt>
                <c:pt idx="202">
                  <c:v>5.8959999999999999</c:v>
                </c:pt>
                <c:pt idx="203">
                  <c:v>5.923</c:v>
                </c:pt>
                <c:pt idx="204">
                  <c:v>5.95</c:v>
                </c:pt>
                <c:pt idx="205">
                  <c:v>5.976</c:v>
                </c:pt>
                <c:pt idx="206">
                  <c:v>6.0030000000000001</c:v>
                </c:pt>
                <c:pt idx="207">
                  <c:v>6.03</c:v>
                </c:pt>
                <c:pt idx="208">
                  <c:v>6.056</c:v>
                </c:pt>
                <c:pt idx="209">
                  <c:v>6.0830000000000002</c:v>
                </c:pt>
                <c:pt idx="210">
                  <c:v>6.11</c:v>
                </c:pt>
                <c:pt idx="211">
                  <c:v>6.1360000000000001</c:v>
                </c:pt>
                <c:pt idx="212">
                  <c:v>6.1630000000000003</c:v>
                </c:pt>
                <c:pt idx="213">
                  <c:v>6.19</c:v>
                </c:pt>
                <c:pt idx="214">
                  <c:v>6.2160000000000002</c:v>
                </c:pt>
                <c:pt idx="215">
                  <c:v>6.2430000000000003</c:v>
                </c:pt>
                <c:pt idx="216">
                  <c:v>6.27</c:v>
                </c:pt>
                <c:pt idx="217">
                  <c:v>6.2960000000000003</c:v>
                </c:pt>
                <c:pt idx="218">
                  <c:v>6.3230000000000004</c:v>
                </c:pt>
                <c:pt idx="219">
                  <c:v>6.35</c:v>
                </c:pt>
                <c:pt idx="220">
                  <c:v>6.3760000000000003</c:v>
                </c:pt>
                <c:pt idx="221">
                  <c:v>6.4029999999999996</c:v>
                </c:pt>
                <c:pt idx="222">
                  <c:v>6.43</c:v>
                </c:pt>
                <c:pt idx="223">
                  <c:v>6.4560000000000004</c:v>
                </c:pt>
                <c:pt idx="224">
                  <c:v>6.4829999999999997</c:v>
                </c:pt>
                <c:pt idx="225">
                  <c:v>6.51</c:v>
                </c:pt>
                <c:pt idx="226">
                  <c:v>6.5359999999999996</c:v>
                </c:pt>
                <c:pt idx="227">
                  <c:v>6.5629999999999997</c:v>
                </c:pt>
                <c:pt idx="228">
                  <c:v>6.59</c:v>
                </c:pt>
                <c:pt idx="229">
                  <c:v>6.6159999999999997</c:v>
                </c:pt>
                <c:pt idx="230">
                  <c:v>6.6429999999999998</c:v>
                </c:pt>
                <c:pt idx="231">
                  <c:v>6.67</c:v>
                </c:pt>
                <c:pt idx="232">
                  <c:v>6.6959999999999997</c:v>
                </c:pt>
                <c:pt idx="233">
                  <c:v>6.7229999999999999</c:v>
                </c:pt>
                <c:pt idx="234">
                  <c:v>6.75</c:v>
                </c:pt>
                <c:pt idx="235">
                  <c:v>6.7759999999999998</c:v>
                </c:pt>
                <c:pt idx="236">
                  <c:v>6.8029999999999999</c:v>
                </c:pt>
                <c:pt idx="237">
                  <c:v>6.83</c:v>
                </c:pt>
                <c:pt idx="238">
                  <c:v>6.8559999999999999</c:v>
                </c:pt>
                <c:pt idx="239">
                  <c:v>6.883</c:v>
                </c:pt>
                <c:pt idx="240">
                  <c:v>6.91</c:v>
                </c:pt>
                <c:pt idx="241">
                  <c:v>6.9359999999999999</c:v>
                </c:pt>
                <c:pt idx="242">
                  <c:v>6.9630000000000001</c:v>
                </c:pt>
                <c:pt idx="243">
                  <c:v>6.99</c:v>
                </c:pt>
                <c:pt idx="244">
                  <c:v>7.016</c:v>
                </c:pt>
                <c:pt idx="245">
                  <c:v>7.0430000000000001</c:v>
                </c:pt>
                <c:pt idx="246">
                  <c:v>7.07</c:v>
                </c:pt>
                <c:pt idx="247">
                  <c:v>7.0960000000000001</c:v>
                </c:pt>
                <c:pt idx="248">
                  <c:v>7.1230000000000002</c:v>
                </c:pt>
                <c:pt idx="249">
                  <c:v>7.15</c:v>
                </c:pt>
                <c:pt idx="250">
                  <c:v>7.1760000000000002</c:v>
                </c:pt>
                <c:pt idx="251">
                  <c:v>7.2030000000000003</c:v>
                </c:pt>
                <c:pt idx="252">
                  <c:v>7.23</c:v>
                </c:pt>
                <c:pt idx="253">
                  <c:v>7.2560000000000002</c:v>
                </c:pt>
                <c:pt idx="254">
                  <c:v>7.2830000000000004</c:v>
                </c:pt>
                <c:pt idx="255">
                  <c:v>7.31</c:v>
                </c:pt>
                <c:pt idx="256">
                  <c:v>7.3360000000000003</c:v>
                </c:pt>
                <c:pt idx="257">
                  <c:v>7.3630000000000004</c:v>
                </c:pt>
                <c:pt idx="258">
                  <c:v>7.39</c:v>
                </c:pt>
                <c:pt idx="259">
                  <c:v>7.4160000000000004</c:v>
                </c:pt>
                <c:pt idx="260">
                  <c:v>7.4429999999999996</c:v>
                </c:pt>
                <c:pt idx="261">
                  <c:v>7.47</c:v>
                </c:pt>
                <c:pt idx="262">
                  <c:v>7.4960000000000004</c:v>
                </c:pt>
                <c:pt idx="263">
                  <c:v>7.5229999999999997</c:v>
                </c:pt>
                <c:pt idx="264">
                  <c:v>7.55</c:v>
                </c:pt>
                <c:pt idx="265">
                  <c:v>7.5759999999999996</c:v>
                </c:pt>
                <c:pt idx="266">
                  <c:v>7.6029999999999998</c:v>
                </c:pt>
                <c:pt idx="267">
                  <c:v>7.63</c:v>
                </c:pt>
                <c:pt idx="268">
                  <c:v>7.6559999999999997</c:v>
                </c:pt>
                <c:pt idx="269">
                  <c:v>7.6829999999999998</c:v>
                </c:pt>
                <c:pt idx="270">
                  <c:v>7.71</c:v>
                </c:pt>
                <c:pt idx="271">
                  <c:v>7.7359999999999998</c:v>
                </c:pt>
                <c:pt idx="272">
                  <c:v>7.7629999999999999</c:v>
                </c:pt>
                <c:pt idx="273">
                  <c:v>7.79</c:v>
                </c:pt>
                <c:pt idx="274">
                  <c:v>7.8159999999999998</c:v>
                </c:pt>
                <c:pt idx="275">
                  <c:v>7.843</c:v>
                </c:pt>
                <c:pt idx="276">
                  <c:v>7.87</c:v>
                </c:pt>
                <c:pt idx="277">
                  <c:v>7.8959999999999999</c:v>
                </c:pt>
                <c:pt idx="278">
                  <c:v>7.923</c:v>
                </c:pt>
                <c:pt idx="279">
                  <c:v>7.95</c:v>
                </c:pt>
                <c:pt idx="280">
                  <c:v>7.976</c:v>
                </c:pt>
                <c:pt idx="281">
                  <c:v>8.0030000000000001</c:v>
                </c:pt>
                <c:pt idx="282">
                  <c:v>8.0299999999999994</c:v>
                </c:pt>
                <c:pt idx="283">
                  <c:v>8.0559999999999992</c:v>
                </c:pt>
                <c:pt idx="284">
                  <c:v>8.0830000000000002</c:v>
                </c:pt>
                <c:pt idx="285">
                  <c:v>8.11</c:v>
                </c:pt>
                <c:pt idx="286">
                  <c:v>8.1359999999999992</c:v>
                </c:pt>
                <c:pt idx="287">
                  <c:v>8.1630000000000003</c:v>
                </c:pt>
                <c:pt idx="288">
                  <c:v>8.19</c:v>
                </c:pt>
                <c:pt idx="289">
                  <c:v>8.2159999999999993</c:v>
                </c:pt>
                <c:pt idx="290">
                  <c:v>8.2430000000000003</c:v>
                </c:pt>
                <c:pt idx="291">
                  <c:v>8.27</c:v>
                </c:pt>
                <c:pt idx="292">
                  <c:v>8.2959999999999994</c:v>
                </c:pt>
                <c:pt idx="293">
                  <c:v>8.3230000000000004</c:v>
                </c:pt>
                <c:pt idx="294">
                  <c:v>8.35</c:v>
                </c:pt>
                <c:pt idx="295">
                  <c:v>8.3759999999999994</c:v>
                </c:pt>
                <c:pt idx="296">
                  <c:v>8.4030000000000005</c:v>
                </c:pt>
                <c:pt idx="297">
                  <c:v>8.43</c:v>
                </c:pt>
                <c:pt idx="298">
                  <c:v>8.4559999999999995</c:v>
                </c:pt>
                <c:pt idx="299">
                  <c:v>8.4830000000000005</c:v>
                </c:pt>
                <c:pt idx="300">
                  <c:v>8.51</c:v>
                </c:pt>
                <c:pt idx="301">
                  <c:v>8.5359999999999996</c:v>
                </c:pt>
                <c:pt idx="302">
                  <c:v>8.5630000000000006</c:v>
                </c:pt>
                <c:pt idx="303">
                  <c:v>8.59</c:v>
                </c:pt>
                <c:pt idx="304">
                  <c:v>8.6159999999999997</c:v>
                </c:pt>
                <c:pt idx="305">
                  <c:v>8.6430000000000007</c:v>
                </c:pt>
                <c:pt idx="306">
                  <c:v>8.67</c:v>
                </c:pt>
                <c:pt idx="307">
                  <c:v>8.6959999999999997</c:v>
                </c:pt>
                <c:pt idx="308">
                  <c:v>8.7230000000000008</c:v>
                </c:pt>
                <c:pt idx="309">
                  <c:v>8.75</c:v>
                </c:pt>
                <c:pt idx="310">
                  <c:v>8.7759999999999998</c:v>
                </c:pt>
                <c:pt idx="311">
                  <c:v>8.8030000000000008</c:v>
                </c:pt>
                <c:pt idx="312">
                  <c:v>8.83</c:v>
                </c:pt>
                <c:pt idx="313">
                  <c:v>8.8559999999999999</c:v>
                </c:pt>
                <c:pt idx="314">
                  <c:v>8.8829999999999991</c:v>
                </c:pt>
                <c:pt idx="315">
                  <c:v>8.91</c:v>
                </c:pt>
                <c:pt idx="316">
                  <c:v>8.9359999999999999</c:v>
                </c:pt>
                <c:pt idx="317">
                  <c:v>8.9629999999999992</c:v>
                </c:pt>
                <c:pt idx="318">
                  <c:v>8.99</c:v>
                </c:pt>
                <c:pt idx="319">
                  <c:v>9.016</c:v>
                </c:pt>
                <c:pt idx="320">
                  <c:v>9.0429999999999993</c:v>
                </c:pt>
                <c:pt idx="321">
                  <c:v>9.07</c:v>
                </c:pt>
                <c:pt idx="322">
                  <c:v>9.0960000000000001</c:v>
                </c:pt>
                <c:pt idx="323">
                  <c:v>9.1229999999999993</c:v>
                </c:pt>
                <c:pt idx="324">
                  <c:v>9.15</c:v>
                </c:pt>
                <c:pt idx="325">
                  <c:v>9.1760000000000002</c:v>
                </c:pt>
                <c:pt idx="326">
                  <c:v>9.2029999999999994</c:v>
                </c:pt>
                <c:pt idx="327">
                  <c:v>9.23</c:v>
                </c:pt>
                <c:pt idx="328">
                  <c:v>9.2560000000000002</c:v>
                </c:pt>
                <c:pt idx="329">
                  <c:v>9.2829999999999995</c:v>
                </c:pt>
                <c:pt idx="330">
                  <c:v>9.31</c:v>
                </c:pt>
                <c:pt idx="331">
                  <c:v>9.3360000000000003</c:v>
                </c:pt>
                <c:pt idx="332">
                  <c:v>9.3629999999999995</c:v>
                </c:pt>
                <c:pt idx="333">
                  <c:v>9.39</c:v>
                </c:pt>
                <c:pt idx="334">
                  <c:v>9.4160000000000004</c:v>
                </c:pt>
                <c:pt idx="335">
                  <c:v>9.4429999999999996</c:v>
                </c:pt>
                <c:pt idx="336">
                  <c:v>9.4700000000000006</c:v>
                </c:pt>
                <c:pt idx="337">
                  <c:v>9.4960000000000004</c:v>
                </c:pt>
                <c:pt idx="338">
                  <c:v>9.5229999999999997</c:v>
                </c:pt>
                <c:pt idx="339">
                  <c:v>9.5500000000000007</c:v>
                </c:pt>
                <c:pt idx="340">
                  <c:v>9.5760000000000005</c:v>
                </c:pt>
                <c:pt idx="341">
                  <c:v>9.6029999999999998</c:v>
                </c:pt>
                <c:pt idx="342">
                  <c:v>9.6300000000000008</c:v>
                </c:pt>
                <c:pt idx="343">
                  <c:v>9.6560000000000006</c:v>
                </c:pt>
                <c:pt idx="344">
                  <c:v>9.6829999999999998</c:v>
                </c:pt>
                <c:pt idx="345">
                  <c:v>9.7100000000000009</c:v>
                </c:pt>
                <c:pt idx="346">
                  <c:v>9.7360000000000007</c:v>
                </c:pt>
                <c:pt idx="347">
                  <c:v>9.7629999999999999</c:v>
                </c:pt>
                <c:pt idx="348">
                  <c:v>9.7899999999999991</c:v>
                </c:pt>
                <c:pt idx="349">
                  <c:v>9.8160000000000007</c:v>
                </c:pt>
                <c:pt idx="350">
                  <c:v>9.843</c:v>
                </c:pt>
                <c:pt idx="351">
                  <c:v>9.8699999999999992</c:v>
                </c:pt>
                <c:pt idx="352">
                  <c:v>9.8960000000000008</c:v>
                </c:pt>
                <c:pt idx="353">
                  <c:v>9.923</c:v>
                </c:pt>
                <c:pt idx="354">
                  <c:v>9.9499999999999993</c:v>
                </c:pt>
                <c:pt idx="355">
                  <c:v>9.9760000000000009</c:v>
                </c:pt>
                <c:pt idx="356">
                  <c:v>10.003</c:v>
                </c:pt>
              </c:numCache>
            </c:numRef>
          </c:xVal>
          <c:yVal>
            <c:numRef>
              <c:f>ChromatogramData!$B$2:$B$10001</c:f>
              <c:numCache>
                <c:formatCode>General</c:formatCode>
                <c:ptCount val="10000"/>
                <c:pt idx="0">
                  <c:v>40.961685640159864</c:v>
                </c:pt>
                <c:pt idx="1">
                  <c:v>40.880013739659411</c:v>
                </c:pt>
                <c:pt idx="2">
                  <c:v>39.409919530651301</c:v>
                </c:pt>
                <c:pt idx="3">
                  <c:v>38.004744011784588</c:v>
                </c:pt>
                <c:pt idx="4">
                  <c:v>36.993268936355932</c:v>
                </c:pt>
                <c:pt idx="5">
                  <c:v>36.013206130350525</c:v>
                </c:pt>
                <c:pt idx="6">
                  <c:v>34.685514209394491</c:v>
                </c:pt>
                <c:pt idx="7">
                  <c:v>33.577708174401195</c:v>
                </c:pt>
                <c:pt idx="8">
                  <c:v>33.156783764129649</c:v>
                </c:pt>
                <c:pt idx="9">
                  <c:v>32.832190313422743</c:v>
                </c:pt>
                <c:pt idx="10">
                  <c:v>32.208133227547499</c:v>
                </c:pt>
                <c:pt idx="11">
                  <c:v>31.412355735491833</c:v>
                </c:pt>
                <c:pt idx="12">
                  <c:v>30.991431325220276</c:v>
                </c:pt>
                <c:pt idx="13">
                  <c:v>31.154775126221178</c:v>
                </c:pt>
                <c:pt idx="14">
                  <c:v>32.15996774776518</c:v>
                </c:pt>
                <c:pt idx="15">
                  <c:v>34.363014909982454</c:v>
                </c:pt>
                <c:pt idx="16">
                  <c:v>37.414193346627478</c:v>
                </c:pt>
                <c:pt idx="17">
                  <c:v>40.06329473465491</c:v>
                </c:pt>
                <c:pt idx="18">
                  <c:v>41.85588824307505</c:v>
                </c:pt>
                <c:pt idx="19">
                  <c:v>43.02651881691483</c:v>
                </c:pt>
                <c:pt idx="20">
                  <c:v>43.550056640635667</c:v>
                </c:pt>
                <c:pt idx="21">
                  <c:v>42.988824093606929</c:v>
                </c:pt>
                <c:pt idx="22">
                  <c:v>40.957497337570096</c:v>
                </c:pt>
                <c:pt idx="23">
                  <c:v>37.732504343449754</c:v>
                </c:pt>
                <c:pt idx="24">
                  <c:v>33.96931446654439</c:v>
                </c:pt>
                <c:pt idx="25">
                  <c:v>30.658461269333827</c:v>
                </c:pt>
                <c:pt idx="26">
                  <c:v>28.524521099847703</c:v>
                </c:pt>
                <c:pt idx="27">
                  <c:v>27.498386965354864</c:v>
                </c:pt>
                <c:pt idx="28">
                  <c:v>27.073274252493547</c:v>
                </c:pt>
                <c:pt idx="29">
                  <c:v>26.828258550992199</c:v>
                </c:pt>
                <c:pt idx="30">
                  <c:v>26.610466816324326</c:v>
                </c:pt>
                <c:pt idx="31">
                  <c:v>26.407334140720646</c:v>
                </c:pt>
                <c:pt idx="32">
                  <c:v>26.214672221591382</c:v>
                </c:pt>
                <c:pt idx="33">
                  <c:v>26.05342257188536</c:v>
                </c:pt>
                <c:pt idx="34">
                  <c:v>25.904737829948644</c:v>
                </c:pt>
                <c:pt idx="35">
                  <c:v>25.78118290355053</c:v>
                </c:pt>
                <c:pt idx="36">
                  <c:v>25.689040246575662</c:v>
                </c:pt>
                <c:pt idx="37">
                  <c:v>25.605274194780328</c:v>
                </c:pt>
                <c:pt idx="38">
                  <c:v>25.550826261113365</c:v>
                </c:pt>
                <c:pt idx="39">
                  <c:v>25.519413991690111</c:v>
                </c:pt>
                <c:pt idx="40">
                  <c:v>25.515225689100344</c:v>
                </c:pt>
                <c:pt idx="41">
                  <c:v>25.542449655933826</c:v>
                </c:pt>
                <c:pt idx="42">
                  <c:v>25.590615135716142</c:v>
                </c:pt>
                <c:pt idx="43">
                  <c:v>25.666004582331944</c:v>
                </c:pt>
                <c:pt idx="44">
                  <c:v>25.743488180242629</c:v>
                </c:pt>
                <c:pt idx="45">
                  <c:v>25.841913291102145</c:v>
                </c:pt>
                <c:pt idx="46">
                  <c:v>25.940338401961665</c:v>
                </c:pt>
                <c:pt idx="47">
                  <c:v>26.05132842059048</c:v>
                </c:pt>
                <c:pt idx="48">
                  <c:v>26.179071649578365</c:v>
                </c:pt>
                <c:pt idx="49">
                  <c:v>26.350792055758799</c:v>
                </c:pt>
                <c:pt idx="50">
                  <c:v>26.566489639131781</c:v>
                </c:pt>
                <c:pt idx="51">
                  <c:v>26.824070248402432</c:v>
                </c:pt>
                <c:pt idx="52">
                  <c:v>27.121439732275867</c:v>
                </c:pt>
                <c:pt idx="53">
                  <c:v>27.446033182982784</c:v>
                </c:pt>
                <c:pt idx="54">
                  <c:v>27.818792113472014</c:v>
                </c:pt>
                <c:pt idx="55">
                  <c:v>28.243904826333338</c:v>
                </c:pt>
                <c:pt idx="56">
                  <c:v>28.635511118476522</c:v>
                </c:pt>
                <c:pt idx="57">
                  <c:v>29.006175897670872</c:v>
                </c:pt>
                <c:pt idx="58">
                  <c:v>29.485736544199156</c:v>
                </c:pt>
                <c:pt idx="59">
                  <c:v>29.99461530885581</c:v>
                </c:pt>
                <c:pt idx="60">
                  <c:v>30.409257265242712</c:v>
                </c:pt>
                <c:pt idx="61">
                  <c:v>30.727568262064977</c:v>
                </c:pt>
                <c:pt idx="62">
                  <c:v>31.008184535579343</c:v>
                </c:pt>
                <c:pt idx="63">
                  <c:v>31.106609646438862</c:v>
                </c:pt>
                <c:pt idx="64">
                  <c:v>31.288800809093711</c:v>
                </c:pt>
                <c:pt idx="65">
                  <c:v>31.571511233902964</c:v>
                </c:pt>
                <c:pt idx="66">
                  <c:v>31.891916382020113</c:v>
                </c:pt>
                <c:pt idx="67">
                  <c:v>32.172532655534482</c:v>
                </c:pt>
                <c:pt idx="68">
                  <c:v>32.451054777753967</c:v>
                </c:pt>
                <c:pt idx="69">
                  <c:v>32.861508431551101</c:v>
                </c:pt>
                <c:pt idx="70">
                  <c:v>33.355728137143572</c:v>
                </c:pt>
                <c:pt idx="71">
                  <c:v>33.847853691441159</c:v>
                </c:pt>
                <c:pt idx="72">
                  <c:v>34.279248858187117</c:v>
                </c:pt>
                <c:pt idx="73">
                  <c:v>34.71692647881774</c:v>
                </c:pt>
                <c:pt idx="74">
                  <c:v>36.210056352069557</c:v>
                </c:pt>
                <c:pt idx="75">
                  <c:v>39.206786855047625</c:v>
                </c:pt>
                <c:pt idx="76">
                  <c:v>41.074769810083552</c:v>
                </c:pt>
                <c:pt idx="77">
                  <c:v>40.314592890040899</c:v>
                </c:pt>
                <c:pt idx="78">
                  <c:v>38.149240451131533</c:v>
                </c:pt>
                <c:pt idx="79">
                  <c:v>37.085411593330797</c:v>
                </c:pt>
                <c:pt idx="80">
                  <c:v>36.857149102188515</c:v>
                </c:pt>
                <c:pt idx="81">
                  <c:v>36.57862697996903</c:v>
                </c:pt>
                <c:pt idx="82">
                  <c:v>35.977605558337508</c:v>
                </c:pt>
                <c:pt idx="83">
                  <c:v>35.424749616488313</c:v>
                </c:pt>
                <c:pt idx="84">
                  <c:v>35.198581276640908</c:v>
                </c:pt>
                <c:pt idx="85">
                  <c:v>35.223711092179506</c:v>
                </c:pt>
                <c:pt idx="86">
                  <c:v>35.554586996771079</c:v>
                </c:pt>
                <c:pt idx="87">
                  <c:v>35.981793860927276</c:v>
                </c:pt>
                <c:pt idx="88">
                  <c:v>36.182832385236075</c:v>
                </c:pt>
                <c:pt idx="89">
                  <c:v>36.076030669197031</c:v>
                </c:pt>
                <c:pt idx="90">
                  <c:v>35.895933657837055</c:v>
                </c:pt>
                <c:pt idx="91">
                  <c:v>35.655106258925478</c:v>
                </c:pt>
                <c:pt idx="92">
                  <c:v>35.454067734616679</c:v>
                </c:pt>
                <c:pt idx="93">
                  <c:v>35.248840907718112</c:v>
                </c:pt>
                <c:pt idx="94">
                  <c:v>35.129474283909758</c:v>
                </c:pt>
                <c:pt idx="95">
                  <c:v>35.005919357511644</c:v>
                </c:pt>
                <c:pt idx="96">
                  <c:v>34.844669707805622</c:v>
                </c:pt>
                <c:pt idx="97">
                  <c:v>34.827916497446559</c:v>
                </c:pt>
                <c:pt idx="98">
                  <c:v>35.169263158512543</c:v>
                </c:pt>
                <c:pt idx="99">
                  <c:v>35.621599838207338</c:v>
                </c:pt>
                <c:pt idx="100">
                  <c:v>36.015300281645409</c:v>
                </c:pt>
                <c:pt idx="101">
                  <c:v>36.362929396596044</c:v>
                </c:pt>
                <c:pt idx="102">
                  <c:v>36.593286039033217</c:v>
                </c:pt>
                <c:pt idx="103">
                  <c:v>36.505331684648112</c:v>
                </c:pt>
                <c:pt idx="104">
                  <c:v>36.143043510633291</c:v>
                </c:pt>
                <c:pt idx="105">
                  <c:v>35.671859469284541</c:v>
                </c:pt>
                <c:pt idx="106">
                  <c:v>35.74934306719522</c:v>
                </c:pt>
                <c:pt idx="107">
                  <c:v>36.19120899041561</c:v>
                </c:pt>
                <c:pt idx="108">
                  <c:v>36.825736832765266</c:v>
                </c:pt>
                <c:pt idx="109">
                  <c:v>37.648738291654425</c:v>
                </c:pt>
                <c:pt idx="110">
                  <c:v>38.735602813698868</c:v>
                </c:pt>
                <c:pt idx="111">
                  <c:v>40.235015140835344</c:v>
                </c:pt>
                <c:pt idx="112">
                  <c:v>41.18157152612261</c:v>
                </c:pt>
                <c:pt idx="113">
                  <c:v>41.028698481596123</c:v>
                </c:pt>
                <c:pt idx="114">
                  <c:v>39.82456148703821</c:v>
                </c:pt>
                <c:pt idx="115">
                  <c:v>38.082227609695266</c:v>
                </c:pt>
                <c:pt idx="116">
                  <c:v>36.716840965431331</c:v>
                </c:pt>
                <c:pt idx="117">
                  <c:v>36.019488584235177</c:v>
                </c:pt>
                <c:pt idx="118">
                  <c:v>35.820544211221261</c:v>
                </c:pt>
                <c:pt idx="119">
                  <c:v>35.893839506542179</c:v>
                </c:pt>
                <c:pt idx="120">
                  <c:v>36.128384451569104</c:v>
                </c:pt>
                <c:pt idx="121">
                  <c:v>38.348184824145441</c:v>
                </c:pt>
                <c:pt idx="122">
                  <c:v>40.322969495220434</c:v>
                </c:pt>
                <c:pt idx="123">
                  <c:v>40.892578647428714</c:v>
                </c:pt>
                <c:pt idx="124">
                  <c:v>39.598393147190798</c:v>
                </c:pt>
                <c:pt idx="125">
                  <c:v>38.055003642861784</c:v>
                </c:pt>
                <c:pt idx="126">
                  <c:v>37.602666963166982</c:v>
                </c:pt>
                <c:pt idx="127">
                  <c:v>37.232002183972632</c:v>
                </c:pt>
                <c:pt idx="128">
                  <c:v>36.714746814136447</c:v>
                </c:pt>
                <c:pt idx="129">
                  <c:v>36.620510005866699</c:v>
                </c:pt>
                <c:pt idx="130">
                  <c:v>37.747163402513934</c:v>
                </c:pt>
                <c:pt idx="131">
                  <c:v>40.764835418440825</c:v>
                </c:pt>
                <c:pt idx="132">
                  <c:v>42.371049461616344</c:v>
                </c:pt>
                <c:pt idx="133">
                  <c:v>41.906147874152246</c:v>
                </c:pt>
                <c:pt idx="134">
                  <c:v>39.412013681946185</c:v>
                </c:pt>
                <c:pt idx="135">
                  <c:v>36.905314581970828</c:v>
                </c:pt>
                <c:pt idx="136">
                  <c:v>36.147231813223058</c:v>
                </c:pt>
                <c:pt idx="137">
                  <c:v>36.151420115812826</c:v>
                </c:pt>
                <c:pt idx="138">
                  <c:v>36.002735373876114</c:v>
                </c:pt>
                <c:pt idx="139">
                  <c:v>35.935722532439847</c:v>
                </c:pt>
                <c:pt idx="140">
                  <c:v>35.902216111721707</c:v>
                </c:pt>
                <c:pt idx="141">
                  <c:v>35.766096277554297</c:v>
                </c:pt>
                <c:pt idx="142">
                  <c:v>36.580721131263914</c:v>
                </c:pt>
                <c:pt idx="143">
                  <c:v>54.313994296336034</c:v>
                </c:pt>
                <c:pt idx="144">
                  <c:v>83.667712996715792</c:v>
                </c:pt>
                <c:pt idx="145">
                  <c:v>99.999998945510981</c:v>
                </c:pt>
                <c:pt idx="146">
                  <c:v>98.642988906426567</c:v>
                </c:pt>
                <c:pt idx="147">
                  <c:v>81.594503214781298</c:v>
                </c:pt>
                <c:pt idx="148">
                  <c:v>61.875974622159774</c:v>
                </c:pt>
                <c:pt idx="149">
                  <c:v>49.445092535732265</c:v>
                </c:pt>
                <c:pt idx="150">
                  <c:v>44.605508893256868</c:v>
                </c:pt>
                <c:pt idx="151">
                  <c:v>42.649571583835829</c:v>
                </c:pt>
                <c:pt idx="152">
                  <c:v>41.244396064969109</c:v>
                </c:pt>
                <c:pt idx="153">
                  <c:v>40.046541524295833</c:v>
                </c:pt>
                <c:pt idx="154">
                  <c:v>39.384789715112703</c:v>
                </c:pt>
                <c:pt idx="155">
                  <c:v>38.995277574264399</c:v>
                </c:pt>
                <c:pt idx="156">
                  <c:v>38.917793976353721</c:v>
                </c:pt>
                <c:pt idx="157">
                  <c:v>38.77957999089142</c:v>
                </c:pt>
                <c:pt idx="158">
                  <c:v>38.369126337094286</c:v>
                </c:pt>
                <c:pt idx="159">
                  <c:v>37.738786797334399</c:v>
                </c:pt>
                <c:pt idx="160">
                  <c:v>37.095882349805208</c:v>
                </c:pt>
                <c:pt idx="161">
                  <c:v>36.739876629675045</c:v>
                </c:pt>
                <c:pt idx="162">
                  <c:v>36.626792459751343</c:v>
                </c:pt>
                <c:pt idx="163">
                  <c:v>36.765006445213643</c:v>
                </c:pt>
                <c:pt idx="164">
                  <c:v>37.135671224408</c:v>
                </c:pt>
                <c:pt idx="165">
                  <c:v>37.541936575615367</c:v>
                </c:pt>
                <c:pt idx="166">
                  <c:v>37.613137719641394</c:v>
                </c:pt>
                <c:pt idx="167">
                  <c:v>37.319956538357729</c:v>
                </c:pt>
                <c:pt idx="168">
                  <c:v>37.010022146715002</c:v>
                </c:pt>
                <c:pt idx="169">
                  <c:v>37.160801039946598</c:v>
                </c:pt>
                <c:pt idx="170">
                  <c:v>37.311579933178201</c:v>
                </c:pt>
                <c:pt idx="171">
                  <c:v>37.349274656486095</c:v>
                </c:pt>
                <c:pt idx="172">
                  <c:v>37.621514324820929</c:v>
                </c:pt>
                <c:pt idx="173">
                  <c:v>38.197405930913845</c:v>
                </c:pt>
                <c:pt idx="174">
                  <c:v>38.151334602426417</c:v>
                </c:pt>
                <c:pt idx="175">
                  <c:v>38.159711207605959</c:v>
                </c:pt>
                <c:pt idx="176">
                  <c:v>37.883283236681351</c:v>
                </c:pt>
                <c:pt idx="177">
                  <c:v>37.278073512460068</c:v>
                </c:pt>
                <c:pt idx="178">
                  <c:v>36.829925135355026</c:v>
                </c:pt>
                <c:pt idx="179">
                  <c:v>36.66239303176436</c:v>
                </c:pt>
                <c:pt idx="180">
                  <c:v>36.517896592417408</c:v>
                </c:pt>
                <c:pt idx="181">
                  <c:v>36.455072053570916</c:v>
                </c:pt>
                <c:pt idx="182">
                  <c:v>37.198495763254492</c:v>
                </c:pt>
                <c:pt idx="183">
                  <c:v>38.080133458400375</c:v>
                </c:pt>
                <c:pt idx="184">
                  <c:v>43.139602986838533</c:v>
                </c:pt>
                <c:pt idx="185">
                  <c:v>50.647135378995308</c:v>
                </c:pt>
                <c:pt idx="186">
                  <c:v>51.451289476230507</c:v>
                </c:pt>
                <c:pt idx="187">
                  <c:v>46.20753463384262</c:v>
                </c:pt>
                <c:pt idx="188">
                  <c:v>40.048635675590724</c:v>
                </c:pt>
                <c:pt idx="189">
                  <c:v>37.386969379794003</c:v>
                </c:pt>
                <c:pt idx="190">
                  <c:v>36.607945098097403</c:v>
                </c:pt>
                <c:pt idx="191">
                  <c:v>36.547214710545774</c:v>
                </c:pt>
                <c:pt idx="192">
                  <c:v>36.721029268021098</c:v>
                </c:pt>
                <c:pt idx="193">
                  <c:v>36.859243253483392</c:v>
                </c:pt>
                <c:pt idx="194">
                  <c:v>36.938821002688961</c:v>
                </c:pt>
                <c:pt idx="195">
                  <c:v>36.808983622406195</c:v>
                </c:pt>
                <c:pt idx="196">
                  <c:v>36.687522847302958</c:v>
                </c:pt>
                <c:pt idx="197">
                  <c:v>36.651922275289948</c:v>
                </c:pt>
                <c:pt idx="198">
                  <c:v>36.656110577879709</c:v>
                </c:pt>
                <c:pt idx="199">
                  <c:v>36.700087755072261</c:v>
                </c:pt>
                <c:pt idx="200">
                  <c:v>36.723123419315982</c:v>
                </c:pt>
                <c:pt idx="201">
                  <c:v>36.737782478380161</c:v>
                </c:pt>
                <c:pt idx="202">
                  <c:v>36.708464360251796</c:v>
                </c:pt>
                <c:pt idx="203">
                  <c:v>36.639357367520638</c:v>
                </c:pt>
                <c:pt idx="204">
                  <c:v>36.637263216225769</c:v>
                </c:pt>
                <c:pt idx="205">
                  <c:v>36.687522847302958</c:v>
                </c:pt>
                <c:pt idx="206">
                  <c:v>36.708464360251796</c:v>
                </c:pt>
                <c:pt idx="207">
                  <c:v>36.750347386149464</c:v>
                </c:pt>
                <c:pt idx="208">
                  <c:v>36.84877249700898</c:v>
                </c:pt>
                <c:pt idx="209">
                  <c:v>36.96604496952245</c:v>
                </c:pt>
                <c:pt idx="210">
                  <c:v>37.030963659663833</c:v>
                </c:pt>
                <c:pt idx="211">
                  <c:v>37.072846685561494</c:v>
                </c:pt>
                <c:pt idx="212">
                  <c:v>37.064470080381959</c:v>
                </c:pt>
                <c:pt idx="213">
                  <c:v>37.097976501100099</c:v>
                </c:pt>
                <c:pt idx="214">
                  <c:v>37.148236132177303</c:v>
                </c:pt>
                <c:pt idx="215">
                  <c:v>37.160801039946598</c:v>
                </c:pt>
                <c:pt idx="216">
                  <c:v>37.206872368434034</c:v>
                </c:pt>
                <c:pt idx="217">
                  <c:v>37.35765126166563</c:v>
                </c:pt>
                <c:pt idx="218">
                  <c:v>37.491676944538163</c:v>
                </c:pt>
                <c:pt idx="219">
                  <c:v>37.479112036768861</c:v>
                </c:pt>
                <c:pt idx="220">
                  <c:v>37.573348845038616</c:v>
                </c:pt>
                <c:pt idx="221">
                  <c:v>37.684338863667435</c:v>
                </c:pt>
                <c:pt idx="222">
                  <c:v>37.713656981795801</c:v>
                </c:pt>
                <c:pt idx="223">
                  <c:v>37.581725450218144</c:v>
                </c:pt>
                <c:pt idx="224">
                  <c:v>37.407910892742827</c:v>
                </c:pt>
                <c:pt idx="225">
                  <c:v>37.345086353896328</c:v>
                </c:pt>
                <c:pt idx="226">
                  <c:v>37.3744044720247</c:v>
                </c:pt>
                <c:pt idx="227">
                  <c:v>37.430946556986548</c:v>
                </c:pt>
                <c:pt idx="228">
                  <c:v>37.445605616050734</c:v>
                </c:pt>
                <c:pt idx="229">
                  <c:v>37.428852405691657</c:v>
                </c:pt>
                <c:pt idx="230">
                  <c:v>37.35765126166563</c:v>
                </c:pt>
                <c:pt idx="231">
                  <c:v>37.284355966344712</c:v>
                </c:pt>
                <c:pt idx="232">
                  <c:v>37.242472940447044</c:v>
                </c:pt>
                <c:pt idx="233">
                  <c:v>37.242472940447044</c:v>
                </c:pt>
                <c:pt idx="234">
                  <c:v>37.319956538357729</c:v>
                </c:pt>
                <c:pt idx="235">
                  <c:v>37.428852405691657</c:v>
                </c:pt>
                <c:pt idx="236">
                  <c:v>37.546124878205127</c:v>
                </c:pt>
                <c:pt idx="237">
                  <c:v>37.663397350718597</c:v>
                </c:pt>
                <c:pt idx="238">
                  <c:v>37.766010764167881</c:v>
                </c:pt>
                <c:pt idx="239">
                  <c:v>37.824647000424612</c:v>
                </c:pt>
                <c:pt idx="240">
                  <c:v>37.837211908193908</c:v>
                </c:pt>
                <c:pt idx="241">
                  <c:v>37.843494362078566</c:v>
                </c:pt>
                <c:pt idx="242">
                  <c:v>37.824647000424612</c:v>
                </c:pt>
                <c:pt idx="243">
                  <c:v>37.904224749630188</c:v>
                </c:pt>
                <c:pt idx="244">
                  <c:v>38.170181964080371</c:v>
                </c:pt>
                <c:pt idx="245">
                  <c:v>38.199500082208736</c:v>
                </c:pt>
                <c:pt idx="246">
                  <c:v>38.170181964080371</c:v>
                </c:pt>
                <c:pt idx="247">
                  <c:v>37.885377387976234</c:v>
                </c:pt>
                <c:pt idx="248">
                  <c:v>37.722033586975328</c:v>
                </c:pt>
                <c:pt idx="249">
                  <c:v>37.715751133090677</c:v>
                </c:pt>
                <c:pt idx="250">
                  <c:v>37.847682664668334</c:v>
                </c:pt>
                <c:pt idx="251">
                  <c:v>37.971237591066448</c:v>
                </c:pt>
                <c:pt idx="252">
                  <c:v>38.057097794156675</c:v>
                </c:pt>
                <c:pt idx="253">
                  <c:v>38.013120616964123</c:v>
                </c:pt>
                <c:pt idx="254">
                  <c:v>37.952390229412501</c:v>
                </c:pt>
                <c:pt idx="255">
                  <c:v>37.933542867758554</c:v>
                </c:pt>
                <c:pt idx="256">
                  <c:v>38.000555709194813</c:v>
                </c:pt>
                <c:pt idx="257">
                  <c:v>38.096886668759453</c:v>
                </c:pt>
                <c:pt idx="258">
                  <c:v>38.1534287537213</c:v>
                </c:pt>
                <c:pt idx="259">
                  <c:v>38.134581392067354</c:v>
                </c:pt>
                <c:pt idx="260">
                  <c:v>38.092698366169678</c:v>
                </c:pt>
                <c:pt idx="261">
                  <c:v>38.023591373438535</c:v>
                </c:pt>
                <c:pt idx="262">
                  <c:v>37.979614196245983</c:v>
                </c:pt>
                <c:pt idx="263">
                  <c:v>37.923072111284135</c:v>
                </c:pt>
                <c:pt idx="264">
                  <c:v>37.893753993155762</c:v>
                </c:pt>
                <c:pt idx="265">
                  <c:v>37.883283236681351</c:v>
                </c:pt>
                <c:pt idx="266">
                  <c:v>37.856059269847862</c:v>
                </c:pt>
                <c:pt idx="267">
                  <c:v>37.849776815963217</c:v>
                </c:pt>
                <c:pt idx="268">
                  <c:v>37.822552849129735</c:v>
                </c:pt>
                <c:pt idx="269">
                  <c:v>37.759728310283229</c:v>
                </c:pt>
                <c:pt idx="270">
                  <c:v>37.650832442949294</c:v>
                </c:pt>
                <c:pt idx="271">
                  <c:v>37.527277516551187</c:v>
                </c:pt>
                <c:pt idx="272">
                  <c:v>37.458170523820037</c:v>
                </c:pt>
                <c:pt idx="273">
                  <c:v>37.456076372525146</c:v>
                </c:pt>
                <c:pt idx="274">
                  <c:v>37.487488641948396</c:v>
                </c:pt>
                <c:pt idx="275">
                  <c:v>37.53984242432049</c:v>
                </c:pt>
                <c:pt idx="276">
                  <c:v>37.564972239859081</c:v>
                </c:pt>
                <c:pt idx="277">
                  <c:v>37.548219029500018</c:v>
                </c:pt>
                <c:pt idx="278">
                  <c:v>37.489582793243279</c:v>
                </c:pt>
                <c:pt idx="279">
                  <c:v>37.363933715550274</c:v>
                </c:pt>
                <c:pt idx="280">
                  <c:v>37.232002183972632</c:v>
                </c:pt>
                <c:pt idx="281">
                  <c:v>37.074940836856385</c:v>
                </c:pt>
                <c:pt idx="282">
                  <c:v>36.976515725996862</c:v>
                </c:pt>
                <c:pt idx="283">
                  <c:v>37.077034988151262</c:v>
                </c:pt>
                <c:pt idx="284">
                  <c:v>36.991174785061055</c:v>
                </c:pt>
                <c:pt idx="285">
                  <c:v>36.911597035855472</c:v>
                </c:pt>
                <c:pt idx="286">
                  <c:v>36.626792459751343</c:v>
                </c:pt>
                <c:pt idx="287">
                  <c:v>36.354552791416509</c:v>
                </c:pt>
                <c:pt idx="288">
                  <c:v>36.2184329572491</c:v>
                </c:pt>
                <c:pt idx="289">
                  <c:v>36.159796720992361</c:v>
                </c:pt>
                <c:pt idx="290">
                  <c:v>36.138855208043523</c:v>
                </c:pt>
                <c:pt idx="291">
                  <c:v>36.107442938620281</c:v>
                </c:pt>
                <c:pt idx="292">
                  <c:v>36.032053492004479</c:v>
                </c:pt>
                <c:pt idx="293">
                  <c:v>35.885462901362644</c:v>
                </c:pt>
                <c:pt idx="294">
                  <c:v>35.688612679643612</c:v>
                </c:pt>
                <c:pt idx="295">
                  <c:v>35.428937919078074</c:v>
                </c:pt>
                <c:pt idx="296">
                  <c:v>35.192298822756257</c:v>
                </c:pt>
                <c:pt idx="297">
                  <c:v>34.987071995857697</c:v>
                </c:pt>
                <c:pt idx="298">
                  <c:v>34.809069135792605</c:v>
                </c:pt>
                <c:pt idx="299">
                  <c:v>34.999636903626993</c:v>
                </c:pt>
                <c:pt idx="300">
                  <c:v>38.375408790978938</c:v>
                </c:pt>
                <c:pt idx="301">
                  <c:v>40.915614311672428</c:v>
                </c:pt>
                <c:pt idx="302">
                  <c:v>41.587836877329984</c:v>
                </c:pt>
                <c:pt idx="303">
                  <c:v>40.831848259877091</c:v>
                </c:pt>
                <c:pt idx="304">
                  <c:v>36.656110577879709</c:v>
                </c:pt>
                <c:pt idx="305">
                  <c:v>34.448875113072667</c:v>
                </c:pt>
                <c:pt idx="306">
                  <c:v>33.477188912246802</c:v>
                </c:pt>
                <c:pt idx="307">
                  <c:v>33.047887896795714</c:v>
                </c:pt>
                <c:pt idx="308">
                  <c:v>32.649999150767883</c:v>
                </c:pt>
                <c:pt idx="309">
                  <c:v>32.216509832727034</c:v>
                </c:pt>
                <c:pt idx="310">
                  <c:v>31.774643909506651</c:v>
                </c:pt>
                <c:pt idx="311">
                  <c:v>31.320213078516961</c:v>
                </c:pt>
                <c:pt idx="312">
                  <c:v>30.886723760476112</c:v>
                </c:pt>
                <c:pt idx="313">
                  <c:v>30.509776527397108</c:v>
                </c:pt>
                <c:pt idx="314">
                  <c:v>30.185183076690191</c:v>
                </c:pt>
                <c:pt idx="315">
                  <c:v>29.933884921304191</c:v>
                </c:pt>
                <c:pt idx="316">
                  <c:v>29.619762227071693</c:v>
                </c:pt>
                <c:pt idx="317">
                  <c:v>29.203026119389907</c:v>
                </c:pt>
                <c:pt idx="318">
                  <c:v>28.700429808617901</c:v>
                </c:pt>
                <c:pt idx="319">
                  <c:v>28.193645195256138</c:v>
                </c:pt>
                <c:pt idx="320">
                  <c:v>27.877428349728753</c:v>
                </c:pt>
                <c:pt idx="321">
                  <c:v>27.418809216149299</c:v>
                </c:pt>
                <c:pt idx="322">
                  <c:v>27.020920470121467</c:v>
                </c:pt>
                <c:pt idx="323">
                  <c:v>26.430369804964364</c:v>
                </c:pt>
                <c:pt idx="324">
                  <c:v>25.772806298370995</c:v>
                </c:pt>
                <c:pt idx="325">
                  <c:v>25.138278456021343</c:v>
                </c:pt>
                <c:pt idx="326">
                  <c:v>24.486997403312625</c:v>
                </c:pt>
                <c:pt idx="327">
                  <c:v>23.720538029385324</c:v>
                </c:pt>
                <c:pt idx="328">
                  <c:v>22.905913175675703</c:v>
                </c:pt>
                <c:pt idx="329">
                  <c:v>22.007522270170753</c:v>
                </c:pt>
                <c:pt idx="330">
                  <c:v>21.109131364665799</c:v>
                </c:pt>
                <c:pt idx="331">
                  <c:v>20.208646307865962</c:v>
                </c:pt>
                <c:pt idx="332">
                  <c:v>19.268372376463343</c:v>
                </c:pt>
                <c:pt idx="333">
                  <c:v>18.275744662688641</c:v>
                </c:pt>
                <c:pt idx="334">
                  <c:v>17.255892982080454</c:v>
                </c:pt>
                <c:pt idx="335">
                  <c:v>16.23813545276715</c:v>
                </c:pt>
                <c:pt idx="336">
                  <c:v>15.230848679928261</c:v>
                </c:pt>
                <c:pt idx="337">
                  <c:v>14.275915689461458</c:v>
                </c:pt>
                <c:pt idx="338">
                  <c:v>13.381713086546274</c:v>
                </c:pt>
                <c:pt idx="339">
                  <c:v>12.535675963413404</c:v>
                </c:pt>
                <c:pt idx="340">
                  <c:v>11.959784357320485</c:v>
                </c:pt>
                <c:pt idx="341">
                  <c:v>11.737804320062851</c:v>
                </c:pt>
                <c:pt idx="342">
                  <c:v>11.080240813469484</c:v>
                </c:pt>
                <c:pt idx="343">
                  <c:v>9.9870938375403817</c:v>
                </c:pt>
                <c:pt idx="344">
                  <c:v>8.3704090378904414</c:v>
                </c:pt>
                <c:pt idx="345">
                  <c:v>7.358933962461788</c:v>
                </c:pt>
                <c:pt idx="346">
                  <c:v>6.7055587584581868</c:v>
                </c:pt>
                <c:pt idx="347">
                  <c:v>6.1066314881215522</c:v>
                </c:pt>
                <c:pt idx="348">
                  <c:v>5.4302206198742331</c:v>
                </c:pt>
                <c:pt idx="349">
                  <c:v>4.7391506925627311</c:v>
                </c:pt>
                <c:pt idx="350">
                  <c:v>4.1674473890595802</c:v>
                </c:pt>
                <c:pt idx="351">
                  <c:v>3.6732276834671103</c:v>
                </c:pt>
                <c:pt idx="352">
                  <c:v>3.1957611882337091</c:v>
                </c:pt>
                <c:pt idx="353">
                  <c:v>2.7685543240775061</c:v>
                </c:pt>
                <c:pt idx="354">
                  <c:v>2.4125486039473389</c:v>
                </c:pt>
                <c:pt idx="355">
                  <c:v>2.1863802640999408</c:v>
                </c:pt>
                <c:pt idx="356">
                  <c:v>2.0000007988553228</c:v>
                </c:pt>
              </c:numCache>
            </c:numRef>
          </c:yVal>
          <c:smooth val="1"/>
          <c:extLst>
            <c:ext xmlns:c16="http://schemas.microsoft.com/office/drawing/2014/chart" uri="{C3380CC4-5D6E-409C-BE32-E72D297353CC}">
              <c16:uniqueId val="{00000000-BC75-4D85-9A83-ACFCB27567B6}"/>
            </c:ext>
          </c:extLst>
        </c:ser>
        <c:ser>
          <c:idx val="1"/>
          <c:order val="1"/>
          <c:tx>
            <c:strRef>
              <c:f>ChromatogramData!$C$1</c:f>
              <c:strCache>
                <c:ptCount val="1"/>
                <c:pt idx="0">
                  <c:v>254 nm</c:v>
                </c:pt>
              </c:strCache>
            </c:strRef>
          </c:tx>
          <c:spPr>
            <a:ln w="12700" cap="rnd">
              <a:solidFill>
                <a:srgbClr val="FF0000"/>
              </a:solidFill>
              <a:round/>
            </a:ln>
            <a:effectLst/>
          </c:spPr>
          <c:marker>
            <c:symbol val="none"/>
          </c:marker>
          <c:xVal>
            <c:numRef>
              <c:f>ChromatogramData!$A$2:$A$10001</c:f>
              <c:numCache>
                <c:formatCode>General</c:formatCode>
                <c:ptCount val="10000"/>
                <c:pt idx="0">
                  <c:v>0.51</c:v>
                </c:pt>
                <c:pt idx="1">
                  <c:v>0.53600000000000003</c:v>
                </c:pt>
                <c:pt idx="2">
                  <c:v>0.56299999999999994</c:v>
                </c:pt>
                <c:pt idx="3">
                  <c:v>0.59</c:v>
                </c:pt>
                <c:pt idx="4">
                  <c:v>0.61599999999999999</c:v>
                </c:pt>
                <c:pt idx="5">
                  <c:v>0.64300000000000002</c:v>
                </c:pt>
                <c:pt idx="6">
                  <c:v>0.67</c:v>
                </c:pt>
                <c:pt idx="7">
                  <c:v>0.69599999999999995</c:v>
                </c:pt>
                <c:pt idx="8">
                  <c:v>0.72299999999999998</c:v>
                </c:pt>
                <c:pt idx="9">
                  <c:v>0.75</c:v>
                </c:pt>
                <c:pt idx="10">
                  <c:v>0.77600000000000002</c:v>
                </c:pt>
                <c:pt idx="11">
                  <c:v>0.80300000000000005</c:v>
                </c:pt>
                <c:pt idx="12">
                  <c:v>0.83</c:v>
                </c:pt>
                <c:pt idx="13">
                  <c:v>0.85599999999999998</c:v>
                </c:pt>
                <c:pt idx="14">
                  <c:v>0.88300000000000001</c:v>
                </c:pt>
                <c:pt idx="15">
                  <c:v>0.91</c:v>
                </c:pt>
                <c:pt idx="16">
                  <c:v>0.93600000000000005</c:v>
                </c:pt>
                <c:pt idx="17">
                  <c:v>0.96299999999999997</c:v>
                </c:pt>
                <c:pt idx="18">
                  <c:v>0.99</c:v>
                </c:pt>
                <c:pt idx="19">
                  <c:v>1.016</c:v>
                </c:pt>
                <c:pt idx="20">
                  <c:v>1.0429999999999999</c:v>
                </c:pt>
                <c:pt idx="21">
                  <c:v>1.07</c:v>
                </c:pt>
                <c:pt idx="22">
                  <c:v>1.0960000000000001</c:v>
                </c:pt>
                <c:pt idx="23">
                  <c:v>1.123</c:v>
                </c:pt>
                <c:pt idx="24">
                  <c:v>1.1499999999999999</c:v>
                </c:pt>
                <c:pt idx="25">
                  <c:v>1.1759999999999999</c:v>
                </c:pt>
                <c:pt idx="26">
                  <c:v>1.2030000000000001</c:v>
                </c:pt>
                <c:pt idx="27">
                  <c:v>1.23</c:v>
                </c:pt>
                <c:pt idx="28">
                  <c:v>1.256</c:v>
                </c:pt>
                <c:pt idx="29">
                  <c:v>1.2829999999999999</c:v>
                </c:pt>
                <c:pt idx="30">
                  <c:v>1.31</c:v>
                </c:pt>
                <c:pt idx="31">
                  <c:v>1.3360000000000001</c:v>
                </c:pt>
                <c:pt idx="32">
                  <c:v>1.363</c:v>
                </c:pt>
                <c:pt idx="33">
                  <c:v>1.39</c:v>
                </c:pt>
                <c:pt idx="34">
                  <c:v>1.4159999999999999</c:v>
                </c:pt>
                <c:pt idx="35">
                  <c:v>1.4430000000000001</c:v>
                </c:pt>
                <c:pt idx="36">
                  <c:v>1.47</c:v>
                </c:pt>
                <c:pt idx="37">
                  <c:v>1.496</c:v>
                </c:pt>
                <c:pt idx="38">
                  <c:v>1.5229999999999999</c:v>
                </c:pt>
                <c:pt idx="39">
                  <c:v>1.55</c:v>
                </c:pt>
                <c:pt idx="40">
                  <c:v>1.5760000000000001</c:v>
                </c:pt>
                <c:pt idx="41">
                  <c:v>1.603</c:v>
                </c:pt>
                <c:pt idx="42">
                  <c:v>1.63</c:v>
                </c:pt>
                <c:pt idx="43">
                  <c:v>1.6559999999999999</c:v>
                </c:pt>
                <c:pt idx="44">
                  <c:v>1.6830000000000001</c:v>
                </c:pt>
                <c:pt idx="45">
                  <c:v>1.71</c:v>
                </c:pt>
                <c:pt idx="46">
                  <c:v>1.736</c:v>
                </c:pt>
                <c:pt idx="47">
                  <c:v>1.7629999999999999</c:v>
                </c:pt>
                <c:pt idx="48">
                  <c:v>1.79</c:v>
                </c:pt>
                <c:pt idx="49">
                  <c:v>1.8160000000000001</c:v>
                </c:pt>
                <c:pt idx="50">
                  <c:v>1.843</c:v>
                </c:pt>
                <c:pt idx="51">
                  <c:v>1.87</c:v>
                </c:pt>
                <c:pt idx="52">
                  <c:v>1.8959999999999999</c:v>
                </c:pt>
                <c:pt idx="53">
                  <c:v>1.923</c:v>
                </c:pt>
                <c:pt idx="54">
                  <c:v>1.95</c:v>
                </c:pt>
                <c:pt idx="55">
                  <c:v>1.976</c:v>
                </c:pt>
                <c:pt idx="56">
                  <c:v>2.0030000000000001</c:v>
                </c:pt>
                <c:pt idx="57">
                  <c:v>2.0299999999999998</c:v>
                </c:pt>
                <c:pt idx="58">
                  <c:v>2.056</c:v>
                </c:pt>
                <c:pt idx="59">
                  <c:v>2.0830000000000002</c:v>
                </c:pt>
                <c:pt idx="60">
                  <c:v>2.11</c:v>
                </c:pt>
                <c:pt idx="61">
                  <c:v>2.1360000000000001</c:v>
                </c:pt>
                <c:pt idx="62">
                  <c:v>2.1629999999999998</c:v>
                </c:pt>
                <c:pt idx="63">
                  <c:v>2.19</c:v>
                </c:pt>
                <c:pt idx="64">
                  <c:v>2.2160000000000002</c:v>
                </c:pt>
                <c:pt idx="65">
                  <c:v>2.2429999999999999</c:v>
                </c:pt>
                <c:pt idx="66">
                  <c:v>2.27</c:v>
                </c:pt>
                <c:pt idx="67">
                  <c:v>2.2959999999999998</c:v>
                </c:pt>
                <c:pt idx="68">
                  <c:v>2.323</c:v>
                </c:pt>
                <c:pt idx="69">
                  <c:v>2.35</c:v>
                </c:pt>
                <c:pt idx="70">
                  <c:v>2.3759999999999999</c:v>
                </c:pt>
                <c:pt idx="71">
                  <c:v>2.403</c:v>
                </c:pt>
                <c:pt idx="72">
                  <c:v>2.4300000000000002</c:v>
                </c:pt>
                <c:pt idx="73">
                  <c:v>2.456</c:v>
                </c:pt>
                <c:pt idx="74">
                  <c:v>2.4830000000000001</c:v>
                </c:pt>
                <c:pt idx="75">
                  <c:v>2.5099999999999998</c:v>
                </c:pt>
                <c:pt idx="76">
                  <c:v>2.536</c:v>
                </c:pt>
                <c:pt idx="77">
                  <c:v>2.5630000000000002</c:v>
                </c:pt>
                <c:pt idx="78">
                  <c:v>2.59</c:v>
                </c:pt>
                <c:pt idx="79">
                  <c:v>2.6160000000000001</c:v>
                </c:pt>
                <c:pt idx="80">
                  <c:v>2.6429999999999998</c:v>
                </c:pt>
                <c:pt idx="81">
                  <c:v>2.67</c:v>
                </c:pt>
                <c:pt idx="82">
                  <c:v>2.6960000000000002</c:v>
                </c:pt>
                <c:pt idx="83">
                  <c:v>2.7229999999999999</c:v>
                </c:pt>
                <c:pt idx="84">
                  <c:v>2.75</c:v>
                </c:pt>
                <c:pt idx="85">
                  <c:v>2.7759999999999998</c:v>
                </c:pt>
                <c:pt idx="86">
                  <c:v>2.8029999999999999</c:v>
                </c:pt>
                <c:pt idx="87">
                  <c:v>2.83</c:v>
                </c:pt>
                <c:pt idx="88">
                  <c:v>2.8559999999999999</c:v>
                </c:pt>
                <c:pt idx="89">
                  <c:v>2.883</c:v>
                </c:pt>
                <c:pt idx="90">
                  <c:v>2.91</c:v>
                </c:pt>
                <c:pt idx="91">
                  <c:v>2.9359999999999999</c:v>
                </c:pt>
                <c:pt idx="92">
                  <c:v>2.9630000000000001</c:v>
                </c:pt>
                <c:pt idx="93">
                  <c:v>2.99</c:v>
                </c:pt>
                <c:pt idx="94">
                  <c:v>3.016</c:v>
                </c:pt>
                <c:pt idx="95">
                  <c:v>3.0430000000000001</c:v>
                </c:pt>
                <c:pt idx="96">
                  <c:v>3.07</c:v>
                </c:pt>
                <c:pt idx="97">
                  <c:v>3.0960000000000001</c:v>
                </c:pt>
                <c:pt idx="98">
                  <c:v>3.1230000000000002</c:v>
                </c:pt>
                <c:pt idx="99">
                  <c:v>3.15</c:v>
                </c:pt>
                <c:pt idx="100">
                  <c:v>3.1760000000000002</c:v>
                </c:pt>
                <c:pt idx="101">
                  <c:v>3.2029999999999998</c:v>
                </c:pt>
                <c:pt idx="102">
                  <c:v>3.23</c:v>
                </c:pt>
                <c:pt idx="103">
                  <c:v>3.2559999999999998</c:v>
                </c:pt>
                <c:pt idx="104">
                  <c:v>3.2829999999999999</c:v>
                </c:pt>
                <c:pt idx="105">
                  <c:v>3.31</c:v>
                </c:pt>
                <c:pt idx="106">
                  <c:v>3.3359999999999999</c:v>
                </c:pt>
                <c:pt idx="107">
                  <c:v>3.363</c:v>
                </c:pt>
                <c:pt idx="108">
                  <c:v>3.39</c:v>
                </c:pt>
                <c:pt idx="109">
                  <c:v>3.4159999999999999</c:v>
                </c:pt>
                <c:pt idx="110">
                  <c:v>3.4430000000000001</c:v>
                </c:pt>
                <c:pt idx="111">
                  <c:v>3.47</c:v>
                </c:pt>
                <c:pt idx="112">
                  <c:v>3.496</c:v>
                </c:pt>
                <c:pt idx="113">
                  <c:v>3.5230000000000001</c:v>
                </c:pt>
                <c:pt idx="114">
                  <c:v>3.55</c:v>
                </c:pt>
                <c:pt idx="115">
                  <c:v>3.5760000000000001</c:v>
                </c:pt>
                <c:pt idx="116">
                  <c:v>3.6030000000000002</c:v>
                </c:pt>
                <c:pt idx="117">
                  <c:v>3.63</c:v>
                </c:pt>
                <c:pt idx="118">
                  <c:v>3.6560000000000001</c:v>
                </c:pt>
                <c:pt idx="119">
                  <c:v>3.6829999999999998</c:v>
                </c:pt>
                <c:pt idx="120">
                  <c:v>3.71</c:v>
                </c:pt>
                <c:pt idx="121">
                  <c:v>3.7360000000000002</c:v>
                </c:pt>
                <c:pt idx="122">
                  <c:v>3.7629999999999999</c:v>
                </c:pt>
                <c:pt idx="123">
                  <c:v>3.79</c:v>
                </c:pt>
                <c:pt idx="124">
                  <c:v>3.8159999999999998</c:v>
                </c:pt>
                <c:pt idx="125">
                  <c:v>3.843</c:v>
                </c:pt>
                <c:pt idx="126">
                  <c:v>3.87</c:v>
                </c:pt>
                <c:pt idx="127">
                  <c:v>3.8959999999999999</c:v>
                </c:pt>
                <c:pt idx="128">
                  <c:v>3.923</c:v>
                </c:pt>
                <c:pt idx="129">
                  <c:v>3.95</c:v>
                </c:pt>
                <c:pt idx="130">
                  <c:v>3.976</c:v>
                </c:pt>
                <c:pt idx="131">
                  <c:v>4.0030000000000001</c:v>
                </c:pt>
                <c:pt idx="132">
                  <c:v>4.03</c:v>
                </c:pt>
                <c:pt idx="133">
                  <c:v>4.056</c:v>
                </c:pt>
                <c:pt idx="134">
                  <c:v>4.0830000000000002</c:v>
                </c:pt>
                <c:pt idx="135">
                  <c:v>4.1100000000000003</c:v>
                </c:pt>
                <c:pt idx="136">
                  <c:v>4.1360000000000001</c:v>
                </c:pt>
                <c:pt idx="137">
                  <c:v>4.1630000000000003</c:v>
                </c:pt>
                <c:pt idx="138">
                  <c:v>4.1900000000000004</c:v>
                </c:pt>
                <c:pt idx="139">
                  <c:v>4.2160000000000002</c:v>
                </c:pt>
                <c:pt idx="140">
                  <c:v>4.2430000000000003</c:v>
                </c:pt>
                <c:pt idx="141">
                  <c:v>4.2699999999999996</c:v>
                </c:pt>
                <c:pt idx="142">
                  <c:v>4.2960000000000003</c:v>
                </c:pt>
                <c:pt idx="143">
                  <c:v>4.3230000000000004</c:v>
                </c:pt>
                <c:pt idx="144">
                  <c:v>4.3499999999999996</c:v>
                </c:pt>
                <c:pt idx="145">
                  <c:v>4.3760000000000003</c:v>
                </c:pt>
                <c:pt idx="146">
                  <c:v>4.4029999999999996</c:v>
                </c:pt>
                <c:pt idx="147">
                  <c:v>4.43</c:v>
                </c:pt>
                <c:pt idx="148">
                  <c:v>4.4560000000000004</c:v>
                </c:pt>
                <c:pt idx="149">
                  <c:v>4.4829999999999997</c:v>
                </c:pt>
                <c:pt idx="150">
                  <c:v>4.51</c:v>
                </c:pt>
                <c:pt idx="151">
                  <c:v>4.5359999999999996</c:v>
                </c:pt>
                <c:pt idx="152">
                  <c:v>4.5629999999999997</c:v>
                </c:pt>
                <c:pt idx="153">
                  <c:v>4.59</c:v>
                </c:pt>
                <c:pt idx="154">
                  <c:v>4.6159999999999997</c:v>
                </c:pt>
                <c:pt idx="155">
                  <c:v>4.6429999999999998</c:v>
                </c:pt>
                <c:pt idx="156">
                  <c:v>4.67</c:v>
                </c:pt>
                <c:pt idx="157">
                  <c:v>4.6959999999999997</c:v>
                </c:pt>
                <c:pt idx="158">
                  <c:v>4.7229999999999999</c:v>
                </c:pt>
                <c:pt idx="159">
                  <c:v>4.75</c:v>
                </c:pt>
                <c:pt idx="160">
                  <c:v>4.7759999999999998</c:v>
                </c:pt>
                <c:pt idx="161">
                  <c:v>4.8029999999999999</c:v>
                </c:pt>
                <c:pt idx="162">
                  <c:v>4.83</c:v>
                </c:pt>
                <c:pt idx="163">
                  <c:v>4.8559999999999999</c:v>
                </c:pt>
                <c:pt idx="164">
                  <c:v>4.883</c:v>
                </c:pt>
                <c:pt idx="165">
                  <c:v>4.91</c:v>
                </c:pt>
                <c:pt idx="166">
                  <c:v>4.9359999999999999</c:v>
                </c:pt>
                <c:pt idx="167">
                  <c:v>4.9630000000000001</c:v>
                </c:pt>
                <c:pt idx="168">
                  <c:v>4.99</c:v>
                </c:pt>
                <c:pt idx="169">
                  <c:v>5.016</c:v>
                </c:pt>
                <c:pt idx="170">
                  <c:v>5.0430000000000001</c:v>
                </c:pt>
                <c:pt idx="171">
                  <c:v>5.07</c:v>
                </c:pt>
                <c:pt idx="172">
                  <c:v>5.0960000000000001</c:v>
                </c:pt>
                <c:pt idx="173">
                  <c:v>5.1230000000000002</c:v>
                </c:pt>
                <c:pt idx="174">
                  <c:v>5.15</c:v>
                </c:pt>
                <c:pt idx="175">
                  <c:v>5.1760000000000002</c:v>
                </c:pt>
                <c:pt idx="176">
                  <c:v>5.2030000000000003</c:v>
                </c:pt>
                <c:pt idx="177">
                  <c:v>5.23</c:v>
                </c:pt>
                <c:pt idx="178">
                  <c:v>5.2560000000000002</c:v>
                </c:pt>
                <c:pt idx="179">
                  <c:v>5.2830000000000004</c:v>
                </c:pt>
                <c:pt idx="180">
                  <c:v>5.31</c:v>
                </c:pt>
                <c:pt idx="181">
                  <c:v>5.3360000000000003</c:v>
                </c:pt>
                <c:pt idx="182">
                  <c:v>5.3630000000000004</c:v>
                </c:pt>
                <c:pt idx="183">
                  <c:v>5.39</c:v>
                </c:pt>
                <c:pt idx="184">
                  <c:v>5.4160000000000004</c:v>
                </c:pt>
                <c:pt idx="185">
                  <c:v>5.4429999999999996</c:v>
                </c:pt>
                <c:pt idx="186">
                  <c:v>5.47</c:v>
                </c:pt>
                <c:pt idx="187">
                  <c:v>5.4960000000000004</c:v>
                </c:pt>
                <c:pt idx="188">
                  <c:v>5.5229999999999997</c:v>
                </c:pt>
                <c:pt idx="189">
                  <c:v>5.55</c:v>
                </c:pt>
                <c:pt idx="190">
                  <c:v>5.5759999999999996</c:v>
                </c:pt>
                <c:pt idx="191">
                  <c:v>5.6029999999999998</c:v>
                </c:pt>
                <c:pt idx="192">
                  <c:v>5.63</c:v>
                </c:pt>
                <c:pt idx="193">
                  <c:v>5.6559999999999997</c:v>
                </c:pt>
                <c:pt idx="194">
                  <c:v>5.6829999999999998</c:v>
                </c:pt>
                <c:pt idx="195">
                  <c:v>5.71</c:v>
                </c:pt>
                <c:pt idx="196">
                  <c:v>5.7359999999999998</c:v>
                </c:pt>
                <c:pt idx="197">
                  <c:v>5.7629999999999999</c:v>
                </c:pt>
                <c:pt idx="198">
                  <c:v>5.79</c:v>
                </c:pt>
                <c:pt idx="199">
                  <c:v>5.8159999999999998</c:v>
                </c:pt>
                <c:pt idx="200">
                  <c:v>5.843</c:v>
                </c:pt>
                <c:pt idx="201">
                  <c:v>5.87</c:v>
                </c:pt>
                <c:pt idx="202">
                  <c:v>5.8959999999999999</c:v>
                </c:pt>
                <c:pt idx="203">
                  <c:v>5.923</c:v>
                </c:pt>
                <c:pt idx="204">
                  <c:v>5.95</c:v>
                </c:pt>
                <c:pt idx="205">
                  <c:v>5.976</c:v>
                </c:pt>
                <c:pt idx="206">
                  <c:v>6.0030000000000001</c:v>
                </c:pt>
                <c:pt idx="207">
                  <c:v>6.03</c:v>
                </c:pt>
                <c:pt idx="208">
                  <c:v>6.056</c:v>
                </c:pt>
                <c:pt idx="209">
                  <c:v>6.0830000000000002</c:v>
                </c:pt>
                <c:pt idx="210">
                  <c:v>6.11</c:v>
                </c:pt>
                <c:pt idx="211">
                  <c:v>6.1360000000000001</c:v>
                </c:pt>
                <c:pt idx="212">
                  <c:v>6.1630000000000003</c:v>
                </c:pt>
                <c:pt idx="213">
                  <c:v>6.19</c:v>
                </c:pt>
                <c:pt idx="214">
                  <c:v>6.2160000000000002</c:v>
                </c:pt>
                <c:pt idx="215">
                  <c:v>6.2430000000000003</c:v>
                </c:pt>
                <c:pt idx="216">
                  <c:v>6.27</c:v>
                </c:pt>
                <c:pt idx="217">
                  <c:v>6.2960000000000003</c:v>
                </c:pt>
                <c:pt idx="218">
                  <c:v>6.3230000000000004</c:v>
                </c:pt>
                <c:pt idx="219">
                  <c:v>6.35</c:v>
                </c:pt>
                <c:pt idx="220">
                  <c:v>6.3760000000000003</c:v>
                </c:pt>
                <c:pt idx="221">
                  <c:v>6.4029999999999996</c:v>
                </c:pt>
                <c:pt idx="222">
                  <c:v>6.43</c:v>
                </c:pt>
                <c:pt idx="223">
                  <c:v>6.4560000000000004</c:v>
                </c:pt>
                <c:pt idx="224">
                  <c:v>6.4829999999999997</c:v>
                </c:pt>
                <c:pt idx="225">
                  <c:v>6.51</c:v>
                </c:pt>
                <c:pt idx="226">
                  <c:v>6.5359999999999996</c:v>
                </c:pt>
                <c:pt idx="227">
                  <c:v>6.5629999999999997</c:v>
                </c:pt>
                <c:pt idx="228">
                  <c:v>6.59</c:v>
                </c:pt>
                <c:pt idx="229">
                  <c:v>6.6159999999999997</c:v>
                </c:pt>
                <c:pt idx="230">
                  <c:v>6.6429999999999998</c:v>
                </c:pt>
                <c:pt idx="231">
                  <c:v>6.67</c:v>
                </c:pt>
                <c:pt idx="232">
                  <c:v>6.6959999999999997</c:v>
                </c:pt>
                <c:pt idx="233">
                  <c:v>6.7229999999999999</c:v>
                </c:pt>
                <c:pt idx="234">
                  <c:v>6.75</c:v>
                </c:pt>
                <c:pt idx="235">
                  <c:v>6.7759999999999998</c:v>
                </c:pt>
                <c:pt idx="236">
                  <c:v>6.8029999999999999</c:v>
                </c:pt>
                <c:pt idx="237">
                  <c:v>6.83</c:v>
                </c:pt>
                <c:pt idx="238">
                  <c:v>6.8559999999999999</c:v>
                </c:pt>
                <c:pt idx="239">
                  <c:v>6.883</c:v>
                </c:pt>
                <c:pt idx="240">
                  <c:v>6.91</c:v>
                </c:pt>
                <c:pt idx="241">
                  <c:v>6.9359999999999999</c:v>
                </c:pt>
                <c:pt idx="242">
                  <c:v>6.9630000000000001</c:v>
                </c:pt>
                <c:pt idx="243">
                  <c:v>6.99</c:v>
                </c:pt>
                <c:pt idx="244">
                  <c:v>7.016</c:v>
                </c:pt>
                <c:pt idx="245">
                  <c:v>7.0430000000000001</c:v>
                </c:pt>
                <c:pt idx="246">
                  <c:v>7.07</c:v>
                </c:pt>
                <c:pt idx="247">
                  <c:v>7.0960000000000001</c:v>
                </c:pt>
                <c:pt idx="248">
                  <c:v>7.1230000000000002</c:v>
                </c:pt>
                <c:pt idx="249">
                  <c:v>7.15</c:v>
                </c:pt>
                <c:pt idx="250">
                  <c:v>7.1760000000000002</c:v>
                </c:pt>
                <c:pt idx="251">
                  <c:v>7.2030000000000003</c:v>
                </c:pt>
                <c:pt idx="252">
                  <c:v>7.23</c:v>
                </c:pt>
                <c:pt idx="253">
                  <c:v>7.2560000000000002</c:v>
                </c:pt>
                <c:pt idx="254">
                  <c:v>7.2830000000000004</c:v>
                </c:pt>
                <c:pt idx="255">
                  <c:v>7.31</c:v>
                </c:pt>
                <c:pt idx="256">
                  <c:v>7.3360000000000003</c:v>
                </c:pt>
                <c:pt idx="257">
                  <c:v>7.3630000000000004</c:v>
                </c:pt>
                <c:pt idx="258">
                  <c:v>7.39</c:v>
                </c:pt>
                <c:pt idx="259">
                  <c:v>7.4160000000000004</c:v>
                </c:pt>
                <c:pt idx="260">
                  <c:v>7.4429999999999996</c:v>
                </c:pt>
                <c:pt idx="261">
                  <c:v>7.47</c:v>
                </c:pt>
                <c:pt idx="262">
                  <c:v>7.4960000000000004</c:v>
                </c:pt>
                <c:pt idx="263">
                  <c:v>7.5229999999999997</c:v>
                </c:pt>
                <c:pt idx="264">
                  <c:v>7.55</c:v>
                </c:pt>
                <c:pt idx="265">
                  <c:v>7.5759999999999996</c:v>
                </c:pt>
                <c:pt idx="266">
                  <c:v>7.6029999999999998</c:v>
                </c:pt>
                <c:pt idx="267">
                  <c:v>7.63</c:v>
                </c:pt>
                <c:pt idx="268">
                  <c:v>7.6559999999999997</c:v>
                </c:pt>
                <c:pt idx="269">
                  <c:v>7.6829999999999998</c:v>
                </c:pt>
                <c:pt idx="270">
                  <c:v>7.71</c:v>
                </c:pt>
                <c:pt idx="271">
                  <c:v>7.7359999999999998</c:v>
                </c:pt>
                <c:pt idx="272">
                  <c:v>7.7629999999999999</c:v>
                </c:pt>
                <c:pt idx="273">
                  <c:v>7.79</c:v>
                </c:pt>
                <c:pt idx="274">
                  <c:v>7.8159999999999998</c:v>
                </c:pt>
                <c:pt idx="275">
                  <c:v>7.843</c:v>
                </c:pt>
                <c:pt idx="276">
                  <c:v>7.87</c:v>
                </c:pt>
                <c:pt idx="277">
                  <c:v>7.8959999999999999</c:v>
                </c:pt>
                <c:pt idx="278">
                  <c:v>7.923</c:v>
                </c:pt>
                <c:pt idx="279">
                  <c:v>7.95</c:v>
                </c:pt>
                <c:pt idx="280">
                  <c:v>7.976</c:v>
                </c:pt>
                <c:pt idx="281">
                  <c:v>8.0030000000000001</c:v>
                </c:pt>
                <c:pt idx="282">
                  <c:v>8.0299999999999994</c:v>
                </c:pt>
                <c:pt idx="283">
                  <c:v>8.0559999999999992</c:v>
                </c:pt>
                <c:pt idx="284">
                  <c:v>8.0830000000000002</c:v>
                </c:pt>
                <c:pt idx="285">
                  <c:v>8.11</c:v>
                </c:pt>
                <c:pt idx="286">
                  <c:v>8.1359999999999992</c:v>
                </c:pt>
                <c:pt idx="287">
                  <c:v>8.1630000000000003</c:v>
                </c:pt>
                <c:pt idx="288">
                  <c:v>8.19</c:v>
                </c:pt>
                <c:pt idx="289">
                  <c:v>8.2159999999999993</c:v>
                </c:pt>
                <c:pt idx="290">
                  <c:v>8.2430000000000003</c:v>
                </c:pt>
                <c:pt idx="291">
                  <c:v>8.27</c:v>
                </c:pt>
                <c:pt idx="292">
                  <c:v>8.2959999999999994</c:v>
                </c:pt>
                <c:pt idx="293">
                  <c:v>8.3230000000000004</c:v>
                </c:pt>
                <c:pt idx="294">
                  <c:v>8.35</c:v>
                </c:pt>
                <c:pt idx="295">
                  <c:v>8.3759999999999994</c:v>
                </c:pt>
                <c:pt idx="296">
                  <c:v>8.4030000000000005</c:v>
                </c:pt>
                <c:pt idx="297">
                  <c:v>8.43</c:v>
                </c:pt>
                <c:pt idx="298">
                  <c:v>8.4559999999999995</c:v>
                </c:pt>
                <c:pt idx="299">
                  <c:v>8.4830000000000005</c:v>
                </c:pt>
                <c:pt idx="300">
                  <c:v>8.51</c:v>
                </c:pt>
                <c:pt idx="301">
                  <c:v>8.5359999999999996</c:v>
                </c:pt>
                <c:pt idx="302">
                  <c:v>8.5630000000000006</c:v>
                </c:pt>
                <c:pt idx="303">
                  <c:v>8.59</c:v>
                </c:pt>
                <c:pt idx="304">
                  <c:v>8.6159999999999997</c:v>
                </c:pt>
                <c:pt idx="305">
                  <c:v>8.6430000000000007</c:v>
                </c:pt>
                <c:pt idx="306">
                  <c:v>8.67</c:v>
                </c:pt>
                <c:pt idx="307">
                  <c:v>8.6959999999999997</c:v>
                </c:pt>
                <c:pt idx="308">
                  <c:v>8.7230000000000008</c:v>
                </c:pt>
                <c:pt idx="309">
                  <c:v>8.75</c:v>
                </c:pt>
                <c:pt idx="310">
                  <c:v>8.7759999999999998</c:v>
                </c:pt>
                <c:pt idx="311">
                  <c:v>8.8030000000000008</c:v>
                </c:pt>
                <c:pt idx="312">
                  <c:v>8.83</c:v>
                </c:pt>
                <c:pt idx="313">
                  <c:v>8.8559999999999999</c:v>
                </c:pt>
                <c:pt idx="314">
                  <c:v>8.8829999999999991</c:v>
                </c:pt>
                <c:pt idx="315">
                  <c:v>8.91</c:v>
                </c:pt>
                <c:pt idx="316">
                  <c:v>8.9359999999999999</c:v>
                </c:pt>
                <c:pt idx="317">
                  <c:v>8.9629999999999992</c:v>
                </c:pt>
                <c:pt idx="318">
                  <c:v>8.99</c:v>
                </c:pt>
                <c:pt idx="319">
                  <c:v>9.016</c:v>
                </c:pt>
                <c:pt idx="320">
                  <c:v>9.0429999999999993</c:v>
                </c:pt>
                <c:pt idx="321">
                  <c:v>9.07</c:v>
                </c:pt>
                <c:pt idx="322">
                  <c:v>9.0960000000000001</c:v>
                </c:pt>
                <c:pt idx="323">
                  <c:v>9.1229999999999993</c:v>
                </c:pt>
                <c:pt idx="324">
                  <c:v>9.15</c:v>
                </c:pt>
                <c:pt idx="325">
                  <c:v>9.1760000000000002</c:v>
                </c:pt>
                <c:pt idx="326">
                  <c:v>9.2029999999999994</c:v>
                </c:pt>
                <c:pt idx="327">
                  <c:v>9.23</c:v>
                </c:pt>
                <c:pt idx="328">
                  <c:v>9.2560000000000002</c:v>
                </c:pt>
                <c:pt idx="329">
                  <c:v>9.2829999999999995</c:v>
                </c:pt>
                <c:pt idx="330">
                  <c:v>9.31</c:v>
                </c:pt>
                <c:pt idx="331">
                  <c:v>9.3360000000000003</c:v>
                </c:pt>
                <c:pt idx="332">
                  <c:v>9.3629999999999995</c:v>
                </c:pt>
                <c:pt idx="333">
                  <c:v>9.39</c:v>
                </c:pt>
                <c:pt idx="334">
                  <c:v>9.4160000000000004</c:v>
                </c:pt>
                <c:pt idx="335">
                  <c:v>9.4429999999999996</c:v>
                </c:pt>
                <c:pt idx="336">
                  <c:v>9.4700000000000006</c:v>
                </c:pt>
                <c:pt idx="337">
                  <c:v>9.4960000000000004</c:v>
                </c:pt>
                <c:pt idx="338">
                  <c:v>9.5229999999999997</c:v>
                </c:pt>
                <c:pt idx="339">
                  <c:v>9.5500000000000007</c:v>
                </c:pt>
                <c:pt idx="340">
                  <c:v>9.5760000000000005</c:v>
                </c:pt>
                <c:pt idx="341">
                  <c:v>9.6029999999999998</c:v>
                </c:pt>
                <c:pt idx="342">
                  <c:v>9.6300000000000008</c:v>
                </c:pt>
                <c:pt idx="343">
                  <c:v>9.6560000000000006</c:v>
                </c:pt>
                <c:pt idx="344">
                  <c:v>9.6829999999999998</c:v>
                </c:pt>
                <c:pt idx="345">
                  <c:v>9.7100000000000009</c:v>
                </c:pt>
                <c:pt idx="346">
                  <c:v>9.7360000000000007</c:v>
                </c:pt>
                <c:pt idx="347">
                  <c:v>9.7629999999999999</c:v>
                </c:pt>
                <c:pt idx="348">
                  <c:v>9.7899999999999991</c:v>
                </c:pt>
                <c:pt idx="349">
                  <c:v>9.8160000000000007</c:v>
                </c:pt>
                <c:pt idx="350">
                  <c:v>9.843</c:v>
                </c:pt>
                <c:pt idx="351">
                  <c:v>9.8699999999999992</c:v>
                </c:pt>
                <c:pt idx="352">
                  <c:v>9.8960000000000008</c:v>
                </c:pt>
                <c:pt idx="353">
                  <c:v>9.923</c:v>
                </c:pt>
                <c:pt idx="354">
                  <c:v>9.9499999999999993</c:v>
                </c:pt>
                <c:pt idx="355">
                  <c:v>9.9760000000000009</c:v>
                </c:pt>
                <c:pt idx="356">
                  <c:v>10.003</c:v>
                </c:pt>
              </c:numCache>
            </c:numRef>
          </c:xVal>
          <c:yVal>
            <c:numRef>
              <c:f>ChromatogramData!$C$2:$C$10001</c:f>
              <c:numCache>
                <c:formatCode>General</c:formatCode>
                <c:ptCount val="10000"/>
                <c:pt idx="0">
                  <c:v>8.5295637379455371</c:v>
                </c:pt>
                <c:pt idx="1">
                  <c:v>6.7558175911793494</c:v>
                </c:pt>
                <c:pt idx="2">
                  <c:v>5.3757718878512293</c:v>
                </c:pt>
                <c:pt idx="3">
                  <c:v>5.2940999873507781</c:v>
                </c:pt>
                <c:pt idx="4">
                  <c:v>5.9139687706362469</c:v>
                </c:pt>
                <c:pt idx="5">
                  <c:v>6.6029445466528651</c:v>
                </c:pt>
                <c:pt idx="6">
                  <c:v>6.7641941963588827</c:v>
                </c:pt>
                <c:pt idx="7">
                  <c:v>6.6448275725505326</c:v>
                </c:pt>
                <c:pt idx="8">
                  <c:v>6.6741456906788983</c:v>
                </c:pt>
                <c:pt idx="9">
                  <c:v>6.5170843435626482</c:v>
                </c:pt>
                <c:pt idx="10">
                  <c:v>5.7150243976223294</c:v>
                </c:pt>
                <c:pt idx="11">
                  <c:v>4.5841826983853258</c:v>
                </c:pt>
                <c:pt idx="12">
                  <c:v>3.9685022176896236</c:v>
                </c:pt>
                <c:pt idx="13">
                  <c:v>4.3810500227816416</c:v>
                </c:pt>
                <c:pt idx="14">
                  <c:v>6.096159933291097</c:v>
                </c:pt>
                <c:pt idx="15">
                  <c:v>9.2813640528086587</c:v>
                </c:pt>
                <c:pt idx="16">
                  <c:v>13.17020300740702</c:v>
                </c:pt>
                <c:pt idx="17">
                  <c:v>16.384725245052948</c:v>
                </c:pt>
                <c:pt idx="18">
                  <c:v>18.516571263244185</c:v>
                </c:pt>
                <c:pt idx="19">
                  <c:v>19.909181874341606</c:v>
                </c:pt>
                <c:pt idx="20">
                  <c:v>20.681923702153561</c:v>
                </c:pt>
                <c:pt idx="21">
                  <c:v>20.321729679433624</c:v>
                </c:pt>
                <c:pt idx="22">
                  <c:v>18.294591225986551</c:v>
                </c:pt>
                <c:pt idx="23">
                  <c:v>14.849712345903457</c:v>
                </c:pt>
                <c:pt idx="24">
                  <c:v>10.682351269085613</c:v>
                </c:pt>
                <c:pt idx="25">
                  <c:v>6.9275379973597824</c:v>
                </c:pt>
                <c:pt idx="26">
                  <c:v>4.5234523108337097</c:v>
                </c:pt>
                <c:pt idx="27">
                  <c:v>3.4156462758404222</c:v>
                </c:pt>
                <c:pt idx="28">
                  <c:v>2.994721865568871</c:v>
                </c:pt>
                <c:pt idx="29">
                  <c:v>2.8250956106833205</c:v>
                </c:pt>
                <c:pt idx="30">
                  <c:v>2.7182938946442703</c:v>
                </c:pt>
                <c:pt idx="31">
                  <c:v>2.619868783784753</c:v>
                </c:pt>
                <c:pt idx="32">
                  <c:v>2.5256319755150027</c:v>
                </c:pt>
                <c:pt idx="33">
                  <c:v>2.4376776211299025</c:v>
                </c:pt>
                <c:pt idx="34">
                  <c:v>2.3539115693345689</c:v>
                </c:pt>
                <c:pt idx="35">
                  <c:v>2.2659572149494687</c:v>
                </c:pt>
                <c:pt idx="36">
                  <c:v>2.1968502222183184</c:v>
                </c:pt>
                <c:pt idx="37">
                  <c:v>2.1424022885513518</c:v>
                </c:pt>
                <c:pt idx="38">
                  <c:v>2.0837660522946182</c:v>
                </c:pt>
                <c:pt idx="39">
                  <c:v>2.0460713289867178</c:v>
                </c:pt>
                <c:pt idx="40">
                  <c:v>2.0188473621532346</c:v>
                </c:pt>
                <c:pt idx="41">
                  <c:v>2.0000000004992846</c:v>
                </c:pt>
                <c:pt idx="42">
                  <c:v>2.0000000004992846</c:v>
                </c:pt>
                <c:pt idx="43">
                  <c:v>2.0062824543839346</c:v>
                </c:pt>
                <c:pt idx="44">
                  <c:v>2.0167532108583512</c:v>
                </c:pt>
                <c:pt idx="45">
                  <c:v>2.0376947238071845</c:v>
                </c:pt>
                <c:pt idx="46">
                  <c:v>2.0628245393457849</c:v>
                </c:pt>
                <c:pt idx="47">
                  <c:v>2.0795777497048515</c:v>
                </c:pt>
                <c:pt idx="48">
                  <c:v>2.1047075652434515</c:v>
                </c:pt>
                <c:pt idx="49">
                  <c:v>2.1444964398462352</c:v>
                </c:pt>
                <c:pt idx="50">
                  <c:v>2.1842853144490184</c:v>
                </c:pt>
                <c:pt idx="51">
                  <c:v>2.2429215507057521</c:v>
                </c:pt>
                <c:pt idx="52">
                  <c:v>2.3057460895522519</c:v>
                </c:pt>
                <c:pt idx="53">
                  <c:v>2.3769472335782855</c:v>
                </c:pt>
                <c:pt idx="54">
                  <c:v>2.4649015879633862</c:v>
                </c:pt>
                <c:pt idx="55">
                  <c:v>2.5800799091819697</c:v>
                </c:pt>
                <c:pt idx="56">
                  <c:v>2.6973523816954366</c:v>
                </c:pt>
                <c:pt idx="57">
                  <c:v>2.8209073080935538</c:v>
                </c:pt>
                <c:pt idx="58">
                  <c:v>2.9842511090944543</c:v>
                </c:pt>
                <c:pt idx="59">
                  <c:v>3.1538773639800048</c:v>
                </c:pt>
                <c:pt idx="60">
                  <c:v>3.2669615339037055</c:v>
                </c:pt>
                <c:pt idx="61">
                  <c:v>3.3381626779297386</c:v>
                </c:pt>
                <c:pt idx="62">
                  <c:v>3.382139855122289</c:v>
                </c:pt>
                <c:pt idx="63">
                  <c:v>3.3674807960581052</c:v>
                </c:pt>
                <c:pt idx="64">
                  <c:v>3.357010039583689</c:v>
                </c:pt>
                <c:pt idx="65">
                  <c:v>3.4009872167762394</c:v>
                </c:pt>
                <c:pt idx="66">
                  <c:v>3.4784708146869225</c:v>
                </c:pt>
                <c:pt idx="67">
                  <c:v>3.5538602613027228</c:v>
                </c:pt>
                <c:pt idx="68">
                  <c:v>3.6208731027389893</c:v>
                </c:pt>
                <c:pt idx="69">
                  <c:v>3.7109216084189729</c:v>
                </c:pt>
                <c:pt idx="70">
                  <c:v>3.7988759628040736</c:v>
                </c:pt>
                <c:pt idx="71">
                  <c:v>3.9014893762533571</c:v>
                </c:pt>
                <c:pt idx="72">
                  <c:v>4.012479394882174</c:v>
                </c:pt>
                <c:pt idx="73">
                  <c:v>4.1234694135109908</c:v>
                </c:pt>
                <c:pt idx="74">
                  <c:v>4.5674294880262591</c:v>
                </c:pt>
                <c:pt idx="75">
                  <c:v>5.4365022754028445</c:v>
                </c:pt>
                <c:pt idx="76">
                  <c:v>5.9349102835850802</c:v>
                </c:pt>
                <c:pt idx="77">
                  <c:v>5.6145051354679296</c:v>
                </c:pt>
                <c:pt idx="78">
                  <c:v>4.9360001159257276</c:v>
                </c:pt>
                <c:pt idx="79">
                  <c:v>4.6323481781676428</c:v>
                </c:pt>
                <c:pt idx="80">
                  <c:v>4.5674294880262591</c:v>
                </c:pt>
                <c:pt idx="81">
                  <c:v>4.5255464621285917</c:v>
                </c:pt>
                <c:pt idx="82">
                  <c:v>4.4522511668076756</c:v>
                </c:pt>
                <c:pt idx="83">
                  <c:v>4.4166505947946586</c:v>
                </c:pt>
                <c:pt idx="84">
                  <c:v>4.435497956448609</c:v>
                </c:pt>
                <c:pt idx="85">
                  <c:v>4.4773809823462756</c:v>
                </c:pt>
                <c:pt idx="86">
                  <c:v>4.6365364807574085</c:v>
                </c:pt>
                <c:pt idx="87">
                  <c:v>4.8480457615406269</c:v>
                </c:pt>
                <c:pt idx="88">
                  <c:v>4.9485650236950267</c:v>
                </c:pt>
                <c:pt idx="89">
                  <c:v>4.8941170900280602</c:v>
                </c:pt>
                <c:pt idx="90">
                  <c:v>4.822915946002027</c:v>
                </c:pt>
                <c:pt idx="91">
                  <c:v>4.8040685843480766</c:v>
                </c:pt>
                <c:pt idx="92">
                  <c:v>4.8627048206048098</c:v>
                </c:pt>
                <c:pt idx="93">
                  <c:v>4.7935978278736595</c:v>
                </c:pt>
                <c:pt idx="94">
                  <c:v>4.6407247833471761</c:v>
                </c:pt>
                <c:pt idx="95">
                  <c:v>4.5339230673081259</c:v>
                </c:pt>
                <c:pt idx="96">
                  <c:v>4.5506762776671925</c:v>
                </c:pt>
                <c:pt idx="97">
                  <c:v>4.6888902631294931</c:v>
                </c:pt>
                <c:pt idx="98">
                  <c:v>4.9485650236950267</c:v>
                </c:pt>
                <c:pt idx="99">
                  <c:v>5.210333935555445</c:v>
                </c:pt>
                <c:pt idx="100">
                  <c:v>5.501420965544229</c:v>
                </c:pt>
                <c:pt idx="101">
                  <c:v>5.7464366670455798</c:v>
                </c:pt>
                <c:pt idx="102">
                  <c:v>5.8616149882641633</c:v>
                </c:pt>
                <c:pt idx="103">
                  <c:v>5.7171185489172132</c:v>
                </c:pt>
                <c:pt idx="104">
                  <c:v>5.4009017033898292</c:v>
                </c:pt>
                <c:pt idx="105">
                  <c:v>5.0700257987982607</c:v>
                </c:pt>
                <c:pt idx="106">
                  <c:v>4.8564223667201603</c:v>
                </c:pt>
                <c:pt idx="107">
                  <c:v>4.9695065366438609</c:v>
                </c:pt>
                <c:pt idx="108">
                  <c:v>5.3841484930307626</c:v>
                </c:pt>
                <c:pt idx="109">
                  <c:v>5.8762740473283461</c:v>
                </c:pt>
                <c:pt idx="110">
                  <c:v>6.3788703581003476</c:v>
                </c:pt>
                <c:pt idx="111">
                  <c:v>7.0699402854118496</c:v>
                </c:pt>
                <c:pt idx="112">
                  <c:v>7.6479260427996518</c:v>
                </c:pt>
                <c:pt idx="113">
                  <c:v>7.754727758838702</c:v>
                </c:pt>
                <c:pt idx="114">
                  <c:v>7.2667905071308843</c:v>
                </c:pt>
                <c:pt idx="115">
                  <c:v>6.3893411145747647</c:v>
                </c:pt>
                <c:pt idx="116">
                  <c:v>5.6124109841730458</c:v>
                </c:pt>
                <c:pt idx="117">
                  <c:v>5.1789216661321946</c:v>
                </c:pt>
                <c:pt idx="118">
                  <c:v>5.0679316475033769</c:v>
                </c:pt>
                <c:pt idx="119">
                  <c:v>5.1454152454140614</c:v>
                </c:pt>
                <c:pt idx="120">
                  <c:v>5.2794409282865953</c:v>
                </c:pt>
                <c:pt idx="121">
                  <c:v>6.3223282731384982</c:v>
                </c:pt>
                <c:pt idx="122">
                  <c:v>7.1830244553355502</c:v>
                </c:pt>
                <c:pt idx="123">
                  <c:v>7.3589331641057516</c:v>
                </c:pt>
                <c:pt idx="124">
                  <c:v>6.6846164471533163</c:v>
                </c:pt>
                <c:pt idx="125">
                  <c:v>6.0396178483292466</c:v>
                </c:pt>
                <c:pt idx="126">
                  <c:v>5.9432868887646144</c:v>
                </c:pt>
                <c:pt idx="127">
                  <c:v>5.767378179994413</c:v>
                </c:pt>
                <c:pt idx="128">
                  <c:v>5.501420965544229</c:v>
                </c:pt>
                <c:pt idx="129">
                  <c:v>5.3883367956205284</c:v>
                </c:pt>
                <c:pt idx="130">
                  <c:v>5.6898945820837294</c:v>
                </c:pt>
                <c:pt idx="131">
                  <c:v>6.542214159101249</c:v>
                </c:pt>
                <c:pt idx="132">
                  <c:v>7.1327648242583503</c:v>
                </c:pt>
                <c:pt idx="133">
                  <c:v>7.1641770936815998</c:v>
                </c:pt>
                <c:pt idx="134">
                  <c:v>6.4961428306138149</c:v>
                </c:pt>
                <c:pt idx="135">
                  <c:v>5.7275893053916294</c:v>
                </c:pt>
                <c:pt idx="136">
                  <c:v>5.501420965544229</c:v>
                </c:pt>
                <c:pt idx="137">
                  <c:v>5.5265507810828289</c:v>
                </c:pt>
                <c:pt idx="138">
                  <c:v>5.4700086961209795</c:v>
                </c:pt>
                <c:pt idx="139">
                  <c:v>5.4741969987107453</c:v>
                </c:pt>
                <c:pt idx="140">
                  <c:v>5.4218432163386616</c:v>
                </c:pt>
                <c:pt idx="141">
                  <c:v>5.3673952826716951</c:v>
                </c:pt>
                <c:pt idx="142">
                  <c:v>5.7401542131609293</c:v>
                </c:pt>
                <c:pt idx="143">
                  <c:v>12.125221511260232</c:v>
                </c:pt>
                <c:pt idx="144">
                  <c:v>22.445199092445332</c:v>
                </c:pt>
                <c:pt idx="145">
                  <c:v>31.803961229278976</c:v>
                </c:pt>
                <c:pt idx="146">
                  <c:v>40.140777534209555</c:v>
                </c:pt>
                <c:pt idx="147">
                  <c:v>36.444600498740456</c:v>
                </c:pt>
                <c:pt idx="148">
                  <c:v>23.289142064283318</c:v>
                </c:pt>
                <c:pt idx="149">
                  <c:v>12.851892010584752</c:v>
                </c:pt>
                <c:pt idx="150">
                  <c:v>9.0133126870635891</c:v>
                </c:pt>
                <c:pt idx="151">
                  <c:v>8.0144025194042356</c:v>
                </c:pt>
                <c:pt idx="152">
                  <c:v>7.4908646956834009</c:v>
                </c:pt>
                <c:pt idx="153">
                  <c:v>6.9945508387960498</c:v>
                </c:pt>
                <c:pt idx="154">
                  <c:v>6.6490158751402983</c:v>
                </c:pt>
                <c:pt idx="155">
                  <c:v>6.3830586606901143</c:v>
                </c:pt>
                <c:pt idx="156">
                  <c:v>6.4437890482417322</c:v>
                </c:pt>
                <c:pt idx="157">
                  <c:v>6.5443083103961319</c:v>
                </c:pt>
                <c:pt idx="158">
                  <c:v>6.4249416865877818</c:v>
                </c:pt>
                <c:pt idx="159">
                  <c:v>6.0375236970343638</c:v>
                </c:pt>
                <c:pt idx="160">
                  <c:v>5.5705279582753793</c:v>
                </c:pt>
                <c:pt idx="161">
                  <c:v>5.321323954184261</c:v>
                </c:pt>
                <c:pt idx="162">
                  <c:v>5.2731584744019449</c:v>
                </c:pt>
                <c:pt idx="163">
                  <c:v>5.5244566297879452</c:v>
                </c:pt>
                <c:pt idx="164">
                  <c:v>5.8385793240204453</c:v>
                </c:pt>
                <c:pt idx="165">
                  <c:v>5.9118746193413632</c:v>
                </c:pt>
                <c:pt idx="166">
                  <c:v>5.729683456686514</c:v>
                </c:pt>
                <c:pt idx="167">
                  <c:v>5.5035151168391128</c:v>
                </c:pt>
                <c:pt idx="168">
                  <c:v>5.379960190440995</c:v>
                </c:pt>
                <c:pt idx="169">
                  <c:v>5.4218432163386616</c:v>
                </c:pt>
                <c:pt idx="170">
                  <c:v>5.4679145448260957</c:v>
                </c:pt>
                <c:pt idx="171">
                  <c:v>5.5265507810828289</c:v>
                </c:pt>
                <c:pt idx="172">
                  <c:v>5.9998289737264638</c:v>
                </c:pt>
                <c:pt idx="173">
                  <c:v>6.88146666887235</c:v>
                </c:pt>
                <c:pt idx="174">
                  <c:v>6.9987391413858164</c:v>
                </c:pt>
                <c:pt idx="175">
                  <c:v>7.4280401568369019</c:v>
                </c:pt>
                <c:pt idx="176">
                  <c:v>7.3735922231699345</c:v>
                </c:pt>
                <c:pt idx="177">
                  <c:v>6.6008503953579822</c:v>
                </c:pt>
                <c:pt idx="178">
                  <c:v>5.9935465198418143</c:v>
                </c:pt>
                <c:pt idx="179">
                  <c:v>5.81554365977673</c:v>
                </c:pt>
                <c:pt idx="180">
                  <c:v>5.6019402276986288</c:v>
                </c:pt>
                <c:pt idx="181">
                  <c:v>5.2794409282865953</c:v>
                </c:pt>
                <c:pt idx="182">
                  <c:v>5.369489433966578</c:v>
                </c:pt>
                <c:pt idx="183">
                  <c:v>5.7548132722251131</c:v>
                </c:pt>
                <c:pt idx="184">
                  <c:v>15.283201663944309</c:v>
                </c:pt>
                <c:pt idx="185">
                  <c:v>30.564223662708038</c:v>
                </c:pt>
                <c:pt idx="186">
                  <c:v>33.125370696350359</c:v>
                </c:pt>
                <c:pt idx="187">
                  <c:v>23.192811104718682</c:v>
                </c:pt>
                <c:pt idx="188">
                  <c:v>11.210077395396214</c:v>
                </c:pt>
                <c:pt idx="189">
                  <c:v>6.2176207083943309</c:v>
                </c:pt>
                <c:pt idx="190">
                  <c:v>4.9988246547722266</c:v>
                </c:pt>
                <c:pt idx="191">
                  <c:v>4.9632240827592105</c:v>
                </c:pt>
                <c:pt idx="192">
                  <c:v>4.9988246547722266</c:v>
                </c:pt>
                <c:pt idx="193">
                  <c:v>4.9883538982978104</c:v>
                </c:pt>
                <c:pt idx="194">
                  <c:v>4.9590357801694438</c:v>
                </c:pt>
                <c:pt idx="195">
                  <c:v>4.9066819977973601</c:v>
                </c:pt>
                <c:pt idx="196">
                  <c:v>4.9255293594513105</c:v>
                </c:pt>
                <c:pt idx="197">
                  <c:v>5.0134837138364112</c:v>
                </c:pt>
                <c:pt idx="198">
                  <c:v>5.0260486216057103</c:v>
                </c:pt>
                <c:pt idx="199">
                  <c:v>4.9632240827592105</c:v>
                </c:pt>
                <c:pt idx="200">
                  <c:v>4.8689872744894593</c:v>
                </c:pt>
                <c:pt idx="201">
                  <c:v>4.8271042485917928</c:v>
                </c:pt>
                <c:pt idx="202">
                  <c:v>4.8019744330531928</c:v>
                </c:pt>
                <c:pt idx="203">
                  <c:v>4.7768446175145929</c:v>
                </c:pt>
                <c:pt idx="204">
                  <c:v>4.8312925511815603</c:v>
                </c:pt>
                <c:pt idx="205">
                  <c:v>4.9255293594513105</c:v>
                </c:pt>
                <c:pt idx="206">
                  <c:v>4.9171527542717772</c:v>
                </c:pt>
                <c:pt idx="207">
                  <c:v>4.8312925511815603</c:v>
                </c:pt>
                <c:pt idx="208">
                  <c:v>4.7831270713992424</c:v>
                </c:pt>
                <c:pt idx="209">
                  <c:v>4.7998802817583099</c:v>
                </c:pt>
                <c:pt idx="210">
                  <c:v>4.822915946002027</c:v>
                </c:pt>
                <c:pt idx="211">
                  <c:v>4.8354808537713261</c:v>
                </c:pt>
                <c:pt idx="212">
                  <c:v>4.8082568869378433</c:v>
                </c:pt>
                <c:pt idx="213">
                  <c:v>4.7831270713992424</c:v>
                </c:pt>
                <c:pt idx="214">
                  <c:v>4.7831270713992424</c:v>
                </c:pt>
                <c:pt idx="215">
                  <c:v>4.78731537398901</c:v>
                </c:pt>
                <c:pt idx="216">
                  <c:v>4.8208217947071432</c:v>
                </c:pt>
                <c:pt idx="217">
                  <c:v>4.8354808537713261</c:v>
                </c:pt>
                <c:pt idx="218">
                  <c:v>4.8417633076559765</c:v>
                </c:pt>
                <c:pt idx="219">
                  <c:v>4.8375750050662099</c:v>
                </c:pt>
                <c:pt idx="220">
                  <c:v>4.8647989718996936</c:v>
                </c:pt>
                <c:pt idx="221">
                  <c:v>4.8857404848485269</c:v>
                </c:pt>
                <c:pt idx="222">
                  <c:v>4.8794580309638764</c:v>
                </c:pt>
                <c:pt idx="223">
                  <c:v>4.8480457615406269</c:v>
                </c:pt>
                <c:pt idx="224">
                  <c:v>4.8312925511815603</c:v>
                </c:pt>
                <c:pt idx="225">
                  <c:v>4.8480457615406269</c:v>
                </c:pt>
                <c:pt idx="226">
                  <c:v>4.9045878465024773</c:v>
                </c:pt>
                <c:pt idx="227">
                  <c:v>4.9695065366438609</c:v>
                </c:pt>
                <c:pt idx="228">
                  <c:v>4.9841655957080437</c:v>
                </c:pt>
                <c:pt idx="229">
                  <c:v>4.9213410568615439</c:v>
                </c:pt>
                <c:pt idx="230">
                  <c:v>4.8689872744894593</c:v>
                </c:pt>
                <c:pt idx="231">
                  <c:v>4.8522340641303927</c:v>
                </c:pt>
                <c:pt idx="232">
                  <c:v>4.8396691563610936</c:v>
                </c:pt>
                <c:pt idx="233">
                  <c:v>4.8396691563610936</c:v>
                </c:pt>
                <c:pt idx="234">
                  <c:v>4.8417633076559765</c:v>
                </c:pt>
                <c:pt idx="235">
                  <c:v>4.8480457615406269</c:v>
                </c:pt>
                <c:pt idx="236">
                  <c:v>4.8585165180150431</c:v>
                </c:pt>
                <c:pt idx="237">
                  <c:v>4.8543282154252765</c:v>
                </c:pt>
                <c:pt idx="238">
                  <c:v>4.8857404848485269</c:v>
                </c:pt>
                <c:pt idx="239">
                  <c:v>4.9150586029768935</c:v>
                </c:pt>
                <c:pt idx="240">
                  <c:v>4.9255293594513105</c:v>
                </c:pt>
                <c:pt idx="241">
                  <c:v>4.9506591749899105</c:v>
                </c:pt>
                <c:pt idx="242">
                  <c:v>4.9527533262847943</c:v>
                </c:pt>
                <c:pt idx="243">
                  <c:v>4.9967305034773446</c:v>
                </c:pt>
                <c:pt idx="244">
                  <c:v>5.0867790091573273</c:v>
                </c:pt>
                <c:pt idx="245">
                  <c:v>5.1035322195163939</c:v>
                </c:pt>
                <c:pt idx="246">
                  <c:v>5.0909673117470948</c:v>
                </c:pt>
                <c:pt idx="247">
                  <c:v>4.9904480495926933</c:v>
                </c:pt>
                <c:pt idx="248">
                  <c:v>4.9464708724001438</c:v>
                </c:pt>
                <c:pt idx="249">
                  <c:v>4.9297176620410772</c:v>
                </c:pt>
                <c:pt idx="250">
                  <c:v>4.9464708724001438</c:v>
                </c:pt>
                <c:pt idx="251">
                  <c:v>4.9674123853489771</c:v>
                </c:pt>
                <c:pt idx="252">
                  <c:v>4.9716006879387438</c:v>
                </c:pt>
                <c:pt idx="253">
                  <c:v>4.9674123853489771</c:v>
                </c:pt>
                <c:pt idx="254">
                  <c:v>4.9632240827592105</c:v>
                </c:pt>
                <c:pt idx="255">
                  <c:v>4.9757889905285104</c:v>
                </c:pt>
                <c:pt idx="256">
                  <c:v>5.0281427729005941</c:v>
                </c:pt>
                <c:pt idx="257">
                  <c:v>5.0742141013880273</c:v>
                </c:pt>
                <c:pt idx="258">
                  <c:v>5.0888731604522102</c:v>
                </c:pt>
                <c:pt idx="259">
                  <c:v>5.0721199500931444</c:v>
                </c:pt>
                <c:pt idx="260">
                  <c:v>5.0637433449136111</c:v>
                </c:pt>
                <c:pt idx="261">
                  <c:v>5.0595550423238436</c:v>
                </c:pt>
                <c:pt idx="262">
                  <c:v>5.114002975990811</c:v>
                </c:pt>
                <c:pt idx="263">
                  <c:v>5.1349444889396434</c:v>
                </c:pt>
                <c:pt idx="264">
                  <c:v>5.1516976992987109</c:v>
                </c:pt>
                <c:pt idx="265">
                  <c:v>5.1726392122475442</c:v>
                </c:pt>
                <c:pt idx="266">
                  <c:v>5.1328503376447614</c:v>
                </c:pt>
                <c:pt idx="267">
                  <c:v>5.1244737324652281</c:v>
                </c:pt>
                <c:pt idx="268">
                  <c:v>5.1014380682215101</c:v>
                </c:pt>
                <c:pt idx="269">
                  <c:v>5.0825907065675615</c:v>
                </c:pt>
                <c:pt idx="270">
                  <c:v>5.0616491936187273</c:v>
                </c:pt>
                <c:pt idx="271">
                  <c:v>5.0407076806698941</c:v>
                </c:pt>
                <c:pt idx="272">
                  <c:v>5.0407076806698941</c:v>
                </c:pt>
                <c:pt idx="273">
                  <c:v>5.0595550423238436</c:v>
                </c:pt>
                <c:pt idx="274">
                  <c:v>5.0763082526829102</c:v>
                </c:pt>
                <c:pt idx="275">
                  <c:v>5.1035322195163939</c:v>
                </c:pt>
                <c:pt idx="276">
                  <c:v>5.1119088246959272</c:v>
                </c:pt>
                <c:pt idx="277">
                  <c:v>5.1056263708112777</c:v>
                </c:pt>
                <c:pt idx="278">
                  <c:v>5.1223795811703443</c:v>
                </c:pt>
                <c:pt idx="279">
                  <c:v>5.1475093967089443</c:v>
                </c:pt>
                <c:pt idx="280">
                  <c:v>5.1977690277861441</c:v>
                </c:pt>
                <c:pt idx="281">
                  <c:v>5.2208046920298612</c:v>
                </c:pt>
                <c:pt idx="282">
                  <c:v>5.2208046920298612</c:v>
                </c:pt>
                <c:pt idx="283">
                  <c:v>5.2082397842605612</c:v>
                </c:pt>
                <c:pt idx="284">
                  <c:v>5.1810158174270775</c:v>
                </c:pt>
                <c:pt idx="285">
                  <c:v>5.1579801531833613</c:v>
                </c:pt>
                <c:pt idx="286">
                  <c:v>5.1579801531833613</c:v>
                </c:pt>
                <c:pt idx="287">
                  <c:v>5.1579801531833613</c:v>
                </c:pt>
                <c:pt idx="288">
                  <c:v>5.1642626070680109</c:v>
                </c:pt>
                <c:pt idx="289">
                  <c:v>5.1852041200168442</c:v>
                </c:pt>
                <c:pt idx="290">
                  <c:v>5.2124280868503279</c:v>
                </c:pt>
                <c:pt idx="291">
                  <c:v>5.2312754485042783</c:v>
                </c:pt>
                <c:pt idx="292">
                  <c:v>5.248028658863344</c:v>
                </c:pt>
                <c:pt idx="293">
                  <c:v>5.2689701718121782</c:v>
                </c:pt>
                <c:pt idx="294">
                  <c:v>5.3129473490047285</c:v>
                </c:pt>
                <c:pt idx="295">
                  <c:v>5.3276064080689114</c:v>
                </c:pt>
                <c:pt idx="296">
                  <c:v>5.344359618427978</c:v>
                </c:pt>
                <c:pt idx="297">
                  <c:v>5.3548303749023951</c:v>
                </c:pt>
                <c:pt idx="298">
                  <c:v>5.3276064080689114</c:v>
                </c:pt>
                <c:pt idx="299">
                  <c:v>5.3255122567740285</c:v>
                </c:pt>
                <c:pt idx="300">
                  <c:v>5.3380771645433285</c:v>
                </c:pt>
                <c:pt idx="301">
                  <c:v>5.3632069800819284</c:v>
                </c:pt>
                <c:pt idx="302">
                  <c:v>5.3757718878512293</c:v>
                </c:pt>
                <c:pt idx="303">
                  <c:v>5.3925250982102959</c:v>
                </c:pt>
                <c:pt idx="304">
                  <c:v>5.4176549137488959</c:v>
                </c:pt>
                <c:pt idx="305">
                  <c:v>5.4260315189284292</c:v>
                </c:pt>
                <c:pt idx="306">
                  <c:v>5.4344081241079625</c:v>
                </c:pt>
                <c:pt idx="307">
                  <c:v>5.4490671831721453</c:v>
                </c:pt>
                <c:pt idx="308">
                  <c:v>5.4574437883516786</c:v>
                </c:pt>
                <c:pt idx="309">
                  <c:v>5.4490671831721453</c:v>
                </c:pt>
                <c:pt idx="310">
                  <c:v>5.4427847292874958</c:v>
                </c:pt>
                <c:pt idx="311">
                  <c:v>5.4553496370567949</c:v>
                </c:pt>
                <c:pt idx="312">
                  <c:v>5.476291150005629</c:v>
                </c:pt>
                <c:pt idx="313">
                  <c:v>5.5097975707237623</c:v>
                </c:pt>
                <c:pt idx="314">
                  <c:v>5.5474922940316622</c:v>
                </c:pt>
                <c:pt idx="315">
                  <c:v>5.5830928660446784</c:v>
                </c:pt>
                <c:pt idx="316">
                  <c:v>5.6040343789935125</c:v>
                </c:pt>
                <c:pt idx="317">
                  <c:v>5.6249758919423458</c:v>
                </c:pt>
                <c:pt idx="318">
                  <c:v>5.6333524971218791</c:v>
                </c:pt>
                <c:pt idx="319">
                  <c:v>5.6521998587758286</c:v>
                </c:pt>
                <c:pt idx="320">
                  <c:v>5.6773296743144286</c:v>
                </c:pt>
                <c:pt idx="321">
                  <c:v>5.708741943737679</c:v>
                </c:pt>
                <c:pt idx="322">
                  <c:v>5.7631898774046473</c:v>
                </c:pt>
                <c:pt idx="323">
                  <c:v>5.7966962981227805</c:v>
                </c:pt>
                <c:pt idx="324">
                  <c:v>5.82810856754603</c:v>
                </c:pt>
                <c:pt idx="325">
                  <c:v>5.8595208369692795</c:v>
                </c:pt>
                <c:pt idx="326">
                  <c:v>5.8658032908539308</c:v>
                </c:pt>
                <c:pt idx="327">
                  <c:v>5.8783681986232299</c:v>
                </c:pt>
                <c:pt idx="328">
                  <c:v>5.8972155602771803</c:v>
                </c:pt>
                <c:pt idx="329">
                  <c:v>5.9202512245208965</c:v>
                </c:pt>
                <c:pt idx="330">
                  <c:v>5.9474751913543802</c:v>
                </c:pt>
                <c:pt idx="331">
                  <c:v>5.9726050068929801</c:v>
                </c:pt>
                <c:pt idx="332">
                  <c:v>5.9998289737264638</c:v>
                </c:pt>
                <c:pt idx="333">
                  <c:v>6.0270529405599476</c:v>
                </c:pt>
                <c:pt idx="334">
                  <c:v>6.0647476638678475</c:v>
                </c:pt>
                <c:pt idx="335">
                  <c:v>6.1024423871757474</c:v>
                </c:pt>
                <c:pt idx="336">
                  <c:v>6.1443254130734148</c:v>
                </c:pt>
                <c:pt idx="337">
                  <c:v>6.2008674980352634</c:v>
                </c:pt>
                <c:pt idx="338">
                  <c:v>6.2657861881766479</c:v>
                </c:pt>
                <c:pt idx="339">
                  <c:v>6.3516463912668639</c:v>
                </c:pt>
                <c:pt idx="340">
                  <c:v>6.4081884762287151</c:v>
                </c:pt>
                <c:pt idx="341">
                  <c:v>6.458448107305915</c:v>
                </c:pt>
                <c:pt idx="342">
                  <c:v>6.494048679318932</c:v>
                </c:pt>
                <c:pt idx="343">
                  <c:v>6.5087077383831158</c:v>
                </c:pt>
                <c:pt idx="344">
                  <c:v>6.5484966129858986</c:v>
                </c:pt>
                <c:pt idx="345">
                  <c:v>6.6050386979477489</c:v>
                </c:pt>
                <c:pt idx="346">
                  <c:v>6.6762398419737821</c:v>
                </c:pt>
                <c:pt idx="347">
                  <c:v>6.7369702295253999</c:v>
                </c:pt>
                <c:pt idx="348">
                  <c:v>6.7767591041281827</c:v>
                </c:pt>
                <c:pt idx="349">
                  <c:v>6.8207362813207331</c:v>
                </c:pt>
                <c:pt idx="350">
                  <c:v>6.8898432740518825</c:v>
                </c:pt>
                <c:pt idx="351">
                  <c:v>6.9966449900909344</c:v>
                </c:pt>
                <c:pt idx="352">
                  <c:v>7.0552812263476667</c:v>
                </c:pt>
                <c:pt idx="353">
                  <c:v>7.0657519828220838</c:v>
                </c:pt>
                <c:pt idx="354">
                  <c:v>7.0552812263476667</c:v>
                </c:pt>
                <c:pt idx="355">
                  <c:v>7.0825051931811505</c:v>
                </c:pt>
                <c:pt idx="356">
                  <c:v>7.1139174626044008</c:v>
                </c:pt>
              </c:numCache>
            </c:numRef>
          </c:yVal>
          <c:smooth val="1"/>
          <c:extLst>
            <c:ext xmlns:c16="http://schemas.microsoft.com/office/drawing/2014/chart" uri="{C3380CC4-5D6E-409C-BE32-E72D297353CC}">
              <c16:uniqueId val="{00000001-BC75-4D85-9A83-ACFCB27567B6}"/>
            </c:ext>
          </c:extLst>
        </c:ser>
        <c:ser>
          <c:idx val="4"/>
          <c:order val="4"/>
          <c:tx>
            <c:v>Labels</c:v>
          </c:tx>
          <c:spPr>
            <a:ln w="19050" cap="rnd">
              <a:noFill/>
              <a:round/>
            </a:ln>
            <a:effectLst/>
          </c:spPr>
          <c:marker>
            <c:symbol val="none"/>
          </c:marker>
          <c:dLbls>
            <c:dLbl>
              <c:idx val="0"/>
              <c:tx>
                <c:rich>
                  <a:bodyPr/>
                  <a:lstStyle/>
                  <a:p>
                    <a:fld id="{32275DBE-22D9-485A-BECC-758C929DCE6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135D-4FA0-81A8-E7CECB158058}"/>
                </c:ext>
              </c:extLst>
            </c:dLbl>
            <c:dLbl>
              <c:idx val="1"/>
              <c:tx>
                <c:rich>
                  <a:bodyPr/>
                  <a:lstStyle/>
                  <a:p>
                    <a:fld id="{AE9A3BB0-558F-476A-980A-F1A73942A45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135D-4FA0-81A8-E7CECB158058}"/>
                </c:ext>
              </c:extLst>
            </c:dLbl>
            <c:dLbl>
              <c:idx val="2"/>
              <c:tx>
                <c:rich>
                  <a:bodyPr/>
                  <a:lstStyle/>
                  <a:p>
                    <a:fld id="{C8582F40-9811-4891-BC73-6181EBAAB97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135D-4FA0-81A8-E7CECB158058}"/>
                </c:ext>
              </c:extLst>
            </c:dLbl>
            <c:dLbl>
              <c:idx val="3"/>
              <c:tx>
                <c:rich>
                  <a:bodyPr/>
                  <a:lstStyle/>
                  <a:p>
                    <a:fld id="{77BB9AC2-9D7C-4663-8500-3B97B8539889}"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135D-4FA0-81A8-E7CECB158058}"/>
                </c:ext>
              </c:extLst>
            </c:dLbl>
            <c:dLbl>
              <c:idx val="4"/>
              <c:tx>
                <c:rich>
                  <a:bodyPr/>
                  <a:lstStyle/>
                  <a:p>
                    <a:fld id="{C5579D13-24AE-45EE-8CA3-10B74ED96F1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135D-4FA0-81A8-E7CECB158058}"/>
                </c:ext>
              </c:extLst>
            </c:dLbl>
            <c:dLbl>
              <c:idx val="5"/>
              <c:tx>
                <c:rich>
                  <a:bodyPr/>
                  <a:lstStyle/>
                  <a:p>
                    <a:fld id="{7BDE03A4-A275-4E98-AAA1-F7865086AAB7}"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135D-4FA0-81A8-E7CECB158058}"/>
                </c:ext>
              </c:extLst>
            </c:dLbl>
            <c:dLbl>
              <c:idx val="6"/>
              <c:tx>
                <c:rich>
                  <a:bodyPr/>
                  <a:lstStyle/>
                  <a:p>
                    <a:fld id="{9EA0AFFE-BA09-43E2-BE01-51DB909334DE}"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135D-4FA0-81A8-E7CECB158058}"/>
                </c:ext>
              </c:extLst>
            </c:dLbl>
            <c:dLbl>
              <c:idx val="7"/>
              <c:tx>
                <c:rich>
                  <a:bodyPr/>
                  <a:lstStyle/>
                  <a:p>
                    <a:fld id="{5A9C2516-AF46-4E6A-BEFF-C22CCF80D283}"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135D-4FA0-81A8-E7CECB158058}"/>
                </c:ext>
              </c:extLst>
            </c:dLbl>
            <c:dLbl>
              <c:idx val="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8-135D-4FA0-81A8-E7CECB158058}"/>
                </c:ext>
              </c:extLst>
            </c:dLbl>
            <c:dLbl>
              <c:idx val="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9-135D-4FA0-81A8-E7CECB158058}"/>
                </c:ext>
              </c:extLst>
            </c:dLbl>
            <c:dLbl>
              <c:idx val="1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A-135D-4FA0-81A8-E7CECB158058}"/>
                </c:ext>
              </c:extLst>
            </c:dLbl>
            <c:dLbl>
              <c:idx val="1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B-135D-4FA0-81A8-E7CECB158058}"/>
                </c:ext>
              </c:extLst>
            </c:dLbl>
            <c:dLbl>
              <c:idx val="1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C-135D-4FA0-81A8-E7CECB158058}"/>
                </c:ext>
              </c:extLst>
            </c:dLbl>
            <c:dLbl>
              <c:idx val="1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D-135D-4FA0-81A8-E7CECB158058}"/>
                </c:ext>
              </c:extLst>
            </c:dLbl>
            <c:dLbl>
              <c:idx val="1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E-135D-4FA0-81A8-E7CECB158058}"/>
                </c:ext>
              </c:extLst>
            </c:dLbl>
            <c:dLbl>
              <c:idx val="1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F-135D-4FA0-81A8-E7CECB158058}"/>
                </c:ext>
              </c:extLst>
            </c:dLbl>
            <c:dLbl>
              <c:idx val="1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0-135D-4FA0-81A8-E7CECB158058}"/>
                </c:ext>
              </c:extLst>
            </c:dLbl>
            <c:dLbl>
              <c:idx val="1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1-135D-4FA0-81A8-E7CECB158058}"/>
                </c:ext>
              </c:extLst>
            </c:dLbl>
            <c:dLbl>
              <c:idx val="1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2-135D-4FA0-81A8-E7CECB158058}"/>
                </c:ext>
              </c:extLst>
            </c:dLbl>
            <c:dLbl>
              <c:idx val="1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3-135D-4FA0-81A8-E7CECB158058}"/>
                </c:ext>
              </c:extLst>
            </c:dLbl>
            <c:dLbl>
              <c:idx val="2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4-135D-4FA0-81A8-E7CECB158058}"/>
                </c:ext>
              </c:extLst>
            </c:dLbl>
            <c:dLbl>
              <c:idx val="2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5-135D-4FA0-81A8-E7CECB158058}"/>
                </c:ext>
              </c:extLst>
            </c:dLbl>
            <c:dLbl>
              <c:idx val="2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6-135D-4FA0-81A8-E7CECB158058}"/>
                </c:ext>
              </c:extLst>
            </c:dLbl>
            <c:dLbl>
              <c:idx val="2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7-135D-4FA0-81A8-E7CECB158058}"/>
                </c:ext>
              </c:extLst>
            </c:dLbl>
            <c:dLbl>
              <c:idx val="2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8-135D-4FA0-81A8-E7CECB158058}"/>
                </c:ext>
              </c:extLst>
            </c:dLbl>
            <c:dLbl>
              <c:idx val="2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9-135D-4FA0-81A8-E7CECB158058}"/>
                </c:ext>
              </c:extLst>
            </c:dLbl>
            <c:dLbl>
              <c:idx val="2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A-135D-4FA0-81A8-E7CECB158058}"/>
                </c:ext>
              </c:extLst>
            </c:dLbl>
            <c:dLbl>
              <c:idx val="2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B-135D-4FA0-81A8-E7CECB158058}"/>
                </c:ext>
              </c:extLst>
            </c:dLbl>
            <c:dLbl>
              <c:idx val="2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C-135D-4FA0-81A8-E7CECB158058}"/>
                </c:ext>
              </c:extLst>
            </c:dLbl>
            <c:dLbl>
              <c:idx val="2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D-135D-4FA0-81A8-E7CECB158058}"/>
                </c:ext>
              </c:extLst>
            </c:dLbl>
            <c:dLbl>
              <c:idx val="3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E-135D-4FA0-81A8-E7CECB158058}"/>
                </c:ext>
              </c:extLst>
            </c:dLbl>
            <c:dLbl>
              <c:idx val="3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F-135D-4FA0-81A8-E7CECB158058}"/>
                </c:ext>
              </c:extLst>
            </c:dLbl>
            <c:dLbl>
              <c:idx val="3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0-135D-4FA0-81A8-E7CECB158058}"/>
                </c:ext>
              </c:extLst>
            </c:dLbl>
            <c:dLbl>
              <c:idx val="3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1-135D-4FA0-81A8-E7CECB158058}"/>
                </c:ext>
              </c:extLst>
            </c:dLbl>
            <c:dLbl>
              <c:idx val="3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2-135D-4FA0-81A8-E7CECB158058}"/>
                </c:ext>
              </c:extLst>
            </c:dLbl>
            <c:dLbl>
              <c:idx val="3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3-135D-4FA0-81A8-E7CECB158058}"/>
                </c:ext>
              </c:extLst>
            </c:dLbl>
            <c:dLbl>
              <c:idx val="3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4-135D-4FA0-81A8-E7CECB158058}"/>
                </c:ext>
              </c:extLst>
            </c:dLbl>
            <c:dLbl>
              <c:idx val="3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5-135D-4FA0-81A8-E7CECB158058}"/>
                </c:ext>
              </c:extLst>
            </c:dLbl>
            <c:dLbl>
              <c:idx val="3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6-135D-4FA0-81A8-E7CECB158058}"/>
                </c:ext>
              </c:extLst>
            </c:dLbl>
            <c:dLbl>
              <c:idx val="3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7-135D-4FA0-81A8-E7CECB158058}"/>
                </c:ext>
              </c:extLst>
            </c:dLbl>
            <c:dLbl>
              <c:idx val="4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8-135D-4FA0-81A8-E7CECB158058}"/>
                </c:ext>
              </c:extLst>
            </c:dLbl>
            <c:dLbl>
              <c:idx val="4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9-135D-4FA0-81A8-E7CECB158058}"/>
                </c:ext>
              </c:extLst>
            </c:dLbl>
            <c:dLbl>
              <c:idx val="4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A-135D-4FA0-81A8-E7CECB158058}"/>
                </c:ext>
              </c:extLst>
            </c:dLbl>
            <c:dLbl>
              <c:idx val="4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B-135D-4FA0-81A8-E7CECB158058}"/>
                </c:ext>
              </c:extLst>
            </c:dLbl>
            <c:dLbl>
              <c:idx val="4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C-135D-4FA0-81A8-E7CECB158058}"/>
                </c:ext>
              </c:extLst>
            </c:dLbl>
            <c:dLbl>
              <c:idx val="4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D-135D-4FA0-81A8-E7CECB158058}"/>
                </c:ext>
              </c:extLst>
            </c:dLbl>
            <c:dLbl>
              <c:idx val="4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E-135D-4FA0-81A8-E7CECB158058}"/>
                </c:ext>
              </c:extLst>
            </c:dLbl>
            <c:dLbl>
              <c:idx val="4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F-135D-4FA0-81A8-E7CECB158058}"/>
                </c:ext>
              </c:extLst>
            </c:dLbl>
            <c:dLbl>
              <c:idx val="4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0-135D-4FA0-81A8-E7CECB158058}"/>
                </c:ext>
              </c:extLst>
            </c:dLbl>
            <c:dLbl>
              <c:idx val="4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1-135D-4FA0-81A8-E7CECB158058}"/>
                </c:ext>
              </c:extLst>
            </c:dLbl>
            <c:dLbl>
              <c:idx val="5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2-135D-4FA0-81A8-E7CECB158058}"/>
                </c:ext>
              </c:extLst>
            </c:dLbl>
            <c:dLbl>
              <c:idx val="5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3-135D-4FA0-81A8-E7CECB158058}"/>
                </c:ext>
              </c:extLst>
            </c:dLbl>
            <c:dLbl>
              <c:idx val="5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4-135D-4FA0-81A8-E7CECB158058}"/>
                </c:ext>
              </c:extLst>
            </c:dLbl>
            <c:dLbl>
              <c:idx val="5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5-135D-4FA0-81A8-E7CECB158058}"/>
                </c:ext>
              </c:extLst>
            </c:dLbl>
            <c:dLbl>
              <c:idx val="5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6-135D-4FA0-81A8-E7CECB158058}"/>
                </c:ext>
              </c:extLst>
            </c:dLbl>
            <c:dLbl>
              <c:idx val="5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7-135D-4FA0-81A8-E7CECB158058}"/>
                </c:ext>
              </c:extLst>
            </c:dLbl>
            <c:dLbl>
              <c:idx val="5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8-135D-4FA0-81A8-E7CECB158058}"/>
                </c:ext>
              </c:extLst>
            </c:dLbl>
            <c:dLbl>
              <c:idx val="5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9-135D-4FA0-81A8-E7CECB158058}"/>
                </c:ext>
              </c:extLst>
            </c:dLbl>
            <c:dLbl>
              <c:idx val="5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A-135D-4FA0-81A8-E7CECB158058}"/>
                </c:ext>
              </c:extLst>
            </c:dLbl>
            <c:dLbl>
              <c:idx val="5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B-135D-4FA0-81A8-E7CECB158058}"/>
                </c:ext>
              </c:extLst>
            </c:dLbl>
            <c:dLbl>
              <c:idx val="6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C-135D-4FA0-81A8-E7CECB158058}"/>
                </c:ext>
              </c:extLst>
            </c:dLbl>
            <c:dLbl>
              <c:idx val="6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D-135D-4FA0-81A8-E7CECB158058}"/>
                </c:ext>
              </c:extLst>
            </c:dLbl>
            <c:dLbl>
              <c:idx val="6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E-135D-4FA0-81A8-E7CECB158058}"/>
                </c:ext>
              </c:extLst>
            </c:dLbl>
            <c:dLbl>
              <c:idx val="6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F-135D-4FA0-81A8-E7CECB158058}"/>
                </c:ext>
              </c:extLst>
            </c:dLbl>
            <c:dLbl>
              <c:idx val="6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0-135D-4FA0-81A8-E7CECB158058}"/>
                </c:ext>
              </c:extLst>
            </c:dLbl>
            <c:dLbl>
              <c:idx val="6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1-135D-4FA0-81A8-E7CECB158058}"/>
                </c:ext>
              </c:extLst>
            </c:dLbl>
            <c:dLbl>
              <c:idx val="6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2-135D-4FA0-81A8-E7CECB158058}"/>
                </c:ext>
              </c:extLst>
            </c:dLbl>
            <c:dLbl>
              <c:idx val="6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3-135D-4FA0-81A8-E7CECB158058}"/>
                </c:ext>
              </c:extLst>
            </c:dLbl>
            <c:dLbl>
              <c:idx val="6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4-135D-4FA0-81A8-E7CECB158058}"/>
                </c:ext>
              </c:extLst>
            </c:dLbl>
            <c:dLbl>
              <c:idx val="6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5-135D-4FA0-81A8-E7CECB158058}"/>
                </c:ext>
              </c:extLst>
            </c:dLbl>
            <c:dLbl>
              <c:idx val="7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6-135D-4FA0-81A8-E7CECB158058}"/>
                </c:ext>
              </c:extLst>
            </c:dLbl>
            <c:dLbl>
              <c:idx val="7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7-135D-4FA0-81A8-E7CECB158058}"/>
                </c:ext>
              </c:extLst>
            </c:dLbl>
            <c:dLbl>
              <c:idx val="7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8-135D-4FA0-81A8-E7CECB158058}"/>
                </c:ext>
              </c:extLst>
            </c:dLbl>
            <c:dLbl>
              <c:idx val="7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9-135D-4FA0-81A8-E7CECB158058}"/>
                </c:ext>
              </c:extLst>
            </c:dLbl>
            <c:dLbl>
              <c:idx val="7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A-135D-4FA0-81A8-E7CECB158058}"/>
                </c:ext>
              </c:extLst>
            </c:dLbl>
            <c:dLbl>
              <c:idx val="7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B-135D-4FA0-81A8-E7CECB158058}"/>
                </c:ext>
              </c:extLst>
            </c:dLbl>
            <c:dLbl>
              <c:idx val="7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C-135D-4FA0-81A8-E7CECB158058}"/>
                </c:ext>
              </c:extLst>
            </c:dLbl>
            <c:dLbl>
              <c:idx val="7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D-135D-4FA0-81A8-E7CECB158058}"/>
                </c:ext>
              </c:extLst>
            </c:dLbl>
            <c:dLbl>
              <c:idx val="7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E-135D-4FA0-81A8-E7CECB158058}"/>
                </c:ext>
              </c:extLst>
            </c:dLbl>
            <c:dLbl>
              <c:idx val="7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F-135D-4FA0-81A8-E7CECB158058}"/>
                </c:ext>
              </c:extLst>
            </c:dLbl>
            <c:dLbl>
              <c:idx val="8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0-135D-4FA0-81A8-E7CECB158058}"/>
                </c:ext>
              </c:extLst>
            </c:dLbl>
            <c:dLbl>
              <c:idx val="8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1-135D-4FA0-81A8-E7CECB158058}"/>
                </c:ext>
              </c:extLst>
            </c:dLbl>
            <c:dLbl>
              <c:idx val="8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2-135D-4FA0-81A8-E7CECB158058}"/>
                </c:ext>
              </c:extLst>
            </c:dLbl>
            <c:dLbl>
              <c:idx val="8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3-135D-4FA0-81A8-E7CECB158058}"/>
                </c:ext>
              </c:extLst>
            </c:dLbl>
            <c:dLbl>
              <c:idx val="8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4-135D-4FA0-81A8-E7CECB158058}"/>
                </c:ext>
              </c:extLst>
            </c:dLbl>
            <c:dLbl>
              <c:idx val="8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5-135D-4FA0-81A8-E7CECB158058}"/>
                </c:ext>
              </c:extLst>
            </c:dLbl>
            <c:dLbl>
              <c:idx val="8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6-135D-4FA0-81A8-E7CECB158058}"/>
                </c:ext>
              </c:extLst>
            </c:dLbl>
            <c:dLbl>
              <c:idx val="8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7-135D-4FA0-81A8-E7CECB158058}"/>
                </c:ext>
              </c:extLst>
            </c:dLbl>
            <c:dLbl>
              <c:idx val="8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8-135D-4FA0-81A8-E7CECB158058}"/>
                </c:ext>
              </c:extLst>
            </c:dLbl>
            <c:dLbl>
              <c:idx val="8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9-135D-4FA0-81A8-E7CECB158058}"/>
                </c:ext>
              </c:extLst>
            </c:dLbl>
            <c:dLbl>
              <c:idx val="9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A-135D-4FA0-81A8-E7CECB158058}"/>
                </c:ext>
              </c:extLst>
            </c:dLbl>
            <c:dLbl>
              <c:idx val="9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B-135D-4FA0-81A8-E7CECB158058}"/>
                </c:ext>
              </c:extLst>
            </c:dLbl>
            <c:dLbl>
              <c:idx val="9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C-135D-4FA0-81A8-E7CECB158058}"/>
                </c:ext>
              </c:extLst>
            </c:dLbl>
            <c:dLbl>
              <c:idx val="9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D-135D-4FA0-81A8-E7CECB158058}"/>
                </c:ext>
              </c:extLst>
            </c:dLbl>
            <c:dLbl>
              <c:idx val="9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E-135D-4FA0-81A8-E7CECB158058}"/>
                </c:ext>
              </c:extLst>
            </c:dLbl>
            <c:dLbl>
              <c:idx val="9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F-135D-4FA0-81A8-E7CECB158058}"/>
                </c:ext>
              </c:extLst>
            </c:dLbl>
            <c:dLbl>
              <c:idx val="9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0-135D-4FA0-81A8-E7CECB158058}"/>
                </c:ext>
              </c:extLst>
            </c:dLbl>
            <c:dLbl>
              <c:idx val="9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1-135D-4FA0-81A8-E7CECB158058}"/>
                </c:ext>
              </c:extLst>
            </c:dLbl>
            <c:dLbl>
              <c:idx val="9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2-135D-4FA0-81A8-E7CECB158058}"/>
                </c:ext>
              </c:extLst>
            </c:dLbl>
            <c:dLbl>
              <c:idx val="9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3-135D-4FA0-81A8-E7CECB158058}"/>
                </c:ext>
              </c:extLst>
            </c:dLbl>
            <c:spPr>
              <a:noFill/>
              <a:ln>
                <a:noFill/>
              </a:ln>
              <a:effectLst/>
            </c:spPr>
            <c:txPr>
              <a:bodyPr rot="-5400000" spcFirstLastPara="1" vertOverflow="ellipsis" vert="horz" wrap="square" lIns="127000" tIns="19050" rIns="38100" bIns="19050" anchor="ctr" anchorCtr="1">
                <a:spAutoFit/>
              </a:bodyPr>
              <a:lstStyle/>
              <a:p>
                <a:pPr>
                  <a:defRPr sz="1200" b="0" i="0" u="none" strike="noStrike" kern="1200" baseline="0">
                    <a:solidFill>
                      <a:schemeClr val="tx1">
                        <a:lumMod val="100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ysClr val="windowText" lastClr="000000">
                          <a:lumMod val="100000"/>
                        </a:sysClr>
                      </a:solidFill>
                      <a:prstDash val="solid"/>
                      <a:round/>
                      <a:headEnd type="none" w="med" len="med"/>
                      <a:tailEnd type="none" w="med" len="med"/>
                    </a:ln>
                    <a:effectLst/>
                  </c:spPr>
                </c15:leaderLines>
              </c:ext>
            </c:extLst>
          </c:dLbls>
          <c:xVal>
            <c:numRef>
              <c:f>Peaks!$B$5:$B$104</c:f>
              <c:numCache>
                <c:formatCode>0.00</c:formatCode>
                <c:ptCount val="100"/>
                <c:pt idx="0">
                  <c:v>1.044778</c:v>
                </c:pt>
                <c:pt idx="1">
                  <c:v>2.5419619999999998</c:v>
                </c:pt>
                <c:pt idx="2">
                  <c:v>3.5052150000000002</c:v>
                </c:pt>
                <c:pt idx="3">
                  <c:v>3.7896000000000001</c:v>
                </c:pt>
                <c:pt idx="4">
                  <c:v>4.0323710000000004</c:v>
                </c:pt>
                <c:pt idx="5">
                  <c:v>4.3879419999999998</c:v>
                </c:pt>
                <c:pt idx="6">
                  <c:v>5.45871</c:v>
                </c:pt>
                <c:pt idx="7">
                  <c:v>8.5737089999999991</c:v>
                </c:pt>
              </c:numCache>
            </c:numRef>
          </c:xVal>
          <c:yVal>
            <c:numRef>
              <c:f>Peaks!$R$5:$R$104</c:f>
              <c:numCache>
                <c:formatCode>0.0</c:formatCode>
                <c:ptCount val="100"/>
                <c:pt idx="0">
                  <c:v>23.547682424329228</c:v>
                </c:pt>
                <c:pt idx="1">
                  <c:v>13.896637570378019</c:v>
                </c:pt>
                <c:pt idx="2">
                  <c:v>10.177382307065967</c:v>
                </c:pt>
                <c:pt idx="3">
                  <c:v>9.0360100309835971</c:v>
                </c:pt>
                <c:pt idx="4">
                  <c:v>11.000245893510192</c:v>
                </c:pt>
                <c:pt idx="5">
                  <c:v>100</c:v>
                </c:pt>
                <c:pt idx="6">
                  <c:v>24.762677684861064</c:v>
                </c:pt>
                <c:pt idx="7">
                  <c:v>16.14390558501136</c:v>
                </c:pt>
              </c:numCache>
            </c:numRef>
          </c:yVal>
          <c:smooth val="1"/>
          <c:extLst>
            <c:ext xmlns:c15="http://schemas.microsoft.com/office/drawing/2012/chart" uri="{02D57815-91ED-43cb-92C2-25804820EDAC}">
              <c15:datalabelsRange>
                <c15:f>Peaks!$S$5:$S$104</c15:f>
                <c15:dlblRangeCache>
                  <c:ptCount val="100"/>
                  <c:pt idx="0">
                    <c:v>1</c:v>
                  </c:pt>
                  <c:pt idx="1">
                    <c:v>2</c:v>
                  </c:pt>
                  <c:pt idx="2">
                    <c:v>3</c:v>
                  </c:pt>
                  <c:pt idx="3">
                    <c:v>4</c:v>
                  </c:pt>
                  <c:pt idx="4">
                    <c:v>5</c:v>
                  </c:pt>
                  <c:pt idx="5">
                    <c:v>6</c:v>
                  </c:pt>
                  <c:pt idx="6">
                    <c:v>7</c:v>
                  </c:pt>
                  <c:pt idx="7">
                    <c:v>8</c:v>
                  </c:pt>
                </c15:dlblRangeCache>
              </c15:datalabelsRange>
            </c:ext>
            <c:ext xmlns:c16="http://schemas.microsoft.com/office/drawing/2014/chart" uri="{C3380CC4-5D6E-409C-BE32-E72D297353CC}">
              <c16:uniqueId val="{00000002-BC75-4D85-9A83-ACFCB27567B6}"/>
            </c:ext>
          </c:extLst>
        </c:ser>
        <c:dLbls>
          <c:showLegendKey val="0"/>
          <c:showVal val="0"/>
          <c:showCatName val="0"/>
          <c:showSerName val="0"/>
          <c:showPercent val="0"/>
          <c:showBubbleSize val="0"/>
        </c:dLbls>
        <c:axId val="1816206016"/>
        <c:axId val="1816206560"/>
      </c:scatterChart>
      <c:scatterChart>
        <c:scatterStyle val="smoothMarker"/>
        <c:varyColors val="0"/>
        <c:ser>
          <c:idx val="2"/>
          <c:order val="2"/>
          <c:tx>
            <c:strRef>
              <c:f>ChromatogramData!$E$1</c:f>
              <c:strCache>
                <c:ptCount val="1"/>
                <c:pt idx="0">
                  <c:v>MS Pos</c:v>
                </c:pt>
              </c:strCache>
            </c:strRef>
          </c:tx>
          <c:spPr>
            <a:ln w="12700" cap="rnd">
              <a:noFill/>
              <a:round/>
            </a:ln>
            <a:effectLst/>
            <a:extLst>
              <a:ext uri="{91240B29-F687-4F45-9708-019B960494DF}">
                <a14:hiddenLine xmlns:a14="http://schemas.microsoft.com/office/drawing/2010/main" w="12700" cap="rnd">
                  <a:solidFill>
                    <a:srgbClr val="ED7D31">
                      <a:lumMod val="75000"/>
                    </a:srgbClr>
                  </a:solidFill>
                  <a:round/>
                </a14:hiddenLine>
              </a:ext>
            </a:extLst>
          </c:spPr>
          <c:marker>
            <c:symbol val="none"/>
          </c:marker>
          <c:xVal>
            <c:numRef>
              <c:f>ChromatogramData!$D$2:$D$2000</c:f>
              <c:numCache>
                <c:formatCode>General</c:formatCode>
                <c:ptCount val="1999"/>
              </c:numCache>
            </c:numRef>
          </c:xVal>
          <c:yVal>
            <c:numRef>
              <c:f>ChromatogramData!$E$2:$E$2000</c:f>
              <c:numCache>
                <c:formatCode>General</c:formatCode>
                <c:ptCount val="1999"/>
              </c:numCache>
            </c:numRef>
          </c:yVal>
          <c:smooth val="1"/>
          <c:extLst>
            <c:ext xmlns:c16="http://schemas.microsoft.com/office/drawing/2014/chart" uri="{C3380CC4-5D6E-409C-BE32-E72D297353CC}">
              <c16:uniqueId val="{00000003-BC75-4D85-9A83-ACFCB27567B6}"/>
            </c:ext>
          </c:extLst>
        </c:ser>
        <c:ser>
          <c:idx val="3"/>
          <c:order val="3"/>
          <c:tx>
            <c:strRef>
              <c:f>ChromatogramData!$F$1</c:f>
              <c:strCache>
                <c:ptCount val="1"/>
                <c:pt idx="0">
                  <c:v>MS Neg</c:v>
                </c:pt>
              </c:strCache>
            </c:strRef>
          </c:tx>
          <c:spPr>
            <a:ln w="12700" cap="rnd">
              <a:noFill/>
              <a:round/>
            </a:ln>
            <a:effectLst/>
            <a:extLst>
              <a:ext uri="{91240B29-F687-4F45-9708-019B960494DF}">
                <a14:hiddenLine xmlns:a14="http://schemas.microsoft.com/office/drawing/2010/main" w="12700" cap="rnd">
                  <a:solidFill>
                    <a:srgbClr val="00B050"/>
                  </a:solidFill>
                  <a:round/>
                </a14:hiddenLine>
              </a:ext>
            </a:extLst>
          </c:spPr>
          <c:marker>
            <c:symbol val="none"/>
          </c:marker>
          <c:xVal>
            <c:numRef>
              <c:f>ChromatogramData!$D$2:$D$2000</c:f>
              <c:numCache>
                <c:formatCode>General</c:formatCode>
                <c:ptCount val="1999"/>
              </c:numCache>
            </c:numRef>
          </c:xVal>
          <c:yVal>
            <c:numRef>
              <c:f>ChromatogramData!$F$2:$F$2000</c:f>
              <c:numCache>
                <c:formatCode>General</c:formatCode>
                <c:ptCount val="1999"/>
              </c:numCache>
            </c:numRef>
          </c:yVal>
          <c:smooth val="1"/>
          <c:extLst>
            <c:ext xmlns:c16="http://schemas.microsoft.com/office/drawing/2014/chart" uri="{C3380CC4-5D6E-409C-BE32-E72D297353CC}">
              <c16:uniqueId val="{00000004-BC75-4D85-9A83-ACFCB27567B6}"/>
            </c:ext>
          </c:extLst>
        </c:ser>
        <c:dLbls>
          <c:showLegendKey val="0"/>
          <c:showVal val="0"/>
          <c:showCatName val="0"/>
          <c:showSerName val="0"/>
          <c:showPercent val="0"/>
          <c:showBubbleSize val="0"/>
        </c:dLbls>
        <c:axId val="1816209280"/>
        <c:axId val="1816207104"/>
      </c:scatterChart>
      <c:valAx>
        <c:axId val="1816206016"/>
        <c:scaling>
          <c:orientation val="minMax"/>
          <c:max val="10"/>
          <c:min val="0.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chemeClr val="tx1"/>
                    </a:solidFill>
                    <a:latin typeface="Arial" panose="020B0604020202020204" pitchFamily="34" charset="0"/>
                    <a:ea typeface="+mn-ea"/>
                    <a:cs typeface="Arial" panose="020B0604020202020204" pitchFamily="34" charset="0"/>
                  </a:defRPr>
                </a:pPr>
                <a:r>
                  <a:rPr lang="en-AU" sz="1200">
                    <a:solidFill>
                      <a:schemeClr val="tx1"/>
                    </a:solidFill>
                    <a:latin typeface="Arial" panose="020B0604020202020204" pitchFamily="34" charset="0"/>
                    <a:cs typeface="Arial" panose="020B0604020202020204" pitchFamily="34" charset="0"/>
                  </a:rPr>
                  <a:t>Retention</a:t>
                </a:r>
                <a:r>
                  <a:rPr lang="en-AU" sz="1200" baseline="0">
                    <a:solidFill>
                      <a:schemeClr val="tx1"/>
                    </a:solidFill>
                    <a:latin typeface="Arial" panose="020B0604020202020204" pitchFamily="34" charset="0"/>
                    <a:cs typeface="Arial" panose="020B0604020202020204" pitchFamily="34" charset="0"/>
                  </a:rPr>
                  <a:t> Time (min)</a:t>
                </a:r>
                <a:endParaRPr lang="en-AU" sz="1200">
                  <a:solidFill>
                    <a:schemeClr val="tx1"/>
                  </a:solidFill>
                  <a:latin typeface="Arial" panose="020B0604020202020204" pitchFamily="34" charset="0"/>
                  <a:cs typeface="Arial" panose="020B0604020202020204" pitchFamily="34" charset="0"/>
                </a:endParaRPr>
              </a:p>
            </c:rich>
          </c:tx>
          <c:layout>
            <c:manualLayout>
              <c:xMode val="edge"/>
              <c:yMode val="edge"/>
              <c:x val="0.42837352576358767"/>
              <c:y val="0.96208768544209855"/>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title>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1816206560"/>
        <c:crosses val="autoZero"/>
        <c:crossBetween val="midCat"/>
        <c:majorUnit val="0.5"/>
      </c:valAx>
      <c:valAx>
        <c:axId val="1816206560"/>
        <c:scaling>
          <c:orientation val="minMax"/>
          <c:max val="105"/>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1816206016"/>
        <c:crosses val="autoZero"/>
        <c:crossBetween val="midCat"/>
        <c:majorUnit val="20"/>
        <c:minorUnit val="5"/>
      </c:valAx>
      <c:valAx>
        <c:axId val="1816207104"/>
        <c:scaling>
          <c:orientation val="minMax"/>
          <c:max val="105"/>
          <c:min val="0"/>
        </c:scaling>
        <c:delete val="0"/>
        <c:axPos val="r"/>
        <c:numFmt formatCode="General" sourceLinked="1"/>
        <c:majorTickMark val="none"/>
        <c:minorTickMark val="none"/>
        <c:tickLblPos val="none"/>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6209280"/>
        <c:crosses val="max"/>
        <c:crossBetween val="midCat"/>
        <c:minorUnit val="5"/>
      </c:valAx>
      <c:valAx>
        <c:axId val="1816209280"/>
        <c:scaling>
          <c:orientation val="minMax"/>
        </c:scaling>
        <c:delete val="1"/>
        <c:axPos val="b"/>
        <c:numFmt formatCode="General" sourceLinked="1"/>
        <c:majorTickMark val="out"/>
        <c:minorTickMark val="none"/>
        <c:tickLblPos val="nextTo"/>
        <c:crossAx val="1816207104"/>
        <c:crosses val="autoZero"/>
        <c:crossBetween val="midCat"/>
      </c:valAx>
      <c:spPr>
        <a:noFill/>
        <a:ln>
          <a:noFill/>
        </a:ln>
        <a:effectLst/>
      </c:spPr>
    </c:plotArea>
    <c:legend>
      <c:legendPos val="r"/>
      <c:legendEntry>
        <c:idx val="0"/>
        <c:txPr>
          <a:bodyPr rot="0" spcFirstLastPara="1" vertOverflow="ellipsis" vert="horz" wrap="square" anchor="ctr" anchorCtr="1"/>
          <a:lstStyle/>
          <a:p>
            <a:pPr>
              <a:defRPr sz="1200" b="0" i="0" u="none" strike="noStrike" kern="1200" baseline="0">
                <a:solidFill>
                  <a:schemeClr val="tx1">
                    <a:lumMod val="100000"/>
                  </a:schemeClr>
                </a:solidFill>
                <a:latin typeface="Arial" panose="020B0604020202020204" pitchFamily="34" charset="0"/>
                <a:ea typeface="+mn-ea"/>
                <a:cs typeface="Arial" panose="020B0604020202020204" pitchFamily="34" charset="0"/>
              </a:defRPr>
            </a:pPr>
            <a:endParaRPr lang="en-US"/>
          </a:p>
        </c:txPr>
      </c:legendEntry>
      <c:legendEntry>
        <c:idx val="1"/>
        <c:txPr>
          <a:bodyPr rot="0" spcFirstLastPara="1" vertOverflow="ellipsis" vert="horz" wrap="square" anchor="ctr" anchorCtr="1"/>
          <a:lstStyle/>
          <a:p>
            <a:pPr>
              <a:defRPr sz="1200" b="0" i="0" u="none" strike="noStrike" kern="1200" baseline="0">
                <a:solidFill>
                  <a:schemeClr val="tx1">
                    <a:lumMod val="100000"/>
                  </a:schemeClr>
                </a:solidFill>
                <a:latin typeface="Arial" panose="020B0604020202020204" pitchFamily="34" charset="0"/>
                <a:ea typeface="+mn-ea"/>
                <a:cs typeface="Arial" panose="020B0604020202020204" pitchFamily="34" charset="0"/>
              </a:defRPr>
            </a:pPr>
            <a:endParaRPr lang="en-US"/>
          </a:p>
        </c:txPr>
      </c:legendEntry>
      <c:legendEntry>
        <c:idx val="2"/>
        <c:delete val="1"/>
      </c:legendEntry>
      <c:legendEntry>
        <c:idx val="3"/>
        <c:txPr>
          <a:bodyPr rot="0" spcFirstLastPara="1" vertOverflow="ellipsis" vert="horz" wrap="square" anchor="ctr" anchorCtr="1"/>
          <a:lstStyle/>
          <a:p>
            <a:pPr>
              <a:defRPr sz="1200" b="0" i="0" u="none" strike="noStrike" kern="1200" baseline="0">
                <a:noFill/>
                <a:latin typeface="Arial" panose="020B0604020202020204" pitchFamily="34" charset="0"/>
                <a:ea typeface="+mn-ea"/>
                <a:cs typeface="Arial" panose="020B0604020202020204" pitchFamily="34" charset="0"/>
              </a:defRPr>
            </a:pPr>
            <a:endParaRPr lang="en-US"/>
          </a:p>
        </c:txPr>
      </c:legendEntry>
      <c:legendEntry>
        <c:idx val="4"/>
        <c:txPr>
          <a:bodyPr rot="0" spcFirstLastPara="1" vertOverflow="ellipsis" vert="horz" wrap="square" anchor="ctr" anchorCtr="1"/>
          <a:lstStyle/>
          <a:p>
            <a:pPr>
              <a:defRPr sz="1200" b="0" i="0" u="none" strike="noStrike" kern="1200" baseline="0">
                <a:noFill/>
                <a:latin typeface="Arial" panose="020B0604020202020204" pitchFamily="34" charset="0"/>
                <a:ea typeface="+mn-ea"/>
                <a:cs typeface="Arial" panose="020B0604020202020204" pitchFamily="34" charset="0"/>
              </a:defRPr>
            </a:pPr>
            <a:endParaRPr lang="en-US"/>
          </a:p>
        </c:txPr>
      </c:legendEntry>
      <c:overlay val="0"/>
      <c:spPr>
        <a:noFill/>
        <a:ln>
          <a:noFill/>
        </a:ln>
        <a:effectLst/>
      </c:spPr>
      <c:txPr>
        <a:bodyPr rot="0" spcFirstLastPara="1" vertOverflow="ellipsis" vert="horz" wrap="square" anchor="ctr" anchorCtr="1"/>
        <a:lstStyle/>
        <a:p>
          <a:pPr>
            <a:defRPr sz="12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r">
              <a:defRPr sz="1100" b="0" i="0" u="none" strike="noStrike" kern="1200" spc="0" baseline="0">
                <a:solidFill>
                  <a:schemeClr val="tx1"/>
                </a:solidFill>
                <a:latin typeface="Arial" panose="020B0604020202020204" pitchFamily="34" charset="0"/>
                <a:ea typeface="+mn-ea"/>
                <a:cs typeface="Arial" panose="020B0604020202020204" pitchFamily="34" charset="0"/>
              </a:defRPr>
            </a:pPr>
            <a:r>
              <a:rPr lang="en-US" sz="1100">
                <a:solidFill>
                  <a:schemeClr val="tx1"/>
                </a:solidFill>
                <a:latin typeface="Arial" panose="020B0604020202020204" pitchFamily="34" charset="0"/>
                <a:cs typeface="Arial" panose="020B0604020202020204" pitchFamily="34" charset="0"/>
              </a:rPr>
              <a:t>ID</a:t>
            </a:r>
          </a:p>
        </c:rich>
      </c:tx>
      <c:layout>
        <c:manualLayout>
          <c:xMode val="edge"/>
          <c:yMode val="edge"/>
          <c:x val="0.76368499125865907"/>
          <c:y val="0.10296010296010295"/>
        </c:manualLayout>
      </c:layout>
      <c:overlay val="0"/>
      <c:spPr>
        <a:noFill/>
        <a:ln>
          <a:noFill/>
        </a:ln>
        <a:effectLst/>
      </c:spPr>
      <c:txPr>
        <a:bodyPr rot="0" spcFirstLastPara="1" vertOverflow="ellipsis" vert="horz" wrap="square" anchor="ctr" anchorCtr="1"/>
        <a:lstStyle/>
        <a:p>
          <a:pPr algn="r">
            <a:defRPr sz="1100" b="0" i="0" u="none" strike="noStrike" kern="1200" spc="0" baseline="0">
              <a:solidFill>
                <a:schemeClr val="tx1"/>
              </a:solidFill>
              <a:latin typeface="Arial" panose="020B0604020202020204" pitchFamily="34" charset="0"/>
              <a:ea typeface="+mn-ea"/>
              <a:cs typeface="Arial" panose="020B0604020202020204" pitchFamily="34" charset="0"/>
            </a:defRPr>
          </a:pPr>
          <a:endParaRPr lang="en-US"/>
        </a:p>
      </c:txPr>
    </c:title>
    <c:autoTitleDeleted val="0"/>
    <c:plotArea>
      <c:layout>
        <c:manualLayout>
          <c:layoutTarget val="inner"/>
          <c:xMode val="edge"/>
          <c:yMode val="edge"/>
          <c:x val="1.9240725553496058E-2"/>
          <c:y val="2.038452480418745E-2"/>
          <c:w val="0.7786186853225624"/>
          <c:h val="0.8918530894554404"/>
        </c:manualLayout>
      </c:layout>
      <c:scatterChart>
        <c:scatterStyle val="smoothMarker"/>
        <c:varyColors val="0"/>
        <c:ser>
          <c:idx val="0"/>
          <c:order val="0"/>
          <c:tx>
            <c:v>1</c:v>
          </c:tx>
          <c:spPr>
            <a:ln w="19050" cap="rnd">
              <a:noFill/>
              <a:round/>
            </a:ln>
            <a:effectLst/>
            <a:extLst>
              <a:ext uri="{91240B29-F687-4F45-9708-019B960494DF}">
                <a14:hiddenLine xmlns:a14="http://schemas.microsoft.com/office/drawing/2010/main" w="19050" cap="rnd">
                  <a:solidFill>
                    <a:srgbClr val="5B9BD5"/>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NormalisedUVVisData!$B$2:$B$300</c:f>
              <c:numCache>
                <c:formatCode>General</c:formatCode>
                <c:ptCount val="299"/>
                <c:pt idx="0">
                  <c:v>49.995948791503906</c:v>
                </c:pt>
                <c:pt idx="1">
                  <c:v>51.197731018066406</c:v>
                </c:pt>
                <c:pt idx="2">
                  <c:v>52.685466766357422</c:v>
                </c:pt>
                <c:pt idx="3">
                  <c:v>54.454357147216797</c:v>
                </c:pt>
                <c:pt idx="4">
                  <c:v>56.408950805664063</c:v>
                </c:pt>
                <c:pt idx="5">
                  <c:v>58.509708404541016</c:v>
                </c:pt>
                <c:pt idx="6">
                  <c:v>60.669681549072266</c:v>
                </c:pt>
                <c:pt idx="7">
                  <c:v>62.330951690673828</c:v>
                </c:pt>
                <c:pt idx="8">
                  <c:v>63.035209655761719</c:v>
                </c:pt>
                <c:pt idx="9">
                  <c:v>62.603805541992188</c:v>
                </c:pt>
                <c:pt idx="10">
                  <c:v>60.937458038330078</c:v>
                </c:pt>
                <c:pt idx="11">
                  <c:v>58.023994445800781</c:v>
                </c:pt>
                <c:pt idx="12">
                  <c:v>54.092147827148438</c:v>
                </c:pt>
                <c:pt idx="13">
                  <c:v>49.421573638916016</c:v>
                </c:pt>
                <c:pt idx="14">
                  <c:v>44.726978302001953</c:v>
                </c:pt>
                <c:pt idx="15">
                  <c:v>41.136070251464844</c:v>
                </c:pt>
                <c:pt idx="16">
                  <c:v>39.676124572753906</c:v>
                </c:pt>
                <c:pt idx="17">
                  <c:v>40.525470733642578</c:v>
                </c:pt>
                <c:pt idx="18">
                  <c:v>43.790531158447266</c:v>
                </c:pt>
                <c:pt idx="19">
                  <c:v>49.356376647949219</c:v>
                </c:pt>
                <c:pt idx="20">
                  <c:v>56.466224670410156</c:v>
                </c:pt>
                <c:pt idx="21">
                  <c:v>64.757926940917969</c:v>
                </c:pt>
                <c:pt idx="22">
                  <c:v>73.919776916503906</c:v>
                </c:pt>
                <c:pt idx="23">
                  <c:v>82.703781127929688</c:v>
                </c:pt>
                <c:pt idx="24">
                  <c:v>90.78814697265625</c:v>
                </c:pt>
                <c:pt idx="25">
                  <c:v>96.892677307128906</c:v>
                </c:pt>
                <c:pt idx="26">
                  <c:v>99.999992370605469</c:v>
                </c:pt>
                <c:pt idx="27">
                  <c:v>99.054580688476563</c:v>
                </c:pt>
                <c:pt idx="28">
                  <c:v>94.238136291503906</c:v>
                </c:pt>
                <c:pt idx="29">
                  <c:v>87.308197021484375</c:v>
                </c:pt>
                <c:pt idx="30">
                  <c:v>80.10394287109375</c:v>
                </c:pt>
                <c:pt idx="31">
                  <c:v>74.613975524902344</c:v>
                </c:pt>
                <c:pt idx="32">
                  <c:v>70.887580871582031</c:v>
                </c:pt>
                <c:pt idx="33">
                  <c:v>68.533699035644531</c:v>
                </c:pt>
                <c:pt idx="34">
                  <c:v>66.681121826171875</c:v>
                </c:pt>
                <c:pt idx="35">
                  <c:v>64.452835083007813</c:v>
                </c:pt>
                <c:pt idx="36">
                  <c:v>61.346591949462891</c:v>
                </c:pt>
                <c:pt idx="37">
                  <c:v>57.145668029785156</c:v>
                </c:pt>
                <c:pt idx="38">
                  <c:v>52.158771514892578</c:v>
                </c:pt>
                <c:pt idx="39">
                  <c:v>46.575481414794922</c:v>
                </c:pt>
                <c:pt idx="40">
                  <c:v>41.187259674072266</c:v>
                </c:pt>
                <c:pt idx="41">
                  <c:v>36.693603515625</c:v>
                </c:pt>
                <c:pt idx="42">
                  <c:v>33.426021575927734</c:v>
                </c:pt>
                <c:pt idx="43">
                  <c:v>31.331571578979492</c:v>
                </c:pt>
                <c:pt idx="44">
                  <c:v>30.24261474609375</c:v>
                </c:pt>
                <c:pt idx="45">
                  <c:v>29.837001800537109</c:v>
                </c:pt>
                <c:pt idx="46">
                  <c:v>29.802043914794922</c:v>
                </c:pt>
                <c:pt idx="47">
                  <c:v>29.834489822387695</c:v>
                </c:pt>
                <c:pt idx="48">
                  <c:v>29.741342544555664</c:v>
                </c:pt>
                <c:pt idx="49">
                  <c:v>29.390016555786133</c:v>
                </c:pt>
                <c:pt idx="50">
                  <c:v>28.762887954711914</c:v>
                </c:pt>
                <c:pt idx="51">
                  <c:v>27.760770797729492</c:v>
                </c:pt>
                <c:pt idx="52">
                  <c:v>26.369327545166016</c:v>
                </c:pt>
                <c:pt idx="53">
                  <c:v>24.593545913696289</c:v>
                </c:pt>
                <c:pt idx="54">
                  <c:v>22.599353790283203</c:v>
                </c:pt>
                <c:pt idx="55">
                  <c:v>20.573047637939453</c:v>
                </c:pt>
                <c:pt idx="56">
                  <c:v>18.609165191650391</c:v>
                </c:pt>
                <c:pt idx="57">
                  <c:v>16.843379974365234</c:v>
                </c:pt>
                <c:pt idx="58">
                  <c:v>15.294055938720703</c:v>
                </c:pt>
                <c:pt idx="59">
                  <c:v>14.102557182312012</c:v>
                </c:pt>
                <c:pt idx="60">
                  <c:v>13.286131858825684</c:v>
                </c:pt>
                <c:pt idx="61">
                  <c:v>12.88902759552002</c:v>
                </c:pt>
                <c:pt idx="62">
                  <c:v>12.872271537780762</c:v>
                </c:pt>
                <c:pt idx="63">
                  <c:v>13.16230583190918</c:v>
                </c:pt>
                <c:pt idx="64">
                  <c:v>13.784439086914063</c:v>
                </c:pt>
                <c:pt idx="65">
                  <c:v>14.706076622009277</c:v>
                </c:pt>
                <c:pt idx="66">
                  <c:v>15.644208908081055</c:v>
                </c:pt>
                <c:pt idx="67">
                  <c:v>16.736114501953125</c:v>
                </c:pt>
                <c:pt idx="68">
                  <c:v>17.934324264526367</c:v>
                </c:pt>
                <c:pt idx="69">
                  <c:v>19.252473831176758</c:v>
                </c:pt>
                <c:pt idx="70">
                  <c:v>20.711812973022461</c:v>
                </c:pt>
                <c:pt idx="71">
                  <c:v>22.091739654541016</c:v>
                </c:pt>
                <c:pt idx="72">
                  <c:v>23.475191116333008</c:v>
                </c:pt>
                <c:pt idx="73">
                  <c:v>24.906841278076172</c:v>
                </c:pt>
                <c:pt idx="74">
                  <c:v>26.293315887451172</c:v>
                </c:pt>
                <c:pt idx="75">
                  <c:v>27.556547164916992</c:v>
                </c:pt>
                <c:pt idx="76">
                  <c:v>28.76228141784668</c:v>
                </c:pt>
                <c:pt idx="77">
                  <c:v>29.821224212646484</c:v>
                </c:pt>
                <c:pt idx="78">
                  <c:v>30.763740539550781</c:v>
                </c:pt>
                <c:pt idx="79">
                  <c:v>31.633968353271484</c:v>
                </c:pt>
                <c:pt idx="80">
                  <c:v>32.325607299804688</c:v>
                </c:pt>
                <c:pt idx="81">
                  <c:v>32.820827484130859</c:v>
                </c:pt>
                <c:pt idx="82">
                  <c:v>33.162460327148438</c:v>
                </c:pt>
                <c:pt idx="83">
                  <c:v>33.112686157226563</c:v>
                </c:pt>
                <c:pt idx="84">
                  <c:v>32.8577880859375</c:v>
                </c:pt>
                <c:pt idx="85">
                  <c:v>32.512336730957031</c:v>
                </c:pt>
                <c:pt idx="86">
                  <c:v>31.948637008666992</c:v>
                </c:pt>
                <c:pt idx="87">
                  <c:v>31.126008987426758</c:v>
                </c:pt>
                <c:pt idx="88">
                  <c:v>30.095897674560547</c:v>
                </c:pt>
                <c:pt idx="89">
                  <c:v>29.028627395629883</c:v>
                </c:pt>
                <c:pt idx="90">
                  <c:v>27.845037460327148</c:v>
                </c:pt>
                <c:pt idx="91">
                  <c:v>26.353580474853516</c:v>
                </c:pt>
                <c:pt idx="92">
                  <c:v>24.820201873779297</c:v>
                </c:pt>
                <c:pt idx="93">
                  <c:v>23.258893966674805</c:v>
                </c:pt>
                <c:pt idx="94">
                  <c:v>21.647005081176758</c:v>
                </c:pt>
                <c:pt idx="95">
                  <c:v>20.066156387329102</c:v>
                </c:pt>
                <c:pt idx="96">
                  <c:v>18.347665786743164</c:v>
                </c:pt>
                <c:pt idx="97">
                  <c:v>16.8597412109375</c:v>
                </c:pt>
                <c:pt idx="98">
                  <c:v>15.396976470947266</c:v>
                </c:pt>
                <c:pt idx="99">
                  <c:v>13.97023868560791</c:v>
                </c:pt>
                <c:pt idx="100">
                  <c:v>12.535508155822754</c:v>
                </c:pt>
                <c:pt idx="101">
                  <c:v>11.234574317932129</c:v>
                </c:pt>
                <c:pt idx="102">
                  <c:v>10.132328033447266</c:v>
                </c:pt>
                <c:pt idx="103">
                  <c:v>9.0198383331298828</c:v>
                </c:pt>
                <c:pt idx="104">
                  <c:v>8.0537223815917969</c:v>
                </c:pt>
                <c:pt idx="105">
                  <c:v>7.2283434867858887</c:v>
                </c:pt>
                <c:pt idx="106">
                  <c:v>6.4771528244018555</c:v>
                </c:pt>
                <c:pt idx="107">
                  <c:v>5.8789968490600586</c:v>
                </c:pt>
                <c:pt idx="108">
                  <c:v>5.3575015068054199</c:v>
                </c:pt>
                <c:pt idx="109">
                  <c:v>4.9361257553100586</c:v>
                </c:pt>
                <c:pt idx="110">
                  <c:v>4.6515121459960938</c:v>
                </c:pt>
                <c:pt idx="111">
                  <c:v>4.342503547668457</c:v>
                </c:pt>
                <c:pt idx="112">
                  <c:v>4.1015143394470215</c:v>
                </c:pt>
                <c:pt idx="113">
                  <c:v>3.9109835624694824</c:v>
                </c:pt>
                <c:pt idx="114">
                  <c:v>3.7934994697570801</c:v>
                </c:pt>
                <c:pt idx="115">
                  <c:v>3.748971700668335</c:v>
                </c:pt>
                <c:pt idx="116">
                  <c:v>3.699425220489502</c:v>
                </c:pt>
                <c:pt idx="117">
                  <c:v>3.6392333507537842</c:v>
                </c:pt>
                <c:pt idx="118">
                  <c:v>3.5926685333251953</c:v>
                </c:pt>
                <c:pt idx="119">
                  <c:v>3.5783760547637939</c:v>
                </c:pt>
                <c:pt idx="120">
                  <c:v>3.6042253971099854</c:v>
                </c:pt>
                <c:pt idx="121">
                  <c:v>3.628021240234375</c:v>
                </c:pt>
                <c:pt idx="122">
                  <c:v>3.6285140514373779</c:v>
                </c:pt>
                <c:pt idx="123">
                  <c:v>3.6448516845703125</c:v>
                </c:pt>
                <c:pt idx="124">
                  <c:v>3.5478613376617432</c:v>
                </c:pt>
                <c:pt idx="125">
                  <c:v>3.5135271549224854</c:v>
                </c:pt>
                <c:pt idx="126">
                  <c:v>3.669813871383667</c:v>
                </c:pt>
                <c:pt idx="127">
                  <c:v>3.6649265289306641</c:v>
                </c:pt>
                <c:pt idx="128">
                  <c:v>3.4720301628112793</c:v>
                </c:pt>
                <c:pt idx="129">
                  <c:v>3.4803261756896973</c:v>
                </c:pt>
                <c:pt idx="130">
                  <c:v>3.5476806163787842</c:v>
                </c:pt>
                <c:pt idx="131">
                  <c:v>3.4671182632446289</c:v>
                </c:pt>
                <c:pt idx="132">
                  <c:v>3.4944541454315186</c:v>
                </c:pt>
                <c:pt idx="133">
                  <c:v>3.6167681217193604</c:v>
                </c:pt>
                <c:pt idx="134">
                  <c:v>3.5783185958862305</c:v>
                </c:pt>
                <c:pt idx="135">
                  <c:v>3.5085246562957764</c:v>
                </c:pt>
                <c:pt idx="136">
                  <c:v>2.5822622776031494</c:v>
                </c:pt>
                <c:pt idx="137">
                  <c:v>2</c:v>
                </c:pt>
                <c:pt idx="138">
                  <c:v>2.909752368927002</c:v>
                </c:pt>
                <c:pt idx="139">
                  <c:v>3.5017235279083252</c:v>
                </c:pt>
                <c:pt idx="140">
                  <c:v>3.4009220600128174</c:v>
                </c:pt>
                <c:pt idx="141">
                  <c:v>3.5476148128509521</c:v>
                </c:pt>
                <c:pt idx="142">
                  <c:v>3.5990588665008545</c:v>
                </c:pt>
                <c:pt idx="143">
                  <c:v>3.4844415187835693</c:v>
                </c:pt>
                <c:pt idx="144">
                  <c:v>3.4843592643737793</c:v>
                </c:pt>
                <c:pt idx="145">
                  <c:v>3.5332815647125244</c:v>
                </c:pt>
                <c:pt idx="146">
                  <c:v>3.5688726902008057</c:v>
                </c:pt>
                <c:pt idx="147">
                  <c:v>3.5886929035186768</c:v>
                </c:pt>
                <c:pt idx="148">
                  <c:v>3.5631721019744873</c:v>
                </c:pt>
                <c:pt idx="149">
                  <c:v>3.5528390407562256</c:v>
                </c:pt>
                <c:pt idx="150">
                  <c:v>3.5854401588439941</c:v>
                </c:pt>
                <c:pt idx="151">
                  <c:v>3.5607655048370361</c:v>
                </c:pt>
                <c:pt idx="152">
                  <c:v>3.5343329906463623</c:v>
                </c:pt>
                <c:pt idx="153">
                  <c:v>3.5087957382202148</c:v>
                </c:pt>
                <c:pt idx="154">
                  <c:v>3.6058683395385742</c:v>
                </c:pt>
                <c:pt idx="155">
                  <c:v>3.6081929206848145</c:v>
                </c:pt>
                <c:pt idx="156">
                  <c:v>3.4921624660491943</c:v>
                </c:pt>
                <c:pt idx="157">
                  <c:v>3.4141628742218018</c:v>
                </c:pt>
                <c:pt idx="158">
                  <c:v>3.4344103336334229</c:v>
                </c:pt>
                <c:pt idx="159">
                  <c:v>3.5541696548461914</c:v>
                </c:pt>
                <c:pt idx="160">
                  <c:v>3.6238486766815186</c:v>
                </c:pt>
                <c:pt idx="161">
                  <c:v>3.6684832572937012</c:v>
                </c:pt>
                <c:pt idx="162">
                  <c:v>3.5930874347686768</c:v>
                </c:pt>
                <c:pt idx="163">
                  <c:v>3.416323184967041</c:v>
                </c:pt>
                <c:pt idx="164">
                  <c:v>3.3692736625671387</c:v>
                </c:pt>
                <c:pt idx="165">
                  <c:v>3.5622687339782715</c:v>
                </c:pt>
                <c:pt idx="166">
                  <c:v>3.6426339149475098</c:v>
                </c:pt>
                <c:pt idx="167">
                  <c:v>3.5280656814575195</c:v>
                </c:pt>
                <c:pt idx="168">
                  <c:v>3.5755751132965088</c:v>
                </c:pt>
                <c:pt idx="169">
                  <c:v>3.449474573135376</c:v>
                </c:pt>
                <c:pt idx="170">
                  <c:v>3.275043249130249</c:v>
                </c:pt>
                <c:pt idx="171">
                  <c:v>3.4319460391998291</c:v>
                </c:pt>
                <c:pt idx="172">
                  <c:v>3.5459227561950684</c:v>
                </c:pt>
                <c:pt idx="173">
                  <c:v>3.5618579387664795</c:v>
                </c:pt>
                <c:pt idx="174">
                  <c:v>3.5353515148162842</c:v>
                </c:pt>
                <c:pt idx="175">
                  <c:v>3.424602746963501</c:v>
                </c:pt>
                <c:pt idx="176">
                  <c:v>3.5035059452056885</c:v>
                </c:pt>
                <c:pt idx="177">
                  <c:v>3.5541532039642334</c:v>
                </c:pt>
                <c:pt idx="178">
                  <c:v>3.5880687236785889</c:v>
                </c:pt>
                <c:pt idx="179">
                  <c:v>3.5994367599487305</c:v>
                </c:pt>
                <c:pt idx="180">
                  <c:v>3.4793405532836914</c:v>
                </c:pt>
                <c:pt idx="181">
                  <c:v>3.5039825439453125</c:v>
                </c:pt>
                <c:pt idx="182">
                  <c:v>3.6051619052886963</c:v>
                </c:pt>
                <c:pt idx="183">
                  <c:v>3.4997687339782715</c:v>
                </c:pt>
                <c:pt idx="184">
                  <c:v>3.4791023731231689</c:v>
                </c:pt>
                <c:pt idx="185">
                  <c:v>3.5429084300994873</c:v>
                </c:pt>
                <c:pt idx="186">
                  <c:v>3.5319015979766846</c:v>
                </c:pt>
                <c:pt idx="187">
                  <c:v>3.4967951774597168</c:v>
                </c:pt>
                <c:pt idx="188">
                  <c:v>3.4884908199310303</c:v>
                </c:pt>
                <c:pt idx="189">
                  <c:v>3.4921214580535889</c:v>
                </c:pt>
                <c:pt idx="190">
                  <c:v>3.5736696720123291</c:v>
                </c:pt>
                <c:pt idx="191">
                  <c:v>3.5732998847961426</c:v>
                </c:pt>
                <c:pt idx="192">
                  <c:v>3.5646998882293701</c:v>
                </c:pt>
                <c:pt idx="193">
                  <c:v>3.5247390270233154</c:v>
                </c:pt>
                <c:pt idx="194">
                  <c:v>3.5421197414398193</c:v>
                </c:pt>
                <c:pt idx="195">
                  <c:v>3.5912802219390869</c:v>
                </c:pt>
                <c:pt idx="196">
                  <c:v>3.5973668098449707</c:v>
                </c:pt>
                <c:pt idx="197">
                  <c:v>3.5249691009521484</c:v>
                </c:pt>
                <c:pt idx="198">
                  <c:v>3.4829957485198975</c:v>
                </c:pt>
                <c:pt idx="199">
                  <c:v>3.5689876079559326</c:v>
                </c:pt>
                <c:pt idx="200">
                  <c:v>3.5704169273376465</c:v>
                </c:pt>
                <c:pt idx="201">
                  <c:v>3.6293766498565674</c:v>
                </c:pt>
                <c:pt idx="202">
                  <c:v>3.6013424396514893</c:v>
                </c:pt>
                <c:pt idx="203">
                  <c:v>3.6313314437866211</c:v>
                </c:pt>
                <c:pt idx="204">
                  <c:v>3.578474760055542</c:v>
                </c:pt>
                <c:pt idx="205">
                  <c:v>3.5417337417602539</c:v>
                </c:pt>
                <c:pt idx="206">
                  <c:v>3.5412163734436035</c:v>
                </c:pt>
                <c:pt idx="207">
                  <c:v>3.5566501617431641</c:v>
                </c:pt>
                <c:pt idx="208">
                  <c:v>3.5301601886749268</c:v>
                </c:pt>
                <c:pt idx="209">
                  <c:v>3.5779409408569336</c:v>
                </c:pt>
                <c:pt idx="210">
                  <c:v>3.5970053672790527</c:v>
                </c:pt>
                <c:pt idx="211">
                  <c:v>3.5020439624786377</c:v>
                </c:pt>
                <c:pt idx="212">
                  <c:v>3.6363174915313721</c:v>
                </c:pt>
                <c:pt idx="213">
                  <c:v>3.6619777679443359</c:v>
                </c:pt>
                <c:pt idx="214">
                  <c:v>3.5541532039642334</c:v>
                </c:pt>
                <c:pt idx="215">
                  <c:v>3.4863388538360596</c:v>
                </c:pt>
                <c:pt idx="216">
                  <c:v>3.6054000854492188</c:v>
                </c:pt>
                <c:pt idx="217">
                  <c:v>3.6129570007324219</c:v>
                </c:pt>
                <c:pt idx="218">
                  <c:v>3.5434422492980957</c:v>
                </c:pt>
                <c:pt idx="219">
                  <c:v>3.611149787902832</c:v>
                </c:pt>
                <c:pt idx="220">
                  <c:v>3.5568146705627441</c:v>
                </c:pt>
                <c:pt idx="221">
                  <c:v>3.6044964790344238</c:v>
                </c:pt>
                <c:pt idx="222">
                  <c:v>3.508237361907959</c:v>
                </c:pt>
                <c:pt idx="223">
                  <c:v>3.5845365524291992</c:v>
                </c:pt>
                <c:pt idx="224">
                  <c:v>3.8497157096862793</c:v>
                </c:pt>
                <c:pt idx="225">
                  <c:v>3.6554064750671387</c:v>
                </c:pt>
              </c:numCache>
            </c:numRef>
          </c:yVal>
          <c:smooth val="1"/>
          <c:extLst>
            <c:ext xmlns:c16="http://schemas.microsoft.com/office/drawing/2014/chart" uri="{C3380CC4-5D6E-409C-BE32-E72D297353CC}">
              <c16:uniqueId val="{00000000-58F6-4830-8941-1011DB88381F}"/>
            </c:ext>
          </c:extLst>
        </c:ser>
        <c:ser>
          <c:idx val="1"/>
          <c:order val="1"/>
          <c:tx>
            <c:v>2</c:v>
          </c:tx>
          <c:spPr>
            <a:ln w="19050" cap="rnd">
              <a:noFill/>
              <a:round/>
            </a:ln>
            <a:effectLst/>
            <a:extLst>
              <a:ext uri="{91240B29-F687-4F45-9708-019B960494DF}">
                <a14:hiddenLine xmlns:a14="http://schemas.microsoft.com/office/drawing/2010/main" w="19050" cap="rnd">
                  <a:solidFill>
                    <a:srgbClr val="ED7D31"/>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NormalisedUVVisData!$C$2:$C$300</c:f>
              <c:numCache>
                <c:formatCode>General</c:formatCode>
                <c:ptCount val="299"/>
                <c:pt idx="0">
                  <c:v>100</c:v>
                </c:pt>
                <c:pt idx="1">
                  <c:v>91.294387817382813</c:v>
                </c:pt>
                <c:pt idx="2">
                  <c:v>82.17083740234375</c:v>
                </c:pt>
                <c:pt idx="3">
                  <c:v>74.127113342285156</c:v>
                </c:pt>
                <c:pt idx="4">
                  <c:v>67.934799194335938</c:v>
                </c:pt>
                <c:pt idx="5">
                  <c:v>63.919330596923828</c:v>
                </c:pt>
                <c:pt idx="6">
                  <c:v>61.788238525390625</c:v>
                </c:pt>
                <c:pt idx="7">
                  <c:v>61.091739654541016</c:v>
                </c:pt>
                <c:pt idx="8">
                  <c:v>61.226615905761719</c:v>
                </c:pt>
                <c:pt idx="9">
                  <c:v>61.924781799316406</c:v>
                </c:pt>
                <c:pt idx="10">
                  <c:v>62.069541931152344</c:v>
                </c:pt>
                <c:pt idx="11">
                  <c:v>61.261344909667969</c:v>
                </c:pt>
                <c:pt idx="12">
                  <c:v>59.378223419189453</c:v>
                </c:pt>
                <c:pt idx="13">
                  <c:v>56.124324798583984</c:v>
                </c:pt>
                <c:pt idx="14">
                  <c:v>51.952800750732422</c:v>
                </c:pt>
                <c:pt idx="15">
                  <c:v>47.308937072753906</c:v>
                </c:pt>
                <c:pt idx="16">
                  <c:v>42.560935974121094</c:v>
                </c:pt>
                <c:pt idx="17">
                  <c:v>37.230545043945313</c:v>
                </c:pt>
                <c:pt idx="18">
                  <c:v>31.853950500488281</c:v>
                </c:pt>
                <c:pt idx="19">
                  <c:v>27.250391006469727</c:v>
                </c:pt>
                <c:pt idx="20">
                  <c:v>24.05225944519043</c:v>
                </c:pt>
                <c:pt idx="21">
                  <c:v>21.937082290649414</c:v>
                </c:pt>
                <c:pt idx="22">
                  <c:v>20.537641525268555</c:v>
                </c:pt>
                <c:pt idx="23">
                  <c:v>19.665596008300781</c:v>
                </c:pt>
                <c:pt idx="24">
                  <c:v>19.134790420532227</c:v>
                </c:pt>
                <c:pt idx="25">
                  <c:v>18.757686614990234</c:v>
                </c:pt>
                <c:pt idx="26">
                  <c:v>18.511428833007813</c:v>
                </c:pt>
                <c:pt idx="27">
                  <c:v>18.55085563659668</c:v>
                </c:pt>
                <c:pt idx="28">
                  <c:v>18.82880973815918</c:v>
                </c:pt>
                <c:pt idx="29">
                  <c:v>19.072885513305664</c:v>
                </c:pt>
                <c:pt idx="30">
                  <c:v>19.200424194335938</c:v>
                </c:pt>
                <c:pt idx="31">
                  <c:v>18.990560531616211</c:v>
                </c:pt>
                <c:pt idx="32">
                  <c:v>18.466030120849609</c:v>
                </c:pt>
                <c:pt idx="33">
                  <c:v>17.729816436767578</c:v>
                </c:pt>
                <c:pt idx="34">
                  <c:v>16.721439361572266</c:v>
                </c:pt>
                <c:pt idx="35">
                  <c:v>15.336079597473145</c:v>
                </c:pt>
                <c:pt idx="36">
                  <c:v>13.738537788391113</c:v>
                </c:pt>
                <c:pt idx="37">
                  <c:v>12.076087951660156</c:v>
                </c:pt>
                <c:pt idx="38">
                  <c:v>10.610770225524902</c:v>
                </c:pt>
                <c:pt idx="39">
                  <c:v>9.5189170837402344</c:v>
                </c:pt>
                <c:pt idx="40">
                  <c:v>8.8901443481445313</c:v>
                </c:pt>
                <c:pt idx="41">
                  <c:v>8.4743728637695313</c:v>
                </c:pt>
                <c:pt idx="42">
                  <c:v>8.268768310546875</c:v>
                </c:pt>
                <c:pt idx="43">
                  <c:v>8.3771791458129883</c:v>
                </c:pt>
                <c:pt idx="44">
                  <c:v>8.5365962982177734</c:v>
                </c:pt>
                <c:pt idx="45">
                  <c:v>8.5648508071899414</c:v>
                </c:pt>
                <c:pt idx="46">
                  <c:v>8.7181901931762695</c:v>
                </c:pt>
                <c:pt idx="47">
                  <c:v>9.089503288269043</c:v>
                </c:pt>
                <c:pt idx="48">
                  <c:v>9.2806768417358398</c:v>
                </c:pt>
                <c:pt idx="49">
                  <c:v>9.3527383804321289</c:v>
                </c:pt>
                <c:pt idx="50">
                  <c:v>9.4830226898193359</c:v>
                </c:pt>
                <c:pt idx="51">
                  <c:v>9.5846271514892578</c:v>
                </c:pt>
                <c:pt idx="52">
                  <c:v>9.6064853668212891</c:v>
                </c:pt>
                <c:pt idx="53">
                  <c:v>9.6510953903198242</c:v>
                </c:pt>
                <c:pt idx="54">
                  <c:v>9.8825750350952148</c:v>
                </c:pt>
                <c:pt idx="55">
                  <c:v>10.036293029785156</c:v>
                </c:pt>
                <c:pt idx="56">
                  <c:v>10.085405349731445</c:v>
                </c:pt>
                <c:pt idx="57">
                  <c:v>10.169502258300781</c:v>
                </c:pt>
                <c:pt idx="58">
                  <c:v>10.16118049621582</c:v>
                </c:pt>
                <c:pt idx="59">
                  <c:v>10.113114356994629</c:v>
                </c:pt>
                <c:pt idx="60">
                  <c:v>10.07679557800293</c:v>
                </c:pt>
                <c:pt idx="61">
                  <c:v>10.071732521057129</c:v>
                </c:pt>
                <c:pt idx="62">
                  <c:v>9.9347944259643555</c:v>
                </c:pt>
                <c:pt idx="63">
                  <c:v>9.6442289352416992</c:v>
                </c:pt>
                <c:pt idx="64">
                  <c:v>9.3471908569335938</c:v>
                </c:pt>
                <c:pt idx="65">
                  <c:v>8.9910964965820313</c:v>
                </c:pt>
                <c:pt idx="66">
                  <c:v>8.6540260314941406</c:v>
                </c:pt>
                <c:pt idx="67">
                  <c:v>8.3547143936157227</c:v>
                </c:pt>
                <c:pt idx="68">
                  <c:v>8.1001338958740234</c:v>
                </c:pt>
                <c:pt idx="69">
                  <c:v>7.8671541213989258</c:v>
                </c:pt>
                <c:pt idx="70">
                  <c:v>7.6893191337585449</c:v>
                </c:pt>
                <c:pt idx="71">
                  <c:v>7.5671906471252441</c:v>
                </c:pt>
                <c:pt idx="72">
                  <c:v>7.3434720039367676</c:v>
                </c:pt>
                <c:pt idx="73">
                  <c:v>7.051633358001709</c:v>
                </c:pt>
                <c:pt idx="74">
                  <c:v>6.8410720825195313</c:v>
                </c:pt>
                <c:pt idx="75">
                  <c:v>6.7356777191162109</c:v>
                </c:pt>
                <c:pt idx="76">
                  <c:v>6.7314033508300781</c:v>
                </c:pt>
                <c:pt idx="77">
                  <c:v>6.7260375022888184</c:v>
                </c:pt>
                <c:pt idx="78">
                  <c:v>6.4589667320251465</c:v>
                </c:pt>
                <c:pt idx="79">
                  <c:v>6.1709175109863281</c:v>
                </c:pt>
                <c:pt idx="80">
                  <c:v>6.0222773551940918</c:v>
                </c:pt>
                <c:pt idx="81">
                  <c:v>5.9711036682128906</c:v>
                </c:pt>
                <c:pt idx="82">
                  <c:v>5.8469586372375488</c:v>
                </c:pt>
                <c:pt idx="83">
                  <c:v>5.785947322845459</c:v>
                </c:pt>
                <c:pt idx="84">
                  <c:v>5.6789159774780273</c:v>
                </c:pt>
                <c:pt idx="85">
                  <c:v>5.5519213676452637</c:v>
                </c:pt>
                <c:pt idx="86">
                  <c:v>5.5792970657348633</c:v>
                </c:pt>
                <c:pt idx="87">
                  <c:v>5.5860424041748047</c:v>
                </c:pt>
                <c:pt idx="88">
                  <c:v>5.5531339645385742</c:v>
                </c:pt>
                <c:pt idx="89">
                  <c:v>5.4842405319213867</c:v>
                </c:pt>
                <c:pt idx="90">
                  <c:v>5.3542294502258301</c:v>
                </c:pt>
                <c:pt idx="91">
                  <c:v>5.2840776443481445</c:v>
                </c:pt>
                <c:pt idx="92">
                  <c:v>5.4290041923522949</c:v>
                </c:pt>
                <c:pt idx="93">
                  <c:v>5.5898318290710449</c:v>
                </c:pt>
                <c:pt idx="94">
                  <c:v>5.6027770042419434</c:v>
                </c:pt>
                <c:pt idx="95">
                  <c:v>5.5009145736694336</c:v>
                </c:pt>
                <c:pt idx="96">
                  <c:v>5.4948511123657227</c:v>
                </c:pt>
                <c:pt idx="97">
                  <c:v>5.5272893905639648</c:v>
                </c:pt>
                <c:pt idx="98">
                  <c:v>5.3658103942871094</c:v>
                </c:pt>
                <c:pt idx="99">
                  <c:v>5.3075122833251953</c:v>
                </c:pt>
                <c:pt idx="100">
                  <c:v>5.320366382598877</c:v>
                </c:pt>
                <c:pt idx="101">
                  <c:v>5.0089883804321289</c:v>
                </c:pt>
                <c:pt idx="102">
                  <c:v>5.1249632835388184</c:v>
                </c:pt>
                <c:pt idx="103">
                  <c:v>5.4806480407714844</c:v>
                </c:pt>
                <c:pt idx="104">
                  <c:v>5.2520942687988281</c:v>
                </c:pt>
                <c:pt idx="105">
                  <c:v>5.1211433410644531</c:v>
                </c:pt>
                <c:pt idx="106">
                  <c:v>5.2272653579711914</c:v>
                </c:pt>
                <c:pt idx="107">
                  <c:v>5.4484372138977051</c:v>
                </c:pt>
                <c:pt idx="108">
                  <c:v>5.4603662490844727</c:v>
                </c:pt>
                <c:pt idx="109">
                  <c:v>5.3175621032714844</c:v>
                </c:pt>
                <c:pt idx="110">
                  <c:v>5.2659335136413574</c:v>
                </c:pt>
                <c:pt idx="111">
                  <c:v>5.1914920806884766</c:v>
                </c:pt>
                <c:pt idx="112">
                  <c:v>5.3635063171386719</c:v>
                </c:pt>
                <c:pt idx="113">
                  <c:v>5.3884563446044922</c:v>
                </c:pt>
                <c:pt idx="114">
                  <c:v>5.2750740051269531</c:v>
                </c:pt>
                <c:pt idx="115">
                  <c:v>5.2059531211853027</c:v>
                </c:pt>
                <c:pt idx="116">
                  <c:v>5.2174577713012695</c:v>
                </c:pt>
                <c:pt idx="117">
                  <c:v>5.2548527717590332</c:v>
                </c:pt>
                <c:pt idx="118">
                  <c:v>5.2096819877624512</c:v>
                </c:pt>
                <c:pt idx="119">
                  <c:v>5.5025515556335449</c:v>
                </c:pt>
                <c:pt idx="120">
                  <c:v>5.5028395652770996</c:v>
                </c:pt>
                <c:pt idx="121">
                  <c:v>4.9969682693481445</c:v>
                </c:pt>
                <c:pt idx="122">
                  <c:v>4.8290467262268066</c:v>
                </c:pt>
                <c:pt idx="123">
                  <c:v>4.932652473449707</c:v>
                </c:pt>
                <c:pt idx="124">
                  <c:v>4.9186916351318359</c:v>
                </c:pt>
                <c:pt idx="125">
                  <c:v>5.1507015228271484</c:v>
                </c:pt>
                <c:pt idx="126">
                  <c:v>5.3302946090698242</c:v>
                </c:pt>
                <c:pt idx="127">
                  <c:v>5.2530341148376465</c:v>
                </c:pt>
                <c:pt idx="128">
                  <c:v>4.9531764984130859</c:v>
                </c:pt>
                <c:pt idx="129">
                  <c:v>4.8861775398254395</c:v>
                </c:pt>
                <c:pt idx="130">
                  <c:v>5.0507035255432129</c:v>
                </c:pt>
                <c:pt idx="131">
                  <c:v>5.0108833312988281</c:v>
                </c:pt>
                <c:pt idx="132">
                  <c:v>4.8403396606445313</c:v>
                </c:pt>
                <c:pt idx="133">
                  <c:v>4.998044490814209</c:v>
                </c:pt>
                <c:pt idx="134">
                  <c:v>4.8866324424743652</c:v>
                </c:pt>
                <c:pt idx="135">
                  <c:v>4.4674501419067383</c:v>
                </c:pt>
                <c:pt idx="136">
                  <c:v>5.8068351745605469</c:v>
                </c:pt>
                <c:pt idx="137">
                  <c:v>7.187995433807373</c:v>
                </c:pt>
                <c:pt idx="138">
                  <c:v>6.0203371047973633</c:v>
                </c:pt>
                <c:pt idx="139">
                  <c:v>4.8419313430786133</c:v>
                </c:pt>
                <c:pt idx="140">
                  <c:v>5.094510555267334</c:v>
                </c:pt>
                <c:pt idx="141">
                  <c:v>5.396641731262207</c:v>
                </c:pt>
                <c:pt idx="142">
                  <c:v>4.9155540466308594</c:v>
                </c:pt>
                <c:pt idx="143">
                  <c:v>4.2813091278076172</c:v>
                </c:pt>
                <c:pt idx="144">
                  <c:v>4.7875895500183105</c:v>
                </c:pt>
                <c:pt idx="145">
                  <c:v>4.7487392425537109</c:v>
                </c:pt>
                <c:pt idx="146">
                  <c:v>2.3373434543609619</c:v>
                </c:pt>
                <c:pt idx="147">
                  <c:v>2</c:v>
                </c:pt>
                <c:pt idx="148">
                  <c:v>3.0491828918457031</c:v>
                </c:pt>
                <c:pt idx="149">
                  <c:v>3.7696473598480225</c:v>
                </c:pt>
                <c:pt idx="150">
                  <c:v>4.9714117050170898</c:v>
                </c:pt>
                <c:pt idx="151">
                  <c:v>5.3522439002990723</c:v>
                </c:pt>
                <c:pt idx="152">
                  <c:v>5.080716609954834</c:v>
                </c:pt>
                <c:pt idx="153">
                  <c:v>4.7770543098449707</c:v>
                </c:pt>
                <c:pt idx="154">
                  <c:v>4.807370662689209</c:v>
                </c:pt>
                <c:pt idx="155">
                  <c:v>4.6307182312011719</c:v>
                </c:pt>
                <c:pt idx="156">
                  <c:v>4.8312597274780273</c:v>
                </c:pt>
                <c:pt idx="157">
                  <c:v>5.3820595741271973</c:v>
                </c:pt>
                <c:pt idx="158">
                  <c:v>4.8537392616271973</c:v>
                </c:pt>
                <c:pt idx="159">
                  <c:v>4.6017966270446777</c:v>
                </c:pt>
                <c:pt idx="160">
                  <c:v>4.983189582824707</c:v>
                </c:pt>
                <c:pt idx="161">
                  <c:v>4.6273226737976074</c:v>
                </c:pt>
                <c:pt idx="162">
                  <c:v>4.8652896881103516</c:v>
                </c:pt>
                <c:pt idx="163">
                  <c:v>4.7222123146057129</c:v>
                </c:pt>
                <c:pt idx="164">
                  <c:v>4.1615142822265625</c:v>
                </c:pt>
                <c:pt idx="165">
                  <c:v>4.8893156051635742</c:v>
                </c:pt>
                <c:pt idx="166">
                  <c:v>4.4858827590942383</c:v>
                </c:pt>
                <c:pt idx="167">
                  <c:v>4.6089358329772949</c:v>
                </c:pt>
                <c:pt idx="168">
                  <c:v>5.1114120483398438</c:v>
                </c:pt>
                <c:pt idx="169">
                  <c:v>4.7836785316467285</c:v>
                </c:pt>
                <c:pt idx="170">
                  <c:v>5.1847014427185059</c:v>
                </c:pt>
                <c:pt idx="171">
                  <c:v>4.5296592712402344</c:v>
                </c:pt>
                <c:pt idx="172">
                  <c:v>4.6687045097351074</c:v>
                </c:pt>
                <c:pt idx="173">
                  <c:v>4.7263202667236328</c:v>
                </c:pt>
                <c:pt idx="174">
                  <c:v>4.8523902893066406</c:v>
                </c:pt>
                <c:pt idx="175">
                  <c:v>4.6435418128967285</c:v>
                </c:pt>
                <c:pt idx="176">
                  <c:v>4.2329392433166504</c:v>
                </c:pt>
                <c:pt idx="177">
                  <c:v>5.1277675628662109</c:v>
                </c:pt>
                <c:pt idx="178">
                  <c:v>4.9258008003234863</c:v>
                </c:pt>
                <c:pt idx="179">
                  <c:v>4.8839492797851563</c:v>
                </c:pt>
                <c:pt idx="180">
                  <c:v>5.305511474609375</c:v>
                </c:pt>
                <c:pt idx="181">
                  <c:v>5.1780319213867188</c:v>
                </c:pt>
                <c:pt idx="182">
                  <c:v>5.0406084060668945</c:v>
                </c:pt>
                <c:pt idx="183">
                  <c:v>4.7012944221496582</c:v>
                </c:pt>
                <c:pt idx="184">
                  <c:v>4.6156511306762695</c:v>
                </c:pt>
                <c:pt idx="185">
                  <c:v>4.886192798614502</c:v>
                </c:pt>
                <c:pt idx="186">
                  <c:v>5.086583137512207</c:v>
                </c:pt>
                <c:pt idx="187">
                  <c:v>5.071925163269043</c:v>
                </c:pt>
                <c:pt idx="188">
                  <c:v>4.2657718658447266</c:v>
                </c:pt>
                <c:pt idx="189">
                  <c:v>4.7496790885925293</c:v>
                </c:pt>
                <c:pt idx="190">
                  <c:v>4.5954303741455078</c:v>
                </c:pt>
                <c:pt idx="191">
                  <c:v>3.9217133522033691</c:v>
                </c:pt>
                <c:pt idx="192">
                  <c:v>4.2765946388244629</c:v>
                </c:pt>
                <c:pt idx="193">
                  <c:v>4.0438570976257324</c:v>
                </c:pt>
                <c:pt idx="194">
                  <c:v>4.8298048973083496</c:v>
                </c:pt>
                <c:pt idx="195">
                  <c:v>4.4167766571044922</c:v>
                </c:pt>
                <c:pt idx="196">
                  <c:v>5.885566234588623</c:v>
                </c:pt>
                <c:pt idx="197">
                  <c:v>5.5368843078613281</c:v>
                </c:pt>
                <c:pt idx="198">
                  <c:v>5.3343267440795898</c:v>
                </c:pt>
                <c:pt idx="199">
                  <c:v>5.0459895133972168</c:v>
                </c:pt>
                <c:pt idx="200">
                  <c:v>5.6815686225891113</c:v>
                </c:pt>
                <c:pt idx="201">
                  <c:v>4.9407467842102051</c:v>
                </c:pt>
                <c:pt idx="202">
                  <c:v>3.6065917015075684</c:v>
                </c:pt>
                <c:pt idx="203">
                  <c:v>4.8178448677062988</c:v>
                </c:pt>
                <c:pt idx="204">
                  <c:v>4.3486261367797852</c:v>
                </c:pt>
                <c:pt idx="205">
                  <c:v>5.8227968215942383</c:v>
                </c:pt>
                <c:pt idx="206">
                  <c:v>4.5181088447570801</c:v>
                </c:pt>
                <c:pt idx="207">
                  <c:v>5.9024219512939453</c:v>
                </c:pt>
                <c:pt idx="208">
                  <c:v>4.4172921180725098</c:v>
                </c:pt>
                <c:pt idx="209">
                  <c:v>4.7964115142822266</c:v>
                </c:pt>
                <c:pt idx="210">
                  <c:v>4.115267276763916</c:v>
                </c:pt>
                <c:pt idx="211">
                  <c:v>3.7940216064453125</c:v>
                </c:pt>
                <c:pt idx="212">
                  <c:v>5.4296407699584961</c:v>
                </c:pt>
                <c:pt idx="213">
                  <c:v>4.324251651763916</c:v>
                </c:pt>
                <c:pt idx="214">
                  <c:v>5.6330776214599609</c:v>
                </c:pt>
                <c:pt idx="215">
                  <c:v>3.9292013645172119</c:v>
                </c:pt>
                <c:pt idx="216">
                  <c:v>4.9663186073303223</c:v>
                </c:pt>
                <c:pt idx="217">
                  <c:v>4.887420654296875</c:v>
                </c:pt>
                <c:pt idx="218">
                  <c:v>4.5906252861022949</c:v>
                </c:pt>
                <c:pt idx="219">
                  <c:v>6.1325979232788086</c:v>
                </c:pt>
                <c:pt idx="220">
                  <c:v>3.3685033321380615</c:v>
                </c:pt>
                <c:pt idx="221">
                  <c:v>5.6829328536987305</c:v>
                </c:pt>
                <c:pt idx="222">
                  <c:v>4.3029699325561523</c:v>
                </c:pt>
                <c:pt idx="223">
                  <c:v>3.7901713848114014</c:v>
                </c:pt>
                <c:pt idx="224">
                  <c:v>5.706428050994873</c:v>
                </c:pt>
                <c:pt idx="225">
                  <c:v>2.8573875427246094</c:v>
                </c:pt>
              </c:numCache>
            </c:numRef>
          </c:yVal>
          <c:smooth val="1"/>
          <c:extLst>
            <c:ext xmlns:c16="http://schemas.microsoft.com/office/drawing/2014/chart" uri="{C3380CC4-5D6E-409C-BE32-E72D297353CC}">
              <c16:uniqueId val="{00000001-58F6-4830-8941-1011DB88381F}"/>
            </c:ext>
          </c:extLst>
        </c:ser>
        <c:ser>
          <c:idx val="2"/>
          <c:order val="2"/>
          <c:tx>
            <c:v>3</c:v>
          </c:tx>
          <c:spPr>
            <a:ln w="19050" cap="rnd">
              <a:noFill/>
              <a:round/>
            </a:ln>
            <a:effectLst/>
            <a:extLst>
              <a:ext uri="{91240B29-F687-4F45-9708-019B960494DF}">
                <a14:hiddenLine xmlns:a14="http://schemas.microsoft.com/office/drawing/2010/main" w="19050" cap="rnd">
                  <a:solidFill>
                    <a:srgbClr val="A5A5A5"/>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NormalisedUVVisData!$D$2:$D$300</c:f>
              <c:numCache>
                <c:formatCode>General</c:formatCode>
                <c:ptCount val="299"/>
                <c:pt idx="0">
                  <c:v>90.214912414550781</c:v>
                </c:pt>
                <c:pt idx="1">
                  <c:v>87.832244873046875</c:v>
                </c:pt>
                <c:pt idx="2">
                  <c:v>86.265533447265625</c:v>
                </c:pt>
                <c:pt idx="3">
                  <c:v>85.73760986328125</c:v>
                </c:pt>
                <c:pt idx="4">
                  <c:v>86.456336975097656</c:v>
                </c:pt>
                <c:pt idx="5">
                  <c:v>87.664329528808594</c:v>
                </c:pt>
                <c:pt idx="6">
                  <c:v>89.713165283203125</c:v>
                </c:pt>
                <c:pt idx="7">
                  <c:v>91.381065368652344</c:v>
                </c:pt>
                <c:pt idx="8">
                  <c:v>91.332389831542969</c:v>
                </c:pt>
                <c:pt idx="9">
                  <c:v>89.641883850097656</c:v>
                </c:pt>
                <c:pt idx="10">
                  <c:v>86.999580383300781</c:v>
                </c:pt>
                <c:pt idx="11">
                  <c:v>83.482376098632813</c:v>
                </c:pt>
                <c:pt idx="12">
                  <c:v>79.648681640625</c:v>
                </c:pt>
                <c:pt idx="13">
                  <c:v>75.718391418457031</c:v>
                </c:pt>
                <c:pt idx="14">
                  <c:v>71.421066284179688</c:v>
                </c:pt>
                <c:pt idx="15">
                  <c:v>67.16839599609375</c:v>
                </c:pt>
                <c:pt idx="16">
                  <c:v>64.479843139648438</c:v>
                </c:pt>
                <c:pt idx="17">
                  <c:v>63.305683135986328</c:v>
                </c:pt>
                <c:pt idx="18">
                  <c:v>63.719974517822266</c:v>
                </c:pt>
                <c:pt idx="19">
                  <c:v>65.867912292480469</c:v>
                </c:pt>
                <c:pt idx="20">
                  <c:v>69.508209228515625</c:v>
                </c:pt>
                <c:pt idx="21">
                  <c:v>74.385307312011719</c:v>
                </c:pt>
                <c:pt idx="22">
                  <c:v>80.260200500488281</c:v>
                </c:pt>
                <c:pt idx="23">
                  <c:v>86.439971923828125</c:v>
                </c:pt>
                <c:pt idx="24">
                  <c:v>92.661041259765625</c:v>
                </c:pt>
                <c:pt idx="25">
                  <c:v>97.393241882324219</c:v>
                </c:pt>
                <c:pt idx="26">
                  <c:v>100</c:v>
                </c:pt>
                <c:pt idx="27">
                  <c:v>99.169769287109375</c:v>
                </c:pt>
                <c:pt idx="28">
                  <c:v>93.220527648925781</c:v>
                </c:pt>
                <c:pt idx="29">
                  <c:v>82.201103210449219</c:v>
                </c:pt>
                <c:pt idx="30">
                  <c:v>67.761238098144531</c:v>
                </c:pt>
                <c:pt idx="31">
                  <c:v>54.250518798828125</c:v>
                </c:pt>
                <c:pt idx="32">
                  <c:v>43.615985870361328</c:v>
                </c:pt>
                <c:pt idx="33">
                  <c:v>37.236713409423828</c:v>
                </c:pt>
                <c:pt idx="34">
                  <c:v>34.269275665283203</c:v>
                </c:pt>
                <c:pt idx="35">
                  <c:v>33.505893707275391</c:v>
                </c:pt>
                <c:pt idx="36">
                  <c:v>34.171821594238281</c:v>
                </c:pt>
                <c:pt idx="37">
                  <c:v>35.427360534667969</c:v>
                </c:pt>
                <c:pt idx="38">
                  <c:v>36.852523803710938</c:v>
                </c:pt>
                <c:pt idx="39">
                  <c:v>38.545684814453125</c:v>
                </c:pt>
                <c:pt idx="40">
                  <c:v>39.908523559570313</c:v>
                </c:pt>
                <c:pt idx="41">
                  <c:v>40.805637359619141</c:v>
                </c:pt>
                <c:pt idx="42">
                  <c:v>41.404556274414063</c:v>
                </c:pt>
                <c:pt idx="43">
                  <c:v>41.122028350830078</c:v>
                </c:pt>
                <c:pt idx="44">
                  <c:v>40.313003540039063</c:v>
                </c:pt>
                <c:pt idx="45">
                  <c:v>39.268901824951172</c:v>
                </c:pt>
                <c:pt idx="46">
                  <c:v>37.776287078857422</c:v>
                </c:pt>
                <c:pt idx="47">
                  <c:v>36.279937744140625</c:v>
                </c:pt>
                <c:pt idx="48">
                  <c:v>34.810558319091797</c:v>
                </c:pt>
                <c:pt idx="49">
                  <c:v>33.601863861083984</c:v>
                </c:pt>
                <c:pt idx="50">
                  <c:v>32.933528900146484</c:v>
                </c:pt>
                <c:pt idx="51">
                  <c:v>32.689651489257813</c:v>
                </c:pt>
                <c:pt idx="52">
                  <c:v>32.718486785888672</c:v>
                </c:pt>
                <c:pt idx="53">
                  <c:v>32.8271484375</c:v>
                </c:pt>
                <c:pt idx="54">
                  <c:v>32.830410003662109</c:v>
                </c:pt>
                <c:pt idx="55">
                  <c:v>32.777011871337891</c:v>
                </c:pt>
                <c:pt idx="56">
                  <c:v>32.82373046875</c:v>
                </c:pt>
                <c:pt idx="57">
                  <c:v>32.496257781982422</c:v>
                </c:pt>
                <c:pt idx="58">
                  <c:v>31.719802856445313</c:v>
                </c:pt>
                <c:pt idx="59">
                  <c:v>30.66987419128418</c:v>
                </c:pt>
                <c:pt idx="60">
                  <c:v>28.909643173217773</c:v>
                </c:pt>
                <c:pt idx="61">
                  <c:v>26.918195724487305</c:v>
                </c:pt>
                <c:pt idx="62">
                  <c:v>24.867620468139648</c:v>
                </c:pt>
                <c:pt idx="63">
                  <c:v>22.769124984741211</c:v>
                </c:pt>
                <c:pt idx="64">
                  <c:v>20.54582405090332</c:v>
                </c:pt>
                <c:pt idx="65">
                  <c:v>18.380321502685547</c:v>
                </c:pt>
                <c:pt idx="66">
                  <c:v>16.604454040527344</c:v>
                </c:pt>
                <c:pt idx="67">
                  <c:v>15.051353454589844</c:v>
                </c:pt>
                <c:pt idx="68">
                  <c:v>14.101446151733398</c:v>
                </c:pt>
                <c:pt idx="69">
                  <c:v>13.253836631774902</c:v>
                </c:pt>
                <c:pt idx="70">
                  <c:v>12.623771667480469</c:v>
                </c:pt>
                <c:pt idx="71">
                  <c:v>12.500741004943848</c:v>
                </c:pt>
                <c:pt idx="72">
                  <c:v>12.551953315734863</c:v>
                </c:pt>
                <c:pt idx="73">
                  <c:v>12.782317161560059</c:v>
                </c:pt>
                <c:pt idx="74">
                  <c:v>13.386332511901855</c:v>
                </c:pt>
                <c:pt idx="75">
                  <c:v>14.20925235748291</c:v>
                </c:pt>
                <c:pt idx="76">
                  <c:v>15.180588722229004</c:v>
                </c:pt>
                <c:pt idx="77">
                  <c:v>16.264986038208008</c:v>
                </c:pt>
                <c:pt idx="78">
                  <c:v>17.60468864440918</c:v>
                </c:pt>
                <c:pt idx="79">
                  <c:v>18.892070770263672</c:v>
                </c:pt>
                <c:pt idx="80">
                  <c:v>20.185878753662109</c:v>
                </c:pt>
                <c:pt idx="81">
                  <c:v>21.660703659057617</c:v>
                </c:pt>
                <c:pt idx="82">
                  <c:v>23.092353820800781</c:v>
                </c:pt>
                <c:pt idx="83">
                  <c:v>25.189046859741211</c:v>
                </c:pt>
                <c:pt idx="84">
                  <c:v>27.10307502746582</c:v>
                </c:pt>
                <c:pt idx="85">
                  <c:v>28.767051696777344</c:v>
                </c:pt>
                <c:pt idx="86">
                  <c:v>30.964111328125</c:v>
                </c:pt>
                <c:pt idx="87">
                  <c:v>32.839744567871094</c:v>
                </c:pt>
                <c:pt idx="88">
                  <c:v>34.685310363769531</c:v>
                </c:pt>
                <c:pt idx="89">
                  <c:v>36.564426422119141</c:v>
                </c:pt>
                <c:pt idx="90">
                  <c:v>38.33282470703125</c:v>
                </c:pt>
                <c:pt idx="91">
                  <c:v>40.012310028076172</c:v>
                </c:pt>
                <c:pt idx="92">
                  <c:v>41.40496826171875</c:v>
                </c:pt>
                <c:pt idx="93">
                  <c:v>42.928123474121094</c:v>
                </c:pt>
                <c:pt idx="94">
                  <c:v>44.247032165527344</c:v>
                </c:pt>
                <c:pt idx="95">
                  <c:v>45.221851348876953</c:v>
                </c:pt>
                <c:pt idx="96">
                  <c:v>46.294914245605469</c:v>
                </c:pt>
                <c:pt idx="97">
                  <c:v>47.265174865722656</c:v>
                </c:pt>
                <c:pt idx="98">
                  <c:v>47.853237152099609</c:v>
                </c:pt>
                <c:pt idx="99">
                  <c:v>48.05084228515625</c:v>
                </c:pt>
                <c:pt idx="100">
                  <c:v>47.233142852783203</c:v>
                </c:pt>
                <c:pt idx="101">
                  <c:v>46.186573028564453</c:v>
                </c:pt>
                <c:pt idx="102">
                  <c:v>45.296928405761719</c:v>
                </c:pt>
                <c:pt idx="103">
                  <c:v>44.235195159912109</c:v>
                </c:pt>
                <c:pt idx="104">
                  <c:v>43.054828643798828</c:v>
                </c:pt>
                <c:pt idx="105">
                  <c:v>41.309154510498047</c:v>
                </c:pt>
                <c:pt idx="106">
                  <c:v>39.733489990234375</c:v>
                </c:pt>
                <c:pt idx="107">
                  <c:v>38.393280029296875</c:v>
                </c:pt>
                <c:pt idx="108">
                  <c:v>36.690719604492188</c:v>
                </c:pt>
                <c:pt idx="109">
                  <c:v>34.403354644775391</c:v>
                </c:pt>
                <c:pt idx="110">
                  <c:v>31.666753768920898</c:v>
                </c:pt>
                <c:pt idx="111">
                  <c:v>28.964908599853516</c:v>
                </c:pt>
                <c:pt idx="112">
                  <c:v>25.904571533203125</c:v>
                </c:pt>
                <c:pt idx="113">
                  <c:v>22.503944396972656</c:v>
                </c:pt>
                <c:pt idx="114">
                  <c:v>18.72950553894043</c:v>
                </c:pt>
                <c:pt idx="115">
                  <c:v>15.239524841308594</c:v>
                </c:pt>
                <c:pt idx="116">
                  <c:v>12.864517211914063</c:v>
                </c:pt>
                <c:pt idx="117">
                  <c:v>10.954793930053711</c:v>
                </c:pt>
                <c:pt idx="118">
                  <c:v>9.0110445022583008</c:v>
                </c:pt>
                <c:pt idx="119">
                  <c:v>7.521090030670166</c:v>
                </c:pt>
                <c:pt idx="120">
                  <c:v>6.187401294708252</c:v>
                </c:pt>
                <c:pt idx="121">
                  <c:v>5.2695250511169434</c:v>
                </c:pt>
                <c:pt idx="122">
                  <c:v>4.8239598274230957</c:v>
                </c:pt>
                <c:pt idx="123">
                  <c:v>4.2151017189025879</c:v>
                </c:pt>
                <c:pt idx="124">
                  <c:v>3.9389698505401611</c:v>
                </c:pt>
                <c:pt idx="125">
                  <c:v>3.9389381408691406</c:v>
                </c:pt>
                <c:pt idx="126">
                  <c:v>3.7757089138031006</c:v>
                </c:pt>
                <c:pt idx="127">
                  <c:v>3.5966851711273193</c:v>
                </c:pt>
                <c:pt idx="128">
                  <c:v>3.6744539737701416</c:v>
                </c:pt>
                <c:pt idx="129">
                  <c:v>3.8537626266479492</c:v>
                </c:pt>
                <c:pt idx="130">
                  <c:v>4.2330169677734375</c:v>
                </c:pt>
                <c:pt idx="131">
                  <c:v>4.1750936508178711</c:v>
                </c:pt>
                <c:pt idx="132">
                  <c:v>3.5543346405029297</c:v>
                </c:pt>
                <c:pt idx="133">
                  <c:v>3.5522456169128418</c:v>
                </c:pt>
                <c:pt idx="134">
                  <c:v>4.1929769515991211</c:v>
                </c:pt>
                <c:pt idx="135">
                  <c:v>4.370734691619873</c:v>
                </c:pt>
                <c:pt idx="136">
                  <c:v>5.6779623031616211</c:v>
                </c:pt>
                <c:pt idx="137">
                  <c:v>6.2731146812438965</c:v>
                </c:pt>
                <c:pt idx="138">
                  <c:v>4.7907567024230957</c:v>
                </c:pt>
                <c:pt idx="139">
                  <c:v>3.8632898330688477</c:v>
                </c:pt>
                <c:pt idx="140">
                  <c:v>3.8077723979949951</c:v>
                </c:pt>
                <c:pt idx="141">
                  <c:v>4.186678409576416</c:v>
                </c:pt>
                <c:pt idx="142">
                  <c:v>4.6434483528137207</c:v>
                </c:pt>
                <c:pt idx="143">
                  <c:v>4.263181209564209</c:v>
                </c:pt>
                <c:pt idx="144">
                  <c:v>3.783400297164917</c:v>
                </c:pt>
                <c:pt idx="145">
                  <c:v>4.7004537582397461</c:v>
                </c:pt>
                <c:pt idx="146">
                  <c:v>4.7227368354797363</c:v>
                </c:pt>
                <c:pt idx="147">
                  <c:v>5.0843291282653809</c:v>
                </c:pt>
                <c:pt idx="148">
                  <c:v>6.7721085548400879</c:v>
                </c:pt>
                <c:pt idx="149">
                  <c:v>6.8150606155395508</c:v>
                </c:pt>
                <c:pt idx="150">
                  <c:v>4.5283932685852051</c:v>
                </c:pt>
                <c:pt idx="151">
                  <c:v>4.1567039489746094</c:v>
                </c:pt>
                <c:pt idx="152">
                  <c:v>4.0189542770385742</c:v>
                </c:pt>
                <c:pt idx="153">
                  <c:v>4.1426506042480469</c:v>
                </c:pt>
                <c:pt idx="154">
                  <c:v>3.9983172416687012</c:v>
                </c:pt>
                <c:pt idx="155">
                  <c:v>4.8427610397338867</c:v>
                </c:pt>
                <c:pt idx="156">
                  <c:v>5.3849596977233887</c:v>
                </c:pt>
                <c:pt idx="157">
                  <c:v>4.377476692199707</c:v>
                </c:pt>
                <c:pt idx="158">
                  <c:v>4.6330032348632813</c:v>
                </c:pt>
                <c:pt idx="159">
                  <c:v>4.7738547325134277</c:v>
                </c:pt>
                <c:pt idx="160">
                  <c:v>4.0644068717956543</c:v>
                </c:pt>
                <c:pt idx="161">
                  <c:v>3.9904043674468994</c:v>
                </c:pt>
                <c:pt idx="162">
                  <c:v>3.9379253387451172</c:v>
                </c:pt>
                <c:pt idx="163">
                  <c:v>4.4540109634399414</c:v>
                </c:pt>
                <c:pt idx="164">
                  <c:v>4.4762625694274902</c:v>
                </c:pt>
                <c:pt idx="165">
                  <c:v>3.9433693885803223</c:v>
                </c:pt>
                <c:pt idx="166">
                  <c:v>4.2825837135314941</c:v>
                </c:pt>
                <c:pt idx="167">
                  <c:v>4.0169920921325684</c:v>
                </c:pt>
                <c:pt idx="168">
                  <c:v>4.126096248626709</c:v>
                </c:pt>
                <c:pt idx="169">
                  <c:v>3.4397227764129639</c:v>
                </c:pt>
                <c:pt idx="170">
                  <c:v>3.5182831287384033</c:v>
                </c:pt>
                <c:pt idx="171">
                  <c:v>4.8455147743225098</c:v>
                </c:pt>
                <c:pt idx="172">
                  <c:v>4.2186470031738281</c:v>
                </c:pt>
                <c:pt idx="173">
                  <c:v>3.5023305416107178</c:v>
                </c:pt>
                <c:pt idx="174">
                  <c:v>3.3215343952178955</c:v>
                </c:pt>
                <c:pt idx="175">
                  <c:v>4.0187010765075684</c:v>
                </c:pt>
                <c:pt idx="176">
                  <c:v>4.2062077522277832</c:v>
                </c:pt>
                <c:pt idx="177">
                  <c:v>3.694521427154541</c:v>
                </c:pt>
                <c:pt idx="178">
                  <c:v>3.9508075714111328</c:v>
                </c:pt>
                <c:pt idx="179">
                  <c:v>4.5194358825683594</c:v>
                </c:pt>
                <c:pt idx="180">
                  <c:v>4.5222845077514648</c:v>
                </c:pt>
                <c:pt idx="181">
                  <c:v>4.5394082069396973</c:v>
                </c:pt>
                <c:pt idx="182">
                  <c:v>4.4808201789855957</c:v>
                </c:pt>
                <c:pt idx="183">
                  <c:v>4.1090993881225586</c:v>
                </c:pt>
                <c:pt idx="184">
                  <c:v>3.7398471832275391</c:v>
                </c:pt>
                <c:pt idx="185">
                  <c:v>3.5674386024475098</c:v>
                </c:pt>
                <c:pt idx="186">
                  <c:v>3.6312491893768311</c:v>
                </c:pt>
                <c:pt idx="187">
                  <c:v>3.815432071685791</c:v>
                </c:pt>
                <c:pt idx="188">
                  <c:v>3.516953706741333</c:v>
                </c:pt>
                <c:pt idx="189">
                  <c:v>4.0559239387512207</c:v>
                </c:pt>
                <c:pt idx="190">
                  <c:v>2.8968594074249268</c:v>
                </c:pt>
                <c:pt idx="191">
                  <c:v>3.2556347846984863</c:v>
                </c:pt>
                <c:pt idx="192">
                  <c:v>3.1293749809265137</c:v>
                </c:pt>
                <c:pt idx="193">
                  <c:v>2.8902757167816162</c:v>
                </c:pt>
                <c:pt idx="194">
                  <c:v>2.1556329727172852</c:v>
                </c:pt>
                <c:pt idx="195">
                  <c:v>2.1469602584838867</c:v>
                </c:pt>
                <c:pt idx="196">
                  <c:v>2.6865952014923096</c:v>
                </c:pt>
                <c:pt idx="197">
                  <c:v>3.5560755729675293</c:v>
                </c:pt>
                <c:pt idx="198">
                  <c:v>5.4607028961181641</c:v>
                </c:pt>
                <c:pt idx="199">
                  <c:v>3.9035196304321289</c:v>
                </c:pt>
                <c:pt idx="200">
                  <c:v>3.5342040061950684</c:v>
                </c:pt>
                <c:pt idx="201">
                  <c:v>2.8310866355895996</c:v>
                </c:pt>
                <c:pt idx="202">
                  <c:v>3.4303538799285889</c:v>
                </c:pt>
                <c:pt idx="203">
                  <c:v>2.5495102405548096</c:v>
                </c:pt>
                <c:pt idx="204">
                  <c:v>3.7644722461700439</c:v>
                </c:pt>
                <c:pt idx="205">
                  <c:v>4.1758532524108887</c:v>
                </c:pt>
                <c:pt idx="206">
                  <c:v>3.7167727947235107</c:v>
                </c:pt>
                <c:pt idx="207">
                  <c:v>4.6702895164489746</c:v>
                </c:pt>
                <c:pt idx="208">
                  <c:v>3.7748541831970215</c:v>
                </c:pt>
                <c:pt idx="209">
                  <c:v>4.7574906349182129</c:v>
                </c:pt>
                <c:pt idx="210">
                  <c:v>3.1615967750549316</c:v>
                </c:pt>
                <c:pt idx="211">
                  <c:v>3.6305844783782959</c:v>
                </c:pt>
                <c:pt idx="212">
                  <c:v>3.5738639831542969</c:v>
                </c:pt>
                <c:pt idx="213">
                  <c:v>4.0121493339538574</c:v>
                </c:pt>
                <c:pt idx="214">
                  <c:v>4.1793036460876465</c:v>
                </c:pt>
                <c:pt idx="215">
                  <c:v>3.212841272354126</c:v>
                </c:pt>
                <c:pt idx="216">
                  <c:v>4.0225629806518555</c:v>
                </c:pt>
                <c:pt idx="217">
                  <c:v>3.5011277198791504</c:v>
                </c:pt>
                <c:pt idx="218">
                  <c:v>4.7533440589904785</c:v>
                </c:pt>
                <c:pt idx="219">
                  <c:v>3.7694101333618164</c:v>
                </c:pt>
                <c:pt idx="220">
                  <c:v>2.7717390060424805</c:v>
                </c:pt>
                <c:pt idx="221">
                  <c:v>3.3846166133880615</c:v>
                </c:pt>
                <c:pt idx="222">
                  <c:v>2</c:v>
                </c:pt>
                <c:pt idx="223">
                  <c:v>4.6655731201171875</c:v>
                </c:pt>
                <c:pt idx="224">
                  <c:v>3.3460013866424561</c:v>
                </c:pt>
                <c:pt idx="225">
                  <c:v>2.667888879776001</c:v>
                </c:pt>
              </c:numCache>
            </c:numRef>
          </c:yVal>
          <c:smooth val="1"/>
          <c:extLst>
            <c:ext xmlns:c16="http://schemas.microsoft.com/office/drawing/2014/chart" uri="{C3380CC4-5D6E-409C-BE32-E72D297353CC}">
              <c16:uniqueId val="{00000002-58F6-4830-8941-1011DB88381F}"/>
            </c:ext>
          </c:extLst>
        </c:ser>
        <c:ser>
          <c:idx val="3"/>
          <c:order val="3"/>
          <c:tx>
            <c:v>4</c:v>
          </c:tx>
          <c:spPr>
            <a:ln w="19050" cap="rnd">
              <a:noFill/>
              <a:round/>
            </a:ln>
            <a:effectLst/>
            <a:extLst>
              <a:ext uri="{91240B29-F687-4F45-9708-019B960494DF}">
                <a14:hiddenLine xmlns:a14="http://schemas.microsoft.com/office/drawing/2010/main" w="19050" cap="rnd">
                  <a:solidFill>
                    <a:srgbClr val="FFC000"/>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NormalisedUVVisData!$E$2:$E$300</c:f>
              <c:numCache>
                <c:formatCode>General</c:formatCode>
                <c:ptCount val="299"/>
                <c:pt idx="0">
                  <c:v>99.999992370605469</c:v>
                </c:pt>
                <c:pt idx="1">
                  <c:v>96.313385009765625</c:v>
                </c:pt>
                <c:pt idx="2">
                  <c:v>91.428001403808594</c:v>
                </c:pt>
                <c:pt idx="3">
                  <c:v>86.724761962890625</c:v>
                </c:pt>
                <c:pt idx="4">
                  <c:v>82.479804992675781</c:v>
                </c:pt>
                <c:pt idx="5">
                  <c:v>78.455810546875</c:v>
                </c:pt>
                <c:pt idx="6">
                  <c:v>74.741767883300781</c:v>
                </c:pt>
                <c:pt idx="7">
                  <c:v>71.81427001953125</c:v>
                </c:pt>
                <c:pt idx="8">
                  <c:v>69.602897644042969</c:v>
                </c:pt>
                <c:pt idx="9">
                  <c:v>67.495758056640625</c:v>
                </c:pt>
                <c:pt idx="10">
                  <c:v>65.735015869140625</c:v>
                </c:pt>
                <c:pt idx="11">
                  <c:v>63.61700439453125</c:v>
                </c:pt>
                <c:pt idx="12">
                  <c:v>61.206089019775391</c:v>
                </c:pt>
                <c:pt idx="13">
                  <c:v>58.938514709472656</c:v>
                </c:pt>
                <c:pt idx="14">
                  <c:v>57.665523529052734</c:v>
                </c:pt>
                <c:pt idx="15">
                  <c:v>58.564010620117188</c:v>
                </c:pt>
                <c:pt idx="16">
                  <c:v>62.123126983642578</c:v>
                </c:pt>
                <c:pt idx="17">
                  <c:v>67.814529418945313</c:v>
                </c:pt>
                <c:pt idx="18">
                  <c:v>74.210151672363281</c:v>
                </c:pt>
                <c:pt idx="19">
                  <c:v>80.689949035644531</c:v>
                </c:pt>
                <c:pt idx="20">
                  <c:v>85.626007080078125</c:v>
                </c:pt>
                <c:pt idx="21">
                  <c:v>88.4072265625</c:v>
                </c:pt>
                <c:pt idx="22">
                  <c:v>88.032981872558594</c:v>
                </c:pt>
                <c:pt idx="23">
                  <c:v>84.759361267089844</c:v>
                </c:pt>
                <c:pt idx="24">
                  <c:v>79.8458251953125</c:v>
                </c:pt>
                <c:pt idx="25">
                  <c:v>74.411483764648438</c:v>
                </c:pt>
                <c:pt idx="26">
                  <c:v>68.990303039550781</c:v>
                </c:pt>
                <c:pt idx="27">
                  <c:v>63.691951751708984</c:v>
                </c:pt>
                <c:pt idx="28">
                  <c:v>57.368038177490234</c:v>
                </c:pt>
                <c:pt idx="29">
                  <c:v>50.319446563720703</c:v>
                </c:pt>
                <c:pt idx="30">
                  <c:v>42.947925567626953</c:v>
                </c:pt>
                <c:pt idx="31">
                  <c:v>36.311244964599609</c:v>
                </c:pt>
                <c:pt idx="32">
                  <c:v>30.58531379699707</c:v>
                </c:pt>
                <c:pt idx="33">
                  <c:v>26.507911682128906</c:v>
                </c:pt>
                <c:pt idx="34">
                  <c:v>23.721824645996094</c:v>
                </c:pt>
                <c:pt idx="35">
                  <c:v>21.681755065917969</c:v>
                </c:pt>
                <c:pt idx="36">
                  <c:v>20.392282485961914</c:v>
                </c:pt>
                <c:pt idx="37">
                  <c:v>19.492061614990234</c:v>
                </c:pt>
                <c:pt idx="38">
                  <c:v>18.890361785888672</c:v>
                </c:pt>
                <c:pt idx="39">
                  <c:v>18.276115417480469</c:v>
                </c:pt>
                <c:pt idx="40">
                  <c:v>17.823003768920898</c:v>
                </c:pt>
                <c:pt idx="41">
                  <c:v>17.469564437866211</c:v>
                </c:pt>
                <c:pt idx="42">
                  <c:v>17.205043792724609</c:v>
                </c:pt>
                <c:pt idx="43">
                  <c:v>16.932113647460938</c:v>
                </c:pt>
                <c:pt idx="44">
                  <c:v>16.665525436401367</c:v>
                </c:pt>
                <c:pt idx="45">
                  <c:v>16.493303298950195</c:v>
                </c:pt>
                <c:pt idx="46">
                  <c:v>16.493917465209961</c:v>
                </c:pt>
                <c:pt idx="47">
                  <c:v>16.879594802856445</c:v>
                </c:pt>
                <c:pt idx="48">
                  <c:v>17.313684463500977</c:v>
                </c:pt>
                <c:pt idx="49">
                  <c:v>17.88398551940918</c:v>
                </c:pt>
                <c:pt idx="50">
                  <c:v>18.624332427978516</c:v>
                </c:pt>
                <c:pt idx="51">
                  <c:v>19.588998794555664</c:v>
                </c:pt>
                <c:pt idx="52">
                  <c:v>21.031389236450195</c:v>
                </c:pt>
                <c:pt idx="53">
                  <c:v>22.785457611083984</c:v>
                </c:pt>
                <c:pt idx="54">
                  <c:v>24.353137969970703</c:v>
                </c:pt>
                <c:pt idx="55">
                  <c:v>26.108406066894531</c:v>
                </c:pt>
                <c:pt idx="56">
                  <c:v>28.110204696655273</c:v>
                </c:pt>
                <c:pt idx="57">
                  <c:v>30.062725067138672</c:v>
                </c:pt>
                <c:pt idx="58">
                  <c:v>32.152324676513672</c:v>
                </c:pt>
                <c:pt idx="59">
                  <c:v>34.030174255371094</c:v>
                </c:pt>
                <c:pt idx="60">
                  <c:v>35.689624786376953</c:v>
                </c:pt>
                <c:pt idx="61">
                  <c:v>37.201072692871094</c:v>
                </c:pt>
                <c:pt idx="62">
                  <c:v>38.297454833984375</c:v>
                </c:pt>
                <c:pt idx="63">
                  <c:v>38.833564758300781</c:v>
                </c:pt>
                <c:pt idx="64">
                  <c:v>38.592033386230469</c:v>
                </c:pt>
                <c:pt idx="65">
                  <c:v>37.962898254394531</c:v>
                </c:pt>
                <c:pt idx="66">
                  <c:v>36.895122528076172</c:v>
                </c:pt>
                <c:pt idx="67">
                  <c:v>35.0928955078125</c:v>
                </c:pt>
                <c:pt idx="68">
                  <c:v>33.116489410400391</c:v>
                </c:pt>
                <c:pt idx="69">
                  <c:v>30.710073471069336</c:v>
                </c:pt>
                <c:pt idx="70">
                  <c:v>28.315921783447266</c:v>
                </c:pt>
                <c:pt idx="71">
                  <c:v>25.979316711425781</c:v>
                </c:pt>
                <c:pt idx="72">
                  <c:v>23.177223205566406</c:v>
                </c:pt>
                <c:pt idx="73">
                  <c:v>20.275344848632813</c:v>
                </c:pt>
                <c:pt idx="74">
                  <c:v>17.729949951171875</c:v>
                </c:pt>
                <c:pt idx="75">
                  <c:v>15.311857223510742</c:v>
                </c:pt>
                <c:pt idx="76">
                  <c:v>13.084535598754883</c:v>
                </c:pt>
                <c:pt idx="77">
                  <c:v>11.221911430358887</c:v>
                </c:pt>
                <c:pt idx="78">
                  <c:v>9.8791103363037109</c:v>
                </c:pt>
                <c:pt idx="79">
                  <c:v>8.8580694198608398</c:v>
                </c:pt>
                <c:pt idx="80">
                  <c:v>7.902928352355957</c:v>
                </c:pt>
                <c:pt idx="81">
                  <c:v>7.2587652206420898</c:v>
                </c:pt>
                <c:pt idx="82">
                  <c:v>6.8395099639892578</c:v>
                </c:pt>
                <c:pt idx="83">
                  <c:v>6.4712085723876953</c:v>
                </c:pt>
                <c:pt idx="84">
                  <c:v>6.1511802673339844</c:v>
                </c:pt>
                <c:pt idx="85">
                  <c:v>5.9894061088562012</c:v>
                </c:pt>
                <c:pt idx="86">
                  <c:v>5.8842010498046875</c:v>
                </c:pt>
                <c:pt idx="87">
                  <c:v>5.7669839859008789</c:v>
                </c:pt>
                <c:pt idx="88">
                  <c:v>5.7522897720336914</c:v>
                </c:pt>
                <c:pt idx="89">
                  <c:v>6.1564598083496094</c:v>
                </c:pt>
                <c:pt idx="90">
                  <c:v>6.3174242973327637</c:v>
                </c:pt>
                <c:pt idx="91">
                  <c:v>6.5211014747619629</c:v>
                </c:pt>
                <c:pt idx="92">
                  <c:v>6.7673802375793457</c:v>
                </c:pt>
                <c:pt idx="93">
                  <c:v>6.4954009056091309</c:v>
                </c:pt>
                <c:pt idx="94">
                  <c:v>6.4653701782226563</c:v>
                </c:pt>
                <c:pt idx="95">
                  <c:v>6.9073929786682129</c:v>
                </c:pt>
                <c:pt idx="96">
                  <c:v>7.2470879554748535</c:v>
                </c:pt>
                <c:pt idx="97">
                  <c:v>7.310417652130127</c:v>
                </c:pt>
                <c:pt idx="98">
                  <c:v>7.6275968551635742</c:v>
                </c:pt>
                <c:pt idx="99">
                  <c:v>8.1538724899291992</c:v>
                </c:pt>
                <c:pt idx="100">
                  <c:v>8.4685373306274414</c:v>
                </c:pt>
                <c:pt idx="101">
                  <c:v>8.6151704788208008</c:v>
                </c:pt>
                <c:pt idx="102">
                  <c:v>8.7582006454467773</c:v>
                </c:pt>
                <c:pt idx="103">
                  <c:v>9.291041374206543</c:v>
                </c:pt>
                <c:pt idx="104">
                  <c:v>9.6305685043334961</c:v>
                </c:pt>
                <c:pt idx="105">
                  <c:v>10.003842353820801</c:v>
                </c:pt>
                <c:pt idx="106">
                  <c:v>10.697256088256836</c:v>
                </c:pt>
                <c:pt idx="107">
                  <c:v>10.977532386779785</c:v>
                </c:pt>
                <c:pt idx="108">
                  <c:v>11.214872360229492</c:v>
                </c:pt>
                <c:pt idx="109">
                  <c:v>11.678125381469727</c:v>
                </c:pt>
                <c:pt idx="110">
                  <c:v>12.143670082092285</c:v>
                </c:pt>
                <c:pt idx="111">
                  <c:v>12.493477821350098</c:v>
                </c:pt>
                <c:pt idx="112">
                  <c:v>13.22957706451416</c:v>
                </c:pt>
                <c:pt idx="113">
                  <c:v>13.947434425354004</c:v>
                </c:pt>
                <c:pt idx="114">
                  <c:v>14.166922569274902</c:v>
                </c:pt>
                <c:pt idx="115">
                  <c:v>14.661938667297363</c:v>
                </c:pt>
                <c:pt idx="116">
                  <c:v>15.486621856689453</c:v>
                </c:pt>
                <c:pt idx="117">
                  <c:v>16.311807632446289</c:v>
                </c:pt>
                <c:pt idx="118">
                  <c:v>16.606832504272461</c:v>
                </c:pt>
                <c:pt idx="119">
                  <c:v>17.241945266723633</c:v>
                </c:pt>
                <c:pt idx="120">
                  <c:v>18.049642562866211</c:v>
                </c:pt>
                <c:pt idx="121">
                  <c:v>18.559158325195313</c:v>
                </c:pt>
                <c:pt idx="122">
                  <c:v>19.217653274536133</c:v>
                </c:pt>
                <c:pt idx="123">
                  <c:v>19.546285629272461</c:v>
                </c:pt>
                <c:pt idx="124">
                  <c:v>20.044597625732422</c:v>
                </c:pt>
                <c:pt idx="125">
                  <c:v>20.850898742675781</c:v>
                </c:pt>
                <c:pt idx="126">
                  <c:v>21.666753768920898</c:v>
                </c:pt>
                <c:pt idx="127">
                  <c:v>22.511661529541016</c:v>
                </c:pt>
                <c:pt idx="128">
                  <c:v>22.764225006103516</c:v>
                </c:pt>
                <c:pt idx="129">
                  <c:v>23.416128158569336</c:v>
                </c:pt>
                <c:pt idx="130">
                  <c:v>24.662746429443359</c:v>
                </c:pt>
                <c:pt idx="131">
                  <c:v>25.45756721496582</c:v>
                </c:pt>
                <c:pt idx="132">
                  <c:v>26.087148666381836</c:v>
                </c:pt>
                <c:pt idx="133">
                  <c:v>27.129671096801758</c:v>
                </c:pt>
                <c:pt idx="134">
                  <c:v>27.915048599243164</c:v>
                </c:pt>
                <c:pt idx="135">
                  <c:v>28.297037124633789</c:v>
                </c:pt>
                <c:pt idx="136">
                  <c:v>30.633083343505859</c:v>
                </c:pt>
                <c:pt idx="137">
                  <c:v>31.658231735229492</c:v>
                </c:pt>
                <c:pt idx="138">
                  <c:v>29.875585556030273</c:v>
                </c:pt>
                <c:pt idx="139">
                  <c:v>29.093282699584961</c:v>
                </c:pt>
                <c:pt idx="140">
                  <c:v>29.169937133789063</c:v>
                </c:pt>
                <c:pt idx="141">
                  <c:v>28.668355941772461</c:v>
                </c:pt>
                <c:pt idx="142">
                  <c:v>29.09001350402832</c:v>
                </c:pt>
                <c:pt idx="143">
                  <c:v>30.172092437744141</c:v>
                </c:pt>
                <c:pt idx="144">
                  <c:v>30.719572067260742</c:v>
                </c:pt>
                <c:pt idx="145">
                  <c:v>31.137430191040039</c:v>
                </c:pt>
                <c:pt idx="146">
                  <c:v>33.267147064208984</c:v>
                </c:pt>
                <c:pt idx="147">
                  <c:v>33.924411773681641</c:v>
                </c:pt>
                <c:pt idx="148">
                  <c:v>32.469924926757813</c:v>
                </c:pt>
                <c:pt idx="149">
                  <c:v>32.855796813964844</c:v>
                </c:pt>
                <c:pt idx="150">
                  <c:v>34.571369171142578</c:v>
                </c:pt>
                <c:pt idx="151">
                  <c:v>34.030593872070313</c:v>
                </c:pt>
                <c:pt idx="152">
                  <c:v>33.368495941162109</c:v>
                </c:pt>
                <c:pt idx="153">
                  <c:v>32.361618041992188</c:v>
                </c:pt>
                <c:pt idx="154">
                  <c:v>30.906291961669922</c:v>
                </c:pt>
                <c:pt idx="155">
                  <c:v>29.211729049682617</c:v>
                </c:pt>
                <c:pt idx="156">
                  <c:v>28.004720687866211</c:v>
                </c:pt>
                <c:pt idx="157">
                  <c:v>26.318759918212891</c:v>
                </c:pt>
                <c:pt idx="158">
                  <c:v>25.066162109375</c:v>
                </c:pt>
                <c:pt idx="159">
                  <c:v>24.719261169433594</c:v>
                </c:pt>
                <c:pt idx="160">
                  <c:v>23.524824142456055</c:v>
                </c:pt>
                <c:pt idx="161">
                  <c:v>23.047155380249023</c:v>
                </c:pt>
                <c:pt idx="162">
                  <c:v>23.090120315551758</c:v>
                </c:pt>
                <c:pt idx="163">
                  <c:v>23.345703125</c:v>
                </c:pt>
                <c:pt idx="164">
                  <c:v>24.130577087402344</c:v>
                </c:pt>
                <c:pt idx="165">
                  <c:v>24.014448165893555</c:v>
                </c:pt>
                <c:pt idx="166">
                  <c:v>24.014896392822266</c:v>
                </c:pt>
                <c:pt idx="167">
                  <c:v>24.794099807739258</c:v>
                </c:pt>
                <c:pt idx="168">
                  <c:v>24.772588729858398</c:v>
                </c:pt>
                <c:pt idx="169">
                  <c:v>24.322660446166992</c:v>
                </c:pt>
                <c:pt idx="170">
                  <c:v>23.028495788574219</c:v>
                </c:pt>
                <c:pt idx="171">
                  <c:v>21.181989669799805</c:v>
                </c:pt>
                <c:pt idx="172">
                  <c:v>18.801666259765625</c:v>
                </c:pt>
                <c:pt idx="173">
                  <c:v>16.595239639282227</c:v>
                </c:pt>
                <c:pt idx="174">
                  <c:v>14.174884796142578</c:v>
                </c:pt>
                <c:pt idx="175">
                  <c:v>11.355247497558594</c:v>
                </c:pt>
                <c:pt idx="176">
                  <c:v>9.8732156753540039</c:v>
                </c:pt>
                <c:pt idx="177">
                  <c:v>8.3727750778198242</c:v>
                </c:pt>
                <c:pt idx="178">
                  <c:v>7.0740556716918945</c:v>
                </c:pt>
                <c:pt idx="179">
                  <c:v>6.2033915519714355</c:v>
                </c:pt>
                <c:pt idx="180">
                  <c:v>5.2561283111572266</c:v>
                </c:pt>
                <c:pt idx="181">
                  <c:v>4.5789728164672852</c:v>
                </c:pt>
                <c:pt idx="182">
                  <c:v>4.4388489723205566</c:v>
                </c:pt>
                <c:pt idx="183">
                  <c:v>4.0950193405151367</c:v>
                </c:pt>
                <c:pt idx="184">
                  <c:v>3.3387227058410645</c:v>
                </c:pt>
                <c:pt idx="185">
                  <c:v>3.106299877166748</c:v>
                </c:pt>
                <c:pt idx="186">
                  <c:v>3.1979279518127441</c:v>
                </c:pt>
                <c:pt idx="187">
                  <c:v>3.0509874820709229</c:v>
                </c:pt>
                <c:pt idx="188">
                  <c:v>3.4416928291320801</c:v>
                </c:pt>
                <c:pt idx="189">
                  <c:v>3.2458932399749756</c:v>
                </c:pt>
                <c:pt idx="190">
                  <c:v>3.0881416797637939</c:v>
                </c:pt>
                <c:pt idx="191">
                  <c:v>2.9959268569946289</c:v>
                </c:pt>
                <c:pt idx="192">
                  <c:v>2.8403820991516113</c:v>
                </c:pt>
                <c:pt idx="193">
                  <c:v>3.6947879791259766</c:v>
                </c:pt>
                <c:pt idx="194">
                  <c:v>3.233461856842041</c:v>
                </c:pt>
                <c:pt idx="195">
                  <c:v>3.2141585350036621</c:v>
                </c:pt>
                <c:pt idx="196">
                  <c:v>2.6994199752807617</c:v>
                </c:pt>
                <c:pt idx="197">
                  <c:v>2.1759653091430664</c:v>
                </c:pt>
                <c:pt idx="198">
                  <c:v>2.2765610218048096</c:v>
                </c:pt>
                <c:pt idx="199">
                  <c:v>2.9608957767486572</c:v>
                </c:pt>
                <c:pt idx="200">
                  <c:v>2.6172058582305908</c:v>
                </c:pt>
                <c:pt idx="201">
                  <c:v>2.5654973983764648</c:v>
                </c:pt>
                <c:pt idx="202">
                  <c:v>3.2606151103973389</c:v>
                </c:pt>
                <c:pt idx="203">
                  <c:v>2.5728163719177246</c:v>
                </c:pt>
                <c:pt idx="204">
                  <c:v>2.9803388118743896</c:v>
                </c:pt>
                <c:pt idx="205">
                  <c:v>2.5963659286499023</c:v>
                </c:pt>
                <c:pt idx="206">
                  <c:v>2.6882457733154297</c:v>
                </c:pt>
                <c:pt idx="207">
                  <c:v>2.2814216613769531</c:v>
                </c:pt>
                <c:pt idx="208">
                  <c:v>2.5095984935760498</c:v>
                </c:pt>
                <c:pt idx="209">
                  <c:v>2.5065255165100098</c:v>
                </c:pt>
                <c:pt idx="210">
                  <c:v>2.9094386100769043</c:v>
                </c:pt>
                <c:pt idx="211">
                  <c:v>3.3710160255432129</c:v>
                </c:pt>
                <c:pt idx="212">
                  <c:v>2.8514726161956787</c:v>
                </c:pt>
                <c:pt idx="213">
                  <c:v>2.6495552062988281</c:v>
                </c:pt>
                <c:pt idx="214">
                  <c:v>2</c:v>
                </c:pt>
                <c:pt idx="215">
                  <c:v>2.5505797863006592</c:v>
                </c:pt>
                <c:pt idx="216">
                  <c:v>2.4283621311187744</c:v>
                </c:pt>
                <c:pt idx="217">
                  <c:v>2.6520135402679443</c:v>
                </c:pt>
                <c:pt idx="218">
                  <c:v>3.1064393520355225</c:v>
                </c:pt>
                <c:pt idx="219">
                  <c:v>2.2507486343383789</c:v>
                </c:pt>
                <c:pt idx="220">
                  <c:v>2.6160604953765869</c:v>
                </c:pt>
                <c:pt idx="221">
                  <c:v>2.6867091655731201</c:v>
                </c:pt>
                <c:pt idx="222">
                  <c:v>3.6049754619598389</c:v>
                </c:pt>
                <c:pt idx="223">
                  <c:v>4.4525928497314453</c:v>
                </c:pt>
                <c:pt idx="224">
                  <c:v>2.8279788494110107</c:v>
                </c:pt>
                <c:pt idx="225">
                  <c:v>2.9720139503479004</c:v>
                </c:pt>
              </c:numCache>
            </c:numRef>
          </c:yVal>
          <c:smooth val="1"/>
          <c:extLst>
            <c:ext xmlns:c16="http://schemas.microsoft.com/office/drawing/2014/chart" uri="{C3380CC4-5D6E-409C-BE32-E72D297353CC}">
              <c16:uniqueId val="{00000003-58F6-4830-8941-1011DB88381F}"/>
            </c:ext>
          </c:extLst>
        </c:ser>
        <c:ser>
          <c:idx val="4"/>
          <c:order val="4"/>
          <c:tx>
            <c:v>5</c:v>
          </c:tx>
          <c:spPr>
            <a:ln w="19050" cap="rnd">
              <a:noFill/>
              <a:round/>
            </a:ln>
            <a:effectLst/>
            <a:extLst>
              <a:ext uri="{91240B29-F687-4F45-9708-019B960494DF}">
                <a14:hiddenLine xmlns:a14="http://schemas.microsoft.com/office/drawing/2010/main" w="19050" cap="rnd">
                  <a:solidFill>
                    <a:srgbClr val="4472C4"/>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NormalisedUVVisData!$F$2:$F$300</c:f>
              <c:numCache>
                <c:formatCode>General</c:formatCode>
                <c:ptCount val="299"/>
                <c:pt idx="0">
                  <c:v>73.234611511230469</c:v>
                </c:pt>
                <c:pt idx="1">
                  <c:v>75.342796325683594</c:v>
                </c:pt>
                <c:pt idx="2">
                  <c:v>75.494483947753906</c:v>
                </c:pt>
                <c:pt idx="3">
                  <c:v>76.041419982910156</c:v>
                </c:pt>
                <c:pt idx="4">
                  <c:v>76.721534729003906</c:v>
                </c:pt>
                <c:pt idx="5">
                  <c:v>77.056770324707031</c:v>
                </c:pt>
                <c:pt idx="6">
                  <c:v>76.656867980957031</c:v>
                </c:pt>
                <c:pt idx="7">
                  <c:v>74.986045837402344</c:v>
                </c:pt>
                <c:pt idx="8">
                  <c:v>71.843437194824219</c:v>
                </c:pt>
                <c:pt idx="9">
                  <c:v>67.75543212890625</c:v>
                </c:pt>
                <c:pt idx="10">
                  <c:v>64.309783935546875</c:v>
                </c:pt>
                <c:pt idx="11">
                  <c:v>62.905471801757813</c:v>
                </c:pt>
                <c:pt idx="12">
                  <c:v>64.182579040527344</c:v>
                </c:pt>
                <c:pt idx="13">
                  <c:v>68.615875244140625</c:v>
                </c:pt>
                <c:pt idx="14">
                  <c:v>76.146095275878906</c:v>
                </c:pt>
                <c:pt idx="15">
                  <c:v>85.40386962890625</c:v>
                </c:pt>
                <c:pt idx="16">
                  <c:v>93.760765075683594</c:v>
                </c:pt>
                <c:pt idx="17">
                  <c:v>99.28717041015625</c:v>
                </c:pt>
                <c:pt idx="18">
                  <c:v>100</c:v>
                </c:pt>
                <c:pt idx="19">
                  <c:v>95.30291748046875</c:v>
                </c:pt>
                <c:pt idx="20">
                  <c:v>86.357376098632813</c:v>
                </c:pt>
                <c:pt idx="21">
                  <c:v>75.006629943847656</c:v>
                </c:pt>
                <c:pt idx="22">
                  <c:v>63.233928680419922</c:v>
                </c:pt>
                <c:pt idx="23">
                  <c:v>53.000251770019531</c:v>
                </c:pt>
                <c:pt idx="24">
                  <c:v>44.178073883056641</c:v>
                </c:pt>
                <c:pt idx="25">
                  <c:v>37.355068206787109</c:v>
                </c:pt>
                <c:pt idx="26">
                  <c:v>32.061443328857422</c:v>
                </c:pt>
                <c:pt idx="27">
                  <c:v>28.423942565917969</c:v>
                </c:pt>
                <c:pt idx="28">
                  <c:v>25.740596771240234</c:v>
                </c:pt>
                <c:pt idx="29">
                  <c:v>23.836151123046875</c:v>
                </c:pt>
                <c:pt idx="30">
                  <c:v>22.353294372558594</c:v>
                </c:pt>
                <c:pt idx="31">
                  <c:v>21.272930145263672</c:v>
                </c:pt>
                <c:pt idx="32">
                  <c:v>20.561742782592773</c:v>
                </c:pt>
                <c:pt idx="33">
                  <c:v>20.10295295715332</c:v>
                </c:pt>
                <c:pt idx="34">
                  <c:v>19.802524566650391</c:v>
                </c:pt>
                <c:pt idx="35">
                  <c:v>19.774969100952148</c:v>
                </c:pt>
                <c:pt idx="36">
                  <c:v>19.982807159423828</c:v>
                </c:pt>
                <c:pt idx="37">
                  <c:v>20.5205078125</c:v>
                </c:pt>
                <c:pt idx="38">
                  <c:v>21.115303039550781</c:v>
                </c:pt>
                <c:pt idx="39">
                  <c:v>21.833330154418945</c:v>
                </c:pt>
                <c:pt idx="40">
                  <c:v>22.72393798828125</c:v>
                </c:pt>
                <c:pt idx="41">
                  <c:v>23.723859786987305</c:v>
                </c:pt>
                <c:pt idx="42">
                  <c:v>24.895908355712891</c:v>
                </c:pt>
                <c:pt idx="43">
                  <c:v>26.294567108154297</c:v>
                </c:pt>
                <c:pt idx="44">
                  <c:v>27.806339263916016</c:v>
                </c:pt>
                <c:pt idx="45">
                  <c:v>29.343357086181641</c:v>
                </c:pt>
                <c:pt idx="46">
                  <c:v>31.02714729309082</c:v>
                </c:pt>
                <c:pt idx="47">
                  <c:v>32.740909576416016</c:v>
                </c:pt>
                <c:pt idx="48">
                  <c:v>34.403617858886719</c:v>
                </c:pt>
                <c:pt idx="49">
                  <c:v>36.056377410888672</c:v>
                </c:pt>
                <c:pt idx="50">
                  <c:v>37.542667388916016</c:v>
                </c:pt>
                <c:pt idx="51">
                  <c:v>38.754375457763672</c:v>
                </c:pt>
                <c:pt idx="52">
                  <c:v>39.809429168701172</c:v>
                </c:pt>
                <c:pt idx="53">
                  <c:v>40.6326904296875</c:v>
                </c:pt>
                <c:pt idx="54">
                  <c:v>41.114051818847656</c:v>
                </c:pt>
                <c:pt idx="55">
                  <c:v>41.201332092285156</c:v>
                </c:pt>
                <c:pt idx="56">
                  <c:v>40.936851501464844</c:v>
                </c:pt>
                <c:pt idx="57">
                  <c:v>40.235225677490234</c:v>
                </c:pt>
                <c:pt idx="58">
                  <c:v>38.891502380371094</c:v>
                </c:pt>
                <c:pt idx="59">
                  <c:v>37.140110015869141</c:v>
                </c:pt>
                <c:pt idx="60">
                  <c:v>35.23126220703125</c:v>
                </c:pt>
                <c:pt idx="61">
                  <c:v>32.904621124267578</c:v>
                </c:pt>
                <c:pt idx="62">
                  <c:v>30.189901351928711</c:v>
                </c:pt>
                <c:pt idx="63">
                  <c:v>27.164934158325195</c:v>
                </c:pt>
                <c:pt idx="64">
                  <c:v>23.924297332763672</c:v>
                </c:pt>
                <c:pt idx="65">
                  <c:v>20.893180847167969</c:v>
                </c:pt>
                <c:pt idx="66">
                  <c:v>17.979598999023438</c:v>
                </c:pt>
                <c:pt idx="67">
                  <c:v>15.062521934509277</c:v>
                </c:pt>
                <c:pt idx="68">
                  <c:v>12.812743186950684</c:v>
                </c:pt>
                <c:pt idx="69">
                  <c:v>10.712218284606934</c:v>
                </c:pt>
                <c:pt idx="70">
                  <c:v>9.0529613494873047</c:v>
                </c:pt>
                <c:pt idx="71">
                  <c:v>7.8940324783325195</c:v>
                </c:pt>
                <c:pt idx="72">
                  <c:v>6.871152400970459</c:v>
                </c:pt>
                <c:pt idx="73">
                  <c:v>6.0425601005554199</c:v>
                </c:pt>
                <c:pt idx="74">
                  <c:v>5.4493613243103027</c:v>
                </c:pt>
                <c:pt idx="75">
                  <c:v>5.0000009536743164</c:v>
                </c:pt>
                <c:pt idx="76">
                  <c:v>4.6984925270080566</c:v>
                </c:pt>
                <c:pt idx="77">
                  <c:v>4.7182145118713379</c:v>
                </c:pt>
                <c:pt idx="78">
                  <c:v>4.7624492645263672</c:v>
                </c:pt>
                <c:pt idx="79">
                  <c:v>4.6904439926147461</c:v>
                </c:pt>
                <c:pt idx="80">
                  <c:v>4.6868834495544434</c:v>
                </c:pt>
                <c:pt idx="81">
                  <c:v>4.8079571723937988</c:v>
                </c:pt>
                <c:pt idx="82">
                  <c:v>4.8522782325744629</c:v>
                </c:pt>
                <c:pt idx="83">
                  <c:v>4.8369579315185547</c:v>
                </c:pt>
                <c:pt idx="84">
                  <c:v>4.8108701705932617</c:v>
                </c:pt>
                <c:pt idx="85">
                  <c:v>4.861513614654541</c:v>
                </c:pt>
                <c:pt idx="86">
                  <c:v>4.9736108779907227</c:v>
                </c:pt>
                <c:pt idx="87">
                  <c:v>5.0524997711181641</c:v>
                </c:pt>
                <c:pt idx="88">
                  <c:v>5.1083006858825684</c:v>
                </c:pt>
                <c:pt idx="89">
                  <c:v>5.2008481025695801</c:v>
                </c:pt>
                <c:pt idx="90">
                  <c:v>5.4594383239746094</c:v>
                </c:pt>
                <c:pt idx="91">
                  <c:v>5.6952199935913086</c:v>
                </c:pt>
                <c:pt idx="92">
                  <c:v>5.6034059524536133</c:v>
                </c:pt>
                <c:pt idx="93">
                  <c:v>5.4028177261352539</c:v>
                </c:pt>
                <c:pt idx="94">
                  <c:v>5.3306827545166016</c:v>
                </c:pt>
                <c:pt idx="95">
                  <c:v>5.6242504119873047</c:v>
                </c:pt>
                <c:pt idx="96">
                  <c:v>5.9552559852600098</c:v>
                </c:pt>
                <c:pt idx="97">
                  <c:v>5.9107189178466797</c:v>
                </c:pt>
                <c:pt idx="98">
                  <c:v>6.1747250556945801</c:v>
                </c:pt>
                <c:pt idx="99">
                  <c:v>6.2882680892944336</c:v>
                </c:pt>
                <c:pt idx="100">
                  <c:v>6.3853468894958496</c:v>
                </c:pt>
                <c:pt idx="101">
                  <c:v>6.6926169395446777</c:v>
                </c:pt>
                <c:pt idx="102">
                  <c:v>6.7567248344421387</c:v>
                </c:pt>
                <c:pt idx="103">
                  <c:v>6.8733320236206055</c:v>
                </c:pt>
                <c:pt idx="104">
                  <c:v>7.1168169975280762</c:v>
                </c:pt>
                <c:pt idx="105">
                  <c:v>7.439363956451416</c:v>
                </c:pt>
                <c:pt idx="106">
                  <c:v>7.8718938827514648</c:v>
                </c:pt>
                <c:pt idx="107">
                  <c:v>7.9560909271240234</c:v>
                </c:pt>
                <c:pt idx="108">
                  <c:v>7.9701809883117676</c:v>
                </c:pt>
                <c:pt idx="109">
                  <c:v>8.3324317932128906</c:v>
                </c:pt>
                <c:pt idx="110">
                  <c:v>8.7926025390625</c:v>
                </c:pt>
                <c:pt idx="111">
                  <c:v>9.3179817199707031</c:v>
                </c:pt>
                <c:pt idx="112">
                  <c:v>9.6485767364501953</c:v>
                </c:pt>
                <c:pt idx="113">
                  <c:v>9.8804969787597656</c:v>
                </c:pt>
                <c:pt idx="114">
                  <c:v>10.398366928100586</c:v>
                </c:pt>
                <c:pt idx="115">
                  <c:v>10.835514068603516</c:v>
                </c:pt>
                <c:pt idx="116">
                  <c:v>11.153313636779785</c:v>
                </c:pt>
                <c:pt idx="117">
                  <c:v>11.662833213806152</c:v>
                </c:pt>
                <c:pt idx="118">
                  <c:v>12.02208423614502</c:v>
                </c:pt>
                <c:pt idx="119">
                  <c:v>12.588591575622559</c:v>
                </c:pt>
                <c:pt idx="120">
                  <c:v>13.375602722167969</c:v>
                </c:pt>
                <c:pt idx="121">
                  <c:v>13.93287467956543</c:v>
                </c:pt>
                <c:pt idx="122">
                  <c:v>14.757086753845215</c:v>
                </c:pt>
                <c:pt idx="123">
                  <c:v>15.16913890838623</c:v>
                </c:pt>
                <c:pt idx="124">
                  <c:v>15.710917472839355</c:v>
                </c:pt>
                <c:pt idx="125">
                  <c:v>16.346603393554688</c:v>
                </c:pt>
                <c:pt idx="126">
                  <c:v>16.739883422851563</c:v>
                </c:pt>
                <c:pt idx="127">
                  <c:v>17.46876335144043</c:v>
                </c:pt>
                <c:pt idx="128">
                  <c:v>18.022432327270508</c:v>
                </c:pt>
                <c:pt idx="129">
                  <c:v>18.632266998291016</c:v>
                </c:pt>
                <c:pt idx="130">
                  <c:v>19.100032806396484</c:v>
                </c:pt>
                <c:pt idx="131">
                  <c:v>19.638423919677734</c:v>
                </c:pt>
                <c:pt idx="132">
                  <c:v>20.494377136230469</c:v>
                </c:pt>
                <c:pt idx="133">
                  <c:v>21.150087356567383</c:v>
                </c:pt>
                <c:pt idx="134">
                  <c:v>21.824203491210938</c:v>
                </c:pt>
                <c:pt idx="135">
                  <c:v>22.49650764465332</c:v>
                </c:pt>
                <c:pt idx="136">
                  <c:v>26.316425323486328</c:v>
                </c:pt>
                <c:pt idx="137">
                  <c:v>29.043596267700195</c:v>
                </c:pt>
                <c:pt idx="138">
                  <c:v>26.275945663452148</c:v>
                </c:pt>
                <c:pt idx="139">
                  <c:v>24.442836761474609</c:v>
                </c:pt>
                <c:pt idx="140">
                  <c:v>25.095136642456055</c:v>
                </c:pt>
                <c:pt idx="141">
                  <c:v>25.200523376464844</c:v>
                </c:pt>
                <c:pt idx="142">
                  <c:v>25.24676513671875</c:v>
                </c:pt>
                <c:pt idx="143">
                  <c:v>25.245491027832031</c:v>
                </c:pt>
                <c:pt idx="144">
                  <c:v>25.289165496826172</c:v>
                </c:pt>
                <c:pt idx="145">
                  <c:v>25.347858428955078</c:v>
                </c:pt>
                <c:pt idx="146">
                  <c:v>24.864749908447266</c:v>
                </c:pt>
                <c:pt idx="147">
                  <c:v>25.480001449584961</c:v>
                </c:pt>
                <c:pt idx="148">
                  <c:v>26.128934860229492</c:v>
                </c:pt>
                <c:pt idx="149">
                  <c:v>26.400730133056641</c:v>
                </c:pt>
                <c:pt idx="150">
                  <c:v>26.991641998291016</c:v>
                </c:pt>
                <c:pt idx="151">
                  <c:v>26.923822402954102</c:v>
                </c:pt>
                <c:pt idx="152">
                  <c:v>27.34135627746582</c:v>
                </c:pt>
                <c:pt idx="153">
                  <c:v>27.689968109130859</c:v>
                </c:pt>
                <c:pt idx="154">
                  <c:v>27.592910766601563</c:v>
                </c:pt>
                <c:pt idx="155">
                  <c:v>27.720783233642578</c:v>
                </c:pt>
                <c:pt idx="156">
                  <c:v>27.347139358520508</c:v>
                </c:pt>
                <c:pt idx="157">
                  <c:v>26.322597503662109</c:v>
                </c:pt>
                <c:pt idx="158">
                  <c:v>25.467550277709961</c:v>
                </c:pt>
                <c:pt idx="159">
                  <c:v>24.618587493896484</c:v>
                </c:pt>
                <c:pt idx="160">
                  <c:v>22.989864349365234</c:v>
                </c:pt>
                <c:pt idx="161">
                  <c:v>21.638978958129883</c:v>
                </c:pt>
                <c:pt idx="162">
                  <c:v>21.308210372924805</c:v>
                </c:pt>
                <c:pt idx="163">
                  <c:v>20.755319595336914</c:v>
                </c:pt>
                <c:pt idx="164">
                  <c:v>19.866588592529297</c:v>
                </c:pt>
                <c:pt idx="165">
                  <c:v>19.256797790527344</c:v>
                </c:pt>
                <c:pt idx="166">
                  <c:v>18.758562088012695</c:v>
                </c:pt>
                <c:pt idx="167">
                  <c:v>19.024768829345703</c:v>
                </c:pt>
                <c:pt idx="168">
                  <c:v>18.65699577331543</c:v>
                </c:pt>
                <c:pt idx="169">
                  <c:v>18.027135848999023</c:v>
                </c:pt>
                <c:pt idx="170">
                  <c:v>17.854534149169922</c:v>
                </c:pt>
                <c:pt idx="171">
                  <c:v>17.424312591552734</c:v>
                </c:pt>
                <c:pt idx="172">
                  <c:v>17.123321533203125</c:v>
                </c:pt>
                <c:pt idx="173">
                  <c:v>16.928106307983398</c:v>
                </c:pt>
                <c:pt idx="174">
                  <c:v>16.567626953125</c:v>
                </c:pt>
                <c:pt idx="175">
                  <c:v>15.543623924255371</c:v>
                </c:pt>
                <c:pt idx="176">
                  <c:v>14.532439231872559</c:v>
                </c:pt>
                <c:pt idx="177">
                  <c:v>13.598870277404785</c:v>
                </c:pt>
                <c:pt idx="178">
                  <c:v>12.337920188903809</c:v>
                </c:pt>
                <c:pt idx="179">
                  <c:v>11.163994789123535</c:v>
                </c:pt>
                <c:pt idx="180">
                  <c:v>9.583195686340332</c:v>
                </c:pt>
                <c:pt idx="181">
                  <c:v>8.1987133026123047</c:v>
                </c:pt>
                <c:pt idx="182">
                  <c:v>7.4956393241882324</c:v>
                </c:pt>
                <c:pt idx="183">
                  <c:v>6.5335226058959961</c:v>
                </c:pt>
                <c:pt idx="184">
                  <c:v>5.4842958450317383</c:v>
                </c:pt>
                <c:pt idx="185">
                  <c:v>4.6587677001953125</c:v>
                </c:pt>
                <c:pt idx="186">
                  <c:v>4.204444408416748</c:v>
                </c:pt>
                <c:pt idx="187">
                  <c:v>4.0577793121337891</c:v>
                </c:pt>
                <c:pt idx="188">
                  <c:v>3.400731086730957</c:v>
                </c:pt>
                <c:pt idx="189">
                  <c:v>2.6506607532501221</c:v>
                </c:pt>
                <c:pt idx="190">
                  <c:v>2.5547254085540771</c:v>
                </c:pt>
                <c:pt idx="191">
                  <c:v>2.3883378505706787</c:v>
                </c:pt>
                <c:pt idx="192">
                  <c:v>2.6536386013031006</c:v>
                </c:pt>
                <c:pt idx="193">
                  <c:v>2.5473887920379639</c:v>
                </c:pt>
                <c:pt idx="194">
                  <c:v>2.5425121784210205</c:v>
                </c:pt>
                <c:pt idx="195">
                  <c:v>2.6828334331512451</c:v>
                </c:pt>
                <c:pt idx="196">
                  <c:v>2.3052198886871338</c:v>
                </c:pt>
                <c:pt idx="197">
                  <c:v>2.3095138072967529</c:v>
                </c:pt>
                <c:pt idx="198">
                  <c:v>2.1981501579284668</c:v>
                </c:pt>
                <c:pt idx="199">
                  <c:v>2.4955801963806152</c:v>
                </c:pt>
                <c:pt idx="200">
                  <c:v>2.4764189720153809</c:v>
                </c:pt>
                <c:pt idx="201">
                  <c:v>2.3151025772094727</c:v>
                </c:pt>
                <c:pt idx="202">
                  <c:v>2.0167660713195801</c:v>
                </c:pt>
                <c:pt idx="203">
                  <c:v>2.4144904613494873</c:v>
                </c:pt>
                <c:pt idx="204">
                  <c:v>2.434147834777832</c:v>
                </c:pt>
                <c:pt idx="205">
                  <c:v>2.1677036285400391</c:v>
                </c:pt>
                <c:pt idx="206">
                  <c:v>2.6170423030853271</c:v>
                </c:pt>
                <c:pt idx="207">
                  <c:v>2.4322059154510498</c:v>
                </c:pt>
                <c:pt idx="208">
                  <c:v>2.4016084671020508</c:v>
                </c:pt>
                <c:pt idx="209">
                  <c:v>2</c:v>
                </c:pt>
                <c:pt idx="210">
                  <c:v>2.3215541839599609</c:v>
                </c:pt>
                <c:pt idx="211">
                  <c:v>2.2144629955291748</c:v>
                </c:pt>
                <c:pt idx="212">
                  <c:v>2.2399466037750244</c:v>
                </c:pt>
                <c:pt idx="213">
                  <c:v>2.3526697158813477</c:v>
                </c:pt>
                <c:pt idx="214">
                  <c:v>2.2730255126953125</c:v>
                </c:pt>
                <c:pt idx="215">
                  <c:v>2.6466906070709229</c:v>
                </c:pt>
                <c:pt idx="216">
                  <c:v>2.3103554248809814</c:v>
                </c:pt>
                <c:pt idx="217">
                  <c:v>2.3370687961578369</c:v>
                </c:pt>
                <c:pt idx="218">
                  <c:v>2.4506549835205078</c:v>
                </c:pt>
                <c:pt idx="219">
                  <c:v>2.3315017223358154</c:v>
                </c:pt>
                <c:pt idx="220">
                  <c:v>2.2453842163085938</c:v>
                </c:pt>
                <c:pt idx="221">
                  <c:v>2.0463924407958984</c:v>
                </c:pt>
                <c:pt idx="222">
                  <c:v>2.7497251033782959</c:v>
                </c:pt>
                <c:pt idx="223">
                  <c:v>2.4117283821105957</c:v>
                </c:pt>
                <c:pt idx="224">
                  <c:v>2.6299028396606445</c:v>
                </c:pt>
                <c:pt idx="225">
                  <c:v>3.1819741725921631</c:v>
                </c:pt>
              </c:numCache>
            </c:numRef>
          </c:yVal>
          <c:smooth val="1"/>
          <c:extLst>
            <c:ext xmlns:c16="http://schemas.microsoft.com/office/drawing/2014/chart" uri="{C3380CC4-5D6E-409C-BE32-E72D297353CC}">
              <c16:uniqueId val="{00000004-58F6-4830-8941-1011DB88381F}"/>
            </c:ext>
          </c:extLst>
        </c:ser>
        <c:ser>
          <c:idx val="5"/>
          <c:order val="5"/>
          <c:tx>
            <c:v>6</c:v>
          </c:tx>
          <c:spPr>
            <a:ln w="19050" cap="rnd">
              <a:noFill/>
              <a:round/>
            </a:ln>
            <a:effectLst/>
            <a:extLst>
              <a:ext uri="{91240B29-F687-4F45-9708-019B960494DF}">
                <a14:hiddenLine xmlns:a14="http://schemas.microsoft.com/office/drawing/2010/main" w="19050" cap="rnd">
                  <a:solidFill>
                    <a:srgbClr val="70AD47"/>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NormalisedUVVisData!$G$2:$G$300</c:f>
              <c:numCache>
                <c:formatCode>General</c:formatCode>
                <c:ptCount val="299"/>
                <c:pt idx="0">
                  <c:v>66.328742980957031</c:v>
                </c:pt>
                <c:pt idx="1">
                  <c:v>64.896110534667969</c:v>
                </c:pt>
                <c:pt idx="2">
                  <c:v>62.950954437255859</c:v>
                </c:pt>
                <c:pt idx="3">
                  <c:v>61.368198394775391</c:v>
                </c:pt>
                <c:pt idx="4">
                  <c:v>60.744972229003906</c:v>
                </c:pt>
                <c:pt idx="5">
                  <c:v>61.586761474609375</c:v>
                </c:pt>
                <c:pt idx="6">
                  <c:v>64.707305908203125</c:v>
                </c:pt>
                <c:pt idx="7">
                  <c:v>70.254661560058594</c:v>
                </c:pt>
                <c:pt idx="8">
                  <c:v>77.493629455566406</c:v>
                </c:pt>
                <c:pt idx="9">
                  <c:v>85.632553100585938</c:v>
                </c:pt>
                <c:pt idx="10">
                  <c:v>92.852928161621094</c:v>
                </c:pt>
                <c:pt idx="11">
                  <c:v>97.961090087890625</c:v>
                </c:pt>
                <c:pt idx="12">
                  <c:v>100</c:v>
                </c:pt>
                <c:pt idx="13">
                  <c:v>98.968757629394531</c:v>
                </c:pt>
                <c:pt idx="14">
                  <c:v>95.776084899902344</c:v>
                </c:pt>
                <c:pt idx="15">
                  <c:v>91.056915283203125</c:v>
                </c:pt>
                <c:pt idx="16">
                  <c:v>84.415420532226563</c:v>
                </c:pt>
                <c:pt idx="17">
                  <c:v>75.145744323730469</c:v>
                </c:pt>
                <c:pt idx="18">
                  <c:v>64.420402526855469</c:v>
                </c:pt>
                <c:pt idx="19">
                  <c:v>54.342700958251953</c:v>
                </c:pt>
                <c:pt idx="20">
                  <c:v>47.127300262451172</c:v>
                </c:pt>
                <c:pt idx="21">
                  <c:v>42.656688690185547</c:v>
                </c:pt>
                <c:pt idx="22">
                  <c:v>40.243610382080078</c:v>
                </c:pt>
                <c:pt idx="23">
                  <c:v>39.145671844482422</c:v>
                </c:pt>
                <c:pt idx="24">
                  <c:v>38.666629791259766</c:v>
                </c:pt>
                <c:pt idx="25">
                  <c:v>38.557209014892578</c:v>
                </c:pt>
                <c:pt idx="26">
                  <c:v>38.840950012207031</c:v>
                </c:pt>
                <c:pt idx="27">
                  <c:v>39.706897735595703</c:v>
                </c:pt>
                <c:pt idx="28">
                  <c:v>41.266380310058594</c:v>
                </c:pt>
                <c:pt idx="29">
                  <c:v>43.136444091796875</c:v>
                </c:pt>
                <c:pt idx="30">
                  <c:v>44.787776947021484</c:v>
                </c:pt>
                <c:pt idx="31">
                  <c:v>45.614780426025391</c:v>
                </c:pt>
                <c:pt idx="32">
                  <c:v>45.528171539306641</c:v>
                </c:pt>
                <c:pt idx="33">
                  <c:v>44.623733520507813</c:v>
                </c:pt>
                <c:pt idx="34">
                  <c:v>43.066879272460938</c:v>
                </c:pt>
                <c:pt idx="35">
                  <c:v>40.777427673339844</c:v>
                </c:pt>
                <c:pt idx="36">
                  <c:v>37.854286193847656</c:v>
                </c:pt>
                <c:pt idx="37">
                  <c:v>34.731510162353516</c:v>
                </c:pt>
                <c:pt idx="38">
                  <c:v>32.189380645751953</c:v>
                </c:pt>
                <c:pt idx="39">
                  <c:v>30.694793701171875</c:v>
                </c:pt>
                <c:pt idx="40">
                  <c:v>30.285367965698242</c:v>
                </c:pt>
                <c:pt idx="41">
                  <c:v>30.543399810791016</c:v>
                </c:pt>
                <c:pt idx="42">
                  <c:v>31.043458938598633</c:v>
                </c:pt>
                <c:pt idx="43">
                  <c:v>31.531406402587891</c:v>
                </c:pt>
                <c:pt idx="44">
                  <c:v>31.878122329711914</c:v>
                </c:pt>
                <c:pt idx="45">
                  <c:v>32.015460968017578</c:v>
                </c:pt>
                <c:pt idx="46">
                  <c:v>31.965221405029297</c:v>
                </c:pt>
                <c:pt idx="47">
                  <c:v>31.642721176147461</c:v>
                </c:pt>
                <c:pt idx="48">
                  <c:v>31.050710678100586</c:v>
                </c:pt>
                <c:pt idx="49">
                  <c:v>30.245010375976563</c:v>
                </c:pt>
                <c:pt idx="50">
                  <c:v>29.246894836425781</c:v>
                </c:pt>
                <c:pt idx="51">
                  <c:v>28.130340576171875</c:v>
                </c:pt>
                <c:pt idx="52">
                  <c:v>26.946113586425781</c:v>
                </c:pt>
                <c:pt idx="53">
                  <c:v>25.777309417724609</c:v>
                </c:pt>
                <c:pt idx="54">
                  <c:v>24.628046035766602</c:v>
                </c:pt>
                <c:pt idx="55">
                  <c:v>23.52586555480957</c:v>
                </c:pt>
                <c:pt idx="56">
                  <c:v>22.428350448608398</c:v>
                </c:pt>
                <c:pt idx="57">
                  <c:v>21.348518371582031</c:v>
                </c:pt>
                <c:pt idx="58">
                  <c:v>20.279867172241211</c:v>
                </c:pt>
                <c:pt idx="59">
                  <c:v>19.230083465576172</c:v>
                </c:pt>
                <c:pt idx="60">
                  <c:v>18.160974502563477</c:v>
                </c:pt>
                <c:pt idx="61">
                  <c:v>17.058109283447266</c:v>
                </c:pt>
                <c:pt idx="62">
                  <c:v>15.962742805480957</c:v>
                </c:pt>
                <c:pt idx="63">
                  <c:v>14.819137573242188</c:v>
                </c:pt>
                <c:pt idx="64">
                  <c:v>13.700900077819824</c:v>
                </c:pt>
                <c:pt idx="65">
                  <c:v>12.591713905334473</c:v>
                </c:pt>
                <c:pt idx="66">
                  <c:v>11.544644355773926</c:v>
                </c:pt>
                <c:pt idx="67">
                  <c:v>10.545557975769043</c:v>
                </c:pt>
                <c:pt idx="68">
                  <c:v>9.7095193862915039</c:v>
                </c:pt>
                <c:pt idx="69">
                  <c:v>8.9424037933349609</c:v>
                </c:pt>
                <c:pt idx="70">
                  <c:v>8.294102668762207</c:v>
                </c:pt>
                <c:pt idx="71">
                  <c:v>7.7658901214599609</c:v>
                </c:pt>
                <c:pt idx="72">
                  <c:v>7.2762956619262695</c:v>
                </c:pt>
                <c:pt idx="73">
                  <c:v>6.7871432304382324</c:v>
                </c:pt>
                <c:pt idx="74">
                  <c:v>6.3019533157348633</c:v>
                </c:pt>
                <c:pt idx="75">
                  <c:v>5.8617339134216309</c:v>
                </c:pt>
                <c:pt idx="76">
                  <c:v>5.4300746917724609</c:v>
                </c:pt>
                <c:pt idx="77">
                  <c:v>4.9945473670959473</c:v>
                </c:pt>
                <c:pt idx="78">
                  <c:v>4.579958438873291</c:v>
                </c:pt>
                <c:pt idx="79">
                  <c:v>4.2089347839355469</c:v>
                </c:pt>
                <c:pt idx="80">
                  <c:v>3.9037373065948486</c:v>
                </c:pt>
                <c:pt idx="81">
                  <c:v>3.6505439281463623</c:v>
                </c:pt>
                <c:pt idx="82">
                  <c:v>3.4138040542602539</c:v>
                </c:pt>
                <c:pt idx="83">
                  <c:v>3.2085888385772705</c:v>
                </c:pt>
                <c:pt idx="84">
                  <c:v>3.055804967880249</c:v>
                </c:pt>
                <c:pt idx="85">
                  <c:v>2.9546749591827393</c:v>
                </c:pt>
                <c:pt idx="86">
                  <c:v>2.8412063121795654</c:v>
                </c:pt>
                <c:pt idx="87">
                  <c:v>2.7391467094421387</c:v>
                </c:pt>
                <c:pt idx="88">
                  <c:v>2.7012748718261719</c:v>
                </c:pt>
                <c:pt idx="89">
                  <c:v>2.6694722175598145</c:v>
                </c:pt>
                <c:pt idx="90">
                  <c:v>2.6260251998901367</c:v>
                </c:pt>
                <c:pt idx="91">
                  <c:v>2.5683193206787109</c:v>
                </c:pt>
                <c:pt idx="92">
                  <c:v>2.4981284141540527</c:v>
                </c:pt>
                <c:pt idx="93">
                  <c:v>2.4971041679382324</c:v>
                </c:pt>
                <c:pt idx="94">
                  <c:v>2.4957268238067627</c:v>
                </c:pt>
                <c:pt idx="95">
                  <c:v>2.4610257148742676</c:v>
                </c:pt>
                <c:pt idx="96">
                  <c:v>2.4383137226104736</c:v>
                </c:pt>
                <c:pt idx="97">
                  <c:v>2.4457828998565674</c:v>
                </c:pt>
                <c:pt idx="98">
                  <c:v>2.4392578601837158</c:v>
                </c:pt>
                <c:pt idx="99">
                  <c:v>2.4400153160095215</c:v>
                </c:pt>
                <c:pt idx="100">
                  <c:v>2.4301385879516602</c:v>
                </c:pt>
                <c:pt idx="101">
                  <c:v>2.3866281509399414</c:v>
                </c:pt>
                <c:pt idx="102">
                  <c:v>2.3841862678527832</c:v>
                </c:pt>
                <c:pt idx="103">
                  <c:v>2.4140865802764893</c:v>
                </c:pt>
                <c:pt idx="104">
                  <c:v>2.4164910316467285</c:v>
                </c:pt>
                <c:pt idx="105">
                  <c:v>2.3944017887115479</c:v>
                </c:pt>
                <c:pt idx="106">
                  <c:v>2.3962554931640625</c:v>
                </c:pt>
                <c:pt idx="107">
                  <c:v>2.3872194290161133</c:v>
                </c:pt>
                <c:pt idx="108">
                  <c:v>2.3791415691375732</c:v>
                </c:pt>
                <c:pt idx="109">
                  <c:v>2.363832950592041</c:v>
                </c:pt>
                <c:pt idx="110">
                  <c:v>2.35791015625</c:v>
                </c:pt>
                <c:pt idx="111">
                  <c:v>2.3721458911895752</c:v>
                </c:pt>
                <c:pt idx="112">
                  <c:v>2.3705015182495117</c:v>
                </c:pt>
                <c:pt idx="113">
                  <c:v>2.3364665508270264</c:v>
                </c:pt>
                <c:pt idx="114">
                  <c:v>2.3033351898193359</c:v>
                </c:pt>
                <c:pt idx="115">
                  <c:v>2.3007268905639648</c:v>
                </c:pt>
                <c:pt idx="116">
                  <c:v>2.3187587261199951</c:v>
                </c:pt>
                <c:pt idx="117">
                  <c:v>2.3264575004577637</c:v>
                </c:pt>
                <c:pt idx="118">
                  <c:v>2.2909677028656006</c:v>
                </c:pt>
                <c:pt idx="119">
                  <c:v>2.2745082378387451</c:v>
                </c:pt>
                <c:pt idx="120">
                  <c:v>2.2822701930999756</c:v>
                </c:pt>
                <c:pt idx="121">
                  <c:v>2.2687575817108154</c:v>
                </c:pt>
                <c:pt idx="122">
                  <c:v>2.2651019096374512</c:v>
                </c:pt>
                <c:pt idx="123">
                  <c:v>2.2828755378723145</c:v>
                </c:pt>
                <c:pt idx="124">
                  <c:v>2.2854812145233154</c:v>
                </c:pt>
                <c:pt idx="125">
                  <c:v>2.240980863571167</c:v>
                </c:pt>
                <c:pt idx="126">
                  <c:v>2.2259876728057861</c:v>
                </c:pt>
                <c:pt idx="127">
                  <c:v>2.2364842891693115</c:v>
                </c:pt>
                <c:pt idx="128">
                  <c:v>2.2257580757141113</c:v>
                </c:pt>
                <c:pt idx="129">
                  <c:v>2.1971204280853271</c:v>
                </c:pt>
                <c:pt idx="130">
                  <c:v>2.1970689296722412</c:v>
                </c:pt>
                <c:pt idx="131">
                  <c:v>2.2167623043060303</c:v>
                </c:pt>
                <c:pt idx="132">
                  <c:v>2.2305989265441895</c:v>
                </c:pt>
                <c:pt idx="133">
                  <c:v>2.2234911918640137</c:v>
                </c:pt>
                <c:pt idx="134">
                  <c:v>2.2428059577941895</c:v>
                </c:pt>
                <c:pt idx="135">
                  <c:v>2.2722010612487793</c:v>
                </c:pt>
                <c:pt idx="136">
                  <c:v>2.1023035049438477</c:v>
                </c:pt>
                <c:pt idx="137">
                  <c:v>2</c:v>
                </c:pt>
                <c:pt idx="138">
                  <c:v>2.0902142524719238</c:v>
                </c:pt>
                <c:pt idx="139">
                  <c:v>2.16567063331604</c:v>
                </c:pt>
                <c:pt idx="140">
                  <c:v>2.1711916923522949</c:v>
                </c:pt>
                <c:pt idx="141">
                  <c:v>2.0993049144744873</c:v>
                </c:pt>
                <c:pt idx="142">
                  <c:v>2.1145877838134766</c:v>
                </c:pt>
                <c:pt idx="143">
                  <c:v>2.1552114486694336</c:v>
                </c:pt>
                <c:pt idx="144">
                  <c:v>2.1437246799468994</c:v>
                </c:pt>
                <c:pt idx="145">
                  <c:v>2.162198543548584</c:v>
                </c:pt>
                <c:pt idx="146">
                  <c:v>2.2337009906768799</c:v>
                </c:pt>
                <c:pt idx="147">
                  <c:v>2.1820297241210938</c:v>
                </c:pt>
                <c:pt idx="148">
                  <c:v>2.1772923469543457</c:v>
                </c:pt>
                <c:pt idx="149">
                  <c:v>2.2063860893249512</c:v>
                </c:pt>
                <c:pt idx="150">
                  <c:v>2.1428983211517334</c:v>
                </c:pt>
                <c:pt idx="151">
                  <c:v>2.1304905414581299</c:v>
                </c:pt>
                <c:pt idx="152">
                  <c:v>2.1765232086181641</c:v>
                </c:pt>
                <c:pt idx="153">
                  <c:v>2.1757054328918457</c:v>
                </c:pt>
                <c:pt idx="154">
                  <c:v>2.1500635147094727</c:v>
                </c:pt>
                <c:pt idx="155">
                  <c:v>2.1713724136352539</c:v>
                </c:pt>
                <c:pt idx="156">
                  <c:v>2.111663818359375</c:v>
                </c:pt>
                <c:pt idx="157">
                  <c:v>2.1272680759429932</c:v>
                </c:pt>
                <c:pt idx="158">
                  <c:v>2.168973445892334</c:v>
                </c:pt>
                <c:pt idx="159">
                  <c:v>2.1610679626464844</c:v>
                </c:pt>
                <c:pt idx="160">
                  <c:v>2.1885120868682861</c:v>
                </c:pt>
                <c:pt idx="161">
                  <c:v>2.1481208801269531</c:v>
                </c:pt>
                <c:pt idx="162">
                  <c:v>2.1458711624145508</c:v>
                </c:pt>
                <c:pt idx="163">
                  <c:v>2.1870858669281006</c:v>
                </c:pt>
                <c:pt idx="164">
                  <c:v>2.1451940536499023</c:v>
                </c:pt>
                <c:pt idx="165">
                  <c:v>2.1722705364227295</c:v>
                </c:pt>
                <c:pt idx="166">
                  <c:v>2.1688041687011719</c:v>
                </c:pt>
                <c:pt idx="167">
                  <c:v>2.1603794097900391</c:v>
                </c:pt>
                <c:pt idx="168">
                  <c:v>2.2121250629425049</c:v>
                </c:pt>
                <c:pt idx="169">
                  <c:v>2.1344075202941895</c:v>
                </c:pt>
                <c:pt idx="170">
                  <c:v>2.1029376983642578</c:v>
                </c:pt>
                <c:pt idx="171">
                  <c:v>2.132014274597168</c:v>
                </c:pt>
                <c:pt idx="172">
                  <c:v>2.1664683818817139</c:v>
                </c:pt>
                <c:pt idx="173">
                  <c:v>2.1668558120727539</c:v>
                </c:pt>
                <c:pt idx="174">
                  <c:v>2.1820096969604492</c:v>
                </c:pt>
                <c:pt idx="175">
                  <c:v>2.1895391941070557</c:v>
                </c:pt>
                <c:pt idx="176">
                  <c:v>2.1672518253326416</c:v>
                </c:pt>
                <c:pt idx="177">
                  <c:v>2.2014906406402588</c:v>
                </c:pt>
                <c:pt idx="178">
                  <c:v>2.1933097839355469</c:v>
                </c:pt>
                <c:pt idx="179">
                  <c:v>2.1978006362915039</c:v>
                </c:pt>
                <c:pt idx="180">
                  <c:v>2.1691169738769531</c:v>
                </c:pt>
                <c:pt idx="181">
                  <c:v>2.1837830543518066</c:v>
                </c:pt>
                <c:pt idx="182">
                  <c:v>2.2379219532012939</c:v>
                </c:pt>
                <c:pt idx="183">
                  <c:v>2.2717821598052979</c:v>
                </c:pt>
                <c:pt idx="184">
                  <c:v>2.2531905174255371</c:v>
                </c:pt>
                <c:pt idx="185">
                  <c:v>2.1533088684082031</c:v>
                </c:pt>
                <c:pt idx="186">
                  <c:v>2.1460204124450684</c:v>
                </c:pt>
                <c:pt idx="187">
                  <c:v>2.1834185123443604</c:v>
                </c:pt>
                <c:pt idx="188">
                  <c:v>2.1936311721801758</c:v>
                </c:pt>
                <c:pt idx="189">
                  <c:v>2.2853031158447266</c:v>
                </c:pt>
                <c:pt idx="190">
                  <c:v>2.2917883396148682</c:v>
                </c:pt>
                <c:pt idx="191">
                  <c:v>2.246013879776001</c:v>
                </c:pt>
                <c:pt idx="192">
                  <c:v>2.2334713935852051</c:v>
                </c:pt>
                <c:pt idx="193">
                  <c:v>2.2418675422668457</c:v>
                </c:pt>
                <c:pt idx="194">
                  <c:v>2.2859029769897461</c:v>
                </c:pt>
                <c:pt idx="195">
                  <c:v>2.2322547435760498</c:v>
                </c:pt>
                <c:pt idx="196">
                  <c:v>2.3217372894287109</c:v>
                </c:pt>
                <c:pt idx="197">
                  <c:v>2.2699570655822754</c:v>
                </c:pt>
                <c:pt idx="198">
                  <c:v>2.2120764255523682</c:v>
                </c:pt>
                <c:pt idx="199">
                  <c:v>2.2724850177764893</c:v>
                </c:pt>
                <c:pt idx="200">
                  <c:v>2.2875614166259766</c:v>
                </c:pt>
                <c:pt idx="201">
                  <c:v>2.2908070087432861</c:v>
                </c:pt>
                <c:pt idx="202">
                  <c:v>2.2285444736480713</c:v>
                </c:pt>
                <c:pt idx="203">
                  <c:v>2.2623701095581055</c:v>
                </c:pt>
                <c:pt idx="204">
                  <c:v>2.2038006782531738</c:v>
                </c:pt>
                <c:pt idx="205">
                  <c:v>2.2828009128570557</c:v>
                </c:pt>
                <c:pt idx="206">
                  <c:v>2.2745282649993896</c:v>
                </c:pt>
                <c:pt idx="207">
                  <c:v>2.2855556011199951</c:v>
                </c:pt>
                <c:pt idx="208">
                  <c:v>2.2465734481811523</c:v>
                </c:pt>
                <c:pt idx="209">
                  <c:v>2.2557013034820557</c:v>
                </c:pt>
                <c:pt idx="210">
                  <c:v>2.2737476825714111</c:v>
                </c:pt>
                <c:pt idx="211">
                  <c:v>2.2627604007720947</c:v>
                </c:pt>
                <c:pt idx="212">
                  <c:v>2.3039951324462891</c:v>
                </c:pt>
                <c:pt idx="213">
                  <c:v>2.2026243209838867</c:v>
                </c:pt>
                <c:pt idx="214">
                  <c:v>2.2428574562072754</c:v>
                </c:pt>
                <c:pt idx="215">
                  <c:v>2.2054879665374756</c:v>
                </c:pt>
                <c:pt idx="216">
                  <c:v>2.2622554302215576</c:v>
                </c:pt>
                <c:pt idx="217">
                  <c:v>2.2575321197509766</c:v>
                </c:pt>
                <c:pt idx="218">
                  <c:v>2.2675294876098633</c:v>
                </c:pt>
                <c:pt idx="219">
                  <c:v>2.4046285152435303</c:v>
                </c:pt>
                <c:pt idx="220">
                  <c:v>2.2763619422912598</c:v>
                </c:pt>
                <c:pt idx="221">
                  <c:v>2.2431213855743408</c:v>
                </c:pt>
                <c:pt idx="222">
                  <c:v>2.3504495620727539</c:v>
                </c:pt>
                <c:pt idx="223">
                  <c:v>2.2553169727325439</c:v>
                </c:pt>
                <c:pt idx="224">
                  <c:v>2.3283801078796387</c:v>
                </c:pt>
                <c:pt idx="225">
                  <c:v>2.2869503498077393</c:v>
                </c:pt>
              </c:numCache>
            </c:numRef>
          </c:yVal>
          <c:smooth val="1"/>
          <c:extLst>
            <c:ext xmlns:c16="http://schemas.microsoft.com/office/drawing/2014/chart" uri="{C3380CC4-5D6E-409C-BE32-E72D297353CC}">
              <c16:uniqueId val="{00000005-58F6-4830-8941-1011DB88381F}"/>
            </c:ext>
          </c:extLst>
        </c:ser>
        <c:ser>
          <c:idx val="6"/>
          <c:order val="6"/>
          <c:tx>
            <c:v>7</c:v>
          </c:tx>
          <c:spPr>
            <a:ln w="19050" cap="rnd">
              <a:noFill/>
              <a:round/>
            </a:ln>
            <a:effectLst/>
            <a:extLst>
              <a:ext uri="{91240B29-F687-4F45-9708-019B960494DF}">
                <a14:hiddenLine xmlns:a14="http://schemas.microsoft.com/office/drawing/2010/main" w="19050" cap="rnd">
                  <a:solidFill>
                    <a:srgbClr val="5B9BD5">
                      <a:lumMod val="6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NormalisedUVVisData!$H$2:$H$300</c:f>
              <c:numCache>
                <c:formatCode>General</c:formatCode>
                <c:ptCount val="299"/>
                <c:pt idx="0">
                  <c:v>48.574314117431641</c:v>
                </c:pt>
                <c:pt idx="1">
                  <c:v>50.445053100585938</c:v>
                </c:pt>
                <c:pt idx="2">
                  <c:v>50.757942199707031</c:v>
                </c:pt>
                <c:pt idx="3">
                  <c:v>50.210697174072266</c:v>
                </c:pt>
                <c:pt idx="4">
                  <c:v>48.933311462402344</c:v>
                </c:pt>
                <c:pt idx="5">
                  <c:v>46.944751739501953</c:v>
                </c:pt>
                <c:pt idx="6">
                  <c:v>44.139595031738281</c:v>
                </c:pt>
                <c:pt idx="7">
                  <c:v>41.074260711669922</c:v>
                </c:pt>
                <c:pt idx="8">
                  <c:v>38.470436096191406</c:v>
                </c:pt>
                <c:pt idx="9">
                  <c:v>36.574665069580078</c:v>
                </c:pt>
                <c:pt idx="10">
                  <c:v>35.484958648681641</c:v>
                </c:pt>
                <c:pt idx="11">
                  <c:v>34.793941497802734</c:v>
                </c:pt>
                <c:pt idx="12">
                  <c:v>34.135982513427734</c:v>
                </c:pt>
                <c:pt idx="13">
                  <c:v>33.326431274414063</c:v>
                </c:pt>
                <c:pt idx="14">
                  <c:v>32.279701232910156</c:v>
                </c:pt>
                <c:pt idx="15">
                  <c:v>31.029972076416016</c:v>
                </c:pt>
                <c:pt idx="16">
                  <c:v>29.645483016967773</c:v>
                </c:pt>
                <c:pt idx="17">
                  <c:v>28.222209930419922</c:v>
                </c:pt>
                <c:pt idx="18">
                  <c:v>26.970527648925781</c:v>
                </c:pt>
                <c:pt idx="19">
                  <c:v>25.977441787719727</c:v>
                </c:pt>
                <c:pt idx="20">
                  <c:v>25.441366195678711</c:v>
                </c:pt>
                <c:pt idx="21">
                  <c:v>25.440839767456055</c:v>
                </c:pt>
                <c:pt idx="22">
                  <c:v>26.081100463867188</c:v>
                </c:pt>
                <c:pt idx="23">
                  <c:v>27.347671508789063</c:v>
                </c:pt>
                <c:pt idx="24">
                  <c:v>29.299823760986328</c:v>
                </c:pt>
                <c:pt idx="25">
                  <c:v>31.904994964599609</c:v>
                </c:pt>
                <c:pt idx="26">
                  <c:v>35.249786376953125</c:v>
                </c:pt>
                <c:pt idx="27">
                  <c:v>39.059822082519531</c:v>
                </c:pt>
                <c:pt idx="28">
                  <c:v>43.456466674804688</c:v>
                </c:pt>
                <c:pt idx="29">
                  <c:v>48.052196502685547</c:v>
                </c:pt>
                <c:pt idx="30">
                  <c:v>53.038566589355469</c:v>
                </c:pt>
                <c:pt idx="31">
                  <c:v>58.037155151367188</c:v>
                </c:pt>
                <c:pt idx="32">
                  <c:v>63.252803802490234</c:v>
                </c:pt>
                <c:pt idx="33">
                  <c:v>68.444023132324219</c:v>
                </c:pt>
                <c:pt idx="34">
                  <c:v>73.41522216796875</c:v>
                </c:pt>
                <c:pt idx="35">
                  <c:v>78.360771179199219</c:v>
                </c:pt>
                <c:pt idx="36">
                  <c:v>83.008934020996094</c:v>
                </c:pt>
                <c:pt idx="37">
                  <c:v>87.309707641601563</c:v>
                </c:pt>
                <c:pt idx="38">
                  <c:v>91.086585998535156</c:v>
                </c:pt>
                <c:pt idx="39">
                  <c:v>94.475143432617188</c:v>
                </c:pt>
                <c:pt idx="40">
                  <c:v>97.211738586425781</c:v>
                </c:pt>
                <c:pt idx="41">
                  <c:v>99.083236694335938</c:v>
                </c:pt>
                <c:pt idx="42">
                  <c:v>100.00000762939453</c:v>
                </c:pt>
                <c:pt idx="43">
                  <c:v>99.901336669921875</c:v>
                </c:pt>
                <c:pt idx="44">
                  <c:v>98.759017944335938</c:v>
                </c:pt>
                <c:pt idx="45">
                  <c:v>96.611076354980469</c:v>
                </c:pt>
                <c:pt idx="46">
                  <c:v>93.523353576660156</c:v>
                </c:pt>
                <c:pt idx="47">
                  <c:v>89.574882507324219</c:v>
                </c:pt>
                <c:pt idx="48">
                  <c:v>84.853950500488281</c:v>
                </c:pt>
                <c:pt idx="49">
                  <c:v>79.478584289550781</c:v>
                </c:pt>
                <c:pt idx="50">
                  <c:v>73.597137451171875</c:v>
                </c:pt>
                <c:pt idx="51">
                  <c:v>67.299812316894531</c:v>
                </c:pt>
                <c:pt idx="52">
                  <c:v>60.740215301513672</c:v>
                </c:pt>
                <c:pt idx="53">
                  <c:v>54.105857849121094</c:v>
                </c:pt>
                <c:pt idx="54">
                  <c:v>47.358860015869141</c:v>
                </c:pt>
                <c:pt idx="55">
                  <c:v>41.031364440917969</c:v>
                </c:pt>
                <c:pt idx="56">
                  <c:v>35.044986724853516</c:v>
                </c:pt>
                <c:pt idx="57">
                  <c:v>29.483198165893555</c:v>
                </c:pt>
                <c:pt idx="58">
                  <c:v>24.358606338500977</c:v>
                </c:pt>
                <c:pt idx="59">
                  <c:v>19.9696044921875</c:v>
                </c:pt>
                <c:pt idx="60">
                  <c:v>16.172492980957031</c:v>
                </c:pt>
                <c:pt idx="61">
                  <c:v>12.939757347106934</c:v>
                </c:pt>
                <c:pt idx="62">
                  <c:v>10.36704158782959</c:v>
                </c:pt>
                <c:pt idx="63">
                  <c:v>8.2603664398193359</c:v>
                </c:pt>
                <c:pt idx="64">
                  <c:v>6.6444897651672363</c:v>
                </c:pt>
                <c:pt idx="65">
                  <c:v>5.3980112075805664</c:v>
                </c:pt>
                <c:pt idx="66">
                  <c:v>4.4862527847290039</c:v>
                </c:pt>
                <c:pt idx="67">
                  <c:v>3.7420792579650879</c:v>
                </c:pt>
                <c:pt idx="68">
                  <c:v>3.2293844223022461</c:v>
                </c:pt>
                <c:pt idx="69">
                  <c:v>2.8704953193664551</c:v>
                </c:pt>
                <c:pt idx="70">
                  <c:v>2.630803108215332</c:v>
                </c:pt>
                <c:pt idx="71">
                  <c:v>2.4558515548706055</c:v>
                </c:pt>
                <c:pt idx="72">
                  <c:v>2.3218839168548584</c:v>
                </c:pt>
                <c:pt idx="73">
                  <c:v>2.2479329109191895</c:v>
                </c:pt>
                <c:pt idx="74">
                  <c:v>2.1950728893280029</c:v>
                </c:pt>
                <c:pt idx="75">
                  <c:v>2.1566958427429199</c:v>
                </c:pt>
                <c:pt idx="76">
                  <c:v>2.1565587520599365</c:v>
                </c:pt>
                <c:pt idx="77">
                  <c:v>2.15413498878479</c:v>
                </c:pt>
                <c:pt idx="78">
                  <c:v>2.1417829990386963</c:v>
                </c:pt>
                <c:pt idx="79">
                  <c:v>2.1256401538848877</c:v>
                </c:pt>
                <c:pt idx="80">
                  <c:v>2.1065020561218262</c:v>
                </c:pt>
                <c:pt idx="81">
                  <c:v>2.1115598678588867</c:v>
                </c:pt>
                <c:pt idx="82">
                  <c:v>2.1154880523681641</c:v>
                </c:pt>
                <c:pt idx="83">
                  <c:v>2.1245427131652832</c:v>
                </c:pt>
                <c:pt idx="84">
                  <c:v>2.125612735748291</c:v>
                </c:pt>
                <c:pt idx="85">
                  <c:v>2.1386826038360596</c:v>
                </c:pt>
                <c:pt idx="86">
                  <c:v>2.1152410507202148</c:v>
                </c:pt>
                <c:pt idx="87">
                  <c:v>2.1103708744049072</c:v>
                </c:pt>
                <c:pt idx="88">
                  <c:v>2.1440329551696777</c:v>
                </c:pt>
                <c:pt idx="89">
                  <c:v>2.1302132606506348</c:v>
                </c:pt>
                <c:pt idx="90">
                  <c:v>2.1215291023254395</c:v>
                </c:pt>
                <c:pt idx="91">
                  <c:v>2.1005706787109375</c:v>
                </c:pt>
                <c:pt idx="92">
                  <c:v>2.079045295715332</c:v>
                </c:pt>
                <c:pt idx="93">
                  <c:v>2.0969488620758057</c:v>
                </c:pt>
                <c:pt idx="94">
                  <c:v>2.1270029544830322</c:v>
                </c:pt>
                <c:pt idx="95">
                  <c:v>2.1414401531219482</c:v>
                </c:pt>
                <c:pt idx="96">
                  <c:v>2.1497676372528076</c:v>
                </c:pt>
                <c:pt idx="97">
                  <c:v>2.1500101089477539</c:v>
                </c:pt>
                <c:pt idx="98">
                  <c:v>2.0983023643493652</c:v>
                </c:pt>
                <c:pt idx="99">
                  <c:v>2.0679922103881836</c:v>
                </c:pt>
                <c:pt idx="100">
                  <c:v>2.0977811813354492</c:v>
                </c:pt>
                <c:pt idx="101">
                  <c:v>2.0707542896270752</c:v>
                </c:pt>
                <c:pt idx="102">
                  <c:v>2.0651066303253174</c:v>
                </c:pt>
                <c:pt idx="103">
                  <c:v>2.111710786819458</c:v>
                </c:pt>
                <c:pt idx="104">
                  <c:v>2.1096572875976563</c:v>
                </c:pt>
                <c:pt idx="105">
                  <c:v>2.1106634140014648</c:v>
                </c:pt>
                <c:pt idx="106">
                  <c:v>2.1058754920959473</c:v>
                </c:pt>
                <c:pt idx="107">
                  <c:v>2.1340179443359375</c:v>
                </c:pt>
                <c:pt idx="108">
                  <c:v>2.1346490383148193</c:v>
                </c:pt>
                <c:pt idx="109">
                  <c:v>2.1030080318450928</c:v>
                </c:pt>
                <c:pt idx="110">
                  <c:v>2.105276346206665</c:v>
                </c:pt>
                <c:pt idx="111">
                  <c:v>2.1173675060272217</c:v>
                </c:pt>
                <c:pt idx="112">
                  <c:v>2.0948224067687988</c:v>
                </c:pt>
                <c:pt idx="113">
                  <c:v>2.0719113349914551</c:v>
                </c:pt>
                <c:pt idx="114">
                  <c:v>2.1074211597442627</c:v>
                </c:pt>
                <c:pt idx="115">
                  <c:v>2.1267788410186768</c:v>
                </c:pt>
                <c:pt idx="116">
                  <c:v>2.1382160186767578</c:v>
                </c:pt>
                <c:pt idx="117">
                  <c:v>2.1267697811126709</c:v>
                </c:pt>
                <c:pt idx="118">
                  <c:v>2.0718884468078613</c:v>
                </c:pt>
                <c:pt idx="119">
                  <c:v>2.0489089488983154</c:v>
                </c:pt>
                <c:pt idx="120">
                  <c:v>2.1171433925628662</c:v>
                </c:pt>
                <c:pt idx="121">
                  <c:v>2.1612231731414795</c:v>
                </c:pt>
                <c:pt idx="122">
                  <c:v>2.1083860397338867</c:v>
                </c:pt>
                <c:pt idx="123">
                  <c:v>2.107311487197876</c:v>
                </c:pt>
                <c:pt idx="124">
                  <c:v>2.1048877239227295</c:v>
                </c:pt>
                <c:pt idx="125">
                  <c:v>2.1075811386108398</c:v>
                </c:pt>
                <c:pt idx="126">
                  <c:v>2.0941455364227295</c:v>
                </c:pt>
                <c:pt idx="127">
                  <c:v>2.0654220581054688</c:v>
                </c:pt>
                <c:pt idx="128">
                  <c:v>2.067690372467041</c:v>
                </c:pt>
                <c:pt idx="129">
                  <c:v>2.04736328125</c:v>
                </c:pt>
                <c:pt idx="130">
                  <c:v>2.0601403713226318</c:v>
                </c:pt>
                <c:pt idx="131">
                  <c:v>2.0486025810241699</c:v>
                </c:pt>
                <c:pt idx="132">
                  <c:v>2.0691399574279785</c:v>
                </c:pt>
                <c:pt idx="133">
                  <c:v>2.1193568706512451</c:v>
                </c:pt>
                <c:pt idx="134">
                  <c:v>2.1053769588470459</c:v>
                </c:pt>
                <c:pt idx="135">
                  <c:v>2.1177060604095459</c:v>
                </c:pt>
                <c:pt idx="136">
                  <c:v>2.4916632175445557</c:v>
                </c:pt>
                <c:pt idx="137">
                  <c:v>2.674818754196167</c:v>
                </c:pt>
                <c:pt idx="138">
                  <c:v>2.3070123195648193</c:v>
                </c:pt>
                <c:pt idx="139">
                  <c:v>2.0879306793212891</c:v>
                </c:pt>
                <c:pt idx="140">
                  <c:v>2.1284847259521484</c:v>
                </c:pt>
                <c:pt idx="141">
                  <c:v>2.1047368049621582</c:v>
                </c:pt>
                <c:pt idx="142">
                  <c:v>2.0877935886383057</c:v>
                </c:pt>
                <c:pt idx="143">
                  <c:v>2.0909168720245361</c:v>
                </c:pt>
                <c:pt idx="144">
                  <c:v>2.1168370246887207</c:v>
                </c:pt>
                <c:pt idx="145">
                  <c:v>2.1024410724639893</c:v>
                </c:pt>
                <c:pt idx="146">
                  <c:v>2.1395149230957031</c:v>
                </c:pt>
                <c:pt idx="147">
                  <c:v>2.1398532390594482</c:v>
                </c:pt>
                <c:pt idx="148">
                  <c:v>2.0689435005187988</c:v>
                </c:pt>
                <c:pt idx="149">
                  <c:v>2.0577166080474854</c:v>
                </c:pt>
                <c:pt idx="150">
                  <c:v>2.073676586151123</c:v>
                </c:pt>
                <c:pt idx="151">
                  <c:v>2.129399299621582</c:v>
                </c:pt>
                <c:pt idx="152">
                  <c:v>2.2076945304870605</c:v>
                </c:pt>
                <c:pt idx="153">
                  <c:v>2.1541669368743896</c:v>
                </c:pt>
                <c:pt idx="154">
                  <c:v>2.0958559513092041</c:v>
                </c:pt>
                <c:pt idx="155">
                  <c:v>2.1537141799926758</c:v>
                </c:pt>
                <c:pt idx="156">
                  <c:v>2.1356141567230225</c:v>
                </c:pt>
                <c:pt idx="157">
                  <c:v>2.069277286529541</c:v>
                </c:pt>
                <c:pt idx="158">
                  <c:v>2.0771932601928711</c:v>
                </c:pt>
                <c:pt idx="159">
                  <c:v>2.0787708759307861</c:v>
                </c:pt>
                <c:pt idx="160">
                  <c:v>2.1349508762359619</c:v>
                </c:pt>
                <c:pt idx="161">
                  <c:v>2.2142798900604248</c:v>
                </c:pt>
                <c:pt idx="162">
                  <c:v>2.1358473300933838</c:v>
                </c:pt>
                <c:pt idx="163">
                  <c:v>2.0961027145385742</c:v>
                </c:pt>
                <c:pt idx="164">
                  <c:v>2.1823506355285645</c:v>
                </c:pt>
                <c:pt idx="165">
                  <c:v>2.1731679439544678</c:v>
                </c:pt>
                <c:pt idx="166">
                  <c:v>2.1679317951202393</c:v>
                </c:pt>
                <c:pt idx="167">
                  <c:v>2.1030631065368652</c:v>
                </c:pt>
                <c:pt idx="168">
                  <c:v>2.064699649810791</c:v>
                </c:pt>
                <c:pt idx="169">
                  <c:v>2.1379051208496094</c:v>
                </c:pt>
                <c:pt idx="170">
                  <c:v>2.1785550117492676</c:v>
                </c:pt>
                <c:pt idx="171">
                  <c:v>2.1625630855560303</c:v>
                </c:pt>
                <c:pt idx="172">
                  <c:v>2.1779284477233887</c:v>
                </c:pt>
                <c:pt idx="173">
                  <c:v>2.1483545303344727</c:v>
                </c:pt>
                <c:pt idx="174">
                  <c:v>2.1502616405487061</c:v>
                </c:pt>
                <c:pt idx="175">
                  <c:v>2.206953763961792</c:v>
                </c:pt>
                <c:pt idx="176">
                  <c:v>2.2105298042297363</c:v>
                </c:pt>
                <c:pt idx="177">
                  <c:v>2.1741604804992676</c:v>
                </c:pt>
                <c:pt idx="178">
                  <c:v>2.1996779441833496</c:v>
                </c:pt>
                <c:pt idx="179">
                  <c:v>2.1512494087219238</c:v>
                </c:pt>
                <c:pt idx="180">
                  <c:v>2.1066253185272217</c:v>
                </c:pt>
                <c:pt idx="181">
                  <c:v>2.1438455581665039</c:v>
                </c:pt>
                <c:pt idx="182">
                  <c:v>2.1570067405700684</c:v>
                </c:pt>
                <c:pt idx="183">
                  <c:v>2.197528600692749</c:v>
                </c:pt>
                <c:pt idx="184">
                  <c:v>2.2270660400390625</c:v>
                </c:pt>
                <c:pt idx="185">
                  <c:v>2.1656134128570557</c:v>
                </c:pt>
                <c:pt idx="186">
                  <c:v>2.1535861492156982</c:v>
                </c:pt>
                <c:pt idx="187">
                  <c:v>2.1519627571105957</c:v>
                </c:pt>
                <c:pt idx="188">
                  <c:v>2.1100232601165771</c:v>
                </c:pt>
                <c:pt idx="189">
                  <c:v>2.1170198917388916</c:v>
                </c:pt>
                <c:pt idx="190">
                  <c:v>2.1282238960266113</c:v>
                </c:pt>
                <c:pt idx="191">
                  <c:v>2.1241219043731689</c:v>
                </c:pt>
                <c:pt idx="192">
                  <c:v>2.080636739730835</c:v>
                </c:pt>
                <c:pt idx="193">
                  <c:v>2.0942416191101074</c:v>
                </c:pt>
                <c:pt idx="194">
                  <c:v>2.1049654483795166</c:v>
                </c:pt>
                <c:pt idx="195">
                  <c:v>2.1362588405609131</c:v>
                </c:pt>
                <c:pt idx="196">
                  <c:v>2.158973217010498</c:v>
                </c:pt>
                <c:pt idx="197">
                  <c:v>2.1441154479980469</c:v>
                </c:pt>
                <c:pt idx="198">
                  <c:v>2.149301290512085</c:v>
                </c:pt>
                <c:pt idx="199">
                  <c:v>2.1417052745819092</c:v>
                </c:pt>
                <c:pt idx="200">
                  <c:v>2.1231296062469482</c:v>
                </c:pt>
                <c:pt idx="201">
                  <c:v>2.0762283802032471</c:v>
                </c:pt>
                <c:pt idx="202">
                  <c:v>2.1334419250488281</c:v>
                </c:pt>
                <c:pt idx="203">
                  <c:v>2.1763508319854736</c:v>
                </c:pt>
                <c:pt idx="204">
                  <c:v>2.1166267395019531</c:v>
                </c:pt>
                <c:pt idx="205">
                  <c:v>2.0981514453887939</c:v>
                </c:pt>
                <c:pt idx="206">
                  <c:v>2.0872540473937988</c:v>
                </c:pt>
                <c:pt idx="207">
                  <c:v>2.0842220783233643</c:v>
                </c:pt>
                <c:pt idx="208">
                  <c:v>2.0972552299499512</c:v>
                </c:pt>
                <c:pt idx="209">
                  <c:v>2.1280274391174316</c:v>
                </c:pt>
                <c:pt idx="210">
                  <c:v>2.1318733692169189</c:v>
                </c:pt>
                <c:pt idx="211">
                  <c:v>2.10959792137146</c:v>
                </c:pt>
                <c:pt idx="212">
                  <c:v>2.0923209190368652</c:v>
                </c:pt>
                <c:pt idx="213">
                  <c:v>2.1363320350646973</c:v>
                </c:pt>
                <c:pt idx="214">
                  <c:v>2.1175277233123779</c:v>
                </c:pt>
                <c:pt idx="215">
                  <c:v>2.123673677444458</c:v>
                </c:pt>
                <c:pt idx="216">
                  <c:v>2.1598055362701416</c:v>
                </c:pt>
                <c:pt idx="217">
                  <c:v>2.0699586868286133</c:v>
                </c:pt>
                <c:pt idx="218">
                  <c:v>2.0810253620147705</c:v>
                </c:pt>
                <c:pt idx="219">
                  <c:v>2.1731817722320557</c:v>
                </c:pt>
                <c:pt idx="220">
                  <c:v>2.1858353614807129</c:v>
                </c:pt>
                <c:pt idx="221">
                  <c:v>2.2584097385406494</c:v>
                </c:pt>
                <c:pt idx="222">
                  <c:v>2.244631290435791</c:v>
                </c:pt>
                <c:pt idx="223">
                  <c:v>2.2335734367370605</c:v>
                </c:pt>
                <c:pt idx="224">
                  <c:v>2.1542949676513672</c:v>
                </c:pt>
                <c:pt idx="225">
                  <c:v>2</c:v>
                </c:pt>
              </c:numCache>
            </c:numRef>
          </c:yVal>
          <c:smooth val="1"/>
          <c:extLst>
            <c:ext xmlns:c16="http://schemas.microsoft.com/office/drawing/2014/chart" uri="{C3380CC4-5D6E-409C-BE32-E72D297353CC}">
              <c16:uniqueId val="{00000006-58F6-4830-8941-1011DB88381F}"/>
            </c:ext>
          </c:extLst>
        </c:ser>
        <c:ser>
          <c:idx val="7"/>
          <c:order val="7"/>
          <c:tx>
            <c:v>8</c:v>
          </c:tx>
          <c:spPr>
            <a:ln w="19050" cap="rnd">
              <a:noFill/>
              <a:round/>
            </a:ln>
            <a:effectLst/>
            <a:extLst>
              <a:ext uri="{91240B29-F687-4F45-9708-019B960494DF}">
                <a14:hiddenLine xmlns:a14="http://schemas.microsoft.com/office/drawing/2010/main" w="19050" cap="rnd">
                  <a:solidFill>
                    <a:srgbClr val="ED7D31">
                      <a:lumMod val="6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NormalisedUVVisData!$I$2:$I$300</c:f>
              <c:numCache>
                <c:formatCode>General</c:formatCode>
                <c:ptCount val="299"/>
                <c:pt idx="0">
                  <c:v>100</c:v>
                </c:pt>
                <c:pt idx="1">
                  <c:v>86.344573974609375</c:v>
                </c:pt>
                <c:pt idx="2">
                  <c:v>71.910797119140625</c:v>
                </c:pt>
                <c:pt idx="3">
                  <c:v>58.720592498779297</c:v>
                </c:pt>
                <c:pt idx="4">
                  <c:v>47.625778198242188</c:v>
                </c:pt>
                <c:pt idx="5">
                  <c:v>38.467159271240234</c:v>
                </c:pt>
                <c:pt idx="6">
                  <c:v>30.40962028503418</c:v>
                </c:pt>
                <c:pt idx="7">
                  <c:v>23.820709228515625</c:v>
                </c:pt>
                <c:pt idx="8">
                  <c:v>18.407428741455078</c:v>
                </c:pt>
                <c:pt idx="9">
                  <c:v>13.642251968383789</c:v>
                </c:pt>
                <c:pt idx="10">
                  <c:v>9.8537406921386719</c:v>
                </c:pt>
                <c:pt idx="11">
                  <c:v>7.0498008728027344</c:v>
                </c:pt>
                <c:pt idx="12">
                  <c:v>5.1340389251708984</c:v>
                </c:pt>
                <c:pt idx="13">
                  <c:v>3.8511583805084229</c:v>
                </c:pt>
                <c:pt idx="14">
                  <c:v>3.043381929397583</c:v>
                </c:pt>
                <c:pt idx="15">
                  <c:v>2.553682804107666</c:v>
                </c:pt>
                <c:pt idx="16">
                  <c:v>2.2685034275054932</c:v>
                </c:pt>
                <c:pt idx="17">
                  <c:v>2.1072254180908203</c:v>
                </c:pt>
                <c:pt idx="18">
                  <c:v>2.0293178558349609</c:v>
                </c:pt>
                <c:pt idx="19">
                  <c:v>2</c:v>
                </c:pt>
                <c:pt idx="20">
                  <c:v>2.0035519599914551</c:v>
                </c:pt>
                <c:pt idx="21">
                  <c:v>2.0271761417388916</c:v>
                </c:pt>
                <c:pt idx="22">
                  <c:v>2.0636997222900391</c:v>
                </c:pt>
                <c:pt idx="23">
                  <c:v>2.1033620834350586</c:v>
                </c:pt>
                <c:pt idx="24">
                  <c:v>2.1452758312225342</c:v>
                </c:pt>
                <c:pt idx="25">
                  <c:v>2.1923339366912842</c:v>
                </c:pt>
                <c:pt idx="26">
                  <c:v>2.240633487701416</c:v>
                </c:pt>
                <c:pt idx="27">
                  <c:v>2.2739198207855225</c:v>
                </c:pt>
                <c:pt idx="28">
                  <c:v>2.3007926940917969</c:v>
                </c:pt>
                <c:pt idx="29">
                  <c:v>2.3328213691711426</c:v>
                </c:pt>
                <c:pt idx="30">
                  <c:v>2.3635444641113281</c:v>
                </c:pt>
                <c:pt idx="31">
                  <c:v>2.3770489692687988</c:v>
                </c:pt>
                <c:pt idx="32">
                  <c:v>2.3916800022125244</c:v>
                </c:pt>
                <c:pt idx="33">
                  <c:v>2.4095449447631836</c:v>
                </c:pt>
                <c:pt idx="34">
                  <c:v>2.4184103012084961</c:v>
                </c:pt>
                <c:pt idx="35">
                  <c:v>2.4174983501434326</c:v>
                </c:pt>
                <c:pt idx="36">
                  <c:v>2.4239940643310547</c:v>
                </c:pt>
                <c:pt idx="37">
                  <c:v>2.42803955078125</c:v>
                </c:pt>
                <c:pt idx="38">
                  <c:v>2.4289956092834473</c:v>
                </c:pt>
                <c:pt idx="39">
                  <c:v>2.4246318340301514</c:v>
                </c:pt>
                <c:pt idx="40">
                  <c:v>2.4214653968811035</c:v>
                </c:pt>
                <c:pt idx="41">
                  <c:v>2.4034512042999268</c:v>
                </c:pt>
                <c:pt idx="42">
                  <c:v>2.4022819995880127</c:v>
                </c:pt>
                <c:pt idx="43">
                  <c:v>2.4190299510955811</c:v>
                </c:pt>
                <c:pt idx="44">
                  <c:v>2.4232659339904785</c:v>
                </c:pt>
                <c:pt idx="45">
                  <c:v>2.4253370761871338</c:v>
                </c:pt>
                <c:pt idx="46">
                  <c:v>2.4113717079162598</c:v>
                </c:pt>
                <c:pt idx="47">
                  <c:v>2.41522216796875</c:v>
                </c:pt>
                <c:pt idx="48">
                  <c:v>2.4313867092132568</c:v>
                </c:pt>
                <c:pt idx="49">
                  <c:v>2.4496171474456787</c:v>
                </c:pt>
                <c:pt idx="50">
                  <c:v>2.4484415054321289</c:v>
                </c:pt>
                <c:pt idx="51">
                  <c:v>2.4462308883666992</c:v>
                </c:pt>
                <c:pt idx="52">
                  <c:v>2.4482429027557373</c:v>
                </c:pt>
                <c:pt idx="53">
                  <c:v>2.4502813816070557</c:v>
                </c:pt>
                <c:pt idx="54">
                  <c:v>2.4482529163360596</c:v>
                </c:pt>
                <c:pt idx="55">
                  <c:v>2.4456191062927246</c:v>
                </c:pt>
                <c:pt idx="56">
                  <c:v>2.4427182674407959</c:v>
                </c:pt>
                <c:pt idx="57">
                  <c:v>2.4470558166503906</c:v>
                </c:pt>
                <c:pt idx="58">
                  <c:v>2.4552304744720459</c:v>
                </c:pt>
                <c:pt idx="59">
                  <c:v>2.4559602737426758</c:v>
                </c:pt>
                <c:pt idx="60">
                  <c:v>2.4490334987640381</c:v>
                </c:pt>
                <c:pt idx="61">
                  <c:v>2.4620671272277832</c:v>
                </c:pt>
                <c:pt idx="62">
                  <c:v>2.4710192680358887</c:v>
                </c:pt>
                <c:pt idx="63">
                  <c:v>2.4700911045074463</c:v>
                </c:pt>
                <c:pt idx="64">
                  <c:v>2.4836087226867676</c:v>
                </c:pt>
                <c:pt idx="65">
                  <c:v>2.4874362945556641</c:v>
                </c:pt>
                <c:pt idx="66">
                  <c:v>2.4737250804901123</c:v>
                </c:pt>
                <c:pt idx="67">
                  <c:v>2.4585971832275391</c:v>
                </c:pt>
                <c:pt idx="68">
                  <c:v>2.4675378799438477</c:v>
                </c:pt>
                <c:pt idx="69">
                  <c:v>2.4745876789093018</c:v>
                </c:pt>
                <c:pt idx="70">
                  <c:v>2.4630839824676514</c:v>
                </c:pt>
                <c:pt idx="71">
                  <c:v>2.460735559463501</c:v>
                </c:pt>
                <c:pt idx="72">
                  <c:v>2.4600830078125</c:v>
                </c:pt>
                <c:pt idx="73">
                  <c:v>2.4607996940612793</c:v>
                </c:pt>
                <c:pt idx="74">
                  <c:v>2.468944787979126</c:v>
                </c:pt>
                <c:pt idx="75">
                  <c:v>2.4633300304412842</c:v>
                </c:pt>
                <c:pt idx="76">
                  <c:v>2.4658684730529785</c:v>
                </c:pt>
                <c:pt idx="77">
                  <c:v>2.4733397960662842</c:v>
                </c:pt>
                <c:pt idx="78">
                  <c:v>2.4843089580535889</c:v>
                </c:pt>
                <c:pt idx="79">
                  <c:v>2.4882447719573975</c:v>
                </c:pt>
                <c:pt idx="80">
                  <c:v>2.4818408489227295</c:v>
                </c:pt>
                <c:pt idx="81">
                  <c:v>2.4748518466949463</c:v>
                </c:pt>
                <c:pt idx="82">
                  <c:v>2.4691433906555176</c:v>
                </c:pt>
                <c:pt idx="83">
                  <c:v>2.4784693717956543</c:v>
                </c:pt>
                <c:pt idx="84">
                  <c:v>2.4833216667175293</c:v>
                </c:pt>
                <c:pt idx="85">
                  <c:v>2.4780693054199219</c:v>
                </c:pt>
                <c:pt idx="86">
                  <c:v>2.4757847785949707</c:v>
                </c:pt>
                <c:pt idx="87">
                  <c:v>2.4746417999267578</c:v>
                </c:pt>
                <c:pt idx="88">
                  <c:v>2.47845458984375</c:v>
                </c:pt>
                <c:pt idx="89">
                  <c:v>2.4658882617950439</c:v>
                </c:pt>
                <c:pt idx="90">
                  <c:v>2.4385659694671631</c:v>
                </c:pt>
                <c:pt idx="91">
                  <c:v>2.4333250522613525</c:v>
                </c:pt>
                <c:pt idx="92">
                  <c:v>2.4431838989257813</c:v>
                </c:pt>
                <c:pt idx="93">
                  <c:v>2.4484577178955078</c:v>
                </c:pt>
                <c:pt idx="94">
                  <c:v>2.461143970489502</c:v>
                </c:pt>
                <c:pt idx="95">
                  <c:v>2.4499647617340088</c:v>
                </c:pt>
                <c:pt idx="96">
                  <c:v>2.4427132606506348</c:v>
                </c:pt>
                <c:pt idx="97">
                  <c:v>2.450127124786377</c:v>
                </c:pt>
                <c:pt idx="98">
                  <c:v>2.4543678760528564</c:v>
                </c:pt>
                <c:pt idx="99">
                  <c:v>2.4575953483581543</c:v>
                </c:pt>
                <c:pt idx="100">
                  <c:v>2.4560079574584961</c:v>
                </c:pt>
                <c:pt idx="101">
                  <c:v>2.4566457271575928</c:v>
                </c:pt>
                <c:pt idx="102">
                  <c:v>2.4551632404327393</c:v>
                </c:pt>
                <c:pt idx="103">
                  <c:v>2.4658734798431396</c:v>
                </c:pt>
                <c:pt idx="104">
                  <c:v>2.4571425914764404</c:v>
                </c:pt>
                <c:pt idx="105">
                  <c:v>2.4451026916503906</c:v>
                </c:pt>
                <c:pt idx="106">
                  <c:v>2.4649894237518311</c:v>
                </c:pt>
                <c:pt idx="107">
                  <c:v>2.4705600738525391</c:v>
                </c:pt>
                <c:pt idx="108">
                  <c:v>2.4623672962188721</c:v>
                </c:pt>
                <c:pt idx="109">
                  <c:v>2.4661407470703125</c:v>
                </c:pt>
                <c:pt idx="110">
                  <c:v>2.4573099613189697</c:v>
                </c:pt>
                <c:pt idx="111">
                  <c:v>2.4464964866638184</c:v>
                </c:pt>
                <c:pt idx="112">
                  <c:v>2.447232723236084</c:v>
                </c:pt>
                <c:pt idx="113">
                  <c:v>2.4522311687469482</c:v>
                </c:pt>
                <c:pt idx="114">
                  <c:v>2.4695205688476563</c:v>
                </c:pt>
                <c:pt idx="115">
                  <c:v>2.4746696949005127</c:v>
                </c:pt>
                <c:pt idx="116">
                  <c:v>2.4678444862365723</c:v>
                </c:pt>
                <c:pt idx="117">
                  <c:v>2.4597237110137939</c:v>
                </c:pt>
                <c:pt idx="118">
                  <c:v>2.4669589996337891</c:v>
                </c:pt>
                <c:pt idx="119">
                  <c:v>2.4686415195465088</c:v>
                </c:pt>
                <c:pt idx="120">
                  <c:v>2.4489235877990723</c:v>
                </c:pt>
                <c:pt idx="121">
                  <c:v>2.4448337554931641</c:v>
                </c:pt>
                <c:pt idx="122">
                  <c:v>2.4513359069824219</c:v>
                </c:pt>
                <c:pt idx="123">
                  <c:v>2.4670853614807129</c:v>
                </c:pt>
                <c:pt idx="124">
                  <c:v>2.4756176471710205</c:v>
                </c:pt>
                <c:pt idx="125">
                  <c:v>2.4651141166687012</c:v>
                </c:pt>
                <c:pt idx="126">
                  <c:v>2.4489383697509766</c:v>
                </c:pt>
                <c:pt idx="127">
                  <c:v>2.4515554904937744</c:v>
                </c:pt>
                <c:pt idx="128">
                  <c:v>2.4689302444458008</c:v>
                </c:pt>
                <c:pt idx="129">
                  <c:v>2.4733331203460693</c:v>
                </c:pt>
                <c:pt idx="130">
                  <c:v>2.4733726978302002</c:v>
                </c:pt>
                <c:pt idx="131">
                  <c:v>2.4642908573150635</c:v>
                </c:pt>
                <c:pt idx="132">
                  <c:v>2.4599206447601318</c:v>
                </c:pt>
                <c:pt idx="133">
                  <c:v>2.4638121128082275</c:v>
                </c:pt>
                <c:pt idx="134">
                  <c:v>2.4576592445373535</c:v>
                </c:pt>
                <c:pt idx="135">
                  <c:v>2.4722590446472168</c:v>
                </c:pt>
                <c:pt idx="136">
                  <c:v>2.7011215686798096</c:v>
                </c:pt>
                <c:pt idx="137">
                  <c:v>2.8179011344909668</c:v>
                </c:pt>
                <c:pt idx="138">
                  <c:v>2.604511022567749</c:v>
                </c:pt>
                <c:pt idx="139">
                  <c:v>2.4591743946075439</c:v>
                </c:pt>
                <c:pt idx="140">
                  <c:v>2.4516048431396484</c:v>
                </c:pt>
                <c:pt idx="141">
                  <c:v>2.443000316619873</c:v>
                </c:pt>
                <c:pt idx="142">
                  <c:v>2.4453601837158203</c:v>
                </c:pt>
                <c:pt idx="143">
                  <c:v>2.4350583553314209</c:v>
                </c:pt>
                <c:pt idx="144">
                  <c:v>2.4377820491790771</c:v>
                </c:pt>
                <c:pt idx="145">
                  <c:v>2.4615161418914795</c:v>
                </c:pt>
                <c:pt idx="146">
                  <c:v>2.4505486488342285</c:v>
                </c:pt>
                <c:pt idx="147">
                  <c:v>2.4746108055114746</c:v>
                </c:pt>
                <c:pt idx="148">
                  <c:v>2.5638303756713867</c:v>
                </c:pt>
                <c:pt idx="149">
                  <c:v>2.554645299911499</c:v>
                </c:pt>
                <c:pt idx="150">
                  <c:v>2.4355928897857666</c:v>
                </c:pt>
                <c:pt idx="151">
                  <c:v>2.4495794773101807</c:v>
                </c:pt>
                <c:pt idx="152">
                  <c:v>2.4359912872314453</c:v>
                </c:pt>
                <c:pt idx="153">
                  <c:v>2.4454913139343262</c:v>
                </c:pt>
                <c:pt idx="154">
                  <c:v>2.4793188571929932</c:v>
                </c:pt>
                <c:pt idx="155">
                  <c:v>2.4667129516601563</c:v>
                </c:pt>
                <c:pt idx="156">
                  <c:v>2.4450106620788574</c:v>
                </c:pt>
                <c:pt idx="157">
                  <c:v>2.4596483707427979</c:v>
                </c:pt>
                <c:pt idx="158">
                  <c:v>2.4588825702667236</c:v>
                </c:pt>
                <c:pt idx="159">
                  <c:v>2.4404075145721436</c:v>
                </c:pt>
                <c:pt idx="160">
                  <c:v>2.4523279666900635</c:v>
                </c:pt>
                <c:pt idx="161">
                  <c:v>2.4642481803894043</c:v>
                </c:pt>
                <c:pt idx="162">
                  <c:v>2.4600682258605957</c:v>
                </c:pt>
                <c:pt idx="163">
                  <c:v>2.4690268039703369</c:v>
                </c:pt>
                <c:pt idx="164">
                  <c:v>2.4512341022491455</c:v>
                </c:pt>
                <c:pt idx="165">
                  <c:v>2.4455797672271729</c:v>
                </c:pt>
                <c:pt idx="166">
                  <c:v>2.4804978370666504</c:v>
                </c:pt>
                <c:pt idx="167">
                  <c:v>2.4517982006072998</c:v>
                </c:pt>
                <c:pt idx="168">
                  <c:v>2.4686169624328613</c:v>
                </c:pt>
                <c:pt idx="169">
                  <c:v>2.4960653781890869</c:v>
                </c:pt>
                <c:pt idx="170">
                  <c:v>2.4864130020141602</c:v>
                </c:pt>
                <c:pt idx="171">
                  <c:v>2.4483447074890137</c:v>
                </c:pt>
                <c:pt idx="172">
                  <c:v>2.4487283229827881</c:v>
                </c:pt>
                <c:pt idx="173">
                  <c:v>2.4657487869262695</c:v>
                </c:pt>
                <c:pt idx="174">
                  <c:v>2.4449074268341064</c:v>
                </c:pt>
                <c:pt idx="175">
                  <c:v>2.4869132041931152</c:v>
                </c:pt>
                <c:pt idx="176">
                  <c:v>2.4821164608001709</c:v>
                </c:pt>
                <c:pt idx="177">
                  <c:v>2.4540925025939941</c:v>
                </c:pt>
                <c:pt idx="178">
                  <c:v>2.4668574333190918</c:v>
                </c:pt>
                <c:pt idx="179">
                  <c:v>2.4813883304595947</c:v>
                </c:pt>
                <c:pt idx="180">
                  <c:v>2.4925920963287354</c:v>
                </c:pt>
                <c:pt idx="181">
                  <c:v>2.4816246032714844</c:v>
                </c:pt>
                <c:pt idx="182">
                  <c:v>2.4768540859222412</c:v>
                </c:pt>
                <c:pt idx="183">
                  <c:v>2.4720640182495117</c:v>
                </c:pt>
                <c:pt idx="184">
                  <c:v>2.4799535274505615</c:v>
                </c:pt>
                <c:pt idx="185">
                  <c:v>2.4937925338745117</c:v>
                </c:pt>
                <c:pt idx="186">
                  <c:v>2.497201681137085</c:v>
                </c:pt>
                <c:pt idx="187">
                  <c:v>2.485255241394043</c:v>
                </c:pt>
                <c:pt idx="188">
                  <c:v>2.4438300132751465</c:v>
                </c:pt>
                <c:pt idx="189">
                  <c:v>2.4791514873504639</c:v>
                </c:pt>
                <c:pt idx="190">
                  <c:v>2.4889366626739502</c:v>
                </c:pt>
                <c:pt idx="191">
                  <c:v>2.4451649188995361</c:v>
                </c:pt>
                <c:pt idx="192">
                  <c:v>2.4461734294891357</c:v>
                </c:pt>
                <c:pt idx="193">
                  <c:v>2.4489777088165283</c:v>
                </c:pt>
                <c:pt idx="194">
                  <c:v>2.4711489677429199</c:v>
                </c:pt>
                <c:pt idx="195">
                  <c:v>2.4626247882843018</c:v>
                </c:pt>
                <c:pt idx="196">
                  <c:v>2.4963457584381104</c:v>
                </c:pt>
                <c:pt idx="197">
                  <c:v>2.4859998226165771</c:v>
                </c:pt>
                <c:pt idx="198">
                  <c:v>2.4683446884155273</c:v>
                </c:pt>
                <c:pt idx="199">
                  <c:v>2.4813752174377441</c:v>
                </c:pt>
                <c:pt idx="200">
                  <c:v>2.5015079975128174</c:v>
                </c:pt>
                <c:pt idx="201">
                  <c:v>2.4970786571502686</c:v>
                </c:pt>
                <c:pt idx="202">
                  <c:v>2.4542760848999023</c:v>
                </c:pt>
                <c:pt idx="203">
                  <c:v>2.4935300350189209</c:v>
                </c:pt>
                <c:pt idx="204">
                  <c:v>2.48236083984375</c:v>
                </c:pt>
                <c:pt idx="205">
                  <c:v>2.4861619472503662</c:v>
                </c:pt>
                <c:pt idx="206">
                  <c:v>2.4592154026031494</c:v>
                </c:pt>
                <c:pt idx="207">
                  <c:v>2.4617030620574951</c:v>
                </c:pt>
                <c:pt idx="208">
                  <c:v>2.4331281185150146</c:v>
                </c:pt>
                <c:pt idx="209">
                  <c:v>2.4458439350128174</c:v>
                </c:pt>
                <c:pt idx="210">
                  <c:v>2.4663407802581787</c:v>
                </c:pt>
                <c:pt idx="211">
                  <c:v>2.4506044387817383</c:v>
                </c:pt>
                <c:pt idx="212">
                  <c:v>2.4954946041107178</c:v>
                </c:pt>
                <c:pt idx="213">
                  <c:v>2.4480478763580322</c:v>
                </c:pt>
                <c:pt idx="214">
                  <c:v>2.4577903747558594</c:v>
                </c:pt>
                <c:pt idx="215">
                  <c:v>2.4328362941741943</c:v>
                </c:pt>
                <c:pt idx="216">
                  <c:v>2.433175802230835</c:v>
                </c:pt>
                <c:pt idx="217">
                  <c:v>2.4399862289428711</c:v>
                </c:pt>
                <c:pt idx="218">
                  <c:v>2.3953075408935547</c:v>
                </c:pt>
                <c:pt idx="219">
                  <c:v>2.4452650547027588</c:v>
                </c:pt>
                <c:pt idx="220">
                  <c:v>2.4139349460601807</c:v>
                </c:pt>
                <c:pt idx="221">
                  <c:v>2.4767031669616699</c:v>
                </c:pt>
                <c:pt idx="222">
                  <c:v>2.5511965751647949</c:v>
                </c:pt>
                <c:pt idx="223">
                  <c:v>2.4792170524597168</c:v>
                </c:pt>
                <c:pt idx="224">
                  <c:v>2.5541024208068848</c:v>
                </c:pt>
                <c:pt idx="225">
                  <c:v>2.4130165576934814</c:v>
                </c:pt>
              </c:numCache>
            </c:numRef>
          </c:yVal>
          <c:smooth val="1"/>
          <c:extLst>
            <c:ext xmlns:c16="http://schemas.microsoft.com/office/drawing/2014/chart" uri="{C3380CC4-5D6E-409C-BE32-E72D297353CC}">
              <c16:uniqueId val="{00000007-58F6-4830-8941-1011DB88381F}"/>
            </c:ext>
          </c:extLst>
        </c:ser>
        <c:ser>
          <c:idx val="8"/>
          <c:order val="8"/>
          <c:tx>
            <c:v>9</c:v>
          </c:tx>
          <c:spPr>
            <a:ln w="19050" cap="rnd">
              <a:noFill/>
              <a:round/>
            </a:ln>
            <a:effectLst/>
            <a:extLst>
              <a:ext uri="{91240B29-F687-4F45-9708-019B960494DF}">
                <a14:hiddenLine xmlns:a14="http://schemas.microsoft.com/office/drawing/2010/main" w="19050" cap="rnd">
                  <a:solidFill>
                    <a:srgbClr val="A5A5A5">
                      <a:lumMod val="6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NormalisedUVVisData!$J$2:$J$300</c:f>
              <c:numCache>
                <c:formatCode>General</c:formatCode>
                <c:ptCount val="299"/>
              </c:numCache>
            </c:numRef>
          </c:yVal>
          <c:smooth val="1"/>
          <c:extLst>
            <c:ext xmlns:c16="http://schemas.microsoft.com/office/drawing/2014/chart" uri="{C3380CC4-5D6E-409C-BE32-E72D297353CC}">
              <c16:uniqueId val="{00000008-58F6-4830-8941-1011DB88381F}"/>
            </c:ext>
          </c:extLst>
        </c:ser>
        <c:ser>
          <c:idx val="9"/>
          <c:order val="9"/>
          <c:tx>
            <c:v>10</c:v>
          </c:tx>
          <c:spPr>
            <a:ln w="19050" cap="rnd">
              <a:noFill/>
              <a:round/>
            </a:ln>
            <a:effectLst/>
            <a:extLst>
              <a:ext uri="{91240B29-F687-4F45-9708-019B960494DF}">
                <a14:hiddenLine xmlns:a14="http://schemas.microsoft.com/office/drawing/2010/main" w="19050" cap="rnd">
                  <a:solidFill>
                    <a:srgbClr val="FFC000">
                      <a:lumMod val="6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NormalisedUVVisData!$K$2:$K$300</c:f>
              <c:numCache>
                <c:formatCode>General</c:formatCode>
                <c:ptCount val="299"/>
              </c:numCache>
            </c:numRef>
          </c:yVal>
          <c:smooth val="1"/>
          <c:extLst>
            <c:ext xmlns:c16="http://schemas.microsoft.com/office/drawing/2014/chart" uri="{C3380CC4-5D6E-409C-BE32-E72D297353CC}">
              <c16:uniqueId val="{00000009-58F6-4830-8941-1011DB88381F}"/>
            </c:ext>
          </c:extLst>
        </c:ser>
        <c:ser>
          <c:idx val="10"/>
          <c:order val="10"/>
          <c:tx>
            <c:v>11</c:v>
          </c:tx>
          <c:spPr>
            <a:ln w="19050" cap="rnd">
              <a:noFill/>
              <a:round/>
            </a:ln>
            <a:effectLst/>
            <a:extLst>
              <a:ext uri="{91240B29-F687-4F45-9708-019B960494DF}">
                <a14:hiddenLine xmlns:a14="http://schemas.microsoft.com/office/drawing/2010/main" w="19050" cap="rnd">
                  <a:solidFill>
                    <a:srgbClr val="4472C4">
                      <a:lumMod val="6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NormalisedUVVisData!$L$2:$L$300</c:f>
              <c:numCache>
                <c:formatCode>General</c:formatCode>
                <c:ptCount val="299"/>
              </c:numCache>
            </c:numRef>
          </c:yVal>
          <c:smooth val="1"/>
          <c:extLst>
            <c:ext xmlns:c16="http://schemas.microsoft.com/office/drawing/2014/chart" uri="{C3380CC4-5D6E-409C-BE32-E72D297353CC}">
              <c16:uniqueId val="{0000000A-58F6-4830-8941-1011DB88381F}"/>
            </c:ext>
          </c:extLst>
        </c:ser>
        <c:ser>
          <c:idx val="11"/>
          <c:order val="11"/>
          <c:tx>
            <c:v>12</c:v>
          </c:tx>
          <c:spPr>
            <a:ln w="19050" cap="rnd">
              <a:noFill/>
              <a:round/>
            </a:ln>
            <a:effectLst/>
            <a:extLst>
              <a:ext uri="{91240B29-F687-4F45-9708-019B960494DF}">
                <a14:hiddenLine xmlns:a14="http://schemas.microsoft.com/office/drawing/2010/main" w="19050" cap="rnd">
                  <a:solidFill>
                    <a:srgbClr val="70AD47">
                      <a:lumMod val="6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NormalisedUVVisData!$M$2:$M$300</c:f>
              <c:numCache>
                <c:formatCode>General</c:formatCode>
                <c:ptCount val="299"/>
              </c:numCache>
            </c:numRef>
          </c:yVal>
          <c:smooth val="1"/>
          <c:extLst>
            <c:ext xmlns:c16="http://schemas.microsoft.com/office/drawing/2014/chart" uri="{C3380CC4-5D6E-409C-BE32-E72D297353CC}">
              <c16:uniqueId val="{0000000B-58F6-4830-8941-1011DB88381F}"/>
            </c:ext>
          </c:extLst>
        </c:ser>
        <c:ser>
          <c:idx val="12"/>
          <c:order val="12"/>
          <c:tx>
            <c:v>13</c:v>
          </c:tx>
          <c:spPr>
            <a:ln w="19050" cap="rnd">
              <a:noFill/>
              <a:round/>
            </a:ln>
            <a:effectLst/>
            <a:extLst>
              <a:ext uri="{91240B29-F687-4F45-9708-019B960494DF}">
                <a14:hiddenLine xmlns:a14="http://schemas.microsoft.com/office/drawing/2010/main" w="19050" cap="rnd">
                  <a:solidFill>
                    <a:srgbClr val="5B9BD5">
                      <a:lumMod val="80000"/>
                      <a:lumOff val="2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NormalisedUVVisData!$N$2:$N$300</c:f>
              <c:numCache>
                <c:formatCode>General</c:formatCode>
                <c:ptCount val="299"/>
              </c:numCache>
            </c:numRef>
          </c:yVal>
          <c:smooth val="1"/>
          <c:extLst>
            <c:ext xmlns:c16="http://schemas.microsoft.com/office/drawing/2014/chart" uri="{C3380CC4-5D6E-409C-BE32-E72D297353CC}">
              <c16:uniqueId val="{0000000C-58F6-4830-8941-1011DB88381F}"/>
            </c:ext>
          </c:extLst>
        </c:ser>
        <c:ser>
          <c:idx val="13"/>
          <c:order val="13"/>
          <c:tx>
            <c:v>14</c:v>
          </c:tx>
          <c:spPr>
            <a:ln w="19050" cap="rnd">
              <a:noFill/>
              <a:round/>
            </a:ln>
            <a:effectLst/>
            <a:extLst>
              <a:ext uri="{91240B29-F687-4F45-9708-019B960494DF}">
                <a14:hiddenLine xmlns:a14="http://schemas.microsoft.com/office/drawing/2010/main" w="19050" cap="rnd">
                  <a:solidFill>
                    <a:srgbClr val="ED7D31">
                      <a:lumMod val="80000"/>
                      <a:lumOff val="2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NormalisedUVVisData!$O$2:$O$300</c:f>
              <c:numCache>
                <c:formatCode>General</c:formatCode>
                <c:ptCount val="299"/>
              </c:numCache>
            </c:numRef>
          </c:yVal>
          <c:smooth val="1"/>
          <c:extLst>
            <c:ext xmlns:c16="http://schemas.microsoft.com/office/drawing/2014/chart" uri="{C3380CC4-5D6E-409C-BE32-E72D297353CC}">
              <c16:uniqueId val="{0000000D-58F6-4830-8941-1011DB88381F}"/>
            </c:ext>
          </c:extLst>
        </c:ser>
        <c:ser>
          <c:idx val="14"/>
          <c:order val="14"/>
          <c:tx>
            <c:v>15</c:v>
          </c:tx>
          <c:spPr>
            <a:ln w="19050" cap="rnd">
              <a:noFill/>
              <a:round/>
            </a:ln>
            <a:effectLst/>
            <a:extLst>
              <a:ext uri="{91240B29-F687-4F45-9708-019B960494DF}">
                <a14:hiddenLine xmlns:a14="http://schemas.microsoft.com/office/drawing/2010/main" w="19050" cap="rnd">
                  <a:solidFill>
                    <a:srgbClr val="A5A5A5">
                      <a:lumMod val="80000"/>
                      <a:lumOff val="2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NormalisedUVVisData!$P$2:$P$300</c:f>
              <c:numCache>
                <c:formatCode>General</c:formatCode>
                <c:ptCount val="299"/>
              </c:numCache>
            </c:numRef>
          </c:yVal>
          <c:smooth val="1"/>
          <c:extLst>
            <c:ext xmlns:c16="http://schemas.microsoft.com/office/drawing/2014/chart" uri="{C3380CC4-5D6E-409C-BE32-E72D297353CC}">
              <c16:uniqueId val="{0000000E-58F6-4830-8941-1011DB88381F}"/>
            </c:ext>
          </c:extLst>
        </c:ser>
        <c:ser>
          <c:idx val="15"/>
          <c:order val="15"/>
          <c:tx>
            <c:v>16</c:v>
          </c:tx>
          <c:spPr>
            <a:ln w="19050" cap="rnd">
              <a:noFill/>
              <a:round/>
            </a:ln>
            <a:effectLst/>
            <a:extLst>
              <a:ext uri="{91240B29-F687-4F45-9708-019B960494DF}">
                <a14:hiddenLine xmlns:a14="http://schemas.microsoft.com/office/drawing/2010/main" w="19050" cap="rnd">
                  <a:solidFill>
                    <a:srgbClr val="FFC000">
                      <a:lumMod val="80000"/>
                      <a:lumOff val="2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NormalisedUVVisData!$Q$2:$Q$300</c:f>
              <c:numCache>
                <c:formatCode>General</c:formatCode>
                <c:ptCount val="299"/>
              </c:numCache>
            </c:numRef>
          </c:yVal>
          <c:smooth val="1"/>
          <c:extLst>
            <c:ext xmlns:c16="http://schemas.microsoft.com/office/drawing/2014/chart" uri="{C3380CC4-5D6E-409C-BE32-E72D297353CC}">
              <c16:uniqueId val="{0000000F-58F6-4830-8941-1011DB88381F}"/>
            </c:ext>
          </c:extLst>
        </c:ser>
        <c:ser>
          <c:idx val="16"/>
          <c:order val="16"/>
          <c:tx>
            <c:v>17</c:v>
          </c:tx>
          <c:spPr>
            <a:ln w="19050" cap="rnd">
              <a:noFill/>
              <a:round/>
            </a:ln>
            <a:effectLst/>
            <a:extLst>
              <a:ext uri="{91240B29-F687-4F45-9708-019B960494DF}">
                <a14:hiddenLine xmlns:a14="http://schemas.microsoft.com/office/drawing/2010/main" w="19050" cap="rnd">
                  <a:solidFill>
                    <a:srgbClr val="4472C4">
                      <a:lumMod val="80000"/>
                      <a:lumOff val="2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NormalisedUVVisData!$R$2:$R$300</c:f>
              <c:numCache>
                <c:formatCode>General</c:formatCode>
                <c:ptCount val="299"/>
              </c:numCache>
            </c:numRef>
          </c:yVal>
          <c:smooth val="1"/>
          <c:extLst>
            <c:ext xmlns:c16="http://schemas.microsoft.com/office/drawing/2014/chart" uri="{C3380CC4-5D6E-409C-BE32-E72D297353CC}">
              <c16:uniqueId val="{00000010-58F6-4830-8941-1011DB88381F}"/>
            </c:ext>
          </c:extLst>
        </c:ser>
        <c:ser>
          <c:idx val="17"/>
          <c:order val="17"/>
          <c:tx>
            <c:v>18</c:v>
          </c:tx>
          <c:spPr>
            <a:ln w="19050" cap="rnd">
              <a:noFill/>
              <a:round/>
            </a:ln>
            <a:effectLst/>
            <a:extLst>
              <a:ext uri="{91240B29-F687-4F45-9708-019B960494DF}">
                <a14:hiddenLine xmlns:a14="http://schemas.microsoft.com/office/drawing/2010/main" w="19050" cap="rnd">
                  <a:solidFill>
                    <a:srgbClr val="70AD47">
                      <a:lumMod val="80000"/>
                      <a:lumOff val="2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NormalisedUVVisData!$S$2:$S$300</c:f>
              <c:numCache>
                <c:formatCode>General</c:formatCode>
                <c:ptCount val="299"/>
              </c:numCache>
            </c:numRef>
          </c:yVal>
          <c:smooth val="1"/>
          <c:extLst>
            <c:ext xmlns:c16="http://schemas.microsoft.com/office/drawing/2014/chart" uri="{C3380CC4-5D6E-409C-BE32-E72D297353CC}">
              <c16:uniqueId val="{00000011-58F6-4830-8941-1011DB88381F}"/>
            </c:ext>
          </c:extLst>
        </c:ser>
        <c:ser>
          <c:idx val="18"/>
          <c:order val="18"/>
          <c:tx>
            <c:v>19</c:v>
          </c:tx>
          <c:spPr>
            <a:ln w="19050" cap="rnd">
              <a:noFill/>
              <a:round/>
            </a:ln>
            <a:effectLst/>
            <a:extLst>
              <a:ext uri="{91240B29-F687-4F45-9708-019B960494DF}">
                <a14:hiddenLine xmlns:a14="http://schemas.microsoft.com/office/drawing/2010/main" w="19050" cap="rnd">
                  <a:solidFill>
                    <a:srgbClr val="5B9BD5">
                      <a:lumMod val="8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NormalisedUVVisData!$T$2:$T$300</c:f>
              <c:numCache>
                <c:formatCode>General</c:formatCode>
                <c:ptCount val="299"/>
              </c:numCache>
            </c:numRef>
          </c:yVal>
          <c:smooth val="1"/>
          <c:extLst>
            <c:ext xmlns:c16="http://schemas.microsoft.com/office/drawing/2014/chart" uri="{C3380CC4-5D6E-409C-BE32-E72D297353CC}">
              <c16:uniqueId val="{00000012-58F6-4830-8941-1011DB88381F}"/>
            </c:ext>
          </c:extLst>
        </c:ser>
        <c:ser>
          <c:idx val="19"/>
          <c:order val="19"/>
          <c:tx>
            <c:v>20</c:v>
          </c:tx>
          <c:spPr>
            <a:ln w="19050" cap="rnd">
              <a:noFill/>
              <a:round/>
            </a:ln>
            <a:effectLst/>
            <a:extLst>
              <a:ext uri="{91240B29-F687-4F45-9708-019B960494DF}">
                <a14:hiddenLine xmlns:a14="http://schemas.microsoft.com/office/drawing/2010/main" w="19050" cap="rnd">
                  <a:solidFill>
                    <a:srgbClr val="ED7D31">
                      <a:lumMod val="8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NormalisedUVVisData!$U$2:$U$300</c:f>
              <c:numCache>
                <c:formatCode>General</c:formatCode>
                <c:ptCount val="299"/>
              </c:numCache>
            </c:numRef>
          </c:yVal>
          <c:smooth val="1"/>
          <c:extLst>
            <c:ext xmlns:c16="http://schemas.microsoft.com/office/drawing/2014/chart" uri="{C3380CC4-5D6E-409C-BE32-E72D297353CC}">
              <c16:uniqueId val="{00000013-58F6-4830-8941-1011DB88381F}"/>
            </c:ext>
          </c:extLst>
        </c:ser>
        <c:ser>
          <c:idx val="20"/>
          <c:order val="20"/>
          <c:tx>
            <c:v>21</c:v>
          </c:tx>
          <c:spPr>
            <a:ln w="19050" cap="rnd">
              <a:noFill/>
              <a:round/>
            </a:ln>
            <a:effectLst/>
            <a:extLst>
              <a:ext uri="{91240B29-F687-4F45-9708-019B960494DF}">
                <a14:hiddenLine xmlns:a14="http://schemas.microsoft.com/office/drawing/2010/main" w="19050" cap="rnd">
                  <a:solidFill>
                    <a:srgbClr val="A5A5A5">
                      <a:lumMod val="8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NormalisedUVVisData!$V$2:$V$300</c:f>
              <c:numCache>
                <c:formatCode>General</c:formatCode>
                <c:ptCount val="299"/>
              </c:numCache>
            </c:numRef>
          </c:yVal>
          <c:smooth val="1"/>
          <c:extLst>
            <c:ext xmlns:c16="http://schemas.microsoft.com/office/drawing/2014/chart" uri="{C3380CC4-5D6E-409C-BE32-E72D297353CC}">
              <c16:uniqueId val="{00000014-58F6-4830-8941-1011DB88381F}"/>
            </c:ext>
          </c:extLst>
        </c:ser>
        <c:ser>
          <c:idx val="21"/>
          <c:order val="21"/>
          <c:tx>
            <c:v>22</c:v>
          </c:tx>
          <c:spPr>
            <a:ln w="19050" cap="rnd">
              <a:noFill/>
              <a:round/>
            </a:ln>
            <a:effectLst/>
            <a:extLst>
              <a:ext uri="{91240B29-F687-4F45-9708-019B960494DF}">
                <a14:hiddenLine xmlns:a14="http://schemas.microsoft.com/office/drawing/2010/main" w="19050" cap="rnd">
                  <a:solidFill>
                    <a:srgbClr val="FFC000">
                      <a:lumMod val="8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NormalisedUVVisData!$W$2:$W$300</c:f>
              <c:numCache>
                <c:formatCode>General</c:formatCode>
                <c:ptCount val="299"/>
              </c:numCache>
            </c:numRef>
          </c:yVal>
          <c:smooth val="1"/>
          <c:extLst>
            <c:ext xmlns:c16="http://schemas.microsoft.com/office/drawing/2014/chart" uri="{C3380CC4-5D6E-409C-BE32-E72D297353CC}">
              <c16:uniqueId val="{00000015-58F6-4830-8941-1011DB88381F}"/>
            </c:ext>
          </c:extLst>
        </c:ser>
        <c:ser>
          <c:idx val="22"/>
          <c:order val="22"/>
          <c:tx>
            <c:v>23</c:v>
          </c:tx>
          <c:spPr>
            <a:ln w="19050" cap="rnd">
              <a:noFill/>
              <a:round/>
            </a:ln>
            <a:effectLst/>
            <a:extLst>
              <a:ext uri="{91240B29-F687-4F45-9708-019B960494DF}">
                <a14:hiddenLine xmlns:a14="http://schemas.microsoft.com/office/drawing/2010/main" w="19050" cap="rnd">
                  <a:solidFill>
                    <a:srgbClr val="4472C4">
                      <a:lumMod val="8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NormalisedUVVisData!$X$2:$X$300</c:f>
              <c:numCache>
                <c:formatCode>General</c:formatCode>
                <c:ptCount val="299"/>
              </c:numCache>
            </c:numRef>
          </c:yVal>
          <c:smooth val="1"/>
          <c:extLst>
            <c:ext xmlns:c16="http://schemas.microsoft.com/office/drawing/2014/chart" uri="{C3380CC4-5D6E-409C-BE32-E72D297353CC}">
              <c16:uniqueId val="{00000016-58F6-4830-8941-1011DB88381F}"/>
            </c:ext>
          </c:extLst>
        </c:ser>
        <c:ser>
          <c:idx val="23"/>
          <c:order val="23"/>
          <c:tx>
            <c:v>24</c:v>
          </c:tx>
          <c:spPr>
            <a:ln w="19050" cap="rnd">
              <a:noFill/>
              <a:round/>
            </a:ln>
            <a:effectLst/>
            <a:extLst>
              <a:ext uri="{91240B29-F687-4F45-9708-019B960494DF}">
                <a14:hiddenLine xmlns:a14="http://schemas.microsoft.com/office/drawing/2010/main" w="19050" cap="rnd">
                  <a:solidFill>
                    <a:srgbClr val="70AD47">
                      <a:lumMod val="8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NormalisedUVVisData!$Y$2:$Y$300</c:f>
              <c:numCache>
                <c:formatCode>General</c:formatCode>
                <c:ptCount val="299"/>
              </c:numCache>
            </c:numRef>
          </c:yVal>
          <c:smooth val="1"/>
          <c:extLst>
            <c:ext xmlns:c16="http://schemas.microsoft.com/office/drawing/2014/chart" uri="{C3380CC4-5D6E-409C-BE32-E72D297353CC}">
              <c16:uniqueId val="{00000017-58F6-4830-8941-1011DB88381F}"/>
            </c:ext>
          </c:extLst>
        </c:ser>
        <c:ser>
          <c:idx val="24"/>
          <c:order val="24"/>
          <c:tx>
            <c:v>25</c:v>
          </c:tx>
          <c:spPr>
            <a:ln w="19050" cap="rnd">
              <a:noFill/>
              <a:round/>
            </a:ln>
            <a:effectLst/>
            <a:extLst>
              <a:ext uri="{91240B29-F687-4F45-9708-019B960494DF}">
                <a14:hiddenLine xmlns:a14="http://schemas.microsoft.com/office/drawing/2010/main" w="19050" cap="rnd">
                  <a:solidFill>
                    <a:srgbClr val="5B9BD5">
                      <a:lumMod val="60000"/>
                      <a:lumOff val="4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NormalisedUVVisData!$Z$2:$Z$300</c:f>
              <c:numCache>
                <c:formatCode>General</c:formatCode>
                <c:ptCount val="299"/>
              </c:numCache>
            </c:numRef>
          </c:yVal>
          <c:smooth val="1"/>
          <c:extLst>
            <c:ext xmlns:c16="http://schemas.microsoft.com/office/drawing/2014/chart" uri="{C3380CC4-5D6E-409C-BE32-E72D297353CC}">
              <c16:uniqueId val="{00000018-58F6-4830-8941-1011DB88381F}"/>
            </c:ext>
          </c:extLst>
        </c:ser>
        <c:ser>
          <c:idx val="25"/>
          <c:order val="25"/>
          <c:tx>
            <c:v>26</c:v>
          </c:tx>
          <c:spPr>
            <a:ln w="19050" cap="rnd">
              <a:noFill/>
              <a:round/>
            </a:ln>
            <a:effectLst/>
            <a:extLst>
              <a:ext uri="{91240B29-F687-4F45-9708-019B960494DF}">
                <a14:hiddenLine xmlns:a14="http://schemas.microsoft.com/office/drawing/2010/main" w="19050" cap="rnd">
                  <a:solidFill>
                    <a:srgbClr val="ED7D31">
                      <a:lumMod val="60000"/>
                      <a:lumOff val="4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NormalisedUVVisData!$AA$2:$AA$300</c:f>
              <c:numCache>
                <c:formatCode>General</c:formatCode>
                <c:ptCount val="299"/>
              </c:numCache>
            </c:numRef>
          </c:yVal>
          <c:smooth val="1"/>
          <c:extLst>
            <c:ext xmlns:c16="http://schemas.microsoft.com/office/drawing/2014/chart" uri="{C3380CC4-5D6E-409C-BE32-E72D297353CC}">
              <c16:uniqueId val="{00000019-58F6-4830-8941-1011DB88381F}"/>
            </c:ext>
          </c:extLst>
        </c:ser>
        <c:ser>
          <c:idx val="26"/>
          <c:order val="26"/>
          <c:tx>
            <c:v>27</c:v>
          </c:tx>
          <c:spPr>
            <a:ln w="19050" cap="rnd">
              <a:noFill/>
              <a:round/>
            </a:ln>
            <a:effectLst/>
            <a:extLst>
              <a:ext uri="{91240B29-F687-4F45-9708-019B960494DF}">
                <a14:hiddenLine xmlns:a14="http://schemas.microsoft.com/office/drawing/2010/main" w="19050" cap="rnd">
                  <a:solidFill>
                    <a:srgbClr val="A5A5A5">
                      <a:lumMod val="60000"/>
                      <a:lumOff val="4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NormalisedUVVisData!$AB$2:$AB$300</c:f>
              <c:numCache>
                <c:formatCode>General</c:formatCode>
                <c:ptCount val="299"/>
              </c:numCache>
            </c:numRef>
          </c:yVal>
          <c:smooth val="1"/>
          <c:extLst>
            <c:ext xmlns:c16="http://schemas.microsoft.com/office/drawing/2014/chart" uri="{C3380CC4-5D6E-409C-BE32-E72D297353CC}">
              <c16:uniqueId val="{0000001A-58F6-4830-8941-1011DB88381F}"/>
            </c:ext>
          </c:extLst>
        </c:ser>
        <c:ser>
          <c:idx val="27"/>
          <c:order val="27"/>
          <c:tx>
            <c:v>28</c:v>
          </c:tx>
          <c:spPr>
            <a:ln w="19050" cap="rnd">
              <a:noFill/>
              <a:round/>
            </a:ln>
            <a:effectLst/>
            <a:extLst>
              <a:ext uri="{91240B29-F687-4F45-9708-019B960494DF}">
                <a14:hiddenLine xmlns:a14="http://schemas.microsoft.com/office/drawing/2010/main" w="19050" cap="rnd">
                  <a:solidFill>
                    <a:srgbClr val="FFC000">
                      <a:lumMod val="60000"/>
                      <a:lumOff val="4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NormalisedUVVisData!$AC$2:$AC$300</c:f>
              <c:numCache>
                <c:formatCode>General</c:formatCode>
                <c:ptCount val="299"/>
              </c:numCache>
            </c:numRef>
          </c:yVal>
          <c:smooth val="1"/>
          <c:extLst>
            <c:ext xmlns:c16="http://schemas.microsoft.com/office/drawing/2014/chart" uri="{C3380CC4-5D6E-409C-BE32-E72D297353CC}">
              <c16:uniqueId val="{0000001B-58F6-4830-8941-1011DB88381F}"/>
            </c:ext>
          </c:extLst>
        </c:ser>
        <c:ser>
          <c:idx val="28"/>
          <c:order val="28"/>
          <c:tx>
            <c:v>29</c:v>
          </c:tx>
          <c:spPr>
            <a:ln w="19050" cap="rnd">
              <a:noFill/>
              <a:round/>
            </a:ln>
            <a:effectLst/>
            <a:extLst>
              <a:ext uri="{91240B29-F687-4F45-9708-019B960494DF}">
                <a14:hiddenLine xmlns:a14="http://schemas.microsoft.com/office/drawing/2010/main" w="19050" cap="rnd">
                  <a:solidFill>
                    <a:srgbClr val="4472C4">
                      <a:lumMod val="60000"/>
                      <a:lumOff val="4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NormalisedUVVisData!$AD$2:$AD$300</c:f>
              <c:numCache>
                <c:formatCode>General</c:formatCode>
                <c:ptCount val="299"/>
              </c:numCache>
            </c:numRef>
          </c:yVal>
          <c:smooth val="1"/>
          <c:extLst>
            <c:ext xmlns:c16="http://schemas.microsoft.com/office/drawing/2014/chart" uri="{C3380CC4-5D6E-409C-BE32-E72D297353CC}">
              <c16:uniqueId val="{0000001C-58F6-4830-8941-1011DB88381F}"/>
            </c:ext>
          </c:extLst>
        </c:ser>
        <c:ser>
          <c:idx val="29"/>
          <c:order val="29"/>
          <c:tx>
            <c:v>30</c:v>
          </c:tx>
          <c:spPr>
            <a:ln w="19050" cap="rnd">
              <a:noFill/>
              <a:round/>
            </a:ln>
            <a:effectLst/>
            <a:extLst>
              <a:ext uri="{91240B29-F687-4F45-9708-019B960494DF}">
                <a14:hiddenLine xmlns:a14="http://schemas.microsoft.com/office/drawing/2010/main" w="19050" cap="rnd">
                  <a:solidFill>
                    <a:srgbClr val="70AD47">
                      <a:lumMod val="60000"/>
                      <a:lumOff val="4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NormalisedUVVisData!$AE$2:$AE$300</c:f>
              <c:numCache>
                <c:formatCode>General</c:formatCode>
                <c:ptCount val="299"/>
              </c:numCache>
            </c:numRef>
          </c:yVal>
          <c:smooth val="1"/>
          <c:extLst>
            <c:ext xmlns:c16="http://schemas.microsoft.com/office/drawing/2014/chart" uri="{C3380CC4-5D6E-409C-BE32-E72D297353CC}">
              <c16:uniqueId val="{0000001D-58F6-4830-8941-1011DB88381F}"/>
            </c:ext>
          </c:extLst>
        </c:ser>
        <c:ser>
          <c:idx val="30"/>
          <c:order val="30"/>
          <c:tx>
            <c:v>31</c:v>
          </c:tx>
          <c:spPr>
            <a:ln w="19050" cap="rnd">
              <a:noFill/>
              <a:round/>
            </a:ln>
            <a:effectLst/>
            <a:extLst>
              <a:ext uri="{91240B29-F687-4F45-9708-019B960494DF}">
                <a14:hiddenLine xmlns:a14="http://schemas.microsoft.com/office/drawing/2010/main" w="19050" cap="rnd">
                  <a:solidFill>
                    <a:srgbClr val="5B9BD5">
                      <a:lumMod val="5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NormalisedUVVisData!$AF$2:$AF$300</c:f>
              <c:numCache>
                <c:formatCode>General</c:formatCode>
                <c:ptCount val="299"/>
              </c:numCache>
            </c:numRef>
          </c:yVal>
          <c:smooth val="1"/>
          <c:extLst>
            <c:ext xmlns:c16="http://schemas.microsoft.com/office/drawing/2014/chart" uri="{C3380CC4-5D6E-409C-BE32-E72D297353CC}">
              <c16:uniqueId val="{0000001E-58F6-4830-8941-1011DB88381F}"/>
            </c:ext>
          </c:extLst>
        </c:ser>
        <c:ser>
          <c:idx val="31"/>
          <c:order val="31"/>
          <c:tx>
            <c:v>32</c:v>
          </c:tx>
          <c:spPr>
            <a:ln w="19050" cap="rnd">
              <a:noFill/>
              <a:round/>
            </a:ln>
            <a:effectLst/>
            <a:extLst>
              <a:ext uri="{91240B29-F687-4F45-9708-019B960494DF}">
                <a14:hiddenLine xmlns:a14="http://schemas.microsoft.com/office/drawing/2010/main" w="19050" cap="rnd">
                  <a:solidFill>
                    <a:srgbClr val="ED7D31">
                      <a:lumMod val="5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NormalisedUVVisData!$AG$2:$AG$300</c:f>
              <c:numCache>
                <c:formatCode>General</c:formatCode>
                <c:ptCount val="299"/>
              </c:numCache>
            </c:numRef>
          </c:yVal>
          <c:smooth val="1"/>
          <c:extLst>
            <c:ext xmlns:c16="http://schemas.microsoft.com/office/drawing/2014/chart" uri="{C3380CC4-5D6E-409C-BE32-E72D297353CC}">
              <c16:uniqueId val="{0000001F-58F6-4830-8941-1011DB88381F}"/>
            </c:ext>
          </c:extLst>
        </c:ser>
        <c:ser>
          <c:idx val="32"/>
          <c:order val="32"/>
          <c:tx>
            <c:v>33</c:v>
          </c:tx>
          <c:spPr>
            <a:ln w="19050" cap="rnd">
              <a:noFill/>
              <a:round/>
            </a:ln>
            <a:effectLst/>
            <a:extLst>
              <a:ext uri="{91240B29-F687-4F45-9708-019B960494DF}">
                <a14:hiddenLine xmlns:a14="http://schemas.microsoft.com/office/drawing/2010/main" w="19050" cap="rnd">
                  <a:solidFill>
                    <a:srgbClr val="A5A5A5">
                      <a:lumMod val="5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NormalisedUVVisData!$AH$2:$AH$300</c:f>
              <c:numCache>
                <c:formatCode>General</c:formatCode>
                <c:ptCount val="299"/>
              </c:numCache>
            </c:numRef>
          </c:yVal>
          <c:smooth val="1"/>
          <c:extLst>
            <c:ext xmlns:c16="http://schemas.microsoft.com/office/drawing/2014/chart" uri="{C3380CC4-5D6E-409C-BE32-E72D297353CC}">
              <c16:uniqueId val="{00000020-58F6-4830-8941-1011DB88381F}"/>
            </c:ext>
          </c:extLst>
        </c:ser>
        <c:ser>
          <c:idx val="33"/>
          <c:order val="33"/>
          <c:tx>
            <c:v>34</c:v>
          </c:tx>
          <c:spPr>
            <a:ln w="19050" cap="rnd">
              <a:noFill/>
              <a:round/>
            </a:ln>
            <a:effectLst/>
            <a:extLst>
              <a:ext uri="{91240B29-F687-4F45-9708-019B960494DF}">
                <a14:hiddenLine xmlns:a14="http://schemas.microsoft.com/office/drawing/2010/main" w="19050" cap="rnd">
                  <a:solidFill>
                    <a:srgbClr val="FFC000">
                      <a:lumMod val="5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NormalisedUVVisData!$AI$2:$AI$300</c:f>
              <c:numCache>
                <c:formatCode>General</c:formatCode>
                <c:ptCount val="299"/>
              </c:numCache>
            </c:numRef>
          </c:yVal>
          <c:smooth val="1"/>
          <c:extLst>
            <c:ext xmlns:c16="http://schemas.microsoft.com/office/drawing/2014/chart" uri="{C3380CC4-5D6E-409C-BE32-E72D297353CC}">
              <c16:uniqueId val="{00000021-58F6-4830-8941-1011DB88381F}"/>
            </c:ext>
          </c:extLst>
        </c:ser>
        <c:ser>
          <c:idx val="34"/>
          <c:order val="34"/>
          <c:tx>
            <c:v>35</c:v>
          </c:tx>
          <c:spPr>
            <a:ln w="19050" cap="rnd">
              <a:noFill/>
              <a:round/>
            </a:ln>
            <a:effectLst/>
            <a:extLst>
              <a:ext uri="{91240B29-F687-4F45-9708-019B960494DF}">
                <a14:hiddenLine xmlns:a14="http://schemas.microsoft.com/office/drawing/2010/main" w="19050" cap="rnd">
                  <a:solidFill>
                    <a:srgbClr val="4472C4">
                      <a:lumMod val="5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NormalisedUVVisData!$AJ$2:$AJ$300</c:f>
              <c:numCache>
                <c:formatCode>General</c:formatCode>
                <c:ptCount val="299"/>
              </c:numCache>
            </c:numRef>
          </c:yVal>
          <c:smooth val="1"/>
          <c:extLst>
            <c:ext xmlns:c16="http://schemas.microsoft.com/office/drawing/2014/chart" uri="{C3380CC4-5D6E-409C-BE32-E72D297353CC}">
              <c16:uniqueId val="{00000022-58F6-4830-8941-1011DB88381F}"/>
            </c:ext>
          </c:extLst>
        </c:ser>
        <c:ser>
          <c:idx val="35"/>
          <c:order val="35"/>
          <c:tx>
            <c:v>36</c:v>
          </c:tx>
          <c:spPr>
            <a:ln w="19050" cap="rnd">
              <a:noFill/>
              <a:round/>
            </a:ln>
            <a:effectLst/>
            <a:extLst>
              <a:ext uri="{91240B29-F687-4F45-9708-019B960494DF}">
                <a14:hiddenLine xmlns:a14="http://schemas.microsoft.com/office/drawing/2010/main" w="19050" cap="rnd">
                  <a:solidFill>
                    <a:srgbClr val="70AD47">
                      <a:lumMod val="5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NormalisedUVVisData!$AK$2:$AK$300</c:f>
              <c:numCache>
                <c:formatCode>General</c:formatCode>
                <c:ptCount val="299"/>
              </c:numCache>
            </c:numRef>
          </c:yVal>
          <c:smooth val="1"/>
          <c:extLst>
            <c:ext xmlns:c16="http://schemas.microsoft.com/office/drawing/2014/chart" uri="{C3380CC4-5D6E-409C-BE32-E72D297353CC}">
              <c16:uniqueId val="{00000023-58F6-4830-8941-1011DB88381F}"/>
            </c:ext>
          </c:extLst>
        </c:ser>
        <c:ser>
          <c:idx val="36"/>
          <c:order val="36"/>
          <c:tx>
            <c:v>37</c:v>
          </c:tx>
          <c:spPr>
            <a:ln w="19050" cap="rnd">
              <a:noFill/>
              <a:round/>
            </a:ln>
            <a:effectLst/>
            <a:extLst>
              <a:ext uri="{91240B29-F687-4F45-9708-019B960494DF}">
                <a14:hiddenLine xmlns:a14="http://schemas.microsoft.com/office/drawing/2010/main" w="19050" cap="rnd">
                  <a:solidFill>
                    <a:srgbClr val="5B9BD5">
                      <a:lumMod val="70000"/>
                      <a:lumOff val="3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NormalisedUVVisData!$AL$2:$AL$300</c:f>
              <c:numCache>
                <c:formatCode>General</c:formatCode>
                <c:ptCount val="299"/>
              </c:numCache>
            </c:numRef>
          </c:yVal>
          <c:smooth val="1"/>
          <c:extLst>
            <c:ext xmlns:c16="http://schemas.microsoft.com/office/drawing/2014/chart" uri="{C3380CC4-5D6E-409C-BE32-E72D297353CC}">
              <c16:uniqueId val="{00000024-58F6-4830-8941-1011DB88381F}"/>
            </c:ext>
          </c:extLst>
        </c:ser>
        <c:ser>
          <c:idx val="37"/>
          <c:order val="37"/>
          <c:tx>
            <c:v>38</c:v>
          </c:tx>
          <c:spPr>
            <a:ln w="19050" cap="rnd">
              <a:noFill/>
              <a:round/>
            </a:ln>
            <a:effectLst/>
            <a:extLst>
              <a:ext uri="{91240B29-F687-4F45-9708-019B960494DF}">
                <a14:hiddenLine xmlns:a14="http://schemas.microsoft.com/office/drawing/2010/main" w="19050" cap="rnd">
                  <a:solidFill>
                    <a:srgbClr val="ED7D31">
                      <a:lumMod val="70000"/>
                      <a:lumOff val="3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NormalisedUVVisData!$AM$2:$AM$300</c:f>
              <c:numCache>
                <c:formatCode>General</c:formatCode>
                <c:ptCount val="299"/>
              </c:numCache>
            </c:numRef>
          </c:yVal>
          <c:smooth val="1"/>
          <c:extLst>
            <c:ext xmlns:c16="http://schemas.microsoft.com/office/drawing/2014/chart" uri="{C3380CC4-5D6E-409C-BE32-E72D297353CC}">
              <c16:uniqueId val="{00000025-58F6-4830-8941-1011DB88381F}"/>
            </c:ext>
          </c:extLst>
        </c:ser>
        <c:ser>
          <c:idx val="38"/>
          <c:order val="38"/>
          <c:tx>
            <c:v>39</c:v>
          </c:tx>
          <c:spPr>
            <a:ln w="19050" cap="rnd">
              <a:noFill/>
              <a:round/>
            </a:ln>
            <a:effectLst/>
            <a:extLst>
              <a:ext uri="{91240B29-F687-4F45-9708-019B960494DF}">
                <a14:hiddenLine xmlns:a14="http://schemas.microsoft.com/office/drawing/2010/main" w="19050" cap="rnd">
                  <a:solidFill>
                    <a:srgbClr val="A5A5A5">
                      <a:lumMod val="70000"/>
                      <a:lumOff val="3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NormalisedUVVisData!$AN$2:$AN$300</c:f>
              <c:numCache>
                <c:formatCode>General</c:formatCode>
                <c:ptCount val="299"/>
              </c:numCache>
            </c:numRef>
          </c:yVal>
          <c:smooth val="1"/>
          <c:extLst>
            <c:ext xmlns:c16="http://schemas.microsoft.com/office/drawing/2014/chart" uri="{C3380CC4-5D6E-409C-BE32-E72D297353CC}">
              <c16:uniqueId val="{00000026-58F6-4830-8941-1011DB88381F}"/>
            </c:ext>
          </c:extLst>
        </c:ser>
        <c:ser>
          <c:idx val="39"/>
          <c:order val="39"/>
          <c:tx>
            <c:v>40</c:v>
          </c:tx>
          <c:spPr>
            <a:ln w="19050" cap="rnd">
              <a:noFill/>
              <a:round/>
            </a:ln>
            <a:effectLst/>
            <a:extLst>
              <a:ext uri="{91240B29-F687-4F45-9708-019B960494DF}">
                <a14:hiddenLine xmlns:a14="http://schemas.microsoft.com/office/drawing/2010/main" w="19050" cap="rnd">
                  <a:solidFill>
                    <a:srgbClr val="FFC000">
                      <a:lumMod val="70000"/>
                      <a:lumOff val="3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NormalisedUVVisData!$AO$2:$AO$300</c:f>
              <c:numCache>
                <c:formatCode>General</c:formatCode>
                <c:ptCount val="299"/>
              </c:numCache>
            </c:numRef>
          </c:yVal>
          <c:smooth val="1"/>
          <c:extLst>
            <c:ext xmlns:c16="http://schemas.microsoft.com/office/drawing/2014/chart" uri="{C3380CC4-5D6E-409C-BE32-E72D297353CC}">
              <c16:uniqueId val="{00000027-58F6-4830-8941-1011DB88381F}"/>
            </c:ext>
          </c:extLst>
        </c:ser>
        <c:ser>
          <c:idx val="40"/>
          <c:order val="40"/>
          <c:tx>
            <c:v>41</c:v>
          </c:tx>
          <c:spPr>
            <a:ln w="19050" cap="rnd">
              <a:noFill/>
              <a:round/>
            </a:ln>
            <a:effectLst/>
            <a:extLst>
              <a:ext uri="{91240B29-F687-4F45-9708-019B960494DF}">
                <a14:hiddenLine xmlns:a14="http://schemas.microsoft.com/office/drawing/2010/main" w="19050" cap="rnd">
                  <a:solidFill>
                    <a:srgbClr val="4472C4">
                      <a:lumMod val="70000"/>
                      <a:lumOff val="3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NormalisedUVVisData!$AP$2:$AP$300</c:f>
              <c:numCache>
                <c:formatCode>General</c:formatCode>
                <c:ptCount val="299"/>
              </c:numCache>
            </c:numRef>
          </c:yVal>
          <c:smooth val="1"/>
          <c:extLst>
            <c:ext xmlns:c16="http://schemas.microsoft.com/office/drawing/2014/chart" uri="{C3380CC4-5D6E-409C-BE32-E72D297353CC}">
              <c16:uniqueId val="{00000028-58F6-4830-8941-1011DB88381F}"/>
            </c:ext>
          </c:extLst>
        </c:ser>
        <c:ser>
          <c:idx val="41"/>
          <c:order val="41"/>
          <c:tx>
            <c:v>42</c:v>
          </c:tx>
          <c:spPr>
            <a:ln w="19050" cap="rnd">
              <a:noFill/>
              <a:round/>
            </a:ln>
            <a:effectLst/>
            <a:extLst>
              <a:ext uri="{91240B29-F687-4F45-9708-019B960494DF}">
                <a14:hiddenLine xmlns:a14="http://schemas.microsoft.com/office/drawing/2010/main" w="19050" cap="rnd">
                  <a:solidFill>
                    <a:srgbClr val="70AD47">
                      <a:lumMod val="70000"/>
                      <a:lumOff val="3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NormalisedUVVisData!$AQ$2:$AQ$300</c:f>
              <c:numCache>
                <c:formatCode>General</c:formatCode>
                <c:ptCount val="299"/>
              </c:numCache>
            </c:numRef>
          </c:yVal>
          <c:smooth val="1"/>
          <c:extLst>
            <c:ext xmlns:c16="http://schemas.microsoft.com/office/drawing/2014/chart" uri="{C3380CC4-5D6E-409C-BE32-E72D297353CC}">
              <c16:uniqueId val="{00000029-58F6-4830-8941-1011DB88381F}"/>
            </c:ext>
          </c:extLst>
        </c:ser>
        <c:ser>
          <c:idx val="42"/>
          <c:order val="42"/>
          <c:tx>
            <c:v>43</c:v>
          </c:tx>
          <c:spPr>
            <a:ln w="19050" cap="rnd">
              <a:noFill/>
              <a:round/>
            </a:ln>
            <a:effectLst/>
            <a:extLst>
              <a:ext uri="{91240B29-F687-4F45-9708-019B960494DF}">
                <a14:hiddenLine xmlns:a14="http://schemas.microsoft.com/office/drawing/2010/main" w="19050" cap="rnd">
                  <a:solidFill>
                    <a:srgbClr val="5B9BD5">
                      <a:lumMod val="7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NormalisedUVVisData!$AR$2:$AR$300</c:f>
              <c:numCache>
                <c:formatCode>General</c:formatCode>
                <c:ptCount val="299"/>
              </c:numCache>
            </c:numRef>
          </c:yVal>
          <c:smooth val="1"/>
          <c:extLst>
            <c:ext xmlns:c16="http://schemas.microsoft.com/office/drawing/2014/chart" uri="{C3380CC4-5D6E-409C-BE32-E72D297353CC}">
              <c16:uniqueId val="{0000002A-58F6-4830-8941-1011DB88381F}"/>
            </c:ext>
          </c:extLst>
        </c:ser>
        <c:ser>
          <c:idx val="43"/>
          <c:order val="43"/>
          <c:tx>
            <c:v>44</c:v>
          </c:tx>
          <c:spPr>
            <a:ln w="19050" cap="rnd">
              <a:noFill/>
              <a:round/>
            </a:ln>
            <a:effectLst/>
            <a:extLst>
              <a:ext uri="{91240B29-F687-4F45-9708-019B960494DF}">
                <a14:hiddenLine xmlns:a14="http://schemas.microsoft.com/office/drawing/2010/main" w="19050" cap="rnd">
                  <a:solidFill>
                    <a:srgbClr val="ED7D31">
                      <a:lumMod val="7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NormalisedUVVisData!$AS$2:$AS$300</c:f>
              <c:numCache>
                <c:formatCode>General</c:formatCode>
                <c:ptCount val="299"/>
              </c:numCache>
            </c:numRef>
          </c:yVal>
          <c:smooth val="1"/>
          <c:extLst>
            <c:ext xmlns:c16="http://schemas.microsoft.com/office/drawing/2014/chart" uri="{C3380CC4-5D6E-409C-BE32-E72D297353CC}">
              <c16:uniqueId val="{0000002B-58F6-4830-8941-1011DB88381F}"/>
            </c:ext>
          </c:extLst>
        </c:ser>
        <c:ser>
          <c:idx val="44"/>
          <c:order val="44"/>
          <c:tx>
            <c:v>45</c:v>
          </c:tx>
          <c:spPr>
            <a:ln w="19050" cap="rnd">
              <a:noFill/>
              <a:round/>
            </a:ln>
            <a:effectLst/>
            <a:extLst>
              <a:ext uri="{91240B29-F687-4F45-9708-019B960494DF}">
                <a14:hiddenLine xmlns:a14="http://schemas.microsoft.com/office/drawing/2010/main" w="19050" cap="rnd">
                  <a:solidFill>
                    <a:srgbClr val="A5A5A5">
                      <a:lumMod val="7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NormalisedUVVisData!$AT$2:$AT$300</c:f>
              <c:numCache>
                <c:formatCode>General</c:formatCode>
                <c:ptCount val="299"/>
              </c:numCache>
            </c:numRef>
          </c:yVal>
          <c:smooth val="1"/>
          <c:extLst>
            <c:ext xmlns:c16="http://schemas.microsoft.com/office/drawing/2014/chart" uri="{C3380CC4-5D6E-409C-BE32-E72D297353CC}">
              <c16:uniqueId val="{0000002C-58F6-4830-8941-1011DB88381F}"/>
            </c:ext>
          </c:extLst>
        </c:ser>
        <c:ser>
          <c:idx val="45"/>
          <c:order val="45"/>
          <c:tx>
            <c:v>46</c:v>
          </c:tx>
          <c:spPr>
            <a:ln w="19050" cap="rnd">
              <a:noFill/>
              <a:round/>
            </a:ln>
            <a:effectLst/>
            <a:extLst>
              <a:ext uri="{91240B29-F687-4F45-9708-019B960494DF}">
                <a14:hiddenLine xmlns:a14="http://schemas.microsoft.com/office/drawing/2010/main" w="19050" cap="rnd">
                  <a:solidFill>
                    <a:srgbClr val="FFC000">
                      <a:lumMod val="7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NormalisedUVVisData!$AU$2:$AU$300</c:f>
              <c:numCache>
                <c:formatCode>General</c:formatCode>
                <c:ptCount val="299"/>
              </c:numCache>
            </c:numRef>
          </c:yVal>
          <c:smooth val="1"/>
          <c:extLst>
            <c:ext xmlns:c16="http://schemas.microsoft.com/office/drawing/2014/chart" uri="{C3380CC4-5D6E-409C-BE32-E72D297353CC}">
              <c16:uniqueId val="{0000002D-58F6-4830-8941-1011DB88381F}"/>
            </c:ext>
          </c:extLst>
        </c:ser>
        <c:ser>
          <c:idx val="46"/>
          <c:order val="46"/>
          <c:tx>
            <c:v>47</c:v>
          </c:tx>
          <c:spPr>
            <a:ln w="19050" cap="rnd">
              <a:noFill/>
              <a:round/>
            </a:ln>
            <a:effectLst/>
            <a:extLst>
              <a:ext uri="{91240B29-F687-4F45-9708-019B960494DF}">
                <a14:hiddenLine xmlns:a14="http://schemas.microsoft.com/office/drawing/2010/main" w="19050" cap="rnd">
                  <a:solidFill>
                    <a:srgbClr val="4472C4">
                      <a:lumMod val="7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NormalisedUVVisData!$AV$2:$AV$300</c:f>
              <c:numCache>
                <c:formatCode>General</c:formatCode>
                <c:ptCount val="299"/>
              </c:numCache>
            </c:numRef>
          </c:yVal>
          <c:smooth val="1"/>
          <c:extLst>
            <c:ext xmlns:c16="http://schemas.microsoft.com/office/drawing/2014/chart" uri="{C3380CC4-5D6E-409C-BE32-E72D297353CC}">
              <c16:uniqueId val="{0000002E-58F6-4830-8941-1011DB88381F}"/>
            </c:ext>
          </c:extLst>
        </c:ser>
        <c:ser>
          <c:idx val="47"/>
          <c:order val="47"/>
          <c:tx>
            <c:v>48</c:v>
          </c:tx>
          <c:spPr>
            <a:ln w="19050" cap="rnd">
              <a:noFill/>
              <a:round/>
            </a:ln>
            <a:effectLst/>
            <a:extLst>
              <a:ext uri="{91240B29-F687-4F45-9708-019B960494DF}">
                <a14:hiddenLine xmlns:a14="http://schemas.microsoft.com/office/drawing/2010/main" w="19050" cap="rnd">
                  <a:solidFill>
                    <a:srgbClr val="70AD47">
                      <a:lumMod val="7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NormalisedUVVisData!$AW$2:$AW$300</c:f>
              <c:numCache>
                <c:formatCode>General</c:formatCode>
                <c:ptCount val="299"/>
              </c:numCache>
            </c:numRef>
          </c:yVal>
          <c:smooth val="1"/>
          <c:extLst>
            <c:ext xmlns:c16="http://schemas.microsoft.com/office/drawing/2014/chart" uri="{C3380CC4-5D6E-409C-BE32-E72D297353CC}">
              <c16:uniqueId val="{0000002F-58F6-4830-8941-1011DB88381F}"/>
            </c:ext>
          </c:extLst>
        </c:ser>
        <c:ser>
          <c:idx val="48"/>
          <c:order val="48"/>
          <c:tx>
            <c:v>49</c:v>
          </c:tx>
          <c:spPr>
            <a:ln w="19050" cap="rnd">
              <a:noFill/>
              <a:round/>
            </a:ln>
            <a:effectLst/>
            <a:extLst>
              <a:ext uri="{91240B29-F687-4F45-9708-019B960494DF}">
                <a14:hiddenLine xmlns:a14="http://schemas.microsoft.com/office/drawing/2010/main" w="19050" cap="rnd">
                  <a:solidFill>
                    <a:srgbClr val="5B9BD5">
                      <a:lumMod val="50000"/>
                      <a:lumOff val="5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NormalisedUVVisData!$AX$2:$AX$300</c:f>
              <c:numCache>
                <c:formatCode>General</c:formatCode>
                <c:ptCount val="299"/>
              </c:numCache>
            </c:numRef>
          </c:yVal>
          <c:smooth val="1"/>
          <c:extLst>
            <c:ext xmlns:c16="http://schemas.microsoft.com/office/drawing/2014/chart" uri="{C3380CC4-5D6E-409C-BE32-E72D297353CC}">
              <c16:uniqueId val="{00000030-58F6-4830-8941-1011DB88381F}"/>
            </c:ext>
          </c:extLst>
        </c:ser>
        <c:ser>
          <c:idx val="49"/>
          <c:order val="49"/>
          <c:tx>
            <c:v>50</c:v>
          </c:tx>
          <c:spPr>
            <a:ln w="19050" cap="rnd">
              <a:noFill/>
              <a:round/>
            </a:ln>
            <a:effectLst/>
            <a:extLst>
              <a:ext uri="{91240B29-F687-4F45-9708-019B960494DF}">
                <a14:hiddenLine xmlns:a14="http://schemas.microsoft.com/office/drawing/2010/main" w="19050" cap="rnd">
                  <a:solidFill>
                    <a:srgbClr val="ED7D31">
                      <a:lumMod val="50000"/>
                      <a:lumOff val="5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NormalisedUVVisData!$AY$2:$AY$300</c:f>
              <c:numCache>
                <c:formatCode>General</c:formatCode>
                <c:ptCount val="299"/>
              </c:numCache>
            </c:numRef>
          </c:yVal>
          <c:smooth val="1"/>
          <c:extLst>
            <c:ext xmlns:c16="http://schemas.microsoft.com/office/drawing/2014/chart" uri="{C3380CC4-5D6E-409C-BE32-E72D297353CC}">
              <c16:uniqueId val="{00000031-58F6-4830-8941-1011DB88381F}"/>
            </c:ext>
          </c:extLst>
        </c:ser>
        <c:ser>
          <c:idx val="50"/>
          <c:order val="50"/>
          <c:tx>
            <c:v>51</c:v>
          </c:tx>
          <c:spPr>
            <a:ln w="19050" cap="rnd">
              <a:noFill/>
              <a:round/>
            </a:ln>
            <a:effectLst/>
            <a:extLst>
              <a:ext uri="{91240B29-F687-4F45-9708-019B960494DF}">
                <a14:hiddenLine xmlns:a14="http://schemas.microsoft.com/office/drawing/2010/main" w="19050" cap="rnd">
                  <a:solidFill>
                    <a:srgbClr val="A5A5A5">
                      <a:lumMod val="50000"/>
                      <a:lumOff val="5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NormalisedUVVisData!$AZ$2:$AZ$300</c:f>
              <c:numCache>
                <c:formatCode>General</c:formatCode>
                <c:ptCount val="299"/>
              </c:numCache>
            </c:numRef>
          </c:yVal>
          <c:smooth val="1"/>
          <c:extLst>
            <c:ext xmlns:c16="http://schemas.microsoft.com/office/drawing/2014/chart" uri="{C3380CC4-5D6E-409C-BE32-E72D297353CC}">
              <c16:uniqueId val="{00000032-58F6-4830-8941-1011DB88381F}"/>
            </c:ext>
          </c:extLst>
        </c:ser>
        <c:ser>
          <c:idx val="51"/>
          <c:order val="51"/>
          <c:tx>
            <c:v>52</c:v>
          </c:tx>
          <c:spPr>
            <a:ln w="19050" cap="rnd">
              <a:noFill/>
              <a:round/>
            </a:ln>
            <a:effectLst/>
            <a:extLst>
              <a:ext uri="{91240B29-F687-4F45-9708-019B960494DF}">
                <a14:hiddenLine xmlns:a14="http://schemas.microsoft.com/office/drawing/2010/main" w="19050" cap="rnd">
                  <a:solidFill>
                    <a:srgbClr val="FFC000">
                      <a:lumMod val="50000"/>
                      <a:lumOff val="5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NormalisedUVVisData!$BA$2:$BA$300</c:f>
              <c:numCache>
                <c:formatCode>General</c:formatCode>
                <c:ptCount val="299"/>
              </c:numCache>
            </c:numRef>
          </c:yVal>
          <c:smooth val="1"/>
          <c:extLst>
            <c:ext xmlns:c16="http://schemas.microsoft.com/office/drawing/2014/chart" uri="{C3380CC4-5D6E-409C-BE32-E72D297353CC}">
              <c16:uniqueId val="{00000033-58F6-4830-8941-1011DB88381F}"/>
            </c:ext>
          </c:extLst>
        </c:ser>
        <c:ser>
          <c:idx val="52"/>
          <c:order val="52"/>
          <c:tx>
            <c:v>53</c:v>
          </c:tx>
          <c:spPr>
            <a:ln w="19050" cap="rnd">
              <a:noFill/>
              <a:round/>
            </a:ln>
            <a:effectLst/>
            <a:extLst>
              <a:ext uri="{91240B29-F687-4F45-9708-019B960494DF}">
                <a14:hiddenLine xmlns:a14="http://schemas.microsoft.com/office/drawing/2010/main" w="19050" cap="rnd">
                  <a:solidFill>
                    <a:srgbClr val="4472C4">
                      <a:lumMod val="50000"/>
                      <a:lumOff val="5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NormalisedUVVisData!$BB$2:$BB$300</c:f>
              <c:numCache>
                <c:formatCode>General</c:formatCode>
                <c:ptCount val="299"/>
              </c:numCache>
            </c:numRef>
          </c:yVal>
          <c:smooth val="1"/>
          <c:extLst>
            <c:ext xmlns:c16="http://schemas.microsoft.com/office/drawing/2014/chart" uri="{C3380CC4-5D6E-409C-BE32-E72D297353CC}">
              <c16:uniqueId val="{00000034-58F6-4830-8941-1011DB88381F}"/>
            </c:ext>
          </c:extLst>
        </c:ser>
        <c:ser>
          <c:idx val="53"/>
          <c:order val="53"/>
          <c:tx>
            <c:v>54</c:v>
          </c:tx>
          <c:spPr>
            <a:ln w="19050" cap="rnd">
              <a:noFill/>
              <a:round/>
            </a:ln>
            <a:effectLst/>
            <a:extLst>
              <a:ext uri="{91240B29-F687-4F45-9708-019B960494DF}">
                <a14:hiddenLine xmlns:a14="http://schemas.microsoft.com/office/drawing/2010/main" w="19050" cap="rnd">
                  <a:solidFill>
                    <a:srgbClr val="70AD47">
                      <a:lumMod val="50000"/>
                      <a:lumOff val="5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NormalisedUVVisData!$BC$2:$BC$300</c:f>
              <c:numCache>
                <c:formatCode>General</c:formatCode>
                <c:ptCount val="299"/>
              </c:numCache>
            </c:numRef>
          </c:yVal>
          <c:smooth val="1"/>
          <c:extLst>
            <c:ext xmlns:c16="http://schemas.microsoft.com/office/drawing/2014/chart" uri="{C3380CC4-5D6E-409C-BE32-E72D297353CC}">
              <c16:uniqueId val="{00000035-58F6-4830-8941-1011DB88381F}"/>
            </c:ext>
          </c:extLst>
        </c:ser>
        <c:ser>
          <c:idx val="54"/>
          <c:order val="54"/>
          <c:tx>
            <c:v>55</c:v>
          </c:tx>
          <c:spPr>
            <a:ln w="19050" cap="rnd">
              <a:noFill/>
              <a:round/>
            </a:ln>
            <a:effectLst/>
            <a:extLst>
              <a:ext uri="{91240B29-F687-4F45-9708-019B960494DF}">
                <a14:hiddenLine xmlns:a14="http://schemas.microsoft.com/office/drawing/2010/main" w="19050" cap="rnd">
                  <a:solidFill>
                    <a:srgbClr val="5B9BD5"/>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NormalisedUVVisData!$BD$2:$BD$300</c:f>
              <c:numCache>
                <c:formatCode>General</c:formatCode>
                <c:ptCount val="299"/>
              </c:numCache>
            </c:numRef>
          </c:yVal>
          <c:smooth val="1"/>
          <c:extLst>
            <c:ext xmlns:c16="http://schemas.microsoft.com/office/drawing/2014/chart" uri="{C3380CC4-5D6E-409C-BE32-E72D297353CC}">
              <c16:uniqueId val="{00000036-58F6-4830-8941-1011DB88381F}"/>
            </c:ext>
          </c:extLst>
        </c:ser>
        <c:ser>
          <c:idx val="55"/>
          <c:order val="55"/>
          <c:tx>
            <c:v>56</c:v>
          </c:tx>
          <c:spPr>
            <a:ln w="19050" cap="rnd">
              <a:noFill/>
              <a:round/>
            </a:ln>
            <a:effectLst/>
            <a:extLst>
              <a:ext uri="{91240B29-F687-4F45-9708-019B960494DF}">
                <a14:hiddenLine xmlns:a14="http://schemas.microsoft.com/office/drawing/2010/main" w="19050" cap="rnd">
                  <a:solidFill>
                    <a:srgbClr val="ED7D31"/>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NormalisedUVVisData!$BE$2:$BE$300</c:f>
              <c:numCache>
                <c:formatCode>General</c:formatCode>
                <c:ptCount val="299"/>
              </c:numCache>
            </c:numRef>
          </c:yVal>
          <c:smooth val="1"/>
          <c:extLst>
            <c:ext xmlns:c16="http://schemas.microsoft.com/office/drawing/2014/chart" uri="{C3380CC4-5D6E-409C-BE32-E72D297353CC}">
              <c16:uniqueId val="{00000037-58F6-4830-8941-1011DB88381F}"/>
            </c:ext>
          </c:extLst>
        </c:ser>
        <c:ser>
          <c:idx val="56"/>
          <c:order val="56"/>
          <c:tx>
            <c:v>57</c:v>
          </c:tx>
          <c:spPr>
            <a:ln w="19050" cap="rnd">
              <a:noFill/>
              <a:round/>
            </a:ln>
            <a:effectLst/>
            <a:extLst>
              <a:ext uri="{91240B29-F687-4F45-9708-019B960494DF}">
                <a14:hiddenLine xmlns:a14="http://schemas.microsoft.com/office/drawing/2010/main" w="19050" cap="rnd">
                  <a:solidFill>
                    <a:srgbClr val="A5A5A5"/>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NormalisedUVVisData!$BF$2:$BF$300</c:f>
              <c:numCache>
                <c:formatCode>General</c:formatCode>
                <c:ptCount val="299"/>
              </c:numCache>
            </c:numRef>
          </c:yVal>
          <c:smooth val="1"/>
          <c:extLst>
            <c:ext xmlns:c16="http://schemas.microsoft.com/office/drawing/2014/chart" uri="{C3380CC4-5D6E-409C-BE32-E72D297353CC}">
              <c16:uniqueId val="{00000038-58F6-4830-8941-1011DB88381F}"/>
            </c:ext>
          </c:extLst>
        </c:ser>
        <c:ser>
          <c:idx val="57"/>
          <c:order val="57"/>
          <c:tx>
            <c:v>58</c:v>
          </c:tx>
          <c:spPr>
            <a:ln w="19050" cap="rnd">
              <a:noFill/>
              <a:round/>
            </a:ln>
            <a:effectLst/>
            <a:extLst>
              <a:ext uri="{91240B29-F687-4F45-9708-019B960494DF}">
                <a14:hiddenLine xmlns:a14="http://schemas.microsoft.com/office/drawing/2010/main" w="19050" cap="rnd">
                  <a:solidFill>
                    <a:srgbClr val="FFC000"/>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NormalisedUVVisData!$BG$2:$BG$300</c:f>
              <c:numCache>
                <c:formatCode>General</c:formatCode>
                <c:ptCount val="299"/>
              </c:numCache>
            </c:numRef>
          </c:yVal>
          <c:smooth val="1"/>
          <c:extLst>
            <c:ext xmlns:c16="http://schemas.microsoft.com/office/drawing/2014/chart" uri="{C3380CC4-5D6E-409C-BE32-E72D297353CC}">
              <c16:uniqueId val="{00000039-58F6-4830-8941-1011DB88381F}"/>
            </c:ext>
          </c:extLst>
        </c:ser>
        <c:ser>
          <c:idx val="58"/>
          <c:order val="58"/>
          <c:tx>
            <c:v>59</c:v>
          </c:tx>
          <c:spPr>
            <a:ln w="19050" cap="rnd">
              <a:noFill/>
              <a:round/>
            </a:ln>
            <a:effectLst/>
            <a:extLst>
              <a:ext uri="{91240B29-F687-4F45-9708-019B960494DF}">
                <a14:hiddenLine xmlns:a14="http://schemas.microsoft.com/office/drawing/2010/main" w="19050" cap="rnd">
                  <a:solidFill>
                    <a:srgbClr val="4472C4"/>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NormalisedUVVisData!$BH$2:$BH$300</c:f>
              <c:numCache>
                <c:formatCode>General</c:formatCode>
                <c:ptCount val="299"/>
              </c:numCache>
            </c:numRef>
          </c:yVal>
          <c:smooth val="1"/>
          <c:extLst>
            <c:ext xmlns:c16="http://schemas.microsoft.com/office/drawing/2014/chart" uri="{C3380CC4-5D6E-409C-BE32-E72D297353CC}">
              <c16:uniqueId val="{0000003A-58F6-4830-8941-1011DB88381F}"/>
            </c:ext>
          </c:extLst>
        </c:ser>
        <c:ser>
          <c:idx val="59"/>
          <c:order val="59"/>
          <c:tx>
            <c:v>60</c:v>
          </c:tx>
          <c:spPr>
            <a:ln w="19050" cap="rnd">
              <a:noFill/>
              <a:round/>
            </a:ln>
            <a:effectLst/>
            <a:extLst>
              <a:ext uri="{91240B29-F687-4F45-9708-019B960494DF}">
                <a14:hiddenLine xmlns:a14="http://schemas.microsoft.com/office/drawing/2010/main" w="19050" cap="rnd">
                  <a:solidFill>
                    <a:srgbClr val="70AD47"/>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NormalisedUVVisData!$BI$2:$BI$300</c:f>
              <c:numCache>
                <c:formatCode>General</c:formatCode>
                <c:ptCount val="299"/>
              </c:numCache>
            </c:numRef>
          </c:yVal>
          <c:smooth val="1"/>
          <c:extLst>
            <c:ext xmlns:c16="http://schemas.microsoft.com/office/drawing/2014/chart" uri="{C3380CC4-5D6E-409C-BE32-E72D297353CC}">
              <c16:uniqueId val="{0000003B-58F6-4830-8941-1011DB88381F}"/>
            </c:ext>
          </c:extLst>
        </c:ser>
        <c:ser>
          <c:idx val="60"/>
          <c:order val="60"/>
          <c:tx>
            <c:v>61</c:v>
          </c:tx>
          <c:spPr>
            <a:ln w="19050" cap="rnd">
              <a:noFill/>
              <a:round/>
            </a:ln>
            <a:effectLst/>
            <a:extLst>
              <a:ext uri="{91240B29-F687-4F45-9708-019B960494DF}">
                <a14:hiddenLine xmlns:a14="http://schemas.microsoft.com/office/drawing/2010/main" w="19050" cap="rnd">
                  <a:solidFill>
                    <a:srgbClr val="5B9BD5">
                      <a:lumMod val="6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NormalisedUVVisData!$BJ$2:$BJ$300</c:f>
              <c:numCache>
                <c:formatCode>General</c:formatCode>
                <c:ptCount val="299"/>
              </c:numCache>
            </c:numRef>
          </c:yVal>
          <c:smooth val="1"/>
          <c:extLst>
            <c:ext xmlns:c16="http://schemas.microsoft.com/office/drawing/2014/chart" uri="{C3380CC4-5D6E-409C-BE32-E72D297353CC}">
              <c16:uniqueId val="{0000003C-58F6-4830-8941-1011DB88381F}"/>
            </c:ext>
          </c:extLst>
        </c:ser>
        <c:ser>
          <c:idx val="61"/>
          <c:order val="61"/>
          <c:tx>
            <c:v>62</c:v>
          </c:tx>
          <c:spPr>
            <a:ln w="19050" cap="rnd">
              <a:noFill/>
              <a:round/>
            </a:ln>
            <a:effectLst/>
            <a:extLst>
              <a:ext uri="{91240B29-F687-4F45-9708-019B960494DF}">
                <a14:hiddenLine xmlns:a14="http://schemas.microsoft.com/office/drawing/2010/main" w="19050" cap="rnd">
                  <a:solidFill>
                    <a:srgbClr val="ED7D31">
                      <a:lumMod val="6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NormalisedUVVisData!$BK$2:$BK$300</c:f>
              <c:numCache>
                <c:formatCode>General</c:formatCode>
                <c:ptCount val="299"/>
              </c:numCache>
            </c:numRef>
          </c:yVal>
          <c:smooth val="1"/>
          <c:extLst>
            <c:ext xmlns:c16="http://schemas.microsoft.com/office/drawing/2014/chart" uri="{C3380CC4-5D6E-409C-BE32-E72D297353CC}">
              <c16:uniqueId val="{0000003D-58F6-4830-8941-1011DB88381F}"/>
            </c:ext>
          </c:extLst>
        </c:ser>
        <c:ser>
          <c:idx val="62"/>
          <c:order val="62"/>
          <c:tx>
            <c:v>63</c:v>
          </c:tx>
          <c:spPr>
            <a:ln w="19050" cap="rnd">
              <a:noFill/>
              <a:round/>
            </a:ln>
            <a:effectLst/>
            <a:extLst>
              <a:ext uri="{91240B29-F687-4F45-9708-019B960494DF}">
                <a14:hiddenLine xmlns:a14="http://schemas.microsoft.com/office/drawing/2010/main" w="19050" cap="rnd">
                  <a:solidFill>
                    <a:srgbClr val="A5A5A5">
                      <a:lumMod val="6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NormalisedUVVisData!$BL$2:$BL$300</c:f>
              <c:numCache>
                <c:formatCode>General</c:formatCode>
                <c:ptCount val="299"/>
              </c:numCache>
            </c:numRef>
          </c:yVal>
          <c:smooth val="1"/>
          <c:extLst>
            <c:ext xmlns:c16="http://schemas.microsoft.com/office/drawing/2014/chart" uri="{C3380CC4-5D6E-409C-BE32-E72D297353CC}">
              <c16:uniqueId val="{0000003E-58F6-4830-8941-1011DB88381F}"/>
            </c:ext>
          </c:extLst>
        </c:ser>
        <c:ser>
          <c:idx val="63"/>
          <c:order val="63"/>
          <c:tx>
            <c:v>64</c:v>
          </c:tx>
          <c:spPr>
            <a:ln w="19050" cap="rnd">
              <a:noFill/>
              <a:round/>
            </a:ln>
            <a:effectLst/>
            <a:extLst>
              <a:ext uri="{91240B29-F687-4F45-9708-019B960494DF}">
                <a14:hiddenLine xmlns:a14="http://schemas.microsoft.com/office/drawing/2010/main" w="19050" cap="rnd">
                  <a:solidFill>
                    <a:srgbClr val="FFC000">
                      <a:lumMod val="6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NormalisedUVVisData!$BM$2:$BM$300</c:f>
              <c:numCache>
                <c:formatCode>General</c:formatCode>
                <c:ptCount val="299"/>
              </c:numCache>
            </c:numRef>
          </c:yVal>
          <c:smooth val="1"/>
          <c:extLst>
            <c:ext xmlns:c16="http://schemas.microsoft.com/office/drawing/2014/chart" uri="{C3380CC4-5D6E-409C-BE32-E72D297353CC}">
              <c16:uniqueId val="{0000003F-58F6-4830-8941-1011DB88381F}"/>
            </c:ext>
          </c:extLst>
        </c:ser>
        <c:ser>
          <c:idx val="64"/>
          <c:order val="64"/>
          <c:tx>
            <c:v>65</c:v>
          </c:tx>
          <c:spPr>
            <a:ln w="19050" cap="rnd">
              <a:noFill/>
              <a:round/>
            </a:ln>
            <a:effectLst/>
            <a:extLst>
              <a:ext uri="{91240B29-F687-4F45-9708-019B960494DF}">
                <a14:hiddenLine xmlns:a14="http://schemas.microsoft.com/office/drawing/2010/main" w="19050" cap="rnd">
                  <a:solidFill>
                    <a:srgbClr val="4472C4">
                      <a:lumMod val="6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NormalisedUVVisData!$BN$2:$BN$300</c:f>
              <c:numCache>
                <c:formatCode>General</c:formatCode>
                <c:ptCount val="299"/>
              </c:numCache>
            </c:numRef>
          </c:yVal>
          <c:smooth val="1"/>
          <c:extLst>
            <c:ext xmlns:c16="http://schemas.microsoft.com/office/drawing/2014/chart" uri="{C3380CC4-5D6E-409C-BE32-E72D297353CC}">
              <c16:uniqueId val="{00000040-58F6-4830-8941-1011DB88381F}"/>
            </c:ext>
          </c:extLst>
        </c:ser>
        <c:ser>
          <c:idx val="65"/>
          <c:order val="65"/>
          <c:tx>
            <c:v>66</c:v>
          </c:tx>
          <c:spPr>
            <a:ln w="19050" cap="rnd">
              <a:noFill/>
              <a:round/>
            </a:ln>
            <a:effectLst/>
            <a:extLst>
              <a:ext uri="{91240B29-F687-4F45-9708-019B960494DF}">
                <a14:hiddenLine xmlns:a14="http://schemas.microsoft.com/office/drawing/2010/main" w="19050" cap="rnd">
                  <a:solidFill>
                    <a:srgbClr val="70AD47">
                      <a:lumMod val="6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NormalisedUVVisData!$BO$2:$BO$300</c:f>
              <c:numCache>
                <c:formatCode>General</c:formatCode>
                <c:ptCount val="299"/>
              </c:numCache>
            </c:numRef>
          </c:yVal>
          <c:smooth val="1"/>
          <c:extLst>
            <c:ext xmlns:c16="http://schemas.microsoft.com/office/drawing/2014/chart" uri="{C3380CC4-5D6E-409C-BE32-E72D297353CC}">
              <c16:uniqueId val="{00000041-58F6-4830-8941-1011DB88381F}"/>
            </c:ext>
          </c:extLst>
        </c:ser>
        <c:ser>
          <c:idx val="66"/>
          <c:order val="66"/>
          <c:tx>
            <c:v>67</c:v>
          </c:tx>
          <c:spPr>
            <a:ln w="19050" cap="rnd">
              <a:noFill/>
              <a:round/>
            </a:ln>
            <a:effectLst/>
            <a:extLst>
              <a:ext uri="{91240B29-F687-4F45-9708-019B960494DF}">
                <a14:hiddenLine xmlns:a14="http://schemas.microsoft.com/office/drawing/2010/main" w="19050" cap="rnd">
                  <a:solidFill>
                    <a:srgbClr val="5B9BD5">
                      <a:lumMod val="80000"/>
                      <a:lumOff val="2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NormalisedUVVisData!$BP$2:$BP$300</c:f>
              <c:numCache>
                <c:formatCode>General</c:formatCode>
                <c:ptCount val="299"/>
              </c:numCache>
            </c:numRef>
          </c:yVal>
          <c:smooth val="1"/>
          <c:extLst>
            <c:ext xmlns:c16="http://schemas.microsoft.com/office/drawing/2014/chart" uri="{C3380CC4-5D6E-409C-BE32-E72D297353CC}">
              <c16:uniqueId val="{00000042-58F6-4830-8941-1011DB88381F}"/>
            </c:ext>
          </c:extLst>
        </c:ser>
        <c:ser>
          <c:idx val="67"/>
          <c:order val="67"/>
          <c:tx>
            <c:v>68</c:v>
          </c:tx>
          <c:spPr>
            <a:ln w="19050" cap="rnd">
              <a:noFill/>
              <a:round/>
            </a:ln>
            <a:effectLst/>
            <a:extLst>
              <a:ext uri="{91240B29-F687-4F45-9708-019B960494DF}">
                <a14:hiddenLine xmlns:a14="http://schemas.microsoft.com/office/drawing/2010/main" w="19050" cap="rnd">
                  <a:solidFill>
                    <a:srgbClr val="ED7D31">
                      <a:lumMod val="80000"/>
                      <a:lumOff val="2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NormalisedUVVisData!$BQ$2:$BQ$300</c:f>
              <c:numCache>
                <c:formatCode>General</c:formatCode>
                <c:ptCount val="299"/>
              </c:numCache>
            </c:numRef>
          </c:yVal>
          <c:smooth val="1"/>
          <c:extLst>
            <c:ext xmlns:c16="http://schemas.microsoft.com/office/drawing/2014/chart" uri="{C3380CC4-5D6E-409C-BE32-E72D297353CC}">
              <c16:uniqueId val="{00000043-58F6-4830-8941-1011DB88381F}"/>
            </c:ext>
          </c:extLst>
        </c:ser>
        <c:ser>
          <c:idx val="68"/>
          <c:order val="68"/>
          <c:tx>
            <c:v>69</c:v>
          </c:tx>
          <c:spPr>
            <a:ln w="19050" cap="rnd">
              <a:noFill/>
              <a:round/>
            </a:ln>
            <a:effectLst/>
            <a:extLst>
              <a:ext uri="{91240B29-F687-4F45-9708-019B960494DF}">
                <a14:hiddenLine xmlns:a14="http://schemas.microsoft.com/office/drawing/2010/main" w="19050" cap="rnd">
                  <a:solidFill>
                    <a:srgbClr val="A5A5A5">
                      <a:lumMod val="80000"/>
                      <a:lumOff val="2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NormalisedUVVisData!$BR$2:$BR$300</c:f>
              <c:numCache>
                <c:formatCode>General</c:formatCode>
                <c:ptCount val="299"/>
              </c:numCache>
            </c:numRef>
          </c:yVal>
          <c:smooth val="1"/>
          <c:extLst>
            <c:ext xmlns:c16="http://schemas.microsoft.com/office/drawing/2014/chart" uri="{C3380CC4-5D6E-409C-BE32-E72D297353CC}">
              <c16:uniqueId val="{00000044-58F6-4830-8941-1011DB88381F}"/>
            </c:ext>
          </c:extLst>
        </c:ser>
        <c:ser>
          <c:idx val="69"/>
          <c:order val="69"/>
          <c:tx>
            <c:v>70</c:v>
          </c:tx>
          <c:spPr>
            <a:ln w="19050" cap="rnd">
              <a:noFill/>
              <a:round/>
            </a:ln>
            <a:effectLst/>
            <a:extLst>
              <a:ext uri="{91240B29-F687-4F45-9708-019B960494DF}">
                <a14:hiddenLine xmlns:a14="http://schemas.microsoft.com/office/drawing/2010/main" w="19050" cap="rnd">
                  <a:solidFill>
                    <a:srgbClr val="FFC000">
                      <a:lumMod val="80000"/>
                      <a:lumOff val="2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NormalisedUVVisData!$BS$2:$BS$300</c:f>
              <c:numCache>
                <c:formatCode>General</c:formatCode>
                <c:ptCount val="299"/>
              </c:numCache>
            </c:numRef>
          </c:yVal>
          <c:smooth val="1"/>
          <c:extLst>
            <c:ext xmlns:c16="http://schemas.microsoft.com/office/drawing/2014/chart" uri="{C3380CC4-5D6E-409C-BE32-E72D297353CC}">
              <c16:uniqueId val="{00000045-58F6-4830-8941-1011DB88381F}"/>
            </c:ext>
          </c:extLst>
        </c:ser>
        <c:ser>
          <c:idx val="70"/>
          <c:order val="70"/>
          <c:tx>
            <c:v>71</c:v>
          </c:tx>
          <c:spPr>
            <a:ln w="19050" cap="rnd">
              <a:noFill/>
              <a:round/>
            </a:ln>
            <a:effectLst/>
            <a:extLst>
              <a:ext uri="{91240B29-F687-4F45-9708-019B960494DF}">
                <a14:hiddenLine xmlns:a14="http://schemas.microsoft.com/office/drawing/2010/main" w="19050" cap="rnd">
                  <a:solidFill>
                    <a:srgbClr val="4472C4">
                      <a:lumMod val="80000"/>
                      <a:lumOff val="2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NormalisedUVVisData!$BT$2:$BT$300</c:f>
              <c:numCache>
                <c:formatCode>General</c:formatCode>
                <c:ptCount val="299"/>
              </c:numCache>
            </c:numRef>
          </c:yVal>
          <c:smooth val="1"/>
          <c:extLst>
            <c:ext xmlns:c16="http://schemas.microsoft.com/office/drawing/2014/chart" uri="{C3380CC4-5D6E-409C-BE32-E72D297353CC}">
              <c16:uniqueId val="{00000046-58F6-4830-8941-1011DB88381F}"/>
            </c:ext>
          </c:extLst>
        </c:ser>
        <c:ser>
          <c:idx val="71"/>
          <c:order val="71"/>
          <c:tx>
            <c:v>72</c:v>
          </c:tx>
          <c:spPr>
            <a:ln w="19050" cap="rnd">
              <a:noFill/>
              <a:round/>
            </a:ln>
            <a:effectLst/>
            <a:extLst>
              <a:ext uri="{91240B29-F687-4F45-9708-019B960494DF}">
                <a14:hiddenLine xmlns:a14="http://schemas.microsoft.com/office/drawing/2010/main" w="19050" cap="rnd">
                  <a:solidFill>
                    <a:srgbClr val="70AD47">
                      <a:lumMod val="80000"/>
                      <a:lumOff val="2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NormalisedUVVisData!$BU$2:$BU$300</c:f>
              <c:numCache>
                <c:formatCode>General</c:formatCode>
                <c:ptCount val="299"/>
              </c:numCache>
            </c:numRef>
          </c:yVal>
          <c:smooth val="1"/>
          <c:extLst>
            <c:ext xmlns:c16="http://schemas.microsoft.com/office/drawing/2014/chart" uri="{C3380CC4-5D6E-409C-BE32-E72D297353CC}">
              <c16:uniqueId val="{00000047-58F6-4830-8941-1011DB88381F}"/>
            </c:ext>
          </c:extLst>
        </c:ser>
        <c:ser>
          <c:idx val="72"/>
          <c:order val="72"/>
          <c:tx>
            <c:v>73</c:v>
          </c:tx>
          <c:spPr>
            <a:ln w="19050" cap="rnd">
              <a:noFill/>
              <a:round/>
            </a:ln>
            <a:effectLst/>
            <a:extLst>
              <a:ext uri="{91240B29-F687-4F45-9708-019B960494DF}">
                <a14:hiddenLine xmlns:a14="http://schemas.microsoft.com/office/drawing/2010/main" w="19050" cap="rnd">
                  <a:solidFill>
                    <a:srgbClr val="5B9BD5">
                      <a:lumMod val="8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NormalisedUVVisData!$BV$2:$BV$300</c:f>
              <c:numCache>
                <c:formatCode>General</c:formatCode>
                <c:ptCount val="299"/>
              </c:numCache>
            </c:numRef>
          </c:yVal>
          <c:smooth val="1"/>
          <c:extLst>
            <c:ext xmlns:c16="http://schemas.microsoft.com/office/drawing/2014/chart" uri="{C3380CC4-5D6E-409C-BE32-E72D297353CC}">
              <c16:uniqueId val="{00000048-58F6-4830-8941-1011DB88381F}"/>
            </c:ext>
          </c:extLst>
        </c:ser>
        <c:ser>
          <c:idx val="73"/>
          <c:order val="73"/>
          <c:tx>
            <c:v>74</c:v>
          </c:tx>
          <c:spPr>
            <a:ln w="19050" cap="rnd">
              <a:noFill/>
              <a:round/>
            </a:ln>
            <a:effectLst/>
            <a:extLst>
              <a:ext uri="{91240B29-F687-4F45-9708-019B960494DF}">
                <a14:hiddenLine xmlns:a14="http://schemas.microsoft.com/office/drawing/2010/main" w="19050" cap="rnd">
                  <a:solidFill>
                    <a:srgbClr val="ED7D31">
                      <a:lumMod val="8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NormalisedUVVisData!$BW$2:$BW$300</c:f>
              <c:numCache>
                <c:formatCode>General</c:formatCode>
                <c:ptCount val="299"/>
              </c:numCache>
            </c:numRef>
          </c:yVal>
          <c:smooth val="1"/>
          <c:extLst>
            <c:ext xmlns:c16="http://schemas.microsoft.com/office/drawing/2014/chart" uri="{C3380CC4-5D6E-409C-BE32-E72D297353CC}">
              <c16:uniqueId val="{00000049-58F6-4830-8941-1011DB88381F}"/>
            </c:ext>
          </c:extLst>
        </c:ser>
        <c:ser>
          <c:idx val="74"/>
          <c:order val="74"/>
          <c:tx>
            <c:v>75</c:v>
          </c:tx>
          <c:spPr>
            <a:ln w="19050" cap="rnd">
              <a:noFill/>
              <a:round/>
            </a:ln>
            <a:effectLst/>
            <a:extLst>
              <a:ext uri="{91240B29-F687-4F45-9708-019B960494DF}">
                <a14:hiddenLine xmlns:a14="http://schemas.microsoft.com/office/drawing/2010/main" w="19050" cap="rnd">
                  <a:solidFill>
                    <a:srgbClr val="A5A5A5">
                      <a:lumMod val="8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NormalisedUVVisData!$BX$2:$BX$300</c:f>
              <c:numCache>
                <c:formatCode>General</c:formatCode>
                <c:ptCount val="299"/>
              </c:numCache>
            </c:numRef>
          </c:yVal>
          <c:smooth val="1"/>
          <c:extLst>
            <c:ext xmlns:c16="http://schemas.microsoft.com/office/drawing/2014/chart" uri="{C3380CC4-5D6E-409C-BE32-E72D297353CC}">
              <c16:uniqueId val="{0000004A-58F6-4830-8941-1011DB88381F}"/>
            </c:ext>
          </c:extLst>
        </c:ser>
        <c:ser>
          <c:idx val="75"/>
          <c:order val="75"/>
          <c:tx>
            <c:v>76</c:v>
          </c:tx>
          <c:spPr>
            <a:ln w="19050" cap="rnd">
              <a:noFill/>
              <a:round/>
            </a:ln>
            <a:effectLst/>
            <a:extLst>
              <a:ext uri="{91240B29-F687-4F45-9708-019B960494DF}">
                <a14:hiddenLine xmlns:a14="http://schemas.microsoft.com/office/drawing/2010/main" w="19050" cap="rnd">
                  <a:solidFill>
                    <a:srgbClr val="FFC000">
                      <a:lumMod val="8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NormalisedUVVisData!$BY$2:$BY$300</c:f>
              <c:numCache>
                <c:formatCode>General</c:formatCode>
                <c:ptCount val="299"/>
              </c:numCache>
            </c:numRef>
          </c:yVal>
          <c:smooth val="1"/>
          <c:extLst>
            <c:ext xmlns:c16="http://schemas.microsoft.com/office/drawing/2014/chart" uri="{C3380CC4-5D6E-409C-BE32-E72D297353CC}">
              <c16:uniqueId val="{0000004B-58F6-4830-8941-1011DB88381F}"/>
            </c:ext>
          </c:extLst>
        </c:ser>
        <c:ser>
          <c:idx val="76"/>
          <c:order val="76"/>
          <c:tx>
            <c:v>77</c:v>
          </c:tx>
          <c:spPr>
            <a:ln w="19050" cap="rnd">
              <a:noFill/>
              <a:round/>
            </a:ln>
            <a:effectLst/>
            <a:extLst>
              <a:ext uri="{91240B29-F687-4F45-9708-019B960494DF}">
                <a14:hiddenLine xmlns:a14="http://schemas.microsoft.com/office/drawing/2010/main" w="19050" cap="rnd">
                  <a:solidFill>
                    <a:srgbClr val="4472C4">
                      <a:lumMod val="8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NormalisedUVVisData!$BZ$2:$BZ$300</c:f>
              <c:numCache>
                <c:formatCode>General</c:formatCode>
                <c:ptCount val="299"/>
              </c:numCache>
            </c:numRef>
          </c:yVal>
          <c:smooth val="1"/>
          <c:extLst>
            <c:ext xmlns:c16="http://schemas.microsoft.com/office/drawing/2014/chart" uri="{C3380CC4-5D6E-409C-BE32-E72D297353CC}">
              <c16:uniqueId val="{0000004C-58F6-4830-8941-1011DB88381F}"/>
            </c:ext>
          </c:extLst>
        </c:ser>
        <c:ser>
          <c:idx val="77"/>
          <c:order val="77"/>
          <c:tx>
            <c:v>78</c:v>
          </c:tx>
          <c:spPr>
            <a:ln w="19050" cap="rnd">
              <a:noFill/>
              <a:round/>
            </a:ln>
            <a:effectLst/>
            <a:extLst>
              <a:ext uri="{91240B29-F687-4F45-9708-019B960494DF}">
                <a14:hiddenLine xmlns:a14="http://schemas.microsoft.com/office/drawing/2010/main" w="19050" cap="rnd">
                  <a:solidFill>
                    <a:srgbClr val="70AD47">
                      <a:lumMod val="8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NormalisedUVVisData!$CA$2:$CA$300</c:f>
              <c:numCache>
                <c:formatCode>General</c:formatCode>
                <c:ptCount val="299"/>
              </c:numCache>
            </c:numRef>
          </c:yVal>
          <c:smooth val="1"/>
          <c:extLst>
            <c:ext xmlns:c16="http://schemas.microsoft.com/office/drawing/2014/chart" uri="{C3380CC4-5D6E-409C-BE32-E72D297353CC}">
              <c16:uniqueId val="{0000004D-58F6-4830-8941-1011DB88381F}"/>
            </c:ext>
          </c:extLst>
        </c:ser>
        <c:ser>
          <c:idx val="78"/>
          <c:order val="78"/>
          <c:tx>
            <c:v>79</c:v>
          </c:tx>
          <c:spPr>
            <a:ln w="19050" cap="rnd">
              <a:noFill/>
              <a:round/>
            </a:ln>
            <a:effectLst/>
            <a:extLst>
              <a:ext uri="{91240B29-F687-4F45-9708-019B960494DF}">
                <a14:hiddenLine xmlns:a14="http://schemas.microsoft.com/office/drawing/2010/main" w="19050" cap="rnd">
                  <a:solidFill>
                    <a:srgbClr val="5B9BD5">
                      <a:lumMod val="60000"/>
                      <a:lumOff val="4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NormalisedUVVisData!$CB$2:$CB$300</c:f>
              <c:numCache>
                <c:formatCode>General</c:formatCode>
                <c:ptCount val="299"/>
              </c:numCache>
            </c:numRef>
          </c:yVal>
          <c:smooth val="1"/>
          <c:extLst>
            <c:ext xmlns:c16="http://schemas.microsoft.com/office/drawing/2014/chart" uri="{C3380CC4-5D6E-409C-BE32-E72D297353CC}">
              <c16:uniqueId val="{0000004E-58F6-4830-8941-1011DB88381F}"/>
            </c:ext>
          </c:extLst>
        </c:ser>
        <c:ser>
          <c:idx val="79"/>
          <c:order val="79"/>
          <c:tx>
            <c:v>80</c:v>
          </c:tx>
          <c:spPr>
            <a:ln w="19050" cap="rnd">
              <a:noFill/>
              <a:round/>
            </a:ln>
            <a:effectLst/>
            <a:extLst>
              <a:ext uri="{91240B29-F687-4F45-9708-019B960494DF}">
                <a14:hiddenLine xmlns:a14="http://schemas.microsoft.com/office/drawing/2010/main" w="19050" cap="rnd">
                  <a:solidFill>
                    <a:srgbClr val="ED7D31">
                      <a:lumMod val="60000"/>
                      <a:lumOff val="4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NormalisedUVVisData!$CC$2:$CC$300</c:f>
              <c:numCache>
                <c:formatCode>General</c:formatCode>
                <c:ptCount val="299"/>
              </c:numCache>
            </c:numRef>
          </c:yVal>
          <c:smooth val="1"/>
          <c:extLst>
            <c:ext xmlns:c16="http://schemas.microsoft.com/office/drawing/2014/chart" uri="{C3380CC4-5D6E-409C-BE32-E72D297353CC}">
              <c16:uniqueId val="{0000004F-58F6-4830-8941-1011DB88381F}"/>
            </c:ext>
          </c:extLst>
        </c:ser>
        <c:ser>
          <c:idx val="80"/>
          <c:order val="80"/>
          <c:tx>
            <c:v>81</c:v>
          </c:tx>
          <c:spPr>
            <a:ln w="19050" cap="rnd">
              <a:noFill/>
              <a:round/>
            </a:ln>
            <a:effectLst/>
            <a:extLst>
              <a:ext uri="{91240B29-F687-4F45-9708-019B960494DF}">
                <a14:hiddenLine xmlns:a14="http://schemas.microsoft.com/office/drawing/2010/main" w="19050" cap="rnd">
                  <a:solidFill>
                    <a:srgbClr val="A5A5A5">
                      <a:lumMod val="60000"/>
                      <a:lumOff val="4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NormalisedUVVisData!$CD$2:$CD$300</c:f>
              <c:numCache>
                <c:formatCode>General</c:formatCode>
                <c:ptCount val="299"/>
              </c:numCache>
            </c:numRef>
          </c:yVal>
          <c:smooth val="1"/>
          <c:extLst>
            <c:ext xmlns:c16="http://schemas.microsoft.com/office/drawing/2014/chart" uri="{C3380CC4-5D6E-409C-BE32-E72D297353CC}">
              <c16:uniqueId val="{00000050-58F6-4830-8941-1011DB88381F}"/>
            </c:ext>
          </c:extLst>
        </c:ser>
        <c:ser>
          <c:idx val="81"/>
          <c:order val="81"/>
          <c:tx>
            <c:v>82</c:v>
          </c:tx>
          <c:spPr>
            <a:ln w="19050" cap="rnd">
              <a:noFill/>
              <a:round/>
            </a:ln>
            <a:effectLst/>
            <a:extLst>
              <a:ext uri="{91240B29-F687-4F45-9708-019B960494DF}">
                <a14:hiddenLine xmlns:a14="http://schemas.microsoft.com/office/drawing/2010/main" w="19050" cap="rnd">
                  <a:solidFill>
                    <a:srgbClr val="FFC000">
                      <a:lumMod val="60000"/>
                      <a:lumOff val="4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NormalisedUVVisData!$CE$2:$CE$300</c:f>
              <c:numCache>
                <c:formatCode>General</c:formatCode>
                <c:ptCount val="299"/>
              </c:numCache>
            </c:numRef>
          </c:yVal>
          <c:smooth val="1"/>
          <c:extLst>
            <c:ext xmlns:c16="http://schemas.microsoft.com/office/drawing/2014/chart" uri="{C3380CC4-5D6E-409C-BE32-E72D297353CC}">
              <c16:uniqueId val="{00000051-58F6-4830-8941-1011DB88381F}"/>
            </c:ext>
          </c:extLst>
        </c:ser>
        <c:ser>
          <c:idx val="82"/>
          <c:order val="82"/>
          <c:tx>
            <c:v>83</c:v>
          </c:tx>
          <c:spPr>
            <a:ln w="19050" cap="rnd">
              <a:noFill/>
              <a:round/>
            </a:ln>
            <a:effectLst/>
            <a:extLst>
              <a:ext uri="{91240B29-F687-4F45-9708-019B960494DF}">
                <a14:hiddenLine xmlns:a14="http://schemas.microsoft.com/office/drawing/2010/main" w="19050" cap="rnd">
                  <a:solidFill>
                    <a:srgbClr val="4472C4">
                      <a:lumMod val="60000"/>
                      <a:lumOff val="4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NormalisedUVVisData!$CF$2:$CF$300</c:f>
              <c:numCache>
                <c:formatCode>General</c:formatCode>
                <c:ptCount val="299"/>
              </c:numCache>
            </c:numRef>
          </c:yVal>
          <c:smooth val="1"/>
          <c:extLst>
            <c:ext xmlns:c16="http://schemas.microsoft.com/office/drawing/2014/chart" uri="{C3380CC4-5D6E-409C-BE32-E72D297353CC}">
              <c16:uniqueId val="{00000052-58F6-4830-8941-1011DB88381F}"/>
            </c:ext>
          </c:extLst>
        </c:ser>
        <c:ser>
          <c:idx val="83"/>
          <c:order val="83"/>
          <c:tx>
            <c:v>84</c:v>
          </c:tx>
          <c:spPr>
            <a:ln w="19050" cap="rnd">
              <a:noFill/>
              <a:round/>
            </a:ln>
            <a:effectLst/>
            <a:extLst>
              <a:ext uri="{91240B29-F687-4F45-9708-019B960494DF}">
                <a14:hiddenLine xmlns:a14="http://schemas.microsoft.com/office/drawing/2010/main" w="19050" cap="rnd">
                  <a:solidFill>
                    <a:srgbClr val="70AD47">
                      <a:lumMod val="60000"/>
                      <a:lumOff val="4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NormalisedUVVisData!$CG$2:$CG$300</c:f>
              <c:numCache>
                <c:formatCode>General</c:formatCode>
                <c:ptCount val="299"/>
              </c:numCache>
            </c:numRef>
          </c:yVal>
          <c:smooth val="1"/>
          <c:extLst>
            <c:ext xmlns:c16="http://schemas.microsoft.com/office/drawing/2014/chart" uri="{C3380CC4-5D6E-409C-BE32-E72D297353CC}">
              <c16:uniqueId val="{00000053-58F6-4830-8941-1011DB88381F}"/>
            </c:ext>
          </c:extLst>
        </c:ser>
        <c:ser>
          <c:idx val="84"/>
          <c:order val="84"/>
          <c:tx>
            <c:v>85</c:v>
          </c:tx>
          <c:spPr>
            <a:ln w="19050" cap="rnd">
              <a:noFill/>
              <a:round/>
            </a:ln>
            <a:effectLst/>
            <a:extLst>
              <a:ext uri="{91240B29-F687-4F45-9708-019B960494DF}">
                <a14:hiddenLine xmlns:a14="http://schemas.microsoft.com/office/drawing/2010/main" w="19050" cap="rnd">
                  <a:solidFill>
                    <a:srgbClr val="5B9BD5">
                      <a:lumMod val="5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NormalisedUVVisData!$CH$2:$CH$300</c:f>
              <c:numCache>
                <c:formatCode>General</c:formatCode>
                <c:ptCount val="299"/>
              </c:numCache>
            </c:numRef>
          </c:yVal>
          <c:smooth val="1"/>
          <c:extLst>
            <c:ext xmlns:c16="http://schemas.microsoft.com/office/drawing/2014/chart" uri="{C3380CC4-5D6E-409C-BE32-E72D297353CC}">
              <c16:uniqueId val="{00000054-58F6-4830-8941-1011DB88381F}"/>
            </c:ext>
          </c:extLst>
        </c:ser>
        <c:ser>
          <c:idx val="85"/>
          <c:order val="85"/>
          <c:tx>
            <c:v>86</c:v>
          </c:tx>
          <c:spPr>
            <a:ln w="19050" cap="rnd">
              <a:noFill/>
              <a:round/>
            </a:ln>
            <a:effectLst/>
            <a:extLst>
              <a:ext uri="{91240B29-F687-4F45-9708-019B960494DF}">
                <a14:hiddenLine xmlns:a14="http://schemas.microsoft.com/office/drawing/2010/main" w="19050" cap="rnd">
                  <a:solidFill>
                    <a:srgbClr val="ED7D31">
                      <a:lumMod val="5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NormalisedUVVisData!$CI$2:$CI$300</c:f>
              <c:numCache>
                <c:formatCode>General</c:formatCode>
                <c:ptCount val="299"/>
              </c:numCache>
            </c:numRef>
          </c:yVal>
          <c:smooth val="1"/>
          <c:extLst>
            <c:ext xmlns:c16="http://schemas.microsoft.com/office/drawing/2014/chart" uri="{C3380CC4-5D6E-409C-BE32-E72D297353CC}">
              <c16:uniqueId val="{00000055-58F6-4830-8941-1011DB88381F}"/>
            </c:ext>
          </c:extLst>
        </c:ser>
        <c:ser>
          <c:idx val="86"/>
          <c:order val="86"/>
          <c:tx>
            <c:v>87</c:v>
          </c:tx>
          <c:spPr>
            <a:ln w="19050" cap="rnd">
              <a:noFill/>
              <a:round/>
            </a:ln>
            <a:effectLst/>
            <a:extLst>
              <a:ext uri="{91240B29-F687-4F45-9708-019B960494DF}">
                <a14:hiddenLine xmlns:a14="http://schemas.microsoft.com/office/drawing/2010/main" w="19050" cap="rnd">
                  <a:solidFill>
                    <a:srgbClr val="A5A5A5">
                      <a:lumMod val="5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NormalisedUVVisData!$CJ$2:$CJ$300</c:f>
              <c:numCache>
                <c:formatCode>General</c:formatCode>
                <c:ptCount val="299"/>
              </c:numCache>
            </c:numRef>
          </c:yVal>
          <c:smooth val="1"/>
          <c:extLst>
            <c:ext xmlns:c16="http://schemas.microsoft.com/office/drawing/2014/chart" uri="{C3380CC4-5D6E-409C-BE32-E72D297353CC}">
              <c16:uniqueId val="{00000056-58F6-4830-8941-1011DB88381F}"/>
            </c:ext>
          </c:extLst>
        </c:ser>
        <c:ser>
          <c:idx val="87"/>
          <c:order val="87"/>
          <c:tx>
            <c:v>88</c:v>
          </c:tx>
          <c:spPr>
            <a:ln w="19050" cap="rnd">
              <a:noFill/>
              <a:round/>
            </a:ln>
            <a:effectLst/>
            <a:extLst>
              <a:ext uri="{91240B29-F687-4F45-9708-019B960494DF}">
                <a14:hiddenLine xmlns:a14="http://schemas.microsoft.com/office/drawing/2010/main" w="19050" cap="rnd">
                  <a:solidFill>
                    <a:srgbClr val="FFC000">
                      <a:lumMod val="5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NormalisedUVVisData!$CK$2:$CK$300</c:f>
              <c:numCache>
                <c:formatCode>General</c:formatCode>
                <c:ptCount val="299"/>
              </c:numCache>
            </c:numRef>
          </c:yVal>
          <c:smooth val="1"/>
          <c:extLst>
            <c:ext xmlns:c16="http://schemas.microsoft.com/office/drawing/2014/chart" uri="{C3380CC4-5D6E-409C-BE32-E72D297353CC}">
              <c16:uniqueId val="{00000057-58F6-4830-8941-1011DB88381F}"/>
            </c:ext>
          </c:extLst>
        </c:ser>
        <c:ser>
          <c:idx val="88"/>
          <c:order val="88"/>
          <c:tx>
            <c:v>89</c:v>
          </c:tx>
          <c:spPr>
            <a:ln w="19050" cap="rnd">
              <a:noFill/>
              <a:round/>
            </a:ln>
            <a:effectLst/>
            <a:extLst>
              <a:ext uri="{91240B29-F687-4F45-9708-019B960494DF}">
                <a14:hiddenLine xmlns:a14="http://schemas.microsoft.com/office/drawing/2010/main" w="19050" cap="rnd">
                  <a:solidFill>
                    <a:srgbClr val="4472C4">
                      <a:lumMod val="5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NormalisedUVVisData!$CL$2:$CL$300</c:f>
              <c:numCache>
                <c:formatCode>General</c:formatCode>
                <c:ptCount val="299"/>
              </c:numCache>
            </c:numRef>
          </c:yVal>
          <c:smooth val="1"/>
          <c:extLst>
            <c:ext xmlns:c16="http://schemas.microsoft.com/office/drawing/2014/chart" uri="{C3380CC4-5D6E-409C-BE32-E72D297353CC}">
              <c16:uniqueId val="{00000058-58F6-4830-8941-1011DB88381F}"/>
            </c:ext>
          </c:extLst>
        </c:ser>
        <c:ser>
          <c:idx val="89"/>
          <c:order val="89"/>
          <c:tx>
            <c:v>90</c:v>
          </c:tx>
          <c:spPr>
            <a:ln w="19050" cap="rnd">
              <a:noFill/>
              <a:round/>
            </a:ln>
            <a:effectLst/>
            <a:extLst>
              <a:ext uri="{91240B29-F687-4F45-9708-019B960494DF}">
                <a14:hiddenLine xmlns:a14="http://schemas.microsoft.com/office/drawing/2010/main" w="19050" cap="rnd">
                  <a:solidFill>
                    <a:srgbClr val="70AD47">
                      <a:lumMod val="5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NormalisedUVVisData!$CM$2:$CM$300</c:f>
              <c:numCache>
                <c:formatCode>General</c:formatCode>
                <c:ptCount val="299"/>
              </c:numCache>
            </c:numRef>
          </c:yVal>
          <c:smooth val="1"/>
          <c:extLst>
            <c:ext xmlns:c16="http://schemas.microsoft.com/office/drawing/2014/chart" uri="{C3380CC4-5D6E-409C-BE32-E72D297353CC}">
              <c16:uniqueId val="{00000059-58F6-4830-8941-1011DB88381F}"/>
            </c:ext>
          </c:extLst>
        </c:ser>
        <c:ser>
          <c:idx val="90"/>
          <c:order val="90"/>
          <c:tx>
            <c:v>91</c:v>
          </c:tx>
          <c:spPr>
            <a:ln w="19050" cap="rnd">
              <a:noFill/>
              <a:round/>
            </a:ln>
            <a:effectLst/>
            <a:extLst>
              <a:ext uri="{91240B29-F687-4F45-9708-019B960494DF}">
                <a14:hiddenLine xmlns:a14="http://schemas.microsoft.com/office/drawing/2010/main" w="19050" cap="rnd">
                  <a:solidFill>
                    <a:srgbClr val="5B9BD5">
                      <a:lumMod val="70000"/>
                      <a:lumOff val="3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NormalisedUVVisData!$CN$2:$CN$300</c:f>
              <c:numCache>
                <c:formatCode>General</c:formatCode>
                <c:ptCount val="299"/>
              </c:numCache>
            </c:numRef>
          </c:yVal>
          <c:smooth val="1"/>
          <c:extLst>
            <c:ext xmlns:c16="http://schemas.microsoft.com/office/drawing/2014/chart" uri="{C3380CC4-5D6E-409C-BE32-E72D297353CC}">
              <c16:uniqueId val="{0000005A-58F6-4830-8941-1011DB88381F}"/>
            </c:ext>
          </c:extLst>
        </c:ser>
        <c:ser>
          <c:idx val="91"/>
          <c:order val="91"/>
          <c:tx>
            <c:v>92</c:v>
          </c:tx>
          <c:spPr>
            <a:ln w="19050" cap="rnd">
              <a:noFill/>
              <a:round/>
            </a:ln>
            <a:effectLst/>
            <a:extLst>
              <a:ext uri="{91240B29-F687-4F45-9708-019B960494DF}">
                <a14:hiddenLine xmlns:a14="http://schemas.microsoft.com/office/drawing/2010/main" w="19050" cap="rnd">
                  <a:solidFill>
                    <a:srgbClr val="ED7D31">
                      <a:lumMod val="70000"/>
                      <a:lumOff val="3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NormalisedUVVisData!$CO$2:$CO$300</c:f>
              <c:numCache>
                <c:formatCode>General</c:formatCode>
                <c:ptCount val="299"/>
              </c:numCache>
            </c:numRef>
          </c:yVal>
          <c:smooth val="1"/>
          <c:extLst>
            <c:ext xmlns:c16="http://schemas.microsoft.com/office/drawing/2014/chart" uri="{C3380CC4-5D6E-409C-BE32-E72D297353CC}">
              <c16:uniqueId val="{0000005B-58F6-4830-8941-1011DB88381F}"/>
            </c:ext>
          </c:extLst>
        </c:ser>
        <c:ser>
          <c:idx val="92"/>
          <c:order val="92"/>
          <c:tx>
            <c:v>93</c:v>
          </c:tx>
          <c:spPr>
            <a:ln w="19050" cap="rnd">
              <a:noFill/>
              <a:round/>
            </a:ln>
            <a:effectLst/>
            <a:extLst>
              <a:ext uri="{91240B29-F687-4F45-9708-019B960494DF}">
                <a14:hiddenLine xmlns:a14="http://schemas.microsoft.com/office/drawing/2010/main" w="19050" cap="rnd">
                  <a:solidFill>
                    <a:srgbClr val="A5A5A5">
                      <a:lumMod val="70000"/>
                      <a:lumOff val="3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NormalisedUVVisData!$CP$2:$CP$300</c:f>
              <c:numCache>
                <c:formatCode>General</c:formatCode>
                <c:ptCount val="299"/>
              </c:numCache>
            </c:numRef>
          </c:yVal>
          <c:smooth val="1"/>
          <c:extLst>
            <c:ext xmlns:c16="http://schemas.microsoft.com/office/drawing/2014/chart" uri="{C3380CC4-5D6E-409C-BE32-E72D297353CC}">
              <c16:uniqueId val="{0000005C-58F6-4830-8941-1011DB88381F}"/>
            </c:ext>
          </c:extLst>
        </c:ser>
        <c:ser>
          <c:idx val="93"/>
          <c:order val="93"/>
          <c:tx>
            <c:v>94</c:v>
          </c:tx>
          <c:spPr>
            <a:ln w="19050" cap="rnd">
              <a:noFill/>
              <a:round/>
            </a:ln>
            <a:effectLst/>
            <a:extLst>
              <a:ext uri="{91240B29-F687-4F45-9708-019B960494DF}">
                <a14:hiddenLine xmlns:a14="http://schemas.microsoft.com/office/drawing/2010/main" w="19050" cap="rnd">
                  <a:solidFill>
                    <a:srgbClr val="FFC000">
                      <a:lumMod val="70000"/>
                      <a:lumOff val="3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NormalisedUVVisData!$CQ$2:$CQ$300</c:f>
              <c:numCache>
                <c:formatCode>General</c:formatCode>
                <c:ptCount val="299"/>
              </c:numCache>
            </c:numRef>
          </c:yVal>
          <c:smooth val="1"/>
          <c:extLst>
            <c:ext xmlns:c16="http://schemas.microsoft.com/office/drawing/2014/chart" uri="{C3380CC4-5D6E-409C-BE32-E72D297353CC}">
              <c16:uniqueId val="{0000005D-58F6-4830-8941-1011DB88381F}"/>
            </c:ext>
          </c:extLst>
        </c:ser>
        <c:ser>
          <c:idx val="94"/>
          <c:order val="94"/>
          <c:tx>
            <c:v>95</c:v>
          </c:tx>
          <c:spPr>
            <a:ln w="19050" cap="rnd">
              <a:noFill/>
              <a:round/>
            </a:ln>
            <a:effectLst/>
            <a:extLst>
              <a:ext uri="{91240B29-F687-4F45-9708-019B960494DF}">
                <a14:hiddenLine xmlns:a14="http://schemas.microsoft.com/office/drawing/2010/main" w="19050" cap="rnd">
                  <a:solidFill>
                    <a:srgbClr val="4472C4">
                      <a:lumMod val="70000"/>
                      <a:lumOff val="3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NormalisedUVVisData!$CR$2:$CR$300</c:f>
              <c:numCache>
                <c:formatCode>General</c:formatCode>
                <c:ptCount val="299"/>
              </c:numCache>
            </c:numRef>
          </c:yVal>
          <c:smooth val="1"/>
          <c:extLst>
            <c:ext xmlns:c16="http://schemas.microsoft.com/office/drawing/2014/chart" uri="{C3380CC4-5D6E-409C-BE32-E72D297353CC}">
              <c16:uniqueId val="{0000005E-58F6-4830-8941-1011DB88381F}"/>
            </c:ext>
          </c:extLst>
        </c:ser>
        <c:ser>
          <c:idx val="95"/>
          <c:order val="95"/>
          <c:tx>
            <c:v>96</c:v>
          </c:tx>
          <c:spPr>
            <a:ln w="19050" cap="rnd">
              <a:noFill/>
              <a:round/>
            </a:ln>
            <a:effectLst/>
            <a:extLst>
              <a:ext uri="{91240B29-F687-4F45-9708-019B960494DF}">
                <a14:hiddenLine xmlns:a14="http://schemas.microsoft.com/office/drawing/2010/main" w="19050" cap="rnd">
                  <a:solidFill>
                    <a:srgbClr val="70AD47">
                      <a:lumMod val="70000"/>
                      <a:lumOff val="3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NormalisedUVVisData!$CS$2:$CS$300</c:f>
              <c:numCache>
                <c:formatCode>General</c:formatCode>
                <c:ptCount val="299"/>
              </c:numCache>
            </c:numRef>
          </c:yVal>
          <c:smooth val="1"/>
          <c:extLst>
            <c:ext xmlns:c16="http://schemas.microsoft.com/office/drawing/2014/chart" uri="{C3380CC4-5D6E-409C-BE32-E72D297353CC}">
              <c16:uniqueId val="{0000005F-58F6-4830-8941-1011DB88381F}"/>
            </c:ext>
          </c:extLst>
        </c:ser>
        <c:ser>
          <c:idx val="96"/>
          <c:order val="96"/>
          <c:tx>
            <c:v>97</c:v>
          </c:tx>
          <c:spPr>
            <a:ln w="19050" cap="rnd">
              <a:noFill/>
              <a:round/>
            </a:ln>
            <a:effectLst/>
            <a:extLst>
              <a:ext uri="{91240B29-F687-4F45-9708-019B960494DF}">
                <a14:hiddenLine xmlns:a14="http://schemas.microsoft.com/office/drawing/2010/main" w="19050" cap="rnd">
                  <a:solidFill>
                    <a:srgbClr val="5B9BD5">
                      <a:lumMod val="7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NormalisedUVVisData!$CT$2:$CT$300</c:f>
              <c:numCache>
                <c:formatCode>General</c:formatCode>
                <c:ptCount val="299"/>
              </c:numCache>
            </c:numRef>
          </c:yVal>
          <c:smooth val="1"/>
          <c:extLst>
            <c:ext xmlns:c16="http://schemas.microsoft.com/office/drawing/2014/chart" uri="{C3380CC4-5D6E-409C-BE32-E72D297353CC}">
              <c16:uniqueId val="{00000060-58F6-4830-8941-1011DB88381F}"/>
            </c:ext>
          </c:extLst>
        </c:ser>
        <c:ser>
          <c:idx val="97"/>
          <c:order val="97"/>
          <c:tx>
            <c:v>98</c:v>
          </c:tx>
          <c:spPr>
            <a:ln w="19050" cap="rnd">
              <a:noFill/>
              <a:round/>
            </a:ln>
            <a:effectLst/>
            <a:extLst>
              <a:ext uri="{91240B29-F687-4F45-9708-019B960494DF}">
                <a14:hiddenLine xmlns:a14="http://schemas.microsoft.com/office/drawing/2010/main" w="19050" cap="rnd">
                  <a:solidFill>
                    <a:srgbClr val="ED7D31">
                      <a:lumMod val="7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NormalisedUVVisData!$CU$2:$CU$300</c:f>
              <c:numCache>
                <c:formatCode>General</c:formatCode>
                <c:ptCount val="299"/>
              </c:numCache>
            </c:numRef>
          </c:yVal>
          <c:smooth val="1"/>
          <c:extLst>
            <c:ext xmlns:c16="http://schemas.microsoft.com/office/drawing/2014/chart" uri="{C3380CC4-5D6E-409C-BE32-E72D297353CC}">
              <c16:uniqueId val="{00000061-58F6-4830-8941-1011DB88381F}"/>
            </c:ext>
          </c:extLst>
        </c:ser>
        <c:ser>
          <c:idx val="98"/>
          <c:order val="98"/>
          <c:tx>
            <c:v>99</c:v>
          </c:tx>
          <c:spPr>
            <a:ln w="19050" cap="rnd">
              <a:noFill/>
              <a:round/>
            </a:ln>
            <a:effectLst/>
            <a:extLst>
              <a:ext uri="{91240B29-F687-4F45-9708-019B960494DF}">
                <a14:hiddenLine xmlns:a14="http://schemas.microsoft.com/office/drawing/2010/main" w="19050" cap="rnd">
                  <a:solidFill>
                    <a:srgbClr val="A5A5A5">
                      <a:lumMod val="7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NormalisedUVVisData!$CV$2:$CV$300</c:f>
              <c:numCache>
                <c:formatCode>General</c:formatCode>
                <c:ptCount val="299"/>
              </c:numCache>
            </c:numRef>
          </c:yVal>
          <c:smooth val="1"/>
          <c:extLst>
            <c:ext xmlns:c16="http://schemas.microsoft.com/office/drawing/2014/chart" uri="{C3380CC4-5D6E-409C-BE32-E72D297353CC}">
              <c16:uniqueId val="{00000062-58F6-4830-8941-1011DB88381F}"/>
            </c:ext>
          </c:extLst>
        </c:ser>
        <c:ser>
          <c:idx val="99"/>
          <c:order val="99"/>
          <c:tx>
            <c:v>100</c:v>
          </c:tx>
          <c:spPr>
            <a:ln w="19050" cap="rnd">
              <a:noFill/>
              <a:round/>
            </a:ln>
            <a:effectLst/>
            <a:extLst>
              <a:ext uri="{91240B29-F687-4F45-9708-019B960494DF}">
                <a14:hiddenLine xmlns:a14="http://schemas.microsoft.com/office/drawing/2010/main" w="19050" cap="rnd">
                  <a:solidFill>
                    <a:srgbClr val="FFC000">
                      <a:lumMod val="7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NormalisedUVVisData!$CW$2:$CW$300</c:f>
              <c:numCache>
                <c:formatCode>General</c:formatCode>
                <c:ptCount val="299"/>
              </c:numCache>
            </c:numRef>
          </c:yVal>
          <c:smooth val="1"/>
          <c:extLst>
            <c:ext xmlns:c16="http://schemas.microsoft.com/office/drawing/2014/chart" uri="{C3380CC4-5D6E-409C-BE32-E72D297353CC}">
              <c16:uniqueId val="{00000063-58F6-4830-8941-1011DB88381F}"/>
            </c:ext>
          </c:extLst>
        </c:ser>
        <c:dLbls>
          <c:showLegendKey val="0"/>
          <c:showVal val="0"/>
          <c:showCatName val="0"/>
          <c:showSerName val="0"/>
          <c:showPercent val="0"/>
          <c:showBubbleSize val="0"/>
        </c:dLbls>
        <c:axId val="1816212544"/>
        <c:axId val="1816212000"/>
      </c:scatterChart>
      <c:valAx>
        <c:axId val="1816212544"/>
        <c:scaling>
          <c:orientation val="minMax"/>
          <c:max val="600"/>
          <c:min val="20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1816212000"/>
        <c:crosses val="autoZero"/>
        <c:crossBetween val="midCat"/>
        <c:majorUnit val="100"/>
      </c:valAx>
      <c:valAx>
        <c:axId val="1816212000"/>
        <c:scaling>
          <c:orientation val="minMax"/>
          <c:max val="104"/>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1816212544"/>
        <c:crosses val="autoZero"/>
        <c:crossBetween val="midCat"/>
        <c:majorUnit val="25"/>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9240725553496058E-2"/>
          <c:y val="2.038452480418745E-2"/>
          <c:w val="0.7786186853225624"/>
          <c:h val="0.8918530894554404"/>
        </c:manualLayout>
      </c:layout>
      <c:scatterChart>
        <c:scatterStyle val="smoothMarker"/>
        <c:varyColors val="0"/>
        <c:ser>
          <c:idx val="0"/>
          <c:order val="0"/>
          <c:tx>
            <c:v>1</c:v>
          </c:tx>
          <c:spPr>
            <a:ln w="19050" cap="rnd">
              <a:noFill/>
              <a:round/>
            </a:ln>
            <a:effectLst/>
            <a:extLst>
              <a:ext uri="{91240B29-F687-4F45-9708-019B960494DF}">
                <a14:hiddenLine xmlns:a14="http://schemas.microsoft.com/office/drawing/2010/main" w="19050" cap="rnd">
                  <a:solidFill>
                    <a:srgbClr val="5B9BD5"/>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NormalisedUVVisData!$B$2:$B$300</c:f>
              <c:numCache>
                <c:formatCode>General</c:formatCode>
                <c:ptCount val="299"/>
                <c:pt idx="0">
                  <c:v>49.995948791503906</c:v>
                </c:pt>
                <c:pt idx="1">
                  <c:v>51.197731018066406</c:v>
                </c:pt>
                <c:pt idx="2">
                  <c:v>52.685466766357422</c:v>
                </c:pt>
                <c:pt idx="3">
                  <c:v>54.454357147216797</c:v>
                </c:pt>
                <c:pt idx="4">
                  <c:v>56.408950805664063</c:v>
                </c:pt>
                <c:pt idx="5">
                  <c:v>58.509708404541016</c:v>
                </c:pt>
                <c:pt idx="6">
                  <c:v>60.669681549072266</c:v>
                </c:pt>
                <c:pt idx="7">
                  <c:v>62.330951690673828</c:v>
                </c:pt>
                <c:pt idx="8">
                  <c:v>63.035209655761719</c:v>
                </c:pt>
                <c:pt idx="9">
                  <c:v>62.603805541992188</c:v>
                </c:pt>
                <c:pt idx="10">
                  <c:v>60.937458038330078</c:v>
                </c:pt>
                <c:pt idx="11">
                  <c:v>58.023994445800781</c:v>
                </c:pt>
                <c:pt idx="12">
                  <c:v>54.092147827148438</c:v>
                </c:pt>
                <c:pt idx="13">
                  <c:v>49.421573638916016</c:v>
                </c:pt>
                <c:pt idx="14">
                  <c:v>44.726978302001953</c:v>
                </c:pt>
                <c:pt idx="15">
                  <c:v>41.136070251464844</c:v>
                </c:pt>
                <c:pt idx="16">
                  <c:v>39.676124572753906</c:v>
                </c:pt>
                <c:pt idx="17">
                  <c:v>40.525470733642578</c:v>
                </c:pt>
                <c:pt idx="18">
                  <c:v>43.790531158447266</c:v>
                </c:pt>
                <c:pt idx="19">
                  <c:v>49.356376647949219</c:v>
                </c:pt>
                <c:pt idx="20">
                  <c:v>56.466224670410156</c:v>
                </c:pt>
                <c:pt idx="21">
                  <c:v>64.757926940917969</c:v>
                </c:pt>
                <c:pt idx="22">
                  <c:v>73.919776916503906</c:v>
                </c:pt>
                <c:pt idx="23">
                  <c:v>82.703781127929688</c:v>
                </c:pt>
                <c:pt idx="24">
                  <c:v>90.78814697265625</c:v>
                </c:pt>
                <c:pt idx="25">
                  <c:v>96.892677307128906</c:v>
                </c:pt>
                <c:pt idx="26">
                  <c:v>99.999992370605469</c:v>
                </c:pt>
                <c:pt idx="27">
                  <c:v>99.054580688476563</c:v>
                </c:pt>
                <c:pt idx="28">
                  <c:v>94.238136291503906</c:v>
                </c:pt>
                <c:pt idx="29">
                  <c:v>87.308197021484375</c:v>
                </c:pt>
                <c:pt idx="30">
                  <c:v>80.10394287109375</c:v>
                </c:pt>
                <c:pt idx="31">
                  <c:v>74.613975524902344</c:v>
                </c:pt>
                <c:pt idx="32">
                  <c:v>70.887580871582031</c:v>
                </c:pt>
                <c:pt idx="33">
                  <c:v>68.533699035644531</c:v>
                </c:pt>
                <c:pt idx="34">
                  <c:v>66.681121826171875</c:v>
                </c:pt>
                <c:pt idx="35">
                  <c:v>64.452835083007813</c:v>
                </c:pt>
                <c:pt idx="36">
                  <c:v>61.346591949462891</c:v>
                </c:pt>
                <c:pt idx="37">
                  <c:v>57.145668029785156</c:v>
                </c:pt>
                <c:pt idx="38">
                  <c:v>52.158771514892578</c:v>
                </c:pt>
                <c:pt idx="39">
                  <c:v>46.575481414794922</c:v>
                </c:pt>
                <c:pt idx="40">
                  <c:v>41.187259674072266</c:v>
                </c:pt>
                <c:pt idx="41">
                  <c:v>36.693603515625</c:v>
                </c:pt>
                <c:pt idx="42">
                  <c:v>33.426021575927734</c:v>
                </c:pt>
                <c:pt idx="43">
                  <c:v>31.331571578979492</c:v>
                </c:pt>
                <c:pt idx="44">
                  <c:v>30.24261474609375</c:v>
                </c:pt>
                <c:pt idx="45">
                  <c:v>29.837001800537109</c:v>
                </c:pt>
                <c:pt idx="46">
                  <c:v>29.802043914794922</c:v>
                </c:pt>
                <c:pt idx="47">
                  <c:v>29.834489822387695</c:v>
                </c:pt>
                <c:pt idx="48">
                  <c:v>29.741342544555664</c:v>
                </c:pt>
                <c:pt idx="49">
                  <c:v>29.390016555786133</c:v>
                </c:pt>
                <c:pt idx="50">
                  <c:v>28.762887954711914</c:v>
                </c:pt>
                <c:pt idx="51">
                  <c:v>27.760770797729492</c:v>
                </c:pt>
                <c:pt idx="52">
                  <c:v>26.369327545166016</c:v>
                </c:pt>
                <c:pt idx="53">
                  <c:v>24.593545913696289</c:v>
                </c:pt>
                <c:pt idx="54">
                  <c:v>22.599353790283203</c:v>
                </c:pt>
                <c:pt idx="55">
                  <c:v>20.573047637939453</c:v>
                </c:pt>
                <c:pt idx="56">
                  <c:v>18.609165191650391</c:v>
                </c:pt>
                <c:pt idx="57">
                  <c:v>16.843379974365234</c:v>
                </c:pt>
                <c:pt idx="58">
                  <c:v>15.294055938720703</c:v>
                </c:pt>
                <c:pt idx="59">
                  <c:v>14.102557182312012</c:v>
                </c:pt>
                <c:pt idx="60">
                  <c:v>13.286131858825684</c:v>
                </c:pt>
                <c:pt idx="61">
                  <c:v>12.88902759552002</c:v>
                </c:pt>
                <c:pt idx="62">
                  <c:v>12.872271537780762</c:v>
                </c:pt>
                <c:pt idx="63">
                  <c:v>13.16230583190918</c:v>
                </c:pt>
                <c:pt idx="64">
                  <c:v>13.784439086914063</c:v>
                </c:pt>
                <c:pt idx="65">
                  <c:v>14.706076622009277</c:v>
                </c:pt>
                <c:pt idx="66">
                  <c:v>15.644208908081055</c:v>
                </c:pt>
                <c:pt idx="67">
                  <c:v>16.736114501953125</c:v>
                </c:pt>
                <c:pt idx="68">
                  <c:v>17.934324264526367</c:v>
                </c:pt>
                <c:pt idx="69">
                  <c:v>19.252473831176758</c:v>
                </c:pt>
                <c:pt idx="70">
                  <c:v>20.711812973022461</c:v>
                </c:pt>
                <c:pt idx="71">
                  <c:v>22.091739654541016</c:v>
                </c:pt>
                <c:pt idx="72">
                  <c:v>23.475191116333008</c:v>
                </c:pt>
                <c:pt idx="73">
                  <c:v>24.906841278076172</c:v>
                </c:pt>
                <c:pt idx="74">
                  <c:v>26.293315887451172</c:v>
                </c:pt>
                <c:pt idx="75">
                  <c:v>27.556547164916992</c:v>
                </c:pt>
                <c:pt idx="76">
                  <c:v>28.76228141784668</c:v>
                </c:pt>
                <c:pt idx="77">
                  <c:v>29.821224212646484</c:v>
                </c:pt>
                <c:pt idx="78">
                  <c:v>30.763740539550781</c:v>
                </c:pt>
                <c:pt idx="79">
                  <c:v>31.633968353271484</c:v>
                </c:pt>
                <c:pt idx="80">
                  <c:v>32.325607299804688</c:v>
                </c:pt>
                <c:pt idx="81">
                  <c:v>32.820827484130859</c:v>
                </c:pt>
                <c:pt idx="82">
                  <c:v>33.162460327148438</c:v>
                </c:pt>
                <c:pt idx="83">
                  <c:v>33.112686157226563</c:v>
                </c:pt>
                <c:pt idx="84">
                  <c:v>32.8577880859375</c:v>
                </c:pt>
                <c:pt idx="85">
                  <c:v>32.512336730957031</c:v>
                </c:pt>
                <c:pt idx="86">
                  <c:v>31.948637008666992</c:v>
                </c:pt>
                <c:pt idx="87">
                  <c:v>31.126008987426758</c:v>
                </c:pt>
                <c:pt idx="88">
                  <c:v>30.095897674560547</c:v>
                </c:pt>
                <c:pt idx="89">
                  <c:v>29.028627395629883</c:v>
                </c:pt>
                <c:pt idx="90">
                  <c:v>27.845037460327148</c:v>
                </c:pt>
                <c:pt idx="91">
                  <c:v>26.353580474853516</c:v>
                </c:pt>
                <c:pt idx="92">
                  <c:v>24.820201873779297</c:v>
                </c:pt>
                <c:pt idx="93">
                  <c:v>23.258893966674805</c:v>
                </c:pt>
                <c:pt idx="94">
                  <c:v>21.647005081176758</c:v>
                </c:pt>
                <c:pt idx="95">
                  <c:v>20.066156387329102</c:v>
                </c:pt>
                <c:pt idx="96">
                  <c:v>18.347665786743164</c:v>
                </c:pt>
                <c:pt idx="97">
                  <c:v>16.8597412109375</c:v>
                </c:pt>
                <c:pt idx="98">
                  <c:v>15.396976470947266</c:v>
                </c:pt>
                <c:pt idx="99">
                  <c:v>13.97023868560791</c:v>
                </c:pt>
                <c:pt idx="100">
                  <c:v>12.535508155822754</c:v>
                </c:pt>
                <c:pt idx="101">
                  <c:v>11.234574317932129</c:v>
                </c:pt>
                <c:pt idx="102">
                  <c:v>10.132328033447266</c:v>
                </c:pt>
                <c:pt idx="103">
                  <c:v>9.0198383331298828</c:v>
                </c:pt>
                <c:pt idx="104">
                  <c:v>8.0537223815917969</c:v>
                </c:pt>
                <c:pt idx="105">
                  <c:v>7.2283434867858887</c:v>
                </c:pt>
                <c:pt idx="106">
                  <c:v>6.4771528244018555</c:v>
                </c:pt>
                <c:pt idx="107">
                  <c:v>5.8789968490600586</c:v>
                </c:pt>
                <c:pt idx="108">
                  <c:v>5.3575015068054199</c:v>
                </c:pt>
                <c:pt idx="109">
                  <c:v>4.9361257553100586</c:v>
                </c:pt>
                <c:pt idx="110">
                  <c:v>4.6515121459960938</c:v>
                </c:pt>
                <c:pt idx="111">
                  <c:v>4.342503547668457</c:v>
                </c:pt>
                <c:pt idx="112">
                  <c:v>4.1015143394470215</c:v>
                </c:pt>
                <c:pt idx="113">
                  <c:v>3.9109835624694824</c:v>
                </c:pt>
                <c:pt idx="114">
                  <c:v>3.7934994697570801</c:v>
                </c:pt>
                <c:pt idx="115">
                  <c:v>3.748971700668335</c:v>
                </c:pt>
                <c:pt idx="116">
                  <c:v>3.699425220489502</c:v>
                </c:pt>
                <c:pt idx="117">
                  <c:v>3.6392333507537842</c:v>
                </c:pt>
                <c:pt idx="118">
                  <c:v>3.5926685333251953</c:v>
                </c:pt>
                <c:pt idx="119">
                  <c:v>3.5783760547637939</c:v>
                </c:pt>
                <c:pt idx="120">
                  <c:v>3.6042253971099854</c:v>
                </c:pt>
                <c:pt idx="121">
                  <c:v>3.628021240234375</c:v>
                </c:pt>
                <c:pt idx="122">
                  <c:v>3.6285140514373779</c:v>
                </c:pt>
                <c:pt idx="123">
                  <c:v>3.6448516845703125</c:v>
                </c:pt>
                <c:pt idx="124">
                  <c:v>3.5478613376617432</c:v>
                </c:pt>
                <c:pt idx="125">
                  <c:v>3.5135271549224854</c:v>
                </c:pt>
                <c:pt idx="126">
                  <c:v>3.669813871383667</c:v>
                </c:pt>
                <c:pt idx="127">
                  <c:v>3.6649265289306641</c:v>
                </c:pt>
                <c:pt idx="128">
                  <c:v>3.4720301628112793</c:v>
                </c:pt>
                <c:pt idx="129">
                  <c:v>3.4803261756896973</c:v>
                </c:pt>
                <c:pt idx="130">
                  <c:v>3.5476806163787842</c:v>
                </c:pt>
                <c:pt idx="131">
                  <c:v>3.4671182632446289</c:v>
                </c:pt>
                <c:pt idx="132">
                  <c:v>3.4944541454315186</c:v>
                </c:pt>
                <c:pt idx="133">
                  <c:v>3.6167681217193604</c:v>
                </c:pt>
                <c:pt idx="134">
                  <c:v>3.5783185958862305</c:v>
                </c:pt>
                <c:pt idx="135">
                  <c:v>3.5085246562957764</c:v>
                </c:pt>
                <c:pt idx="136">
                  <c:v>2.5822622776031494</c:v>
                </c:pt>
                <c:pt idx="137">
                  <c:v>2</c:v>
                </c:pt>
                <c:pt idx="138">
                  <c:v>2.909752368927002</c:v>
                </c:pt>
                <c:pt idx="139">
                  <c:v>3.5017235279083252</c:v>
                </c:pt>
                <c:pt idx="140">
                  <c:v>3.4009220600128174</c:v>
                </c:pt>
                <c:pt idx="141">
                  <c:v>3.5476148128509521</c:v>
                </c:pt>
                <c:pt idx="142">
                  <c:v>3.5990588665008545</c:v>
                </c:pt>
                <c:pt idx="143">
                  <c:v>3.4844415187835693</c:v>
                </c:pt>
                <c:pt idx="144">
                  <c:v>3.4843592643737793</c:v>
                </c:pt>
                <c:pt idx="145">
                  <c:v>3.5332815647125244</c:v>
                </c:pt>
                <c:pt idx="146">
                  <c:v>3.5688726902008057</c:v>
                </c:pt>
                <c:pt idx="147">
                  <c:v>3.5886929035186768</c:v>
                </c:pt>
                <c:pt idx="148">
                  <c:v>3.5631721019744873</c:v>
                </c:pt>
                <c:pt idx="149">
                  <c:v>3.5528390407562256</c:v>
                </c:pt>
                <c:pt idx="150">
                  <c:v>3.5854401588439941</c:v>
                </c:pt>
                <c:pt idx="151">
                  <c:v>3.5607655048370361</c:v>
                </c:pt>
                <c:pt idx="152">
                  <c:v>3.5343329906463623</c:v>
                </c:pt>
                <c:pt idx="153">
                  <c:v>3.5087957382202148</c:v>
                </c:pt>
                <c:pt idx="154">
                  <c:v>3.6058683395385742</c:v>
                </c:pt>
                <c:pt idx="155">
                  <c:v>3.6081929206848145</c:v>
                </c:pt>
                <c:pt idx="156">
                  <c:v>3.4921624660491943</c:v>
                </c:pt>
                <c:pt idx="157">
                  <c:v>3.4141628742218018</c:v>
                </c:pt>
                <c:pt idx="158">
                  <c:v>3.4344103336334229</c:v>
                </c:pt>
                <c:pt idx="159">
                  <c:v>3.5541696548461914</c:v>
                </c:pt>
                <c:pt idx="160">
                  <c:v>3.6238486766815186</c:v>
                </c:pt>
                <c:pt idx="161">
                  <c:v>3.6684832572937012</c:v>
                </c:pt>
                <c:pt idx="162">
                  <c:v>3.5930874347686768</c:v>
                </c:pt>
                <c:pt idx="163">
                  <c:v>3.416323184967041</c:v>
                </c:pt>
                <c:pt idx="164">
                  <c:v>3.3692736625671387</c:v>
                </c:pt>
                <c:pt idx="165">
                  <c:v>3.5622687339782715</c:v>
                </c:pt>
                <c:pt idx="166">
                  <c:v>3.6426339149475098</c:v>
                </c:pt>
                <c:pt idx="167">
                  <c:v>3.5280656814575195</c:v>
                </c:pt>
                <c:pt idx="168">
                  <c:v>3.5755751132965088</c:v>
                </c:pt>
                <c:pt idx="169">
                  <c:v>3.449474573135376</c:v>
                </c:pt>
                <c:pt idx="170">
                  <c:v>3.275043249130249</c:v>
                </c:pt>
                <c:pt idx="171">
                  <c:v>3.4319460391998291</c:v>
                </c:pt>
                <c:pt idx="172">
                  <c:v>3.5459227561950684</c:v>
                </c:pt>
                <c:pt idx="173">
                  <c:v>3.5618579387664795</c:v>
                </c:pt>
                <c:pt idx="174">
                  <c:v>3.5353515148162842</c:v>
                </c:pt>
                <c:pt idx="175">
                  <c:v>3.424602746963501</c:v>
                </c:pt>
                <c:pt idx="176">
                  <c:v>3.5035059452056885</c:v>
                </c:pt>
                <c:pt idx="177">
                  <c:v>3.5541532039642334</c:v>
                </c:pt>
                <c:pt idx="178">
                  <c:v>3.5880687236785889</c:v>
                </c:pt>
                <c:pt idx="179">
                  <c:v>3.5994367599487305</c:v>
                </c:pt>
                <c:pt idx="180">
                  <c:v>3.4793405532836914</c:v>
                </c:pt>
                <c:pt idx="181">
                  <c:v>3.5039825439453125</c:v>
                </c:pt>
                <c:pt idx="182">
                  <c:v>3.6051619052886963</c:v>
                </c:pt>
                <c:pt idx="183">
                  <c:v>3.4997687339782715</c:v>
                </c:pt>
                <c:pt idx="184">
                  <c:v>3.4791023731231689</c:v>
                </c:pt>
                <c:pt idx="185">
                  <c:v>3.5429084300994873</c:v>
                </c:pt>
                <c:pt idx="186">
                  <c:v>3.5319015979766846</c:v>
                </c:pt>
                <c:pt idx="187">
                  <c:v>3.4967951774597168</c:v>
                </c:pt>
                <c:pt idx="188">
                  <c:v>3.4884908199310303</c:v>
                </c:pt>
                <c:pt idx="189">
                  <c:v>3.4921214580535889</c:v>
                </c:pt>
                <c:pt idx="190">
                  <c:v>3.5736696720123291</c:v>
                </c:pt>
                <c:pt idx="191">
                  <c:v>3.5732998847961426</c:v>
                </c:pt>
                <c:pt idx="192">
                  <c:v>3.5646998882293701</c:v>
                </c:pt>
                <c:pt idx="193">
                  <c:v>3.5247390270233154</c:v>
                </c:pt>
                <c:pt idx="194">
                  <c:v>3.5421197414398193</c:v>
                </c:pt>
                <c:pt idx="195">
                  <c:v>3.5912802219390869</c:v>
                </c:pt>
                <c:pt idx="196">
                  <c:v>3.5973668098449707</c:v>
                </c:pt>
                <c:pt idx="197">
                  <c:v>3.5249691009521484</c:v>
                </c:pt>
                <c:pt idx="198">
                  <c:v>3.4829957485198975</c:v>
                </c:pt>
                <c:pt idx="199">
                  <c:v>3.5689876079559326</c:v>
                </c:pt>
                <c:pt idx="200">
                  <c:v>3.5704169273376465</c:v>
                </c:pt>
                <c:pt idx="201">
                  <c:v>3.6293766498565674</c:v>
                </c:pt>
                <c:pt idx="202">
                  <c:v>3.6013424396514893</c:v>
                </c:pt>
                <c:pt idx="203">
                  <c:v>3.6313314437866211</c:v>
                </c:pt>
                <c:pt idx="204">
                  <c:v>3.578474760055542</c:v>
                </c:pt>
                <c:pt idx="205">
                  <c:v>3.5417337417602539</c:v>
                </c:pt>
                <c:pt idx="206">
                  <c:v>3.5412163734436035</c:v>
                </c:pt>
                <c:pt idx="207">
                  <c:v>3.5566501617431641</c:v>
                </c:pt>
                <c:pt idx="208">
                  <c:v>3.5301601886749268</c:v>
                </c:pt>
                <c:pt idx="209">
                  <c:v>3.5779409408569336</c:v>
                </c:pt>
                <c:pt idx="210">
                  <c:v>3.5970053672790527</c:v>
                </c:pt>
                <c:pt idx="211">
                  <c:v>3.5020439624786377</c:v>
                </c:pt>
                <c:pt idx="212">
                  <c:v>3.6363174915313721</c:v>
                </c:pt>
                <c:pt idx="213">
                  <c:v>3.6619777679443359</c:v>
                </c:pt>
                <c:pt idx="214">
                  <c:v>3.5541532039642334</c:v>
                </c:pt>
                <c:pt idx="215">
                  <c:v>3.4863388538360596</c:v>
                </c:pt>
                <c:pt idx="216">
                  <c:v>3.6054000854492188</c:v>
                </c:pt>
                <c:pt idx="217">
                  <c:v>3.6129570007324219</c:v>
                </c:pt>
                <c:pt idx="218">
                  <c:v>3.5434422492980957</c:v>
                </c:pt>
                <c:pt idx="219">
                  <c:v>3.611149787902832</c:v>
                </c:pt>
                <c:pt idx="220">
                  <c:v>3.5568146705627441</c:v>
                </c:pt>
                <c:pt idx="221">
                  <c:v>3.6044964790344238</c:v>
                </c:pt>
                <c:pt idx="222">
                  <c:v>3.508237361907959</c:v>
                </c:pt>
                <c:pt idx="223">
                  <c:v>3.5845365524291992</c:v>
                </c:pt>
                <c:pt idx="224">
                  <c:v>3.8497157096862793</c:v>
                </c:pt>
                <c:pt idx="225">
                  <c:v>3.6554064750671387</c:v>
                </c:pt>
              </c:numCache>
            </c:numRef>
          </c:yVal>
          <c:smooth val="1"/>
          <c:extLst>
            <c:ext xmlns:c16="http://schemas.microsoft.com/office/drawing/2014/chart" uri="{C3380CC4-5D6E-409C-BE32-E72D297353CC}">
              <c16:uniqueId val="{00000000-C55B-4A1A-87F7-276FE06EA34B}"/>
            </c:ext>
          </c:extLst>
        </c:ser>
        <c:ser>
          <c:idx val="1"/>
          <c:order val="1"/>
          <c:tx>
            <c:v>2</c:v>
          </c:tx>
          <c:spPr>
            <a:ln w="19050" cap="rnd">
              <a:noFill/>
              <a:round/>
            </a:ln>
            <a:effectLst/>
            <a:extLst>
              <a:ext uri="{91240B29-F687-4F45-9708-019B960494DF}">
                <a14:hiddenLine xmlns:a14="http://schemas.microsoft.com/office/drawing/2010/main" w="19050" cap="rnd">
                  <a:solidFill>
                    <a:srgbClr val="ED7D31"/>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NormalisedUVVisData!$C$2:$C$300</c:f>
              <c:numCache>
                <c:formatCode>General</c:formatCode>
                <c:ptCount val="299"/>
                <c:pt idx="0">
                  <c:v>100</c:v>
                </c:pt>
                <c:pt idx="1">
                  <c:v>91.294387817382813</c:v>
                </c:pt>
                <c:pt idx="2">
                  <c:v>82.17083740234375</c:v>
                </c:pt>
                <c:pt idx="3">
                  <c:v>74.127113342285156</c:v>
                </c:pt>
                <c:pt idx="4">
                  <c:v>67.934799194335938</c:v>
                </c:pt>
                <c:pt idx="5">
                  <c:v>63.919330596923828</c:v>
                </c:pt>
                <c:pt idx="6">
                  <c:v>61.788238525390625</c:v>
                </c:pt>
                <c:pt idx="7">
                  <c:v>61.091739654541016</c:v>
                </c:pt>
                <c:pt idx="8">
                  <c:v>61.226615905761719</c:v>
                </c:pt>
                <c:pt idx="9">
                  <c:v>61.924781799316406</c:v>
                </c:pt>
                <c:pt idx="10">
                  <c:v>62.069541931152344</c:v>
                </c:pt>
                <c:pt idx="11">
                  <c:v>61.261344909667969</c:v>
                </c:pt>
                <c:pt idx="12">
                  <c:v>59.378223419189453</c:v>
                </c:pt>
                <c:pt idx="13">
                  <c:v>56.124324798583984</c:v>
                </c:pt>
                <c:pt idx="14">
                  <c:v>51.952800750732422</c:v>
                </c:pt>
                <c:pt idx="15">
                  <c:v>47.308937072753906</c:v>
                </c:pt>
                <c:pt idx="16">
                  <c:v>42.560935974121094</c:v>
                </c:pt>
                <c:pt idx="17">
                  <c:v>37.230545043945313</c:v>
                </c:pt>
                <c:pt idx="18">
                  <c:v>31.853950500488281</c:v>
                </c:pt>
                <c:pt idx="19">
                  <c:v>27.250391006469727</c:v>
                </c:pt>
                <c:pt idx="20">
                  <c:v>24.05225944519043</c:v>
                </c:pt>
                <c:pt idx="21">
                  <c:v>21.937082290649414</c:v>
                </c:pt>
                <c:pt idx="22">
                  <c:v>20.537641525268555</c:v>
                </c:pt>
                <c:pt idx="23">
                  <c:v>19.665596008300781</c:v>
                </c:pt>
                <c:pt idx="24">
                  <c:v>19.134790420532227</c:v>
                </c:pt>
                <c:pt idx="25">
                  <c:v>18.757686614990234</c:v>
                </c:pt>
                <c:pt idx="26">
                  <c:v>18.511428833007813</c:v>
                </c:pt>
                <c:pt idx="27">
                  <c:v>18.55085563659668</c:v>
                </c:pt>
                <c:pt idx="28">
                  <c:v>18.82880973815918</c:v>
                </c:pt>
                <c:pt idx="29">
                  <c:v>19.072885513305664</c:v>
                </c:pt>
                <c:pt idx="30">
                  <c:v>19.200424194335938</c:v>
                </c:pt>
                <c:pt idx="31">
                  <c:v>18.990560531616211</c:v>
                </c:pt>
                <c:pt idx="32">
                  <c:v>18.466030120849609</c:v>
                </c:pt>
                <c:pt idx="33">
                  <c:v>17.729816436767578</c:v>
                </c:pt>
                <c:pt idx="34">
                  <c:v>16.721439361572266</c:v>
                </c:pt>
                <c:pt idx="35">
                  <c:v>15.336079597473145</c:v>
                </c:pt>
                <c:pt idx="36">
                  <c:v>13.738537788391113</c:v>
                </c:pt>
                <c:pt idx="37">
                  <c:v>12.076087951660156</c:v>
                </c:pt>
                <c:pt idx="38">
                  <c:v>10.610770225524902</c:v>
                </c:pt>
                <c:pt idx="39">
                  <c:v>9.5189170837402344</c:v>
                </c:pt>
                <c:pt idx="40">
                  <c:v>8.8901443481445313</c:v>
                </c:pt>
                <c:pt idx="41">
                  <c:v>8.4743728637695313</c:v>
                </c:pt>
                <c:pt idx="42">
                  <c:v>8.268768310546875</c:v>
                </c:pt>
                <c:pt idx="43">
                  <c:v>8.3771791458129883</c:v>
                </c:pt>
                <c:pt idx="44">
                  <c:v>8.5365962982177734</c:v>
                </c:pt>
                <c:pt idx="45">
                  <c:v>8.5648508071899414</c:v>
                </c:pt>
                <c:pt idx="46">
                  <c:v>8.7181901931762695</c:v>
                </c:pt>
                <c:pt idx="47">
                  <c:v>9.089503288269043</c:v>
                </c:pt>
                <c:pt idx="48">
                  <c:v>9.2806768417358398</c:v>
                </c:pt>
                <c:pt idx="49">
                  <c:v>9.3527383804321289</c:v>
                </c:pt>
                <c:pt idx="50">
                  <c:v>9.4830226898193359</c:v>
                </c:pt>
                <c:pt idx="51">
                  <c:v>9.5846271514892578</c:v>
                </c:pt>
                <c:pt idx="52">
                  <c:v>9.6064853668212891</c:v>
                </c:pt>
                <c:pt idx="53">
                  <c:v>9.6510953903198242</c:v>
                </c:pt>
                <c:pt idx="54">
                  <c:v>9.8825750350952148</c:v>
                </c:pt>
                <c:pt idx="55">
                  <c:v>10.036293029785156</c:v>
                </c:pt>
                <c:pt idx="56">
                  <c:v>10.085405349731445</c:v>
                </c:pt>
                <c:pt idx="57">
                  <c:v>10.169502258300781</c:v>
                </c:pt>
                <c:pt idx="58">
                  <c:v>10.16118049621582</c:v>
                </c:pt>
                <c:pt idx="59">
                  <c:v>10.113114356994629</c:v>
                </c:pt>
                <c:pt idx="60">
                  <c:v>10.07679557800293</c:v>
                </c:pt>
                <c:pt idx="61">
                  <c:v>10.071732521057129</c:v>
                </c:pt>
                <c:pt idx="62">
                  <c:v>9.9347944259643555</c:v>
                </c:pt>
                <c:pt idx="63">
                  <c:v>9.6442289352416992</c:v>
                </c:pt>
                <c:pt idx="64">
                  <c:v>9.3471908569335938</c:v>
                </c:pt>
                <c:pt idx="65">
                  <c:v>8.9910964965820313</c:v>
                </c:pt>
                <c:pt idx="66">
                  <c:v>8.6540260314941406</c:v>
                </c:pt>
                <c:pt idx="67">
                  <c:v>8.3547143936157227</c:v>
                </c:pt>
                <c:pt idx="68">
                  <c:v>8.1001338958740234</c:v>
                </c:pt>
                <c:pt idx="69">
                  <c:v>7.8671541213989258</c:v>
                </c:pt>
                <c:pt idx="70">
                  <c:v>7.6893191337585449</c:v>
                </c:pt>
                <c:pt idx="71">
                  <c:v>7.5671906471252441</c:v>
                </c:pt>
                <c:pt idx="72">
                  <c:v>7.3434720039367676</c:v>
                </c:pt>
                <c:pt idx="73">
                  <c:v>7.051633358001709</c:v>
                </c:pt>
                <c:pt idx="74">
                  <c:v>6.8410720825195313</c:v>
                </c:pt>
                <c:pt idx="75">
                  <c:v>6.7356777191162109</c:v>
                </c:pt>
                <c:pt idx="76">
                  <c:v>6.7314033508300781</c:v>
                </c:pt>
                <c:pt idx="77">
                  <c:v>6.7260375022888184</c:v>
                </c:pt>
                <c:pt idx="78">
                  <c:v>6.4589667320251465</c:v>
                </c:pt>
                <c:pt idx="79">
                  <c:v>6.1709175109863281</c:v>
                </c:pt>
                <c:pt idx="80">
                  <c:v>6.0222773551940918</c:v>
                </c:pt>
                <c:pt idx="81">
                  <c:v>5.9711036682128906</c:v>
                </c:pt>
                <c:pt idx="82">
                  <c:v>5.8469586372375488</c:v>
                </c:pt>
                <c:pt idx="83">
                  <c:v>5.785947322845459</c:v>
                </c:pt>
                <c:pt idx="84">
                  <c:v>5.6789159774780273</c:v>
                </c:pt>
                <c:pt idx="85">
                  <c:v>5.5519213676452637</c:v>
                </c:pt>
                <c:pt idx="86">
                  <c:v>5.5792970657348633</c:v>
                </c:pt>
                <c:pt idx="87">
                  <c:v>5.5860424041748047</c:v>
                </c:pt>
                <c:pt idx="88">
                  <c:v>5.5531339645385742</c:v>
                </c:pt>
                <c:pt idx="89">
                  <c:v>5.4842405319213867</c:v>
                </c:pt>
                <c:pt idx="90">
                  <c:v>5.3542294502258301</c:v>
                </c:pt>
                <c:pt idx="91">
                  <c:v>5.2840776443481445</c:v>
                </c:pt>
                <c:pt idx="92">
                  <c:v>5.4290041923522949</c:v>
                </c:pt>
                <c:pt idx="93">
                  <c:v>5.5898318290710449</c:v>
                </c:pt>
                <c:pt idx="94">
                  <c:v>5.6027770042419434</c:v>
                </c:pt>
                <c:pt idx="95">
                  <c:v>5.5009145736694336</c:v>
                </c:pt>
                <c:pt idx="96">
                  <c:v>5.4948511123657227</c:v>
                </c:pt>
                <c:pt idx="97">
                  <c:v>5.5272893905639648</c:v>
                </c:pt>
                <c:pt idx="98">
                  <c:v>5.3658103942871094</c:v>
                </c:pt>
                <c:pt idx="99">
                  <c:v>5.3075122833251953</c:v>
                </c:pt>
                <c:pt idx="100">
                  <c:v>5.320366382598877</c:v>
                </c:pt>
                <c:pt idx="101">
                  <c:v>5.0089883804321289</c:v>
                </c:pt>
                <c:pt idx="102">
                  <c:v>5.1249632835388184</c:v>
                </c:pt>
                <c:pt idx="103">
                  <c:v>5.4806480407714844</c:v>
                </c:pt>
                <c:pt idx="104">
                  <c:v>5.2520942687988281</c:v>
                </c:pt>
                <c:pt idx="105">
                  <c:v>5.1211433410644531</c:v>
                </c:pt>
                <c:pt idx="106">
                  <c:v>5.2272653579711914</c:v>
                </c:pt>
                <c:pt idx="107">
                  <c:v>5.4484372138977051</c:v>
                </c:pt>
                <c:pt idx="108">
                  <c:v>5.4603662490844727</c:v>
                </c:pt>
                <c:pt idx="109">
                  <c:v>5.3175621032714844</c:v>
                </c:pt>
                <c:pt idx="110">
                  <c:v>5.2659335136413574</c:v>
                </c:pt>
                <c:pt idx="111">
                  <c:v>5.1914920806884766</c:v>
                </c:pt>
                <c:pt idx="112">
                  <c:v>5.3635063171386719</c:v>
                </c:pt>
                <c:pt idx="113">
                  <c:v>5.3884563446044922</c:v>
                </c:pt>
                <c:pt idx="114">
                  <c:v>5.2750740051269531</c:v>
                </c:pt>
                <c:pt idx="115">
                  <c:v>5.2059531211853027</c:v>
                </c:pt>
                <c:pt idx="116">
                  <c:v>5.2174577713012695</c:v>
                </c:pt>
                <c:pt idx="117">
                  <c:v>5.2548527717590332</c:v>
                </c:pt>
                <c:pt idx="118">
                  <c:v>5.2096819877624512</c:v>
                </c:pt>
                <c:pt idx="119">
                  <c:v>5.5025515556335449</c:v>
                </c:pt>
                <c:pt idx="120">
                  <c:v>5.5028395652770996</c:v>
                </c:pt>
                <c:pt idx="121">
                  <c:v>4.9969682693481445</c:v>
                </c:pt>
                <c:pt idx="122">
                  <c:v>4.8290467262268066</c:v>
                </c:pt>
                <c:pt idx="123">
                  <c:v>4.932652473449707</c:v>
                </c:pt>
                <c:pt idx="124">
                  <c:v>4.9186916351318359</c:v>
                </c:pt>
                <c:pt idx="125">
                  <c:v>5.1507015228271484</c:v>
                </c:pt>
                <c:pt idx="126">
                  <c:v>5.3302946090698242</c:v>
                </c:pt>
                <c:pt idx="127">
                  <c:v>5.2530341148376465</c:v>
                </c:pt>
                <c:pt idx="128">
                  <c:v>4.9531764984130859</c:v>
                </c:pt>
                <c:pt idx="129">
                  <c:v>4.8861775398254395</c:v>
                </c:pt>
                <c:pt idx="130">
                  <c:v>5.0507035255432129</c:v>
                </c:pt>
                <c:pt idx="131">
                  <c:v>5.0108833312988281</c:v>
                </c:pt>
                <c:pt idx="132">
                  <c:v>4.8403396606445313</c:v>
                </c:pt>
                <c:pt idx="133">
                  <c:v>4.998044490814209</c:v>
                </c:pt>
                <c:pt idx="134">
                  <c:v>4.8866324424743652</c:v>
                </c:pt>
                <c:pt idx="135">
                  <c:v>4.4674501419067383</c:v>
                </c:pt>
                <c:pt idx="136">
                  <c:v>5.8068351745605469</c:v>
                </c:pt>
                <c:pt idx="137">
                  <c:v>7.187995433807373</c:v>
                </c:pt>
                <c:pt idx="138">
                  <c:v>6.0203371047973633</c:v>
                </c:pt>
                <c:pt idx="139">
                  <c:v>4.8419313430786133</c:v>
                </c:pt>
                <c:pt idx="140">
                  <c:v>5.094510555267334</c:v>
                </c:pt>
                <c:pt idx="141">
                  <c:v>5.396641731262207</c:v>
                </c:pt>
                <c:pt idx="142">
                  <c:v>4.9155540466308594</c:v>
                </c:pt>
                <c:pt idx="143">
                  <c:v>4.2813091278076172</c:v>
                </c:pt>
                <c:pt idx="144">
                  <c:v>4.7875895500183105</c:v>
                </c:pt>
                <c:pt idx="145">
                  <c:v>4.7487392425537109</c:v>
                </c:pt>
                <c:pt idx="146">
                  <c:v>2.3373434543609619</c:v>
                </c:pt>
                <c:pt idx="147">
                  <c:v>2</c:v>
                </c:pt>
                <c:pt idx="148">
                  <c:v>3.0491828918457031</c:v>
                </c:pt>
                <c:pt idx="149">
                  <c:v>3.7696473598480225</c:v>
                </c:pt>
                <c:pt idx="150">
                  <c:v>4.9714117050170898</c:v>
                </c:pt>
                <c:pt idx="151">
                  <c:v>5.3522439002990723</c:v>
                </c:pt>
                <c:pt idx="152">
                  <c:v>5.080716609954834</c:v>
                </c:pt>
                <c:pt idx="153">
                  <c:v>4.7770543098449707</c:v>
                </c:pt>
                <c:pt idx="154">
                  <c:v>4.807370662689209</c:v>
                </c:pt>
                <c:pt idx="155">
                  <c:v>4.6307182312011719</c:v>
                </c:pt>
                <c:pt idx="156">
                  <c:v>4.8312597274780273</c:v>
                </c:pt>
                <c:pt idx="157">
                  <c:v>5.3820595741271973</c:v>
                </c:pt>
                <c:pt idx="158">
                  <c:v>4.8537392616271973</c:v>
                </c:pt>
                <c:pt idx="159">
                  <c:v>4.6017966270446777</c:v>
                </c:pt>
                <c:pt idx="160">
                  <c:v>4.983189582824707</c:v>
                </c:pt>
                <c:pt idx="161">
                  <c:v>4.6273226737976074</c:v>
                </c:pt>
                <c:pt idx="162">
                  <c:v>4.8652896881103516</c:v>
                </c:pt>
                <c:pt idx="163">
                  <c:v>4.7222123146057129</c:v>
                </c:pt>
                <c:pt idx="164">
                  <c:v>4.1615142822265625</c:v>
                </c:pt>
                <c:pt idx="165">
                  <c:v>4.8893156051635742</c:v>
                </c:pt>
                <c:pt idx="166">
                  <c:v>4.4858827590942383</c:v>
                </c:pt>
                <c:pt idx="167">
                  <c:v>4.6089358329772949</c:v>
                </c:pt>
                <c:pt idx="168">
                  <c:v>5.1114120483398438</c:v>
                </c:pt>
                <c:pt idx="169">
                  <c:v>4.7836785316467285</c:v>
                </c:pt>
                <c:pt idx="170">
                  <c:v>5.1847014427185059</c:v>
                </c:pt>
                <c:pt idx="171">
                  <c:v>4.5296592712402344</c:v>
                </c:pt>
                <c:pt idx="172">
                  <c:v>4.6687045097351074</c:v>
                </c:pt>
                <c:pt idx="173">
                  <c:v>4.7263202667236328</c:v>
                </c:pt>
                <c:pt idx="174">
                  <c:v>4.8523902893066406</c:v>
                </c:pt>
                <c:pt idx="175">
                  <c:v>4.6435418128967285</c:v>
                </c:pt>
                <c:pt idx="176">
                  <c:v>4.2329392433166504</c:v>
                </c:pt>
                <c:pt idx="177">
                  <c:v>5.1277675628662109</c:v>
                </c:pt>
                <c:pt idx="178">
                  <c:v>4.9258008003234863</c:v>
                </c:pt>
                <c:pt idx="179">
                  <c:v>4.8839492797851563</c:v>
                </c:pt>
                <c:pt idx="180">
                  <c:v>5.305511474609375</c:v>
                </c:pt>
                <c:pt idx="181">
                  <c:v>5.1780319213867188</c:v>
                </c:pt>
                <c:pt idx="182">
                  <c:v>5.0406084060668945</c:v>
                </c:pt>
                <c:pt idx="183">
                  <c:v>4.7012944221496582</c:v>
                </c:pt>
                <c:pt idx="184">
                  <c:v>4.6156511306762695</c:v>
                </c:pt>
                <c:pt idx="185">
                  <c:v>4.886192798614502</c:v>
                </c:pt>
                <c:pt idx="186">
                  <c:v>5.086583137512207</c:v>
                </c:pt>
                <c:pt idx="187">
                  <c:v>5.071925163269043</c:v>
                </c:pt>
                <c:pt idx="188">
                  <c:v>4.2657718658447266</c:v>
                </c:pt>
                <c:pt idx="189">
                  <c:v>4.7496790885925293</c:v>
                </c:pt>
                <c:pt idx="190">
                  <c:v>4.5954303741455078</c:v>
                </c:pt>
                <c:pt idx="191">
                  <c:v>3.9217133522033691</c:v>
                </c:pt>
                <c:pt idx="192">
                  <c:v>4.2765946388244629</c:v>
                </c:pt>
                <c:pt idx="193">
                  <c:v>4.0438570976257324</c:v>
                </c:pt>
                <c:pt idx="194">
                  <c:v>4.8298048973083496</c:v>
                </c:pt>
                <c:pt idx="195">
                  <c:v>4.4167766571044922</c:v>
                </c:pt>
                <c:pt idx="196">
                  <c:v>5.885566234588623</c:v>
                </c:pt>
                <c:pt idx="197">
                  <c:v>5.5368843078613281</c:v>
                </c:pt>
                <c:pt idx="198">
                  <c:v>5.3343267440795898</c:v>
                </c:pt>
                <c:pt idx="199">
                  <c:v>5.0459895133972168</c:v>
                </c:pt>
                <c:pt idx="200">
                  <c:v>5.6815686225891113</c:v>
                </c:pt>
                <c:pt idx="201">
                  <c:v>4.9407467842102051</c:v>
                </c:pt>
                <c:pt idx="202">
                  <c:v>3.6065917015075684</c:v>
                </c:pt>
                <c:pt idx="203">
                  <c:v>4.8178448677062988</c:v>
                </c:pt>
                <c:pt idx="204">
                  <c:v>4.3486261367797852</c:v>
                </c:pt>
                <c:pt idx="205">
                  <c:v>5.8227968215942383</c:v>
                </c:pt>
                <c:pt idx="206">
                  <c:v>4.5181088447570801</c:v>
                </c:pt>
                <c:pt idx="207">
                  <c:v>5.9024219512939453</c:v>
                </c:pt>
                <c:pt idx="208">
                  <c:v>4.4172921180725098</c:v>
                </c:pt>
                <c:pt idx="209">
                  <c:v>4.7964115142822266</c:v>
                </c:pt>
                <c:pt idx="210">
                  <c:v>4.115267276763916</c:v>
                </c:pt>
                <c:pt idx="211">
                  <c:v>3.7940216064453125</c:v>
                </c:pt>
                <c:pt idx="212">
                  <c:v>5.4296407699584961</c:v>
                </c:pt>
                <c:pt idx="213">
                  <c:v>4.324251651763916</c:v>
                </c:pt>
                <c:pt idx="214">
                  <c:v>5.6330776214599609</c:v>
                </c:pt>
                <c:pt idx="215">
                  <c:v>3.9292013645172119</c:v>
                </c:pt>
                <c:pt idx="216">
                  <c:v>4.9663186073303223</c:v>
                </c:pt>
                <c:pt idx="217">
                  <c:v>4.887420654296875</c:v>
                </c:pt>
                <c:pt idx="218">
                  <c:v>4.5906252861022949</c:v>
                </c:pt>
                <c:pt idx="219">
                  <c:v>6.1325979232788086</c:v>
                </c:pt>
                <c:pt idx="220">
                  <c:v>3.3685033321380615</c:v>
                </c:pt>
                <c:pt idx="221">
                  <c:v>5.6829328536987305</c:v>
                </c:pt>
                <c:pt idx="222">
                  <c:v>4.3029699325561523</c:v>
                </c:pt>
                <c:pt idx="223">
                  <c:v>3.7901713848114014</c:v>
                </c:pt>
                <c:pt idx="224">
                  <c:v>5.706428050994873</c:v>
                </c:pt>
                <c:pt idx="225">
                  <c:v>2.8573875427246094</c:v>
                </c:pt>
              </c:numCache>
            </c:numRef>
          </c:yVal>
          <c:smooth val="1"/>
          <c:extLst>
            <c:ext xmlns:c16="http://schemas.microsoft.com/office/drawing/2014/chart" uri="{C3380CC4-5D6E-409C-BE32-E72D297353CC}">
              <c16:uniqueId val="{00000001-C55B-4A1A-87F7-276FE06EA34B}"/>
            </c:ext>
          </c:extLst>
        </c:ser>
        <c:ser>
          <c:idx val="2"/>
          <c:order val="2"/>
          <c:tx>
            <c:v>3</c:v>
          </c:tx>
          <c:spPr>
            <a:ln w="19050" cap="rnd">
              <a:noFill/>
              <a:round/>
            </a:ln>
            <a:effectLst/>
            <a:extLst>
              <a:ext uri="{91240B29-F687-4F45-9708-019B960494DF}">
                <a14:hiddenLine xmlns:a14="http://schemas.microsoft.com/office/drawing/2010/main" w="19050" cap="rnd">
                  <a:solidFill>
                    <a:srgbClr val="A5A5A5"/>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NormalisedUVVisData!$D$2:$D$300</c:f>
              <c:numCache>
                <c:formatCode>General</c:formatCode>
                <c:ptCount val="299"/>
                <c:pt idx="0">
                  <c:v>90.214912414550781</c:v>
                </c:pt>
                <c:pt idx="1">
                  <c:v>87.832244873046875</c:v>
                </c:pt>
                <c:pt idx="2">
                  <c:v>86.265533447265625</c:v>
                </c:pt>
                <c:pt idx="3">
                  <c:v>85.73760986328125</c:v>
                </c:pt>
                <c:pt idx="4">
                  <c:v>86.456336975097656</c:v>
                </c:pt>
                <c:pt idx="5">
                  <c:v>87.664329528808594</c:v>
                </c:pt>
                <c:pt idx="6">
                  <c:v>89.713165283203125</c:v>
                </c:pt>
                <c:pt idx="7">
                  <c:v>91.381065368652344</c:v>
                </c:pt>
                <c:pt idx="8">
                  <c:v>91.332389831542969</c:v>
                </c:pt>
                <c:pt idx="9">
                  <c:v>89.641883850097656</c:v>
                </c:pt>
                <c:pt idx="10">
                  <c:v>86.999580383300781</c:v>
                </c:pt>
                <c:pt idx="11">
                  <c:v>83.482376098632813</c:v>
                </c:pt>
                <c:pt idx="12">
                  <c:v>79.648681640625</c:v>
                </c:pt>
                <c:pt idx="13">
                  <c:v>75.718391418457031</c:v>
                </c:pt>
                <c:pt idx="14">
                  <c:v>71.421066284179688</c:v>
                </c:pt>
                <c:pt idx="15">
                  <c:v>67.16839599609375</c:v>
                </c:pt>
                <c:pt idx="16">
                  <c:v>64.479843139648438</c:v>
                </c:pt>
                <c:pt idx="17">
                  <c:v>63.305683135986328</c:v>
                </c:pt>
                <c:pt idx="18">
                  <c:v>63.719974517822266</c:v>
                </c:pt>
                <c:pt idx="19">
                  <c:v>65.867912292480469</c:v>
                </c:pt>
                <c:pt idx="20">
                  <c:v>69.508209228515625</c:v>
                </c:pt>
                <c:pt idx="21">
                  <c:v>74.385307312011719</c:v>
                </c:pt>
                <c:pt idx="22">
                  <c:v>80.260200500488281</c:v>
                </c:pt>
                <c:pt idx="23">
                  <c:v>86.439971923828125</c:v>
                </c:pt>
                <c:pt idx="24">
                  <c:v>92.661041259765625</c:v>
                </c:pt>
                <c:pt idx="25">
                  <c:v>97.393241882324219</c:v>
                </c:pt>
                <c:pt idx="26">
                  <c:v>100</c:v>
                </c:pt>
                <c:pt idx="27">
                  <c:v>99.169769287109375</c:v>
                </c:pt>
                <c:pt idx="28">
                  <c:v>93.220527648925781</c:v>
                </c:pt>
                <c:pt idx="29">
                  <c:v>82.201103210449219</c:v>
                </c:pt>
                <c:pt idx="30">
                  <c:v>67.761238098144531</c:v>
                </c:pt>
                <c:pt idx="31">
                  <c:v>54.250518798828125</c:v>
                </c:pt>
                <c:pt idx="32">
                  <c:v>43.615985870361328</c:v>
                </c:pt>
                <c:pt idx="33">
                  <c:v>37.236713409423828</c:v>
                </c:pt>
                <c:pt idx="34">
                  <c:v>34.269275665283203</c:v>
                </c:pt>
                <c:pt idx="35">
                  <c:v>33.505893707275391</c:v>
                </c:pt>
                <c:pt idx="36">
                  <c:v>34.171821594238281</c:v>
                </c:pt>
                <c:pt idx="37">
                  <c:v>35.427360534667969</c:v>
                </c:pt>
                <c:pt idx="38">
                  <c:v>36.852523803710938</c:v>
                </c:pt>
                <c:pt idx="39">
                  <c:v>38.545684814453125</c:v>
                </c:pt>
                <c:pt idx="40">
                  <c:v>39.908523559570313</c:v>
                </c:pt>
                <c:pt idx="41">
                  <c:v>40.805637359619141</c:v>
                </c:pt>
                <c:pt idx="42">
                  <c:v>41.404556274414063</c:v>
                </c:pt>
                <c:pt idx="43">
                  <c:v>41.122028350830078</c:v>
                </c:pt>
                <c:pt idx="44">
                  <c:v>40.313003540039063</c:v>
                </c:pt>
                <c:pt idx="45">
                  <c:v>39.268901824951172</c:v>
                </c:pt>
                <c:pt idx="46">
                  <c:v>37.776287078857422</c:v>
                </c:pt>
                <c:pt idx="47">
                  <c:v>36.279937744140625</c:v>
                </c:pt>
                <c:pt idx="48">
                  <c:v>34.810558319091797</c:v>
                </c:pt>
                <c:pt idx="49">
                  <c:v>33.601863861083984</c:v>
                </c:pt>
                <c:pt idx="50">
                  <c:v>32.933528900146484</c:v>
                </c:pt>
                <c:pt idx="51">
                  <c:v>32.689651489257813</c:v>
                </c:pt>
                <c:pt idx="52">
                  <c:v>32.718486785888672</c:v>
                </c:pt>
                <c:pt idx="53">
                  <c:v>32.8271484375</c:v>
                </c:pt>
                <c:pt idx="54">
                  <c:v>32.830410003662109</c:v>
                </c:pt>
                <c:pt idx="55">
                  <c:v>32.777011871337891</c:v>
                </c:pt>
                <c:pt idx="56">
                  <c:v>32.82373046875</c:v>
                </c:pt>
                <c:pt idx="57">
                  <c:v>32.496257781982422</c:v>
                </c:pt>
                <c:pt idx="58">
                  <c:v>31.719802856445313</c:v>
                </c:pt>
                <c:pt idx="59">
                  <c:v>30.66987419128418</c:v>
                </c:pt>
                <c:pt idx="60">
                  <c:v>28.909643173217773</c:v>
                </c:pt>
                <c:pt idx="61">
                  <c:v>26.918195724487305</c:v>
                </c:pt>
                <c:pt idx="62">
                  <c:v>24.867620468139648</c:v>
                </c:pt>
                <c:pt idx="63">
                  <c:v>22.769124984741211</c:v>
                </c:pt>
                <c:pt idx="64">
                  <c:v>20.54582405090332</c:v>
                </c:pt>
                <c:pt idx="65">
                  <c:v>18.380321502685547</c:v>
                </c:pt>
                <c:pt idx="66">
                  <c:v>16.604454040527344</c:v>
                </c:pt>
                <c:pt idx="67">
                  <c:v>15.051353454589844</c:v>
                </c:pt>
                <c:pt idx="68">
                  <c:v>14.101446151733398</c:v>
                </c:pt>
                <c:pt idx="69">
                  <c:v>13.253836631774902</c:v>
                </c:pt>
                <c:pt idx="70">
                  <c:v>12.623771667480469</c:v>
                </c:pt>
                <c:pt idx="71">
                  <c:v>12.500741004943848</c:v>
                </c:pt>
                <c:pt idx="72">
                  <c:v>12.551953315734863</c:v>
                </c:pt>
                <c:pt idx="73">
                  <c:v>12.782317161560059</c:v>
                </c:pt>
                <c:pt idx="74">
                  <c:v>13.386332511901855</c:v>
                </c:pt>
                <c:pt idx="75">
                  <c:v>14.20925235748291</c:v>
                </c:pt>
                <c:pt idx="76">
                  <c:v>15.180588722229004</c:v>
                </c:pt>
                <c:pt idx="77">
                  <c:v>16.264986038208008</c:v>
                </c:pt>
                <c:pt idx="78">
                  <c:v>17.60468864440918</c:v>
                </c:pt>
                <c:pt idx="79">
                  <c:v>18.892070770263672</c:v>
                </c:pt>
                <c:pt idx="80">
                  <c:v>20.185878753662109</c:v>
                </c:pt>
                <c:pt idx="81">
                  <c:v>21.660703659057617</c:v>
                </c:pt>
                <c:pt idx="82">
                  <c:v>23.092353820800781</c:v>
                </c:pt>
                <c:pt idx="83">
                  <c:v>25.189046859741211</c:v>
                </c:pt>
                <c:pt idx="84">
                  <c:v>27.10307502746582</c:v>
                </c:pt>
                <c:pt idx="85">
                  <c:v>28.767051696777344</c:v>
                </c:pt>
                <c:pt idx="86">
                  <c:v>30.964111328125</c:v>
                </c:pt>
                <c:pt idx="87">
                  <c:v>32.839744567871094</c:v>
                </c:pt>
                <c:pt idx="88">
                  <c:v>34.685310363769531</c:v>
                </c:pt>
                <c:pt idx="89">
                  <c:v>36.564426422119141</c:v>
                </c:pt>
                <c:pt idx="90">
                  <c:v>38.33282470703125</c:v>
                </c:pt>
                <c:pt idx="91">
                  <c:v>40.012310028076172</c:v>
                </c:pt>
                <c:pt idx="92">
                  <c:v>41.40496826171875</c:v>
                </c:pt>
                <c:pt idx="93">
                  <c:v>42.928123474121094</c:v>
                </c:pt>
                <c:pt idx="94">
                  <c:v>44.247032165527344</c:v>
                </c:pt>
                <c:pt idx="95">
                  <c:v>45.221851348876953</c:v>
                </c:pt>
                <c:pt idx="96">
                  <c:v>46.294914245605469</c:v>
                </c:pt>
                <c:pt idx="97">
                  <c:v>47.265174865722656</c:v>
                </c:pt>
                <c:pt idx="98">
                  <c:v>47.853237152099609</c:v>
                </c:pt>
                <c:pt idx="99">
                  <c:v>48.05084228515625</c:v>
                </c:pt>
                <c:pt idx="100">
                  <c:v>47.233142852783203</c:v>
                </c:pt>
                <c:pt idx="101">
                  <c:v>46.186573028564453</c:v>
                </c:pt>
                <c:pt idx="102">
                  <c:v>45.296928405761719</c:v>
                </c:pt>
                <c:pt idx="103">
                  <c:v>44.235195159912109</c:v>
                </c:pt>
                <c:pt idx="104">
                  <c:v>43.054828643798828</c:v>
                </c:pt>
                <c:pt idx="105">
                  <c:v>41.309154510498047</c:v>
                </c:pt>
                <c:pt idx="106">
                  <c:v>39.733489990234375</c:v>
                </c:pt>
                <c:pt idx="107">
                  <c:v>38.393280029296875</c:v>
                </c:pt>
                <c:pt idx="108">
                  <c:v>36.690719604492188</c:v>
                </c:pt>
                <c:pt idx="109">
                  <c:v>34.403354644775391</c:v>
                </c:pt>
                <c:pt idx="110">
                  <c:v>31.666753768920898</c:v>
                </c:pt>
                <c:pt idx="111">
                  <c:v>28.964908599853516</c:v>
                </c:pt>
                <c:pt idx="112">
                  <c:v>25.904571533203125</c:v>
                </c:pt>
                <c:pt idx="113">
                  <c:v>22.503944396972656</c:v>
                </c:pt>
                <c:pt idx="114">
                  <c:v>18.72950553894043</c:v>
                </c:pt>
                <c:pt idx="115">
                  <c:v>15.239524841308594</c:v>
                </c:pt>
                <c:pt idx="116">
                  <c:v>12.864517211914063</c:v>
                </c:pt>
                <c:pt idx="117">
                  <c:v>10.954793930053711</c:v>
                </c:pt>
                <c:pt idx="118">
                  <c:v>9.0110445022583008</c:v>
                </c:pt>
                <c:pt idx="119">
                  <c:v>7.521090030670166</c:v>
                </c:pt>
                <c:pt idx="120">
                  <c:v>6.187401294708252</c:v>
                </c:pt>
                <c:pt idx="121">
                  <c:v>5.2695250511169434</c:v>
                </c:pt>
                <c:pt idx="122">
                  <c:v>4.8239598274230957</c:v>
                </c:pt>
                <c:pt idx="123">
                  <c:v>4.2151017189025879</c:v>
                </c:pt>
                <c:pt idx="124">
                  <c:v>3.9389698505401611</c:v>
                </c:pt>
                <c:pt idx="125">
                  <c:v>3.9389381408691406</c:v>
                </c:pt>
                <c:pt idx="126">
                  <c:v>3.7757089138031006</c:v>
                </c:pt>
                <c:pt idx="127">
                  <c:v>3.5966851711273193</c:v>
                </c:pt>
                <c:pt idx="128">
                  <c:v>3.6744539737701416</c:v>
                </c:pt>
                <c:pt idx="129">
                  <c:v>3.8537626266479492</c:v>
                </c:pt>
                <c:pt idx="130">
                  <c:v>4.2330169677734375</c:v>
                </c:pt>
                <c:pt idx="131">
                  <c:v>4.1750936508178711</c:v>
                </c:pt>
                <c:pt idx="132">
                  <c:v>3.5543346405029297</c:v>
                </c:pt>
                <c:pt idx="133">
                  <c:v>3.5522456169128418</c:v>
                </c:pt>
                <c:pt idx="134">
                  <c:v>4.1929769515991211</c:v>
                </c:pt>
                <c:pt idx="135">
                  <c:v>4.370734691619873</c:v>
                </c:pt>
                <c:pt idx="136">
                  <c:v>5.6779623031616211</c:v>
                </c:pt>
                <c:pt idx="137">
                  <c:v>6.2731146812438965</c:v>
                </c:pt>
                <c:pt idx="138">
                  <c:v>4.7907567024230957</c:v>
                </c:pt>
                <c:pt idx="139">
                  <c:v>3.8632898330688477</c:v>
                </c:pt>
                <c:pt idx="140">
                  <c:v>3.8077723979949951</c:v>
                </c:pt>
                <c:pt idx="141">
                  <c:v>4.186678409576416</c:v>
                </c:pt>
                <c:pt idx="142">
                  <c:v>4.6434483528137207</c:v>
                </c:pt>
                <c:pt idx="143">
                  <c:v>4.263181209564209</c:v>
                </c:pt>
                <c:pt idx="144">
                  <c:v>3.783400297164917</c:v>
                </c:pt>
                <c:pt idx="145">
                  <c:v>4.7004537582397461</c:v>
                </c:pt>
                <c:pt idx="146">
                  <c:v>4.7227368354797363</c:v>
                </c:pt>
                <c:pt idx="147">
                  <c:v>5.0843291282653809</c:v>
                </c:pt>
                <c:pt idx="148">
                  <c:v>6.7721085548400879</c:v>
                </c:pt>
                <c:pt idx="149">
                  <c:v>6.8150606155395508</c:v>
                </c:pt>
                <c:pt idx="150">
                  <c:v>4.5283932685852051</c:v>
                </c:pt>
                <c:pt idx="151">
                  <c:v>4.1567039489746094</c:v>
                </c:pt>
                <c:pt idx="152">
                  <c:v>4.0189542770385742</c:v>
                </c:pt>
                <c:pt idx="153">
                  <c:v>4.1426506042480469</c:v>
                </c:pt>
                <c:pt idx="154">
                  <c:v>3.9983172416687012</c:v>
                </c:pt>
                <c:pt idx="155">
                  <c:v>4.8427610397338867</c:v>
                </c:pt>
                <c:pt idx="156">
                  <c:v>5.3849596977233887</c:v>
                </c:pt>
                <c:pt idx="157">
                  <c:v>4.377476692199707</c:v>
                </c:pt>
                <c:pt idx="158">
                  <c:v>4.6330032348632813</c:v>
                </c:pt>
                <c:pt idx="159">
                  <c:v>4.7738547325134277</c:v>
                </c:pt>
                <c:pt idx="160">
                  <c:v>4.0644068717956543</c:v>
                </c:pt>
                <c:pt idx="161">
                  <c:v>3.9904043674468994</c:v>
                </c:pt>
                <c:pt idx="162">
                  <c:v>3.9379253387451172</c:v>
                </c:pt>
                <c:pt idx="163">
                  <c:v>4.4540109634399414</c:v>
                </c:pt>
                <c:pt idx="164">
                  <c:v>4.4762625694274902</c:v>
                </c:pt>
                <c:pt idx="165">
                  <c:v>3.9433693885803223</c:v>
                </c:pt>
                <c:pt idx="166">
                  <c:v>4.2825837135314941</c:v>
                </c:pt>
                <c:pt idx="167">
                  <c:v>4.0169920921325684</c:v>
                </c:pt>
                <c:pt idx="168">
                  <c:v>4.126096248626709</c:v>
                </c:pt>
                <c:pt idx="169">
                  <c:v>3.4397227764129639</c:v>
                </c:pt>
                <c:pt idx="170">
                  <c:v>3.5182831287384033</c:v>
                </c:pt>
                <c:pt idx="171">
                  <c:v>4.8455147743225098</c:v>
                </c:pt>
                <c:pt idx="172">
                  <c:v>4.2186470031738281</c:v>
                </c:pt>
                <c:pt idx="173">
                  <c:v>3.5023305416107178</c:v>
                </c:pt>
                <c:pt idx="174">
                  <c:v>3.3215343952178955</c:v>
                </c:pt>
                <c:pt idx="175">
                  <c:v>4.0187010765075684</c:v>
                </c:pt>
                <c:pt idx="176">
                  <c:v>4.2062077522277832</c:v>
                </c:pt>
                <c:pt idx="177">
                  <c:v>3.694521427154541</c:v>
                </c:pt>
                <c:pt idx="178">
                  <c:v>3.9508075714111328</c:v>
                </c:pt>
                <c:pt idx="179">
                  <c:v>4.5194358825683594</c:v>
                </c:pt>
                <c:pt idx="180">
                  <c:v>4.5222845077514648</c:v>
                </c:pt>
                <c:pt idx="181">
                  <c:v>4.5394082069396973</c:v>
                </c:pt>
                <c:pt idx="182">
                  <c:v>4.4808201789855957</c:v>
                </c:pt>
                <c:pt idx="183">
                  <c:v>4.1090993881225586</c:v>
                </c:pt>
                <c:pt idx="184">
                  <c:v>3.7398471832275391</c:v>
                </c:pt>
                <c:pt idx="185">
                  <c:v>3.5674386024475098</c:v>
                </c:pt>
                <c:pt idx="186">
                  <c:v>3.6312491893768311</c:v>
                </c:pt>
                <c:pt idx="187">
                  <c:v>3.815432071685791</c:v>
                </c:pt>
                <c:pt idx="188">
                  <c:v>3.516953706741333</c:v>
                </c:pt>
                <c:pt idx="189">
                  <c:v>4.0559239387512207</c:v>
                </c:pt>
                <c:pt idx="190">
                  <c:v>2.8968594074249268</c:v>
                </c:pt>
                <c:pt idx="191">
                  <c:v>3.2556347846984863</c:v>
                </c:pt>
                <c:pt idx="192">
                  <c:v>3.1293749809265137</c:v>
                </c:pt>
                <c:pt idx="193">
                  <c:v>2.8902757167816162</c:v>
                </c:pt>
                <c:pt idx="194">
                  <c:v>2.1556329727172852</c:v>
                </c:pt>
                <c:pt idx="195">
                  <c:v>2.1469602584838867</c:v>
                </c:pt>
                <c:pt idx="196">
                  <c:v>2.6865952014923096</c:v>
                </c:pt>
                <c:pt idx="197">
                  <c:v>3.5560755729675293</c:v>
                </c:pt>
                <c:pt idx="198">
                  <c:v>5.4607028961181641</c:v>
                </c:pt>
                <c:pt idx="199">
                  <c:v>3.9035196304321289</c:v>
                </c:pt>
                <c:pt idx="200">
                  <c:v>3.5342040061950684</c:v>
                </c:pt>
                <c:pt idx="201">
                  <c:v>2.8310866355895996</c:v>
                </c:pt>
                <c:pt idx="202">
                  <c:v>3.4303538799285889</c:v>
                </c:pt>
                <c:pt idx="203">
                  <c:v>2.5495102405548096</c:v>
                </c:pt>
                <c:pt idx="204">
                  <c:v>3.7644722461700439</c:v>
                </c:pt>
                <c:pt idx="205">
                  <c:v>4.1758532524108887</c:v>
                </c:pt>
                <c:pt idx="206">
                  <c:v>3.7167727947235107</c:v>
                </c:pt>
                <c:pt idx="207">
                  <c:v>4.6702895164489746</c:v>
                </c:pt>
                <c:pt idx="208">
                  <c:v>3.7748541831970215</c:v>
                </c:pt>
                <c:pt idx="209">
                  <c:v>4.7574906349182129</c:v>
                </c:pt>
                <c:pt idx="210">
                  <c:v>3.1615967750549316</c:v>
                </c:pt>
                <c:pt idx="211">
                  <c:v>3.6305844783782959</c:v>
                </c:pt>
                <c:pt idx="212">
                  <c:v>3.5738639831542969</c:v>
                </c:pt>
                <c:pt idx="213">
                  <c:v>4.0121493339538574</c:v>
                </c:pt>
                <c:pt idx="214">
                  <c:v>4.1793036460876465</c:v>
                </c:pt>
                <c:pt idx="215">
                  <c:v>3.212841272354126</c:v>
                </c:pt>
                <c:pt idx="216">
                  <c:v>4.0225629806518555</c:v>
                </c:pt>
                <c:pt idx="217">
                  <c:v>3.5011277198791504</c:v>
                </c:pt>
                <c:pt idx="218">
                  <c:v>4.7533440589904785</c:v>
                </c:pt>
                <c:pt idx="219">
                  <c:v>3.7694101333618164</c:v>
                </c:pt>
                <c:pt idx="220">
                  <c:v>2.7717390060424805</c:v>
                </c:pt>
                <c:pt idx="221">
                  <c:v>3.3846166133880615</c:v>
                </c:pt>
                <c:pt idx="222">
                  <c:v>2</c:v>
                </c:pt>
                <c:pt idx="223">
                  <c:v>4.6655731201171875</c:v>
                </c:pt>
                <c:pt idx="224">
                  <c:v>3.3460013866424561</c:v>
                </c:pt>
                <c:pt idx="225">
                  <c:v>2.667888879776001</c:v>
                </c:pt>
              </c:numCache>
            </c:numRef>
          </c:yVal>
          <c:smooth val="1"/>
          <c:extLst>
            <c:ext xmlns:c16="http://schemas.microsoft.com/office/drawing/2014/chart" uri="{C3380CC4-5D6E-409C-BE32-E72D297353CC}">
              <c16:uniqueId val="{00000002-C55B-4A1A-87F7-276FE06EA34B}"/>
            </c:ext>
          </c:extLst>
        </c:ser>
        <c:ser>
          <c:idx val="3"/>
          <c:order val="3"/>
          <c:tx>
            <c:v>4</c:v>
          </c:tx>
          <c:spPr>
            <a:ln w="19050" cap="rnd">
              <a:noFill/>
              <a:round/>
            </a:ln>
            <a:effectLst/>
            <a:extLst>
              <a:ext uri="{91240B29-F687-4F45-9708-019B960494DF}">
                <a14:hiddenLine xmlns:a14="http://schemas.microsoft.com/office/drawing/2010/main" w="19050" cap="rnd">
                  <a:solidFill>
                    <a:srgbClr val="FFC000"/>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NormalisedUVVisData!$E$2:$E$300</c:f>
              <c:numCache>
                <c:formatCode>General</c:formatCode>
                <c:ptCount val="299"/>
                <c:pt idx="0">
                  <c:v>99.999992370605469</c:v>
                </c:pt>
                <c:pt idx="1">
                  <c:v>96.313385009765625</c:v>
                </c:pt>
                <c:pt idx="2">
                  <c:v>91.428001403808594</c:v>
                </c:pt>
                <c:pt idx="3">
                  <c:v>86.724761962890625</c:v>
                </c:pt>
                <c:pt idx="4">
                  <c:v>82.479804992675781</c:v>
                </c:pt>
                <c:pt idx="5">
                  <c:v>78.455810546875</c:v>
                </c:pt>
                <c:pt idx="6">
                  <c:v>74.741767883300781</c:v>
                </c:pt>
                <c:pt idx="7">
                  <c:v>71.81427001953125</c:v>
                </c:pt>
                <c:pt idx="8">
                  <c:v>69.602897644042969</c:v>
                </c:pt>
                <c:pt idx="9">
                  <c:v>67.495758056640625</c:v>
                </c:pt>
                <c:pt idx="10">
                  <c:v>65.735015869140625</c:v>
                </c:pt>
                <c:pt idx="11">
                  <c:v>63.61700439453125</c:v>
                </c:pt>
                <c:pt idx="12">
                  <c:v>61.206089019775391</c:v>
                </c:pt>
                <c:pt idx="13">
                  <c:v>58.938514709472656</c:v>
                </c:pt>
                <c:pt idx="14">
                  <c:v>57.665523529052734</c:v>
                </c:pt>
                <c:pt idx="15">
                  <c:v>58.564010620117188</c:v>
                </c:pt>
                <c:pt idx="16">
                  <c:v>62.123126983642578</c:v>
                </c:pt>
                <c:pt idx="17">
                  <c:v>67.814529418945313</c:v>
                </c:pt>
                <c:pt idx="18">
                  <c:v>74.210151672363281</c:v>
                </c:pt>
                <c:pt idx="19">
                  <c:v>80.689949035644531</c:v>
                </c:pt>
                <c:pt idx="20">
                  <c:v>85.626007080078125</c:v>
                </c:pt>
                <c:pt idx="21">
                  <c:v>88.4072265625</c:v>
                </c:pt>
                <c:pt idx="22">
                  <c:v>88.032981872558594</c:v>
                </c:pt>
                <c:pt idx="23">
                  <c:v>84.759361267089844</c:v>
                </c:pt>
                <c:pt idx="24">
                  <c:v>79.8458251953125</c:v>
                </c:pt>
                <c:pt idx="25">
                  <c:v>74.411483764648438</c:v>
                </c:pt>
                <c:pt idx="26">
                  <c:v>68.990303039550781</c:v>
                </c:pt>
                <c:pt idx="27">
                  <c:v>63.691951751708984</c:v>
                </c:pt>
                <c:pt idx="28">
                  <c:v>57.368038177490234</c:v>
                </c:pt>
                <c:pt idx="29">
                  <c:v>50.319446563720703</c:v>
                </c:pt>
                <c:pt idx="30">
                  <c:v>42.947925567626953</c:v>
                </c:pt>
                <c:pt idx="31">
                  <c:v>36.311244964599609</c:v>
                </c:pt>
                <c:pt idx="32">
                  <c:v>30.58531379699707</c:v>
                </c:pt>
                <c:pt idx="33">
                  <c:v>26.507911682128906</c:v>
                </c:pt>
                <c:pt idx="34">
                  <c:v>23.721824645996094</c:v>
                </c:pt>
                <c:pt idx="35">
                  <c:v>21.681755065917969</c:v>
                </c:pt>
                <c:pt idx="36">
                  <c:v>20.392282485961914</c:v>
                </c:pt>
                <c:pt idx="37">
                  <c:v>19.492061614990234</c:v>
                </c:pt>
                <c:pt idx="38">
                  <c:v>18.890361785888672</c:v>
                </c:pt>
                <c:pt idx="39">
                  <c:v>18.276115417480469</c:v>
                </c:pt>
                <c:pt idx="40">
                  <c:v>17.823003768920898</c:v>
                </c:pt>
                <c:pt idx="41">
                  <c:v>17.469564437866211</c:v>
                </c:pt>
                <c:pt idx="42">
                  <c:v>17.205043792724609</c:v>
                </c:pt>
                <c:pt idx="43">
                  <c:v>16.932113647460938</c:v>
                </c:pt>
                <c:pt idx="44">
                  <c:v>16.665525436401367</c:v>
                </c:pt>
                <c:pt idx="45">
                  <c:v>16.493303298950195</c:v>
                </c:pt>
                <c:pt idx="46">
                  <c:v>16.493917465209961</c:v>
                </c:pt>
                <c:pt idx="47">
                  <c:v>16.879594802856445</c:v>
                </c:pt>
                <c:pt idx="48">
                  <c:v>17.313684463500977</c:v>
                </c:pt>
                <c:pt idx="49">
                  <c:v>17.88398551940918</c:v>
                </c:pt>
                <c:pt idx="50">
                  <c:v>18.624332427978516</c:v>
                </c:pt>
                <c:pt idx="51">
                  <c:v>19.588998794555664</c:v>
                </c:pt>
                <c:pt idx="52">
                  <c:v>21.031389236450195</c:v>
                </c:pt>
                <c:pt idx="53">
                  <c:v>22.785457611083984</c:v>
                </c:pt>
                <c:pt idx="54">
                  <c:v>24.353137969970703</c:v>
                </c:pt>
                <c:pt idx="55">
                  <c:v>26.108406066894531</c:v>
                </c:pt>
                <c:pt idx="56">
                  <c:v>28.110204696655273</c:v>
                </c:pt>
                <c:pt idx="57">
                  <c:v>30.062725067138672</c:v>
                </c:pt>
                <c:pt idx="58">
                  <c:v>32.152324676513672</c:v>
                </c:pt>
                <c:pt idx="59">
                  <c:v>34.030174255371094</c:v>
                </c:pt>
                <c:pt idx="60">
                  <c:v>35.689624786376953</c:v>
                </c:pt>
                <c:pt idx="61">
                  <c:v>37.201072692871094</c:v>
                </c:pt>
                <c:pt idx="62">
                  <c:v>38.297454833984375</c:v>
                </c:pt>
                <c:pt idx="63">
                  <c:v>38.833564758300781</c:v>
                </c:pt>
                <c:pt idx="64">
                  <c:v>38.592033386230469</c:v>
                </c:pt>
                <c:pt idx="65">
                  <c:v>37.962898254394531</c:v>
                </c:pt>
                <c:pt idx="66">
                  <c:v>36.895122528076172</c:v>
                </c:pt>
                <c:pt idx="67">
                  <c:v>35.0928955078125</c:v>
                </c:pt>
                <c:pt idx="68">
                  <c:v>33.116489410400391</c:v>
                </c:pt>
                <c:pt idx="69">
                  <c:v>30.710073471069336</c:v>
                </c:pt>
                <c:pt idx="70">
                  <c:v>28.315921783447266</c:v>
                </c:pt>
                <c:pt idx="71">
                  <c:v>25.979316711425781</c:v>
                </c:pt>
                <c:pt idx="72">
                  <c:v>23.177223205566406</c:v>
                </c:pt>
                <c:pt idx="73">
                  <c:v>20.275344848632813</c:v>
                </c:pt>
                <c:pt idx="74">
                  <c:v>17.729949951171875</c:v>
                </c:pt>
                <c:pt idx="75">
                  <c:v>15.311857223510742</c:v>
                </c:pt>
                <c:pt idx="76">
                  <c:v>13.084535598754883</c:v>
                </c:pt>
                <c:pt idx="77">
                  <c:v>11.221911430358887</c:v>
                </c:pt>
                <c:pt idx="78">
                  <c:v>9.8791103363037109</c:v>
                </c:pt>
                <c:pt idx="79">
                  <c:v>8.8580694198608398</c:v>
                </c:pt>
                <c:pt idx="80">
                  <c:v>7.902928352355957</c:v>
                </c:pt>
                <c:pt idx="81">
                  <c:v>7.2587652206420898</c:v>
                </c:pt>
                <c:pt idx="82">
                  <c:v>6.8395099639892578</c:v>
                </c:pt>
                <c:pt idx="83">
                  <c:v>6.4712085723876953</c:v>
                </c:pt>
                <c:pt idx="84">
                  <c:v>6.1511802673339844</c:v>
                </c:pt>
                <c:pt idx="85">
                  <c:v>5.9894061088562012</c:v>
                </c:pt>
                <c:pt idx="86">
                  <c:v>5.8842010498046875</c:v>
                </c:pt>
                <c:pt idx="87">
                  <c:v>5.7669839859008789</c:v>
                </c:pt>
                <c:pt idx="88">
                  <c:v>5.7522897720336914</c:v>
                </c:pt>
                <c:pt idx="89">
                  <c:v>6.1564598083496094</c:v>
                </c:pt>
                <c:pt idx="90">
                  <c:v>6.3174242973327637</c:v>
                </c:pt>
                <c:pt idx="91">
                  <c:v>6.5211014747619629</c:v>
                </c:pt>
                <c:pt idx="92">
                  <c:v>6.7673802375793457</c:v>
                </c:pt>
                <c:pt idx="93">
                  <c:v>6.4954009056091309</c:v>
                </c:pt>
                <c:pt idx="94">
                  <c:v>6.4653701782226563</c:v>
                </c:pt>
                <c:pt idx="95">
                  <c:v>6.9073929786682129</c:v>
                </c:pt>
                <c:pt idx="96">
                  <c:v>7.2470879554748535</c:v>
                </c:pt>
                <c:pt idx="97">
                  <c:v>7.310417652130127</c:v>
                </c:pt>
                <c:pt idx="98">
                  <c:v>7.6275968551635742</c:v>
                </c:pt>
                <c:pt idx="99">
                  <c:v>8.1538724899291992</c:v>
                </c:pt>
                <c:pt idx="100">
                  <c:v>8.4685373306274414</c:v>
                </c:pt>
                <c:pt idx="101">
                  <c:v>8.6151704788208008</c:v>
                </c:pt>
                <c:pt idx="102">
                  <c:v>8.7582006454467773</c:v>
                </c:pt>
                <c:pt idx="103">
                  <c:v>9.291041374206543</c:v>
                </c:pt>
                <c:pt idx="104">
                  <c:v>9.6305685043334961</c:v>
                </c:pt>
                <c:pt idx="105">
                  <c:v>10.003842353820801</c:v>
                </c:pt>
                <c:pt idx="106">
                  <c:v>10.697256088256836</c:v>
                </c:pt>
                <c:pt idx="107">
                  <c:v>10.977532386779785</c:v>
                </c:pt>
                <c:pt idx="108">
                  <c:v>11.214872360229492</c:v>
                </c:pt>
                <c:pt idx="109">
                  <c:v>11.678125381469727</c:v>
                </c:pt>
                <c:pt idx="110">
                  <c:v>12.143670082092285</c:v>
                </c:pt>
                <c:pt idx="111">
                  <c:v>12.493477821350098</c:v>
                </c:pt>
                <c:pt idx="112">
                  <c:v>13.22957706451416</c:v>
                </c:pt>
                <c:pt idx="113">
                  <c:v>13.947434425354004</c:v>
                </c:pt>
                <c:pt idx="114">
                  <c:v>14.166922569274902</c:v>
                </c:pt>
                <c:pt idx="115">
                  <c:v>14.661938667297363</c:v>
                </c:pt>
                <c:pt idx="116">
                  <c:v>15.486621856689453</c:v>
                </c:pt>
                <c:pt idx="117">
                  <c:v>16.311807632446289</c:v>
                </c:pt>
                <c:pt idx="118">
                  <c:v>16.606832504272461</c:v>
                </c:pt>
                <c:pt idx="119">
                  <c:v>17.241945266723633</c:v>
                </c:pt>
                <c:pt idx="120">
                  <c:v>18.049642562866211</c:v>
                </c:pt>
                <c:pt idx="121">
                  <c:v>18.559158325195313</c:v>
                </c:pt>
                <c:pt idx="122">
                  <c:v>19.217653274536133</c:v>
                </c:pt>
                <c:pt idx="123">
                  <c:v>19.546285629272461</c:v>
                </c:pt>
                <c:pt idx="124">
                  <c:v>20.044597625732422</c:v>
                </c:pt>
                <c:pt idx="125">
                  <c:v>20.850898742675781</c:v>
                </c:pt>
                <c:pt idx="126">
                  <c:v>21.666753768920898</c:v>
                </c:pt>
                <c:pt idx="127">
                  <c:v>22.511661529541016</c:v>
                </c:pt>
                <c:pt idx="128">
                  <c:v>22.764225006103516</c:v>
                </c:pt>
                <c:pt idx="129">
                  <c:v>23.416128158569336</c:v>
                </c:pt>
                <c:pt idx="130">
                  <c:v>24.662746429443359</c:v>
                </c:pt>
                <c:pt idx="131">
                  <c:v>25.45756721496582</c:v>
                </c:pt>
                <c:pt idx="132">
                  <c:v>26.087148666381836</c:v>
                </c:pt>
                <c:pt idx="133">
                  <c:v>27.129671096801758</c:v>
                </c:pt>
                <c:pt idx="134">
                  <c:v>27.915048599243164</c:v>
                </c:pt>
                <c:pt idx="135">
                  <c:v>28.297037124633789</c:v>
                </c:pt>
                <c:pt idx="136">
                  <c:v>30.633083343505859</c:v>
                </c:pt>
                <c:pt idx="137">
                  <c:v>31.658231735229492</c:v>
                </c:pt>
                <c:pt idx="138">
                  <c:v>29.875585556030273</c:v>
                </c:pt>
                <c:pt idx="139">
                  <c:v>29.093282699584961</c:v>
                </c:pt>
                <c:pt idx="140">
                  <c:v>29.169937133789063</c:v>
                </c:pt>
                <c:pt idx="141">
                  <c:v>28.668355941772461</c:v>
                </c:pt>
                <c:pt idx="142">
                  <c:v>29.09001350402832</c:v>
                </c:pt>
                <c:pt idx="143">
                  <c:v>30.172092437744141</c:v>
                </c:pt>
                <c:pt idx="144">
                  <c:v>30.719572067260742</c:v>
                </c:pt>
                <c:pt idx="145">
                  <c:v>31.137430191040039</c:v>
                </c:pt>
                <c:pt idx="146">
                  <c:v>33.267147064208984</c:v>
                </c:pt>
                <c:pt idx="147">
                  <c:v>33.924411773681641</c:v>
                </c:pt>
                <c:pt idx="148">
                  <c:v>32.469924926757813</c:v>
                </c:pt>
                <c:pt idx="149">
                  <c:v>32.855796813964844</c:v>
                </c:pt>
                <c:pt idx="150">
                  <c:v>34.571369171142578</c:v>
                </c:pt>
                <c:pt idx="151">
                  <c:v>34.030593872070313</c:v>
                </c:pt>
                <c:pt idx="152">
                  <c:v>33.368495941162109</c:v>
                </c:pt>
                <c:pt idx="153">
                  <c:v>32.361618041992188</c:v>
                </c:pt>
                <c:pt idx="154">
                  <c:v>30.906291961669922</c:v>
                </c:pt>
                <c:pt idx="155">
                  <c:v>29.211729049682617</c:v>
                </c:pt>
                <c:pt idx="156">
                  <c:v>28.004720687866211</c:v>
                </c:pt>
                <c:pt idx="157">
                  <c:v>26.318759918212891</c:v>
                </c:pt>
                <c:pt idx="158">
                  <c:v>25.066162109375</c:v>
                </c:pt>
                <c:pt idx="159">
                  <c:v>24.719261169433594</c:v>
                </c:pt>
                <c:pt idx="160">
                  <c:v>23.524824142456055</c:v>
                </c:pt>
                <c:pt idx="161">
                  <c:v>23.047155380249023</c:v>
                </c:pt>
                <c:pt idx="162">
                  <c:v>23.090120315551758</c:v>
                </c:pt>
                <c:pt idx="163">
                  <c:v>23.345703125</c:v>
                </c:pt>
                <c:pt idx="164">
                  <c:v>24.130577087402344</c:v>
                </c:pt>
                <c:pt idx="165">
                  <c:v>24.014448165893555</c:v>
                </c:pt>
                <c:pt idx="166">
                  <c:v>24.014896392822266</c:v>
                </c:pt>
                <c:pt idx="167">
                  <c:v>24.794099807739258</c:v>
                </c:pt>
                <c:pt idx="168">
                  <c:v>24.772588729858398</c:v>
                </c:pt>
                <c:pt idx="169">
                  <c:v>24.322660446166992</c:v>
                </c:pt>
                <c:pt idx="170">
                  <c:v>23.028495788574219</c:v>
                </c:pt>
                <c:pt idx="171">
                  <c:v>21.181989669799805</c:v>
                </c:pt>
                <c:pt idx="172">
                  <c:v>18.801666259765625</c:v>
                </c:pt>
                <c:pt idx="173">
                  <c:v>16.595239639282227</c:v>
                </c:pt>
                <c:pt idx="174">
                  <c:v>14.174884796142578</c:v>
                </c:pt>
                <c:pt idx="175">
                  <c:v>11.355247497558594</c:v>
                </c:pt>
                <c:pt idx="176">
                  <c:v>9.8732156753540039</c:v>
                </c:pt>
                <c:pt idx="177">
                  <c:v>8.3727750778198242</c:v>
                </c:pt>
                <c:pt idx="178">
                  <c:v>7.0740556716918945</c:v>
                </c:pt>
                <c:pt idx="179">
                  <c:v>6.2033915519714355</c:v>
                </c:pt>
                <c:pt idx="180">
                  <c:v>5.2561283111572266</c:v>
                </c:pt>
                <c:pt idx="181">
                  <c:v>4.5789728164672852</c:v>
                </c:pt>
                <c:pt idx="182">
                  <c:v>4.4388489723205566</c:v>
                </c:pt>
                <c:pt idx="183">
                  <c:v>4.0950193405151367</c:v>
                </c:pt>
                <c:pt idx="184">
                  <c:v>3.3387227058410645</c:v>
                </c:pt>
                <c:pt idx="185">
                  <c:v>3.106299877166748</c:v>
                </c:pt>
                <c:pt idx="186">
                  <c:v>3.1979279518127441</c:v>
                </c:pt>
                <c:pt idx="187">
                  <c:v>3.0509874820709229</c:v>
                </c:pt>
                <c:pt idx="188">
                  <c:v>3.4416928291320801</c:v>
                </c:pt>
                <c:pt idx="189">
                  <c:v>3.2458932399749756</c:v>
                </c:pt>
                <c:pt idx="190">
                  <c:v>3.0881416797637939</c:v>
                </c:pt>
                <c:pt idx="191">
                  <c:v>2.9959268569946289</c:v>
                </c:pt>
                <c:pt idx="192">
                  <c:v>2.8403820991516113</c:v>
                </c:pt>
                <c:pt idx="193">
                  <c:v>3.6947879791259766</c:v>
                </c:pt>
                <c:pt idx="194">
                  <c:v>3.233461856842041</c:v>
                </c:pt>
                <c:pt idx="195">
                  <c:v>3.2141585350036621</c:v>
                </c:pt>
                <c:pt idx="196">
                  <c:v>2.6994199752807617</c:v>
                </c:pt>
                <c:pt idx="197">
                  <c:v>2.1759653091430664</c:v>
                </c:pt>
                <c:pt idx="198">
                  <c:v>2.2765610218048096</c:v>
                </c:pt>
                <c:pt idx="199">
                  <c:v>2.9608957767486572</c:v>
                </c:pt>
                <c:pt idx="200">
                  <c:v>2.6172058582305908</c:v>
                </c:pt>
                <c:pt idx="201">
                  <c:v>2.5654973983764648</c:v>
                </c:pt>
                <c:pt idx="202">
                  <c:v>3.2606151103973389</c:v>
                </c:pt>
                <c:pt idx="203">
                  <c:v>2.5728163719177246</c:v>
                </c:pt>
                <c:pt idx="204">
                  <c:v>2.9803388118743896</c:v>
                </c:pt>
                <c:pt idx="205">
                  <c:v>2.5963659286499023</c:v>
                </c:pt>
                <c:pt idx="206">
                  <c:v>2.6882457733154297</c:v>
                </c:pt>
                <c:pt idx="207">
                  <c:v>2.2814216613769531</c:v>
                </c:pt>
                <c:pt idx="208">
                  <c:v>2.5095984935760498</c:v>
                </c:pt>
                <c:pt idx="209">
                  <c:v>2.5065255165100098</c:v>
                </c:pt>
                <c:pt idx="210">
                  <c:v>2.9094386100769043</c:v>
                </c:pt>
                <c:pt idx="211">
                  <c:v>3.3710160255432129</c:v>
                </c:pt>
                <c:pt idx="212">
                  <c:v>2.8514726161956787</c:v>
                </c:pt>
                <c:pt idx="213">
                  <c:v>2.6495552062988281</c:v>
                </c:pt>
                <c:pt idx="214">
                  <c:v>2</c:v>
                </c:pt>
                <c:pt idx="215">
                  <c:v>2.5505797863006592</c:v>
                </c:pt>
                <c:pt idx="216">
                  <c:v>2.4283621311187744</c:v>
                </c:pt>
                <c:pt idx="217">
                  <c:v>2.6520135402679443</c:v>
                </c:pt>
                <c:pt idx="218">
                  <c:v>3.1064393520355225</c:v>
                </c:pt>
                <c:pt idx="219">
                  <c:v>2.2507486343383789</c:v>
                </c:pt>
                <c:pt idx="220">
                  <c:v>2.6160604953765869</c:v>
                </c:pt>
                <c:pt idx="221">
                  <c:v>2.6867091655731201</c:v>
                </c:pt>
                <c:pt idx="222">
                  <c:v>3.6049754619598389</c:v>
                </c:pt>
                <c:pt idx="223">
                  <c:v>4.4525928497314453</c:v>
                </c:pt>
                <c:pt idx="224">
                  <c:v>2.8279788494110107</c:v>
                </c:pt>
                <c:pt idx="225">
                  <c:v>2.9720139503479004</c:v>
                </c:pt>
              </c:numCache>
            </c:numRef>
          </c:yVal>
          <c:smooth val="1"/>
          <c:extLst>
            <c:ext xmlns:c16="http://schemas.microsoft.com/office/drawing/2014/chart" uri="{C3380CC4-5D6E-409C-BE32-E72D297353CC}">
              <c16:uniqueId val="{00000003-C55B-4A1A-87F7-276FE06EA34B}"/>
            </c:ext>
          </c:extLst>
        </c:ser>
        <c:ser>
          <c:idx val="4"/>
          <c:order val="4"/>
          <c:tx>
            <c:v>5</c:v>
          </c:tx>
          <c:spPr>
            <a:ln w="19050" cap="rnd">
              <a:noFill/>
              <a:round/>
            </a:ln>
            <a:effectLst/>
            <a:extLst>
              <a:ext uri="{91240B29-F687-4F45-9708-019B960494DF}">
                <a14:hiddenLine xmlns:a14="http://schemas.microsoft.com/office/drawing/2010/main" w="19050" cap="rnd">
                  <a:solidFill>
                    <a:srgbClr val="4472C4"/>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NormalisedUVVisData!$F$2:$F$300</c:f>
              <c:numCache>
                <c:formatCode>General</c:formatCode>
                <c:ptCount val="299"/>
                <c:pt idx="0">
                  <c:v>73.234611511230469</c:v>
                </c:pt>
                <c:pt idx="1">
                  <c:v>75.342796325683594</c:v>
                </c:pt>
                <c:pt idx="2">
                  <c:v>75.494483947753906</c:v>
                </c:pt>
                <c:pt idx="3">
                  <c:v>76.041419982910156</c:v>
                </c:pt>
                <c:pt idx="4">
                  <c:v>76.721534729003906</c:v>
                </c:pt>
                <c:pt idx="5">
                  <c:v>77.056770324707031</c:v>
                </c:pt>
                <c:pt idx="6">
                  <c:v>76.656867980957031</c:v>
                </c:pt>
                <c:pt idx="7">
                  <c:v>74.986045837402344</c:v>
                </c:pt>
                <c:pt idx="8">
                  <c:v>71.843437194824219</c:v>
                </c:pt>
                <c:pt idx="9">
                  <c:v>67.75543212890625</c:v>
                </c:pt>
                <c:pt idx="10">
                  <c:v>64.309783935546875</c:v>
                </c:pt>
                <c:pt idx="11">
                  <c:v>62.905471801757813</c:v>
                </c:pt>
                <c:pt idx="12">
                  <c:v>64.182579040527344</c:v>
                </c:pt>
                <c:pt idx="13">
                  <c:v>68.615875244140625</c:v>
                </c:pt>
                <c:pt idx="14">
                  <c:v>76.146095275878906</c:v>
                </c:pt>
                <c:pt idx="15">
                  <c:v>85.40386962890625</c:v>
                </c:pt>
                <c:pt idx="16">
                  <c:v>93.760765075683594</c:v>
                </c:pt>
                <c:pt idx="17">
                  <c:v>99.28717041015625</c:v>
                </c:pt>
                <c:pt idx="18">
                  <c:v>100</c:v>
                </c:pt>
                <c:pt idx="19">
                  <c:v>95.30291748046875</c:v>
                </c:pt>
                <c:pt idx="20">
                  <c:v>86.357376098632813</c:v>
                </c:pt>
                <c:pt idx="21">
                  <c:v>75.006629943847656</c:v>
                </c:pt>
                <c:pt idx="22">
                  <c:v>63.233928680419922</c:v>
                </c:pt>
                <c:pt idx="23">
                  <c:v>53.000251770019531</c:v>
                </c:pt>
                <c:pt idx="24">
                  <c:v>44.178073883056641</c:v>
                </c:pt>
                <c:pt idx="25">
                  <c:v>37.355068206787109</c:v>
                </c:pt>
                <c:pt idx="26">
                  <c:v>32.061443328857422</c:v>
                </c:pt>
                <c:pt idx="27">
                  <c:v>28.423942565917969</c:v>
                </c:pt>
                <c:pt idx="28">
                  <c:v>25.740596771240234</c:v>
                </c:pt>
                <c:pt idx="29">
                  <c:v>23.836151123046875</c:v>
                </c:pt>
                <c:pt idx="30">
                  <c:v>22.353294372558594</c:v>
                </c:pt>
                <c:pt idx="31">
                  <c:v>21.272930145263672</c:v>
                </c:pt>
                <c:pt idx="32">
                  <c:v>20.561742782592773</c:v>
                </c:pt>
                <c:pt idx="33">
                  <c:v>20.10295295715332</c:v>
                </c:pt>
                <c:pt idx="34">
                  <c:v>19.802524566650391</c:v>
                </c:pt>
                <c:pt idx="35">
                  <c:v>19.774969100952148</c:v>
                </c:pt>
                <c:pt idx="36">
                  <c:v>19.982807159423828</c:v>
                </c:pt>
                <c:pt idx="37">
                  <c:v>20.5205078125</c:v>
                </c:pt>
                <c:pt idx="38">
                  <c:v>21.115303039550781</c:v>
                </c:pt>
                <c:pt idx="39">
                  <c:v>21.833330154418945</c:v>
                </c:pt>
                <c:pt idx="40">
                  <c:v>22.72393798828125</c:v>
                </c:pt>
                <c:pt idx="41">
                  <c:v>23.723859786987305</c:v>
                </c:pt>
                <c:pt idx="42">
                  <c:v>24.895908355712891</c:v>
                </c:pt>
                <c:pt idx="43">
                  <c:v>26.294567108154297</c:v>
                </c:pt>
                <c:pt idx="44">
                  <c:v>27.806339263916016</c:v>
                </c:pt>
                <c:pt idx="45">
                  <c:v>29.343357086181641</c:v>
                </c:pt>
                <c:pt idx="46">
                  <c:v>31.02714729309082</c:v>
                </c:pt>
                <c:pt idx="47">
                  <c:v>32.740909576416016</c:v>
                </c:pt>
                <c:pt idx="48">
                  <c:v>34.403617858886719</c:v>
                </c:pt>
                <c:pt idx="49">
                  <c:v>36.056377410888672</c:v>
                </c:pt>
                <c:pt idx="50">
                  <c:v>37.542667388916016</c:v>
                </c:pt>
                <c:pt idx="51">
                  <c:v>38.754375457763672</c:v>
                </c:pt>
                <c:pt idx="52">
                  <c:v>39.809429168701172</c:v>
                </c:pt>
                <c:pt idx="53">
                  <c:v>40.6326904296875</c:v>
                </c:pt>
                <c:pt idx="54">
                  <c:v>41.114051818847656</c:v>
                </c:pt>
                <c:pt idx="55">
                  <c:v>41.201332092285156</c:v>
                </c:pt>
                <c:pt idx="56">
                  <c:v>40.936851501464844</c:v>
                </c:pt>
                <c:pt idx="57">
                  <c:v>40.235225677490234</c:v>
                </c:pt>
                <c:pt idx="58">
                  <c:v>38.891502380371094</c:v>
                </c:pt>
                <c:pt idx="59">
                  <c:v>37.140110015869141</c:v>
                </c:pt>
                <c:pt idx="60">
                  <c:v>35.23126220703125</c:v>
                </c:pt>
                <c:pt idx="61">
                  <c:v>32.904621124267578</c:v>
                </c:pt>
                <c:pt idx="62">
                  <c:v>30.189901351928711</c:v>
                </c:pt>
                <c:pt idx="63">
                  <c:v>27.164934158325195</c:v>
                </c:pt>
                <c:pt idx="64">
                  <c:v>23.924297332763672</c:v>
                </c:pt>
                <c:pt idx="65">
                  <c:v>20.893180847167969</c:v>
                </c:pt>
                <c:pt idx="66">
                  <c:v>17.979598999023438</c:v>
                </c:pt>
                <c:pt idx="67">
                  <c:v>15.062521934509277</c:v>
                </c:pt>
                <c:pt idx="68">
                  <c:v>12.812743186950684</c:v>
                </c:pt>
                <c:pt idx="69">
                  <c:v>10.712218284606934</c:v>
                </c:pt>
                <c:pt idx="70">
                  <c:v>9.0529613494873047</c:v>
                </c:pt>
                <c:pt idx="71">
                  <c:v>7.8940324783325195</c:v>
                </c:pt>
                <c:pt idx="72">
                  <c:v>6.871152400970459</c:v>
                </c:pt>
                <c:pt idx="73">
                  <c:v>6.0425601005554199</c:v>
                </c:pt>
                <c:pt idx="74">
                  <c:v>5.4493613243103027</c:v>
                </c:pt>
                <c:pt idx="75">
                  <c:v>5.0000009536743164</c:v>
                </c:pt>
                <c:pt idx="76">
                  <c:v>4.6984925270080566</c:v>
                </c:pt>
                <c:pt idx="77">
                  <c:v>4.7182145118713379</c:v>
                </c:pt>
                <c:pt idx="78">
                  <c:v>4.7624492645263672</c:v>
                </c:pt>
                <c:pt idx="79">
                  <c:v>4.6904439926147461</c:v>
                </c:pt>
                <c:pt idx="80">
                  <c:v>4.6868834495544434</c:v>
                </c:pt>
                <c:pt idx="81">
                  <c:v>4.8079571723937988</c:v>
                </c:pt>
                <c:pt idx="82">
                  <c:v>4.8522782325744629</c:v>
                </c:pt>
                <c:pt idx="83">
                  <c:v>4.8369579315185547</c:v>
                </c:pt>
                <c:pt idx="84">
                  <c:v>4.8108701705932617</c:v>
                </c:pt>
                <c:pt idx="85">
                  <c:v>4.861513614654541</c:v>
                </c:pt>
                <c:pt idx="86">
                  <c:v>4.9736108779907227</c:v>
                </c:pt>
                <c:pt idx="87">
                  <c:v>5.0524997711181641</c:v>
                </c:pt>
                <c:pt idx="88">
                  <c:v>5.1083006858825684</c:v>
                </c:pt>
                <c:pt idx="89">
                  <c:v>5.2008481025695801</c:v>
                </c:pt>
                <c:pt idx="90">
                  <c:v>5.4594383239746094</c:v>
                </c:pt>
                <c:pt idx="91">
                  <c:v>5.6952199935913086</c:v>
                </c:pt>
                <c:pt idx="92">
                  <c:v>5.6034059524536133</c:v>
                </c:pt>
                <c:pt idx="93">
                  <c:v>5.4028177261352539</c:v>
                </c:pt>
                <c:pt idx="94">
                  <c:v>5.3306827545166016</c:v>
                </c:pt>
                <c:pt idx="95">
                  <c:v>5.6242504119873047</c:v>
                </c:pt>
                <c:pt idx="96">
                  <c:v>5.9552559852600098</c:v>
                </c:pt>
                <c:pt idx="97">
                  <c:v>5.9107189178466797</c:v>
                </c:pt>
                <c:pt idx="98">
                  <c:v>6.1747250556945801</c:v>
                </c:pt>
                <c:pt idx="99">
                  <c:v>6.2882680892944336</c:v>
                </c:pt>
                <c:pt idx="100">
                  <c:v>6.3853468894958496</c:v>
                </c:pt>
                <c:pt idx="101">
                  <c:v>6.6926169395446777</c:v>
                </c:pt>
                <c:pt idx="102">
                  <c:v>6.7567248344421387</c:v>
                </c:pt>
                <c:pt idx="103">
                  <c:v>6.8733320236206055</c:v>
                </c:pt>
                <c:pt idx="104">
                  <c:v>7.1168169975280762</c:v>
                </c:pt>
                <c:pt idx="105">
                  <c:v>7.439363956451416</c:v>
                </c:pt>
                <c:pt idx="106">
                  <c:v>7.8718938827514648</c:v>
                </c:pt>
                <c:pt idx="107">
                  <c:v>7.9560909271240234</c:v>
                </c:pt>
                <c:pt idx="108">
                  <c:v>7.9701809883117676</c:v>
                </c:pt>
                <c:pt idx="109">
                  <c:v>8.3324317932128906</c:v>
                </c:pt>
                <c:pt idx="110">
                  <c:v>8.7926025390625</c:v>
                </c:pt>
                <c:pt idx="111">
                  <c:v>9.3179817199707031</c:v>
                </c:pt>
                <c:pt idx="112">
                  <c:v>9.6485767364501953</c:v>
                </c:pt>
                <c:pt idx="113">
                  <c:v>9.8804969787597656</c:v>
                </c:pt>
                <c:pt idx="114">
                  <c:v>10.398366928100586</c:v>
                </c:pt>
                <c:pt idx="115">
                  <c:v>10.835514068603516</c:v>
                </c:pt>
                <c:pt idx="116">
                  <c:v>11.153313636779785</c:v>
                </c:pt>
                <c:pt idx="117">
                  <c:v>11.662833213806152</c:v>
                </c:pt>
                <c:pt idx="118">
                  <c:v>12.02208423614502</c:v>
                </c:pt>
                <c:pt idx="119">
                  <c:v>12.588591575622559</c:v>
                </c:pt>
                <c:pt idx="120">
                  <c:v>13.375602722167969</c:v>
                </c:pt>
                <c:pt idx="121">
                  <c:v>13.93287467956543</c:v>
                </c:pt>
                <c:pt idx="122">
                  <c:v>14.757086753845215</c:v>
                </c:pt>
                <c:pt idx="123">
                  <c:v>15.16913890838623</c:v>
                </c:pt>
                <c:pt idx="124">
                  <c:v>15.710917472839355</c:v>
                </c:pt>
                <c:pt idx="125">
                  <c:v>16.346603393554688</c:v>
                </c:pt>
                <c:pt idx="126">
                  <c:v>16.739883422851563</c:v>
                </c:pt>
                <c:pt idx="127">
                  <c:v>17.46876335144043</c:v>
                </c:pt>
                <c:pt idx="128">
                  <c:v>18.022432327270508</c:v>
                </c:pt>
                <c:pt idx="129">
                  <c:v>18.632266998291016</c:v>
                </c:pt>
                <c:pt idx="130">
                  <c:v>19.100032806396484</c:v>
                </c:pt>
                <c:pt idx="131">
                  <c:v>19.638423919677734</c:v>
                </c:pt>
                <c:pt idx="132">
                  <c:v>20.494377136230469</c:v>
                </c:pt>
                <c:pt idx="133">
                  <c:v>21.150087356567383</c:v>
                </c:pt>
                <c:pt idx="134">
                  <c:v>21.824203491210938</c:v>
                </c:pt>
                <c:pt idx="135">
                  <c:v>22.49650764465332</c:v>
                </c:pt>
                <c:pt idx="136">
                  <c:v>26.316425323486328</c:v>
                </c:pt>
                <c:pt idx="137">
                  <c:v>29.043596267700195</c:v>
                </c:pt>
                <c:pt idx="138">
                  <c:v>26.275945663452148</c:v>
                </c:pt>
                <c:pt idx="139">
                  <c:v>24.442836761474609</c:v>
                </c:pt>
                <c:pt idx="140">
                  <c:v>25.095136642456055</c:v>
                </c:pt>
                <c:pt idx="141">
                  <c:v>25.200523376464844</c:v>
                </c:pt>
                <c:pt idx="142">
                  <c:v>25.24676513671875</c:v>
                </c:pt>
                <c:pt idx="143">
                  <c:v>25.245491027832031</c:v>
                </c:pt>
                <c:pt idx="144">
                  <c:v>25.289165496826172</c:v>
                </c:pt>
                <c:pt idx="145">
                  <c:v>25.347858428955078</c:v>
                </c:pt>
                <c:pt idx="146">
                  <c:v>24.864749908447266</c:v>
                </c:pt>
                <c:pt idx="147">
                  <c:v>25.480001449584961</c:v>
                </c:pt>
                <c:pt idx="148">
                  <c:v>26.128934860229492</c:v>
                </c:pt>
                <c:pt idx="149">
                  <c:v>26.400730133056641</c:v>
                </c:pt>
                <c:pt idx="150">
                  <c:v>26.991641998291016</c:v>
                </c:pt>
                <c:pt idx="151">
                  <c:v>26.923822402954102</c:v>
                </c:pt>
                <c:pt idx="152">
                  <c:v>27.34135627746582</c:v>
                </c:pt>
                <c:pt idx="153">
                  <c:v>27.689968109130859</c:v>
                </c:pt>
                <c:pt idx="154">
                  <c:v>27.592910766601563</c:v>
                </c:pt>
                <c:pt idx="155">
                  <c:v>27.720783233642578</c:v>
                </c:pt>
                <c:pt idx="156">
                  <c:v>27.347139358520508</c:v>
                </c:pt>
                <c:pt idx="157">
                  <c:v>26.322597503662109</c:v>
                </c:pt>
                <c:pt idx="158">
                  <c:v>25.467550277709961</c:v>
                </c:pt>
                <c:pt idx="159">
                  <c:v>24.618587493896484</c:v>
                </c:pt>
                <c:pt idx="160">
                  <c:v>22.989864349365234</c:v>
                </c:pt>
                <c:pt idx="161">
                  <c:v>21.638978958129883</c:v>
                </c:pt>
                <c:pt idx="162">
                  <c:v>21.308210372924805</c:v>
                </c:pt>
                <c:pt idx="163">
                  <c:v>20.755319595336914</c:v>
                </c:pt>
                <c:pt idx="164">
                  <c:v>19.866588592529297</c:v>
                </c:pt>
                <c:pt idx="165">
                  <c:v>19.256797790527344</c:v>
                </c:pt>
                <c:pt idx="166">
                  <c:v>18.758562088012695</c:v>
                </c:pt>
                <c:pt idx="167">
                  <c:v>19.024768829345703</c:v>
                </c:pt>
                <c:pt idx="168">
                  <c:v>18.65699577331543</c:v>
                </c:pt>
                <c:pt idx="169">
                  <c:v>18.027135848999023</c:v>
                </c:pt>
                <c:pt idx="170">
                  <c:v>17.854534149169922</c:v>
                </c:pt>
                <c:pt idx="171">
                  <c:v>17.424312591552734</c:v>
                </c:pt>
                <c:pt idx="172">
                  <c:v>17.123321533203125</c:v>
                </c:pt>
                <c:pt idx="173">
                  <c:v>16.928106307983398</c:v>
                </c:pt>
                <c:pt idx="174">
                  <c:v>16.567626953125</c:v>
                </c:pt>
                <c:pt idx="175">
                  <c:v>15.543623924255371</c:v>
                </c:pt>
                <c:pt idx="176">
                  <c:v>14.532439231872559</c:v>
                </c:pt>
                <c:pt idx="177">
                  <c:v>13.598870277404785</c:v>
                </c:pt>
                <c:pt idx="178">
                  <c:v>12.337920188903809</c:v>
                </c:pt>
                <c:pt idx="179">
                  <c:v>11.163994789123535</c:v>
                </c:pt>
                <c:pt idx="180">
                  <c:v>9.583195686340332</c:v>
                </c:pt>
                <c:pt idx="181">
                  <c:v>8.1987133026123047</c:v>
                </c:pt>
                <c:pt idx="182">
                  <c:v>7.4956393241882324</c:v>
                </c:pt>
                <c:pt idx="183">
                  <c:v>6.5335226058959961</c:v>
                </c:pt>
                <c:pt idx="184">
                  <c:v>5.4842958450317383</c:v>
                </c:pt>
                <c:pt idx="185">
                  <c:v>4.6587677001953125</c:v>
                </c:pt>
                <c:pt idx="186">
                  <c:v>4.204444408416748</c:v>
                </c:pt>
                <c:pt idx="187">
                  <c:v>4.0577793121337891</c:v>
                </c:pt>
                <c:pt idx="188">
                  <c:v>3.400731086730957</c:v>
                </c:pt>
                <c:pt idx="189">
                  <c:v>2.6506607532501221</c:v>
                </c:pt>
                <c:pt idx="190">
                  <c:v>2.5547254085540771</c:v>
                </c:pt>
                <c:pt idx="191">
                  <c:v>2.3883378505706787</c:v>
                </c:pt>
                <c:pt idx="192">
                  <c:v>2.6536386013031006</c:v>
                </c:pt>
                <c:pt idx="193">
                  <c:v>2.5473887920379639</c:v>
                </c:pt>
                <c:pt idx="194">
                  <c:v>2.5425121784210205</c:v>
                </c:pt>
                <c:pt idx="195">
                  <c:v>2.6828334331512451</c:v>
                </c:pt>
                <c:pt idx="196">
                  <c:v>2.3052198886871338</c:v>
                </c:pt>
                <c:pt idx="197">
                  <c:v>2.3095138072967529</c:v>
                </c:pt>
                <c:pt idx="198">
                  <c:v>2.1981501579284668</c:v>
                </c:pt>
                <c:pt idx="199">
                  <c:v>2.4955801963806152</c:v>
                </c:pt>
                <c:pt idx="200">
                  <c:v>2.4764189720153809</c:v>
                </c:pt>
                <c:pt idx="201">
                  <c:v>2.3151025772094727</c:v>
                </c:pt>
                <c:pt idx="202">
                  <c:v>2.0167660713195801</c:v>
                </c:pt>
                <c:pt idx="203">
                  <c:v>2.4144904613494873</c:v>
                </c:pt>
                <c:pt idx="204">
                  <c:v>2.434147834777832</c:v>
                </c:pt>
                <c:pt idx="205">
                  <c:v>2.1677036285400391</c:v>
                </c:pt>
                <c:pt idx="206">
                  <c:v>2.6170423030853271</c:v>
                </c:pt>
                <c:pt idx="207">
                  <c:v>2.4322059154510498</c:v>
                </c:pt>
                <c:pt idx="208">
                  <c:v>2.4016084671020508</c:v>
                </c:pt>
                <c:pt idx="209">
                  <c:v>2</c:v>
                </c:pt>
                <c:pt idx="210">
                  <c:v>2.3215541839599609</c:v>
                </c:pt>
                <c:pt idx="211">
                  <c:v>2.2144629955291748</c:v>
                </c:pt>
                <c:pt idx="212">
                  <c:v>2.2399466037750244</c:v>
                </c:pt>
                <c:pt idx="213">
                  <c:v>2.3526697158813477</c:v>
                </c:pt>
                <c:pt idx="214">
                  <c:v>2.2730255126953125</c:v>
                </c:pt>
                <c:pt idx="215">
                  <c:v>2.6466906070709229</c:v>
                </c:pt>
                <c:pt idx="216">
                  <c:v>2.3103554248809814</c:v>
                </c:pt>
                <c:pt idx="217">
                  <c:v>2.3370687961578369</c:v>
                </c:pt>
                <c:pt idx="218">
                  <c:v>2.4506549835205078</c:v>
                </c:pt>
                <c:pt idx="219">
                  <c:v>2.3315017223358154</c:v>
                </c:pt>
                <c:pt idx="220">
                  <c:v>2.2453842163085938</c:v>
                </c:pt>
                <c:pt idx="221">
                  <c:v>2.0463924407958984</c:v>
                </c:pt>
                <c:pt idx="222">
                  <c:v>2.7497251033782959</c:v>
                </c:pt>
                <c:pt idx="223">
                  <c:v>2.4117283821105957</c:v>
                </c:pt>
                <c:pt idx="224">
                  <c:v>2.6299028396606445</c:v>
                </c:pt>
                <c:pt idx="225">
                  <c:v>3.1819741725921631</c:v>
                </c:pt>
              </c:numCache>
            </c:numRef>
          </c:yVal>
          <c:smooth val="1"/>
          <c:extLst>
            <c:ext xmlns:c16="http://schemas.microsoft.com/office/drawing/2014/chart" uri="{C3380CC4-5D6E-409C-BE32-E72D297353CC}">
              <c16:uniqueId val="{00000004-C55B-4A1A-87F7-276FE06EA34B}"/>
            </c:ext>
          </c:extLst>
        </c:ser>
        <c:ser>
          <c:idx val="5"/>
          <c:order val="5"/>
          <c:tx>
            <c:v>6</c:v>
          </c:tx>
          <c:spPr>
            <a:ln w="19050" cap="rnd">
              <a:noFill/>
              <a:round/>
            </a:ln>
            <a:effectLst/>
            <a:extLst>
              <a:ext uri="{91240B29-F687-4F45-9708-019B960494DF}">
                <a14:hiddenLine xmlns:a14="http://schemas.microsoft.com/office/drawing/2010/main" w="19050" cap="rnd">
                  <a:solidFill>
                    <a:srgbClr val="70AD47"/>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NormalisedUVVisData!$G$2:$G$300</c:f>
              <c:numCache>
                <c:formatCode>General</c:formatCode>
                <c:ptCount val="299"/>
                <c:pt idx="0">
                  <c:v>66.328742980957031</c:v>
                </c:pt>
                <c:pt idx="1">
                  <c:v>64.896110534667969</c:v>
                </c:pt>
                <c:pt idx="2">
                  <c:v>62.950954437255859</c:v>
                </c:pt>
                <c:pt idx="3">
                  <c:v>61.368198394775391</c:v>
                </c:pt>
                <c:pt idx="4">
                  <c:v>60.744972229003906</c:v>
                </c:pt>
                <c:pt idx="5">
                  <c:v>61.586761474609375</c:v>
                </c:pt>
                <c:pt idx="6">
                  <c:v>64.707305908203125</c:v>
                </c:pt>
                <c:pt idx="7">
                  <c:v>70.254661560058594</c:v>
                </c:pt>
                <c:pt idx="8">
                  <c:v>77.493629455566406</c:v>
                </c:pt>
                <c:pt idx="9">
                  <c:v>85.632553100585938</c:v>
                </c:pt>
                <c:pt idx="10">
                  <c:v>92.852928161621094</c:v>
                </c:pt>
                <c:pt idx="11">
                  <c:v>97.961090087890625</c:v>
                </c:pt>
                <c:pt idx="12">
                  <c:v>100</c:v>
                </c:pt>
                <c:pt idx="13">
                  <c:v>98.968757629394531</c:v>
                </c:pt>
                <c:pt idx="14">
                  <c:v>95.776084899902344</c:v>
                </c:pt>
                <c:pt idx="15">
                  <c:v>91.056915283203125</c:v>
                </c:pt>
                <c:pt idx="16">
                  <c:v>84.415420532226563</c:v>
                </c:pt>
                <c:pt idx="17">
                  <c:v>75.145744323730469</c:v>
                </c:pt>
                <c:pt idx="18">
                  <c:v>64.420402526855469</c:v>
                </c:pt>
                <c:pt idx="19">
                  <c:v>54.342700958251953</c:v>
                </c:pt>
                <c:pt idx="20">
                  <c:v>47.127300262451172</c:v>
                </c:pt>
                <c:pt idx="21">
                  <c:v>42.656688690185547</c:v>
                </c:pt>
                <c:pt idx="22">
                  <c:v>40.243610382080078</c:v>
                </c:pt>
                <c:pt idx="23">
                  <c:v>39.145671844482422</c:v>
                </c:pt>
                <c:pt idx="24">
                  <c:v>38.666629791259766</c:v>
                </c:pt>
                <c:pt idx="25">
                  <c:v>38.557209014892578</c:v>
                </c:pt>
                <c:pt idx="26">
                  <c:v>38.840950012207031</c:v>
                </c:pt>
                <c:pt idx="27">
                  <c:v>39.706897735595703</c:v>
                </c:pt>
                <c:pt idx="28">
                  <c:v>41.266380310058594</c:v>
                </c:pt>
                <c:pt idx="29">
                  <c:v>43.136444091796875</c:v>
                </c:pt>
                <c:pt idx="30">
                  <c:v>44.787776947021484</c:v>
                </c:pt>
                <c:pt idx="31">
                  <c:v>45.614780426025391</c:v>
                </c:pt>
                <c:pt idx="32">
                  <c:v>45.528171539306641</c:v>
                </c:pt>
                <c:pt idx="33">
                  <c:v>44.623733520507813</c:v>
                </c:pt>
                <c:pt idx="34">
                  <c:v>43.066879272460938</c:v>
                </c:pt>
                <c:pt idx="35">
                  <c:v>40.777427673339844</c:v>
                </c:pt>
                <c:pt idx="36">
                  <c:v>37.854286193847656</c:v>
                </c:pt>
                <c:pt idx="37">
                  <c:v>34.731510162353516</c:v>
                </c:pt>
                <c:pt idx="38">
                  <c:v>32.189380645751953</c:v>
                </c:pt>
                <c:pt idx="39">
                  <c:v>30.694793701171875</c:v>
                </c:pt>
                <c:pt idx="40">
                  <c:v>30.285367965698242</c:v>
                </c:pt>
                <c:pt idx="41">
                  <c:v>30.543399810791016</c:v>
                </c:pt>
                <c:pt idx="42">
                  <c:v>31.043458938598633</c:v>
                </c:pt>
                <c:pt idx="43">
                  <c:v>31.531406402587891</c:v>
                </c:pt>
                <c:pt idx="44">
                  <c:v>31.878122329711914</c:v>
                </c:pt>
                <c:pt idx="45">
                  <c:v>32.015460968017578</c:v>
                </c:pt>
                <c:pt idx="46">
                  <c:v>31.965221405029297</c:v>
                </c:pt>
                <c:pt idx="47">
                  <c:v>31.642721176147461</c:v>
                </c:pt>
                <c:pt idx="48">
                  <c:v>31.050710678100586</c:v>
                </c:pt>
                <c:pt idx="49">
                  <c:v>30.245010375976563</c:v>
                </c:pt>
                <c:pt idx="50">
                  <c:v>29.246894836425781</c:v>
                </c:pt>
                <c:pt idx="51">
                  <c:v>28.130340576171875</c:v>
                </c:pt>
                <c:pt idx="52">
                  <c:v>26.946113586425781</c:v>
                </c:pt>
                <c:pt idx="53">
                  <c:v>25.777309417724609</c:v>
                </c:pt>
                <c:pt idx="54">
                  <c:v>24.628046035766602</c:v>
                </c:pt>
                <c:pt idx="55">
                  <c:v>23.52586555480957</c:v>
                </c:pt>
                <c:pt idx="56">
                  <c:v>22.428350448608398</c:v>
                </c:pt>
                <c:pt idx="57">
                  <c:v>21.348518371582031</c:v>
                </c:pt>
                <c:pt idx="58">
                  <c:v>20.279867172241211</c:v>
                </c:pt>
                <c:pt idx="59">
                  <c:v>19.230083465576172</c:v>
                </c:pt>
                <c:pt idx="60">
                  <c:v>18.160974502563477</c:v>
                </c:pt>
                <c:pt idx="61">
                  <c:v>17.058109283447266</c:v>
                </c:pt>
                <c:pt idx="62">
                  <c:v>15.962742805480957</c:v>
                </c:pt>
                <c:pt idx="63">
                  <c:v>14.819137573242188</c:v>
                </c:pt>
                <c:pt idx="64">
                  <c:v>13.700900077819824</c:v>
                </c:pt>
                <c:pt idx="65">
                  <c:v>12.591713905334473</c:v>
                </c:pt>
                <c:pt idx="66">
                  <c:v>11.544644355773926</c:v>
                </c:pt>
                <c:pt idx="67">
                  <c:v>10.545557975769043</c:v>
                </c:pt>
                <c:pt idx="68">
                  <c:v>9.7095193862915039</c:v>
                </c:pt>
                <c:pt idx="69">
                  <c:v>8.9424037933349609</c:v>
                </c:pt>
                <c:pt idx="70">
                  <c:v>8.294102668762207</c:v>
                </c:pt>
                <c:pt idx="71">
                  <c:v>7.7658901214599609</c:v>
                </c:pt>
                <c:pt idx="72">
                  <c:v>7.2762956619262695</c:v>
                </c:pt>
                <c:pt idx="73">
                  <c:v>6.7871432304382324</c:v>
                </c:pt>
                <c:pt idx="74">
                  <c:v>6.3019533157348633</c:v>
                </c:pt>
                <c:pt idx="75">
                  <c:v>5.8617339134216309</c:v>
                </c:pt>
                <c:pt idx="76">
                  <c:v>5.4300746917724609</c:v>
                </c:pt>
                <c:pt idx="77">
                  <c:v>4.9945473670959473</c:v>
                </c:pt>
                <c:pt idx="78">
                  <c:v>4.579958438873291</c:v>
                </c:pt>
                <c:pt idx="79">
                  <c:v>4.2089347839355469</c:v>
                </c:pt>
                <c:pt idx="80">
                  <c:v>3.9037373065948486</c:v>
                </c:pt>
                <c:pt idx="81">
                  <c:v>3.6505439281463623</c:v>
                </c:pt>
                <c:pt idx="82">
                  <c:v>3.4138040542602539</c:v>
                </c:pt>
                <c:pt idx="83">
                  <c:v>3.2085888385772705</c:v>
                </c:pt>
                <c:pt idx="84">
                  <c:v>3.055804967880249</c:v>
                </c:pt>
                <c:pt idx="85">
                  <c:v>2.9546749591827393</c:v>
                </c:pt>
                <c:pt idx="86">
                  <c:v>2.8412063121795654</c:v>
                </c:pt>
                <c:pt idx="87">
                  <c:v>2.7391467094421387</c:v>
                </c:pt>
                <c:pt idx="88">
                  <c:v>2.7012748718261719</c:v>
                </c:pt>
                <c:pt idx="89">
                  <c:v>2.6694722175598145</c:v>
                </c:pt>
                <c:pt idx="90">
                  <c:v>2.6260251998901367</c:v>
                </c:pt>
                <c:pt idx="91">
                  <c:v>2.5683193206787109</c:v>
                </c:pt>
                <c:pt idx="92">
                  <c:v>2.4981284141540527</c:v>
                </c:pt>
                <c:pt idx="93">
                  <c:v>2.4971041679382324</c:v>
                </c:pt>
                <c:pt idx="94">
                  <c:v>2.4957268238067627</c:v>
                </c:pt>
                <c:pt idx="95">
                  <c:v>2.4610257148742676</c:v>
                </c:pt>
                <c:pt idx="96">
                  <c:v>2.4383137226104736</c:v>
                </c:pt>
                <c:pt idx="97">
                  <c:v>2.4457828998565674</c:v>
                </c:pt>
                <c:pt idx="98">
                  <c:v>2.4392578601837158</c:v>
                </c:pt>
                <c:pt idx="99">
                  <c:v>2.4400153160095215</c:v>
                </c:pt>
                <c:pt idx="100">
                  <c:v>2.4301385879516602</c:v>
                </c:pt>
                <c:pt idx="101">
                  <c:v>2.3866281509399414</c:v>
                </c:pt>
                <c:pt idx="102">
                  <c:v>2.3841862678527832</c:v>
                </c:pt>
                <c:pt idx="103">
                  <c:v>2.4140865802764893</c:v>
                </c:pt>
                <c:pt idx="104">
                  <c:v>2.4164910316467285</c:v>
                </c:pt>
                <c:pt idx="105">
                  <c:v>2.3944017887115479</c:v>
                </c:pt>
                <c:pt idx="106">
                  <c:v>2.3962554931640625</c:v>
                </c:pt>
                <c:pt idx="107">
                  <c:v>2.3872194290161133</c:v>
                </c:pt>
                <c:pt idx="108">
                  <c:v>2.3791415691375732</c:v>
                </c:pt>
                <c:pt idx="109">
                  <c:v>2.363832950592041</c:v>
                </c:pt>
                <c:pt idx="110">
                  <c:v>2.35791015625</c:v>
                </c:pt>
                <c:pt idx="111">
                  <c:v>2.3721458911895752</c:v>
                </c:pt>
                <c:pt idx="112">
                  <c:v>2.3705015182495117</c:v>
                </c:pt>
                <c:pt idx="113">
                  <c:v>2.3364665508270264</c:v>
                </c:pt>
                <c:pt idx="114">
                  <c:v>2.3033351898193359</c:v>
                </c:pt>
                <c:pt idx="115">
                  <c:v>2.3007268905639648</c:v>
                </c:pt>
                <c:pt idx="116">
                  <c:v>2.3187587261199951</c:v>
                </c:pt>
                <c:pt idx="117">
                  <c:v>2.3264575004577637</c:v>
                </c:pt>
                <c:pt idx="118">
                  <c:v>2.2909677028656006</c:v>
                </c:pt>
                <c:pt idx="119">
                  <c:v>2.2745082378387451</c:v>
                </c:pt>
                <c:pt idx="120">
                  <c:v>2.2822701930999756</c:v>
                </c:pt>
                <c:pt idx="121">
                  <c:v>2.2687575817108154</c:v>
                </c:pt>
                <c:pt idx="122">
                  <c:v>2.2651019096374512</c:v>
                </c:pt>
                <c:pt idx="123">
                  <c:v>2.2828755378723145</c:v>
                </c:pt>
                <c:pt idx="124">
                  <c:v>2.2854812145233154</c:v>
                </c:pt>
                <c:pt idx="125">
                  <c:v>2.240980863571167</c:v>
                </c:pt>
                <c:pt idx="126">
                  <c:v>2.2259876728057861</c:v>
                </c:pt>
                <c:pt idx="127">
                  <c:v>2.2364842891693115</c:v>
                </c:pt>
                <c:pt idx="128">
                  <c:v>2.2257580757141113</c:v>
                </c:pt>
                <c:pt idx="129">
                  <c:v>2.1971204280853271</c:v>
                </c:pt>
                <c:pt idx="130">
                  <c:v>2.1970689296722412</c:v>
                </c:pt>
                <c:pt idx="131">
                  <c:v>2.2167623043060303</c:v>
                </c:pt>
                <c:pt idx="132">
                  <c:v>2.2305989265441895</c:v>
                </c:pt>
                <c:pt idx="133">
                  <c:v>2.2234911918640137</c:v>
                </c:pt>
                <c:pt idx="134">
                  <c:v>2.2428059577941895</c:v>
                </c:pt>
                <c:pt idx="135">
                  <c:v>2.2722010612487793</c:v>
                </c:pt>
                <c:pt idx="136">
                  <c:v>2.1023035049438477</c:v>
                </c:pt>
                <c:pt idx="137">
                  <c:v>2</c:v>
                </c:pt>
                <c:pt idx="138">
                  <c:v>2.0902142524719238</c:v>
                </c:pt>
                <c:pt idx="139">
                  <c:v>2.16567063331604</c:v>
                </c:pt>
                <c:pt idx="140">
                  <c:v>2.1711916923522949</c:v>
                </c:pt>
                <c:pt idx="141">
                  <c:v>2.0993049144744873</c:v>
                </c:pt>
                <c:pt idx="142">
                  <c:v>2.1145877838134766</c:v>
                </c:pt>
                <c:pt idx="143">
                  <c:v>2.1552114486694336</c:v>
                </c:pt>
                <c:pt idx="144">
                  <c:v>2.1437246799468994</c:v>
                </c:pt>
                <c:pt idx="145">
                  <c:v>2.162198543548584</c:v>
                </c:pt>
                <c:pt idx="146">
                  <c:v>2.2337009906768799</c:v>
                </c:pt>
                <c:pt idx="147">
                  <c:v>2.1820297241210938</c:v>
                </c:pt>
                <c:pt idx="148">
                  <c:v>2.1772923469543457</c:v>
                </c:pt>
                <c:pt idx="149">
                  <c:v>2.2063860893249512</c:v>
                </c:pt>
                <c:pt idx="150">
                  <c:v>2.1428983211517334</c:v>
                </c:pt>
                <c:pt idx="151">
                  <c:v>2.1304905414581299</c:v>
                </c:pt>
                <c:pt idx="152">
                  <c:v>2.1765232086181641</c:v>
                </c:pt>
                <c:pt idx="153">
                  <c:v>2.1757054328918457</c:v>
                </c:pt>
                <c:pt idx="154">
                  <c:v>2.1500635147094727</c:v>
                </c:pt>
                <c:pt idx="155">
                  <c:v>2.1713724136352539</c:v>
                </c:pt>
                <c:pt idx="156">
                  <c:v>2.111663818359375</c:v>
                </c:pt>
                <c:pt idx="157">
                  <c:v>2.1272680759429932</c:v>
                </c:pt>
                <c:pt idx="158">
                  <c:v>2.168973445892334</c:v>
                </c:pt>
                <c:pt idx="159">
                  <c:v>2.1610679626464844</c:v>
                </c:pt>
                <c:pt idx="160">
                  <c:v>2.1885120868682861</c:v>
                </c:pt>
                <c:pt idx="161">
                  <c:v>2.1481208801269531</c:v>
                </c:pt>
                <c:pt idx="162">
                  <c:v>2.1458711624145508</c:v>
                </c:pt>
                <c:pt idx="163">
                  <c:v>2.1870858669281006</c:v>
                </c:pt>
                <c:pt idx="164">
                  <c:v>2.1451940536499023</c:v>
                </c:pt>
                <c:pt idx="165">
                  <c:v>2.1722705364227295</c:v>
                </c:pt>
                <c:pt idx="166">
                  <c:v>2.1688041687011719</c:v>
                </c:pt>
                <c:pt idx="167">
                  <c:v>2.1603794097900391</c:v>
                </c:pt>
                <c:pt idx="168">
                  <c:v>2.2121250629425049</c:v>
                </c:pt>
                <c:pt idx="169">
                  <c:v>2.1344075202941895</c:v>
                </c:pt>
                <c:pt idx="170">
                  <c:v>2.1029376983642578</c:v>
                </c:pt>
                <c:pt idx="171">
                  <c:v>2.132014274597168</c:v>
                </c:pt>
                <c:pt idx="172">
                  <c:v>2.1664683818817139</c:v>
                </c:pt>
                <c:pt idx="173">
                  <c:v>2.1668558120727539</c:v>
                </c:pt>
                <c:pt idx="174">
                  <c:v>2.1820096969604492</c:v>
                </c:pt>
                <c:pt idx="175">
                  <c:v>2.1895391941070557</c:v>
                </c:pt>
                <c:pt idx="176">
                  <c:v>2.1672518253326416</c:v>
                </c:pt>
                <c:pt idx="177">
                  <c:v>2.2014906406402588</c:v>
                </c:pt>
                <c:pt idx="178">
                  <c:v>2.1933097839355469</c:v>
                </c:pt>
                <c:pt idx="179">
                  <c:v>2.1978006362915039</c:v>
                </c:pt>
                <c:pt idx="180">
                  <c:v>2.1691169738769531</c:v>
                </c:pt>
                <c:pt idx="181">
                  <c:v>2.1837830543518066</c:v>
                </c:pt>
                <c:pt idx="182">
                  <c:v>2.2379219532012939</c:v>
                </c:pt>
                <c:pt idx="183">
                  <c:v>2.2717821598052979</c:v>
                </c:pt>
                <c:pt idx="184">
                  <c:v>2.2531905174255371</c:v>
                </c:pt>
                <c:pt idx="185">
                  <c:v>2.1533088684082031</c:v>
                </c:pt>
                <c:pt idx="186">
                  <c:v>2.1460204124450684</c:v>
                </c:pt>
                <c:pt idx="187">
                  <c:v>2.1834185123443604</c:v>
                </c:pt>
                <c:pt idx="188">
                  <c:v>2.1936311721801758</c:v>
                </c:pt>
                <c:pt idx="189">
                  <c:v>2.2853031158447266</c:v>
                </c:pt>
                <c:pt idx="190">
                  <c:v>2.2917883396148682</c:v>
                </c:pt>
                <c:pt idx="191">
                  <c:v>2.246013879776001</c:v>
                </c:pt>
                <c:pt idx="192">
                  <c:v>2.2334713935852051</c:v>
                </c:pt>
                <c:pt idx="193">
                  <c:v>2.2418675422668457</c:v>
                </c:pt>
                <c:pt idx="194">
                  <c:v>2.2859029769897461</c:v>
                </c:pt>
                <c:pt idx="195">
                  <c:v>2.2322547435760498</c:v>
                </c:pt>
                <c:pt idx="196">
                  <c:v>2.3217372894287109</c:v>
                </c:pt>
                <c:pt idx="197">
                  <c:v>2.2699570655822754</c:v>
                </c:pt>
                <c:pt idx="198">
                  <c:v>2.2120764255523682</c:v>
                </c:pt>
                <c:pt idx="199">
                  <c:v>2.2724850177764893</c:v>
                </c:pt>
                <c:pt idx="200">
                  <c:v>2.2875614166259766</c:v>
                </c:pt>
                <c:pt idx="201">
                  <c:v>2.2908070087432861</c:v>
                </c:pt>
                <c:pt idx="202">
                  <c:v>2.2285444736480713</c:v>
                </c:pt>
                <c:pt idx="203">
                  <c:v>2.2623701095581055</c:v>
                </c:pt>
                <c:pt idx="204">
                  <c:v>2.2038006782531738</c:v>
                </c:pt>
                <c:pt idx="205">
                  <c:v>2.2828009128570557</c:v>
                </c:pt>
                <c:pt idx="206">
                  <c:v>2.2745282649993896</c:v>
                </c:pt>
                <c:pt idx="207">
                  <c:v>2.2855556011199951</c:v>
                </c:pt>
                <c:pt idx="208">
                  <c:v>2.2465734481811523</c:v>
                </c:pt>
                <c:pt idx="209">
                  <c:v>2.2557013034820557</c:v>
                </c:pt>
                <c:pt idx="210">
                  <c:v>2.2737476825714111</c:v>
                </c:pt>
                <c:pt idx="211">
                  <c:v>2.2627604007720947</c:v>
                </c:pt>
                <c:pt idx="212">
                  <c:v>2.3039951324462891</c:v>
                </c:pt>
                <c:pt idx="213">
                  <c:v>2.2026243209838867</c:v>
                </c:pt>
                <c:pt idx="214">
                  <c:v>2.2428574562072754</c:v>
                </c:pt>
                <c:pt idx="215">
                  <c:v>2.2054879665374756</c:v>
                </c:pt>
                <c:pt idx="216">
                  <c:v>2.2622554302215576</c:v>
                </c:pt>
                <c:pt idx="217">
                  <c:v>2.2575321197509766</c:v>
                </c:pt>
                <c:pt idx="218">
                  <c:v>2.2675294876098633</c:v>
                </c:pt>
                <c:pt idx="219">
                  <c:v>2.4046285152435303</c:v>
                </c:pt>
                <c:pt idx="220">
                  <c:v>2.2763619422912598</c:v>
                </c:pt>
                <c:pt idx="221">
                  <c:v>2.2431213855743408</c:v>
                </c:pt>
                <c:pt idx="222">
                  <c:v>2.3504495620727539</c:v>
                </c:pt>
                <c:pt idx="223">
                  <c:v>2.2553169727325439</c:v>
                </c:pt>
                <c:pt idx="224">
                  <c:v>2.3283801078796387</c:v>
                </c:pt>
                <c:pt idx="225">
                  <c:v>2.2869503498077393</c:v>
                </c:pt>
              </c:numCache>
            </c:numRef>
          </c:yVal>
          <c:smooth val="1"/>
          <c:extLst>
            <c:ext xmlns:c16="http://schemas.microsoft.com/office/drawing/2014/chart" uri="{C3380CC4-5D6E-409C-BE32-E72D297353CC}">
              <c16:uniqueId val="{00000005-C55B-4A1A-87F7-276FE06EA34B}"/>
            </c:ext>
          </c:extLst>
        </c:ser>
        <c:ser>
          <c:idx val="6"/>
          <c:order val="6"/>
          <c:tx>
            <c:v>7</c:v>
          </c:tx>
          <c:spPr>
            <a:ln w="19050" cap="rnd">
              <a:noFill/>
              <a:round/>
            </a:ln>
            <a:effectLst/>
            <a:extLst>
              <a:ext uri="{91240B29-F687-4F45-9708-019B960494DF}">
                <a14:hiddenLine xmlns:a14="http://schemas.microsoft.com/office/drawing/2010/main" w="19050" cap="rnd">
                  <a:solidFill>
                    <a:srgbClr val="5B9BD5">
                      <a:lumMod val="6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NormalisedUVVisData!$H$2:$H$300</c:f>
              <c:numCache>
                <c:formatCode>General</c:formatCode>
                <c:ptCount val="299"/>
                <c:pt idx="0">
                  <c:v>48.574314117431641</c:v>
                </c:pt>
                <c:pt idx="1">
                  <c:v>50.445053100585938</c:v>
                </c:pt>
                <c:pt idx="2">
                  <c:v>50.757942199707031</c:v>
                </c:pt>
                <c:pt idx="3">
                  <c:v>50.210697174072266</c:v>
                </c:pt>
                <c:pt idx="4">
                  <c:v>48.933311462402344</c:v>
                </c:pt>
                <c:pt idx="5">
                  <c:v>46.944751739501953</c:v>
                </c:pt>
                <c:pt idx="6">
                  <c:v>44.139595031738281</c:v>
                </c:pt>
                <c:pt idx="7">
                  <c:v>41.074260711669922</c:v>
                </c:pt>
                <c:pt idx="8">
                  <c:v>38.470436096191406</c:v>
                </c:pt>
                <c:pt idx="9">
                  <c:v>36.574665069580078</c:v>
                </c:pt>
                <c:pt idx="10">
                  <c:v>35.484958648681641</c:v>
                </c:pt>
                <c:pt idx="11">
                  <c:v>34.793941497802734</c:v>
                </c:pt>
                <c:pt idx="12">
                  <c:v>34.135982513427734</c:v>
                </c:pt>
                <c:pt idx="13">
                  <c:v>33.326431274414063</c:v>
                </c:pt>
                <c:pt idx="14">
                  <c:v>32.279701232910156</c:v>
                </c:pt>
                <c:pt idx="15">
                  <c:v>31.029972076416016</c:v>
                </c:pt>
                <c:pt idx="16">
                  <c:v>29.645483016967773</c:v>
                </c:pt>
                <c:pt idx="17">
                  <c:v>28.222209930419922</c:v>
                </c:pt>
                <c:pt idx="18">
                  <c:v>26.970527648925781</c:v>
                </c:pt>
                <c:pt idx="19">
                  <c:v>25.977441787719727</c:v>
                </c:pt>
                <c:pt idx="20">
                  <c:v>25.441366195678711</c:v>
                </c:pt>
                <c:pt idx="21">
                  <c:v>25.440839767456055</c:v>
                </c:pt>
                <c:pt idx="22">
                  <c:v>26.081100463867188</c:v>
                </c:pt>
                <c:pt idx="23">
                  <c:v>27.347671508789063</c:v>
                </c:pt>
                <c:pt idx="24">
                  <c:v>29.299823760986328</c:v>
                </c:pt>
                <c:pt idx="25">
                  <c:v>31.904994964599609</c:v>
                </c:pt>
                <c:pt idx="26">
                  <c:v>35.249786376953125</c:v>
                </c:pt>
                <c:pt idx="27">
                  <c:v>39.059822082519531</c:v>
                </c:pt>
                <c:pt idx="28">
                  <c:v>43.456466674804688</c:v>
                </c:pt>
                <c:pt idx="29">
                  <c:v>48.052196502685547</c:v>
                </c:pt>
                <c:pt idx="30">
                  <c:v>53.038566589355469</c:v>
                </c:pt>
                <c:pt idx="31">
                  <c:v>58.037155151367188</c:v>
                </c:pt>
                <c:pt idx="32">
                  <c:v>63.252803802490234</c:v>
                </c:pt>
                <c:pt idx="33">
                  <c:v>68.444023132324219</c:v>
                </c:pt>
                <c:pt idx="34">
                  <c:v>73.41522216796875</c:v>
                </c:pt>
                <c:pt idx="35">
                  <c:v>78.360771179199219</c:v>
                </c:pt>
                <c:pt idx="36">
                  <c:v>83.008934020996094</c:v>
                </c:pt>
                <c:pt idx="37">
                  <c:v>87.309707641601563</c:v>
                </c:pt>
                <c:pt idx="38">
                  <c:v>91.086585998535156</c:v>
                </c:pt>
                <c:pt idx="39">
                  <c:v>94.475143432617188</c:v>
                </c:pt>
                <c:pt idx="40">
                  <c:v>97.211738586425781</c:v>
                </c:pt>
                <c:pt idx="41">
                  <c:v>99.083236694335938</c:v>
                </c:pt>
                <c:pt idx="42">
                  <c:v>100.00000762939453</c:v>
                </c:pt>
                <c:pt idx="43">
                  <c:v>99.901336669921875</c:v>
                </c:pt>
                <c:pt idx="44">
                  <c:v>98.759017944335938</c:v>
                </c:pt>
                <c:pt idx="45">
                  <c:v>96.611076354980469</c:v>
                </c:pt>
                <c:pt idx="46">
                  <c:v>93.523353576660156</c:v>
                </c:pt>
                <c:pt idx="47">
                  <c:v>89.574882507324219</c:v>
                </c:pt>
                <c:pt idx="48">
                  <c:v>84.853950500488281</c:v>
                </c:pt>
                <c:pt idx="49">
                  <c:v>79.478584289550781</c:v>
                </c:pt>
                <c:pt idx="50">
                  <c:v>73.597137451171875</c:v>
                </c:pt>
                <c:pt idx="51">
                  <c:v>67.299812316894531</c:v>
                </c:pt>
                <c:pt idx="52">
                  <c:v>60.740215301513672</c:v>
                </c:pt>
                <c:pt idx="53">
                  <c:v>54.105857849121094</c:v>
                </c:pt>
                <c:pt idx="54">
                  <c:v>47.358860015869141</c:v>
                </c:pt>
                <c:pt idx="55">
                  <c:v>41.031364440917969</c:v>
                </c:pt>
                <c:pt idx="56">
                  <c:v>35.044986724853516</c:v>
                </c:pt>
                <c:pt idx="57">
                  <c:v>29.483198165893555</c:v>
                </c:pt>
                <c:pt idx="58">
                  <c:v>24.358606338500977</c:v>
                </c:pt>
                <c:pt idx="59">
                  <c:v>19.9696044921875</c:v>
                </c:pt>
                <c:pt idx="60">
                  <c:v>16.172492980957031</c:v>
                </c:pt>
                <c:pt idx="61">
                  <c:v>12.939757347106934</c:v>
                </c:pt>
                <c:pt idx="62">
                  <c:v>10.36704158782959</c:v>
                </c:pt>
                <c:pt idx="63">
                  <c:v>8.2603664398193359</c:v>
                </c:pt>
                <c:pt idx="64">
                  <c:v>6.6444897651672363</c:v>
                </c:pt>
                <c:pt idx="65">
                  <c:v>5.3980112075805664</c:v>
                </c:pt>
                <c:pt idx="66">
                  <c:v>4.4862527847290039</c:v>
                </c:pt>
                <c:pt idx="67">
                  <c:v>3.7420792579650879</c:v>
                </c:pt>
                <c:pt idx="68">
                  <c:v>3.2293844223022461</c:v>
                </c:pt>
                <c:pt idx="69">
                  <c:v>2.8704953193664551</c:v>
                </c:pt>
                <c:pt idx="70">
                  <c:v>2.630803108215332</c:v>
                </c:pt>
                <c:pt idx="71">
                  <c:v>2.4558515548706055</c:v>
                </c:pt>
                <c:pt idx="72">
                  <c:v>2.3218839168548584</c:v>
                </c:pt>
                <c:pt idx="73">
                  <c:v>2.2479329109191895</c:v>
                </c:pt>
                <c:pt idx="74">
                  <c:v>2.1950728893280029</c:v>
                </c:pt>
                <c:pt idx="75">
                  <c:v>2.1566958427429199</c:v>
                </c:pt>
                <c:pt idx="76">
                  <c:v>2.1565587520599365</c:v>
                </c:pt>
                <c:pt idx="77">
                  <c:v>2.15413498878479</c:v>
                </c:pt>
                <c:pt idx="78">
                  <c:v>2.1417829990386963</c:v>
                </c:pt>
                <c:pt idx="79">
                  <c:v>2.1256401538848877</c:v>
                </c:pt>
                <c:pt idx="80">
                  <c:v>2.1065020561218262</c:v>
                </c:pt>
                <c:pt idx="81">
                  <c:v>2.1115598678588867</c:v>
                </c:pt>
                <c:pt idx="82">
                  <c:v>2.1154880523681641</c:v>
                </c:pt>
                <c:pt idx="83">
                  <c:v>2.1245427131652832</c:v>
                </c:pt>
                <c:pt idx="84">
                  <c:v>2.125612735748291</c:v>
                </c:pt>
                <c:pt idx="85">
                  <c:v>2.1386826038360596</c:v>
                </c:pt>
                <c:pt idx="86">
                  <c:v>2.1152410507202148</c:v>
                </c:pt>
                <c:pt idx="87">
                  <c:v>2.1103708744049072</c:v>
                </c:pt>
                <c:pt idx="88">
                  <c:v>2.1440329551696777</c:v>
                </c:pt>
                <c:pt idx="89">
                  <c:v>2.1302132606506348</c:v>
                </c:pt>
                <c:pt idx="90">
                  <c:v>2.1215291023254395</c:v>
                </c:pt>
                <c:pt idx="91">
                  <c:v>2.1005706787109375</c:v>
                </c:pt>
                <c:pt idx="92">
                  <c:v>2.079045295715332</c:v>
                </c:pt>
                <c:pt idx="93">
                  <c:v>2.0969488620758057</c:v>
                </c:pt>
                <c:pt idx="94">
                  <c:v>2.1270029544830322</c:v>
                </c:pt>
                <c:pt idx="95">
                  <c:v>2.1414401531219482</c:v>
                </c:pt>
                <c:pt idx="96">
                  <c:v>2.1497676372528076</c:v>
                </c:pt>
                <c:pt idx="97">
                  <c:v>2.1500101089477539</c:v>
                </c:pt>
                <c:pt idx="98">
                  <c:v>2.0983023643493652</c:v>
                </c:pt>
                <c:pt idx="99">
                  <c:v>2.0679922103881836</c:v>
                </c:pt>
                <c:pt idx="100">
                  <c:v>2.0977811813354492</c:v>
                </c:pt>
                <c:pt idx="101">
                  <c:v>2.0707542896270752</c:v>
                </c:pt>
                <c:pt idx="102">
                  <c:v>2.0651066303253174</c:v>
                </c:pt>
                <c:pt idx="103">
                  <c:v>2.111710786819458</c:v>
                </c:pt>
                <c:pt idx="104">
                  <c:v>2.1096572875976563</c:v>
                </c:pt>
                <c:pt idx="105">
                  <c:v>2.1106634140014648</c:v>
                </c:pt>
                <c:pt idx="106">
                  <c:v>2.1058754920959473</c:v>
                </c:pt>
                <c:pt idx="107">
                  <c:v>2.1340179443359375</c:v>
                </c:pt>
                <c:pt idx="108">
                  <c:v>2.1346490383148193</c:v>
                </c:pt>
                <c:pt idx="109">
                  <c:v>2.1030080318450928</c:v>
                </c:pt>
                <c:pt idx="110">
                  <c:v>2.105276346206665</c:v>
                </c:pt>
                <c:pt idx="111">
                  <c:v>2.1173675060272217</c:v>
                </c:pt>
                <c:pt idx="112">
                  <c:v>2.0948224067687988</c:v>
                </c:pt>
                <c:pt idx="113">
                  <c:v>2.0719113349914551</c:v>
                </c:pt>
                <c:pt idx="114">
                  <c:v>2.1074211597442627</c:v>
                </c:pt>
                <c:pt idx="115">
                  <c:v>2.1267788410186768</c:v>
                </c:pt>
                <c:pt idx="116">
                  <c:v>2.1382160186767578</c:v>
                </c:pt>
                <c:pt idx="117">
                  <c:v>2.1267697811126709</c:v>
                </c:pt>
                <c:pt idx="118">
                  <c:v>2.0718884468078613</c:v>
                </c:pt>
                <c:pt idx="119">
                  <c:v>2.0489089488983154</c:v>
                </c:pt>
                <c:pt idx="120">
                  <c:v>2.1171433925628662</c:v>
                </c:pt>
                <c:pt idx="121">
                  <c:v>2.1612231731414795</c:v>
                </c:pt>
                <c:pt idx="122">
                  <c:v>2.1083860397338867</c:v>
                </c:pt>
                <c:pt idx="123">
                  <c:v>2.107311487197876</c:v>
                </c:pt>
                <c:pt idx="124">
                  <c:v>2.1048877239227295</c:v>
                </c:pt>
                <c:pt idx="125">
                  <c:v>2.1075811386108398</c:v>
                </c:pt>
                <c:pt idx="126">
                  <c:v>2.0941455364227295</c:v>
                </c:pt>
                <c:pt idx="127">
                  <c:v>2.0654220581054688</c:v>
                </c:pt>
                <c:pt idx="128">
                  <c:v>2.067690372467041</c:v>
                </c:pt>
                <c:pt idx="129">
                  <c:v>2.04736328125</c:v>
                </c:pt>
                <c:pt idx="130">
                  <c:v>2.0601403713226318</c:v>
                </c:pt>
                <c:pt idx="131">
                  <c:v>2.0486025810241699</c:v>
                </c:pt>
                <c:pt idx="132">
                  <c:v>2.0691399574279785</c:v>
                </c:pt>
                <c:pt idx="133">
                  <c:v>2.1193568706512451</c:v>
                </c:pt>
                <c:pt idx="134">
                  <c:v>2.1053769588470459</c:v>
                </c:pt>
                <c:pt idx="135">
                  <c:v>2.1177060604095459</c:v>
                </c:pt>
                <c:pt idx="136">
                  <c:v>2.4916632175445557</c:v>
                </c:pt>
                <c:pt idx="137">
                  <c:v>2.674818754196167</c:v>
                </c:pt>
                <c:pt idx="138">
                  <c:v>2.3070123195648193</c:v>
                </c:pt>
                <c:pt idx="139">
                  <c:v>2.0879306793212891</c:v>
                </c:pt>
                <c:pt idx="140">
                  <c:v>2.1284847259521484</c:v>
                </c:pt>
                <c:pt idx="141">
                  <c:v>2.1047368049621582</c:v>
                </c:pt>
                <c:pt idx="142">
                  <c:v>2.0877935886383057</c:v>
                </c:pt>
                <c:pt idx="143">
                  <c:v>2.0909168720245361</c:v>
                </c:pt>
                <c:pt idx="144">
                  <c:v>2.1168370246887207</c:v>
                </c:pt>
                <c:pt idx="145">
                  <c:v>2.1024410724639893</c:v>
                </c:pt>
                <c:pt idx="146">
                  <c:v>2.1395149230957031</c:v>
                </c:pt>
                <c:pt idx="147">
                  <c:v>2.1398532390594482</c:v>
                </c:pt>
                <c:pt idx="148">
                  <c:v>2.0689435005187988</c:v>
                </c:pt>
                <c:pt idx="149">
                  <c:v>2.0577166080474854</c:v>
                </c:pt>
                <c:pt idx="150">
                  <c:v>2.073676586151123</c:v>
                </c:pt>
                <c:pt idx="151">
                  <c:v>2.129399299621582</c:v>
                </c:pt>
                <c:pt idx="152">
                  <c:v>2.2076945304870605</c:v>
                </c:pt>
                <c:pt idx="153">
                  <c:v>2.1541669368743896</c:v>
                </c:pt>
                <c:pt idx="154">
                  <c:v>2.0958559513092041</c:v>
                </c:pt>
                <c:pt idx="155">
                  <c:v>2.1537141799926758</c:v>
                </c:pt>
                <c:pt idx="156">
                  <c:v>2.1356141567230225</c:v>
                </c:pt>
                <c:pt idx="157">
                  <c:v>2.069277286529541</c:v>
                </c:pt>
                <c:pt idx="158">
                  <c:v>2.0771932601928711</c:v>
                </c:pt>
                <c:pt idx="159">
                  <c:v>2.0787708759307861</c:v>
                </c:pt>
                <c:pt idx="160">
                  <c:v>2.1349508762359619</c:v>
                </c:pt>
                <c:pt idx="161">
                  <c:v>2.2142798900604248</c:v>
                </c:pt>
                <c:pt idx="162">
                  <c:v>2.1358473300933838</c:v>
                </c:pt>
                <c:pt idx="163">
                  <c:v>2.0961027145385742</c:v>
                </c:pt>
                <c:pt idx="164">
                  <c:v>2.1823506355285645</c:v>
                </c:pt>
                <c:pt idx="165">
                  <c:v>2.1731679439544678</c:v>
                </c:pt>
                <c:pt idx="166">
                  <c:v>2.1679317951202393</c:v>
                </c:pt>
                <c:pt idx="167">
                  <c:v>2.1030631065368652</c:v>
                </c:pt>
                <c:pt idx="168">
                  <c:v>2.064699649810791</c:v>
                </c:pt>
                <c:pt idx="169">
                  <c:v>2.1379051208496094</c:v>
                </c:pt>
                <c:pt idx="170">
                  <c:v>2.1785550117492676</c:v>
                </c:pt>
                <c:pt idx="171">
                  <c:v>2.1625630855560303</c:v>
                </c:pt>
                <c:pt idx="172">
                  <c:v>2.1779284477233887</c:v>
                </c:pt>
                <c:pt idx="173">
                  <c:v>2.1483545303344727</c:v>
                </c:pt>
                <c:pt idx="174">
                  <c:v>2.1502616405487061</c:v>
                </c:pt>
                <c:pt idx="175">
                  <c:v>2.206953763961792</c:v>
                </c:pt>
                <c:pt idx="176">
                  <c:v>2.2105298042297363</c:v>
                </c:pt>
                <c:pt idx="177">
                  <c:v>2.1741604804992676</c:v>
                </c:pt>
                <c:pt idx="178">
                  <c:v>2.1996779441833496</c:v>
                </c:pt>
                <c:pt idx="179">
                  <c:v>2.1512494087219238</c:v>
                </c:pt>
                <c:pt idx="180">
                  <c:v>2.1066253185272217</c:v>
                </c:pt>
                <c:pt idx="181">
                  <c:v>2.1438455581665039</c:v>
                </c:pt>
                <c:pt idx="182">
                  <c:v>2.1570067405700684</c:v>
                </c:pt>
                <c:pt idx="183">
                  <c:v>2.197528600692749</c:v>
                </c:pt>
                <c:pt idx="184">
                  <c:v>2.2270660400390625</c:v>
                </c:pt>
                <c:pt idx="185">
                  <c:v>2.1656134128570557</c:v>
                </c:pt>
                <c:pt idx="186">
                  <c:v>2.1535861492156982</c:v>
                </c:pt>
                <c:pt idx="187">
                  <c:v>2.1519627571105957</c:v>
                </c:pt>
                <c:pt idx="188">
                  <c:v>2.1100232601165771</c:v>
                </c:pt>
                <c:pt idx="189">
                  <c:v>2.1170198917388916</c:v>
                </c:pt>
                <c:pt idx="190">
                  <c:v>2.1282238960266113</c:v>
                </c:pt>
                <c:pt idx="191">
                  <c:v>2.1241219043731689</c:v>
                </c:pt>
                <c:pt idx="192">
                  <c:v>2.080636739730835</c:v>
                </c:pt>
                <c:pt idx="193">
                  <c:v>2.0942416191101074</c:v>
                </c:pt>
                <c:pt idx="194">
                  <c:v>2.1049654483795166</c:v>
                </c:pt>
                <c:pt idx="195">
                  <c:v>2.1362588405609131</c:v>
                </c:pt>
                <c:pt idx="196">
                  <c:v>2.158973217010498</c:v>
                </c:pt>
                <c:pt idx="197">
                  <c:v>2.1441154479980469</c:v>
                </c:pt>
                <c:pt idx="198">
                  <c:v>2.149301290512085</c:v>
                </c:pt>
                <c:pt idx="199">
                  <c:v>2.1417052745819092</c:v>
                </c:pt>
                <c:pt idx="200">
                  <c:v>2.1231296062469482</c:v>
                </c:pt>
                <c:pt idx="201">
                  <c:v>2.0762283802032471</c:v>
                </c:pt>
                <c:pt idx="202">
                  <c:v>2.1334419250488281</c:v>
                </c:pt>
                <c:pt idx="203">
                  <c:v>2.1763508319854736</c:v>
                </c:pt>
                <c:pt idx="204">
                  <c:v>2.1166267395019531</c:v>
                </c:pt>
                <c:pt idx="205">
                  <c:v>2.0981514453887939</c:v>
                </c:pt>
                <c:pt idx="206">
                  <c:v>2.0872540473937988</c:v>
                </c:pt>
                <c:pt idx="207">
                  <c:v>2.0842220783233643</c:v>
                </c:pt>
                <c:pt idx="208">
                  <c:v>2.0972552299499512</c:v>
                </c:pt>
                <c:pt idx="209">
                  <c:v>2.1280274391174316</c:v>
                </c:pt>
                <c:pt idx="210">
                  <c:v>2.1318733692169189</c:v>
                </c:pt>
                <c:pt idx="211">
                  <c:v>2.10959792137146</c:v>
                </c:pt>
                <c:pt idx="212">
                  <c:v>2.0923209190368652</c:v>
                </c:pt>
                <c:pt idx="213">
                  <c:v>2.1363320350646973</c:v>
                </c:pt>
                <c:pt idx="214">
                  <c:v>2.1175277233123779</c:v>
                </c:pt>
                <c:pt idx="215">
                  <c:v>2.123673677444458</c:v>
                </c:pt>
                <c:pt idx="216">
                  <c:v>2.1598055362701416</c:v>
                </c:pt>
                <c:pt idx="217">
                  <c:v>2.0699586868286133</c:v>
                </c:pt>
                <c:pt idx="218">
                  <c:v>2.0810253620147705</c:v>
                </c:pt>
                <c:pt idx="219">
                  <c:v>2.1731817722320557</c:v>
                </c:pt>
                <c:pt idx="220">
                  <c:v>2.1858353614807129</c:v>
                </c:pt>
                <c:pt idx="221">
                  <c:v>2.2584097385406494</c:v>
                </c:pt>
                <c:pt idx="222">
                  <c:v>2.244631290435791</c:v>
                </c:pt>
                <c:pt idx="223">
                  <c:v>2.2335734367370605</c:v>
                </c:pt>
                <c:pt idx="224">
                  <c:v>2.1542949676513672</c:v>
                </c:pt>
                <c:pt idx="225">
                  <c:v>2</c:v>
                </c:pt>
              </c:numCache>
            </c:numRef>
          </c:yVal>
          <c:smooth val="1"/>
          <c:extLst>
            <c:ext xmlns:c16="http://schemas.microsoft.com/office/drawing/2014/chart" uri="{C3380CC4-5D6E-409C-BE32-E72D297353CC}">
              <c16:uniqueId val="{00000006-C55B-4A1A-87F7-276FE06EA34B}"/>
            </c:ext>
          </c:extLst>
        </c:ser>
        <c:ser>
          <c:idx val="7"/>
          <c:order val="7"/>
          <c:tx>
            <c:v>8</c:v>
          </c:tx>
          <c:spPr>
            <a:ln w="19050" cap="rnd">
              <a:noFill/>
              <a:round/>
            </a:ln>
            <a:effectLst/>
            <a:extLst>
              <a:ext uri="{91240B29-F687-4F45-9708-019B960494DF}">
                <a14:hiddenLine xmlns:a14="http://schemas.microsoft.com/office/drawing/2010/main" w="19050" cap="rnd">
                  <a:solidFill>
                    <a:srgbClr val="ED7D31">
                      <a:lumMod val="60000"/>
                    </a:srgbClr>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NormalisedUVVisData!$I$2:$I$300</c:f>
              <c:numCache>
                <c:formatCode>General</c:formatCode>
                <c:ptCount val="299"/>
                <c:pt idx="0">
                  <c:v>100</c:v>
                </c:pt>
                <c:pt idx="1">
                  <c:v>86.344573974609375</c:v>
                </c:pt>
                <c:pt idx="2">
                  <c:v>71.910797119140625</c:v>
                </c:pt>
                <c:pt idx="3">
                  <c:v>58.720592498779297</c:v>
                </c:pt>
                <c:pt idx="4">
                  <c:v>47.625778198242188</c:v>
                </c:pt>
                <c:pt idx="5">
                  <c:v>38.467159271240234</c:v>
                </c:pt>
                <c:pt idx="6">
                  <c:v>30.40962028503418</c:v>
                </c:pt>
                <c:pt idx="7">
                  <c:v>23.820709228515625</c:v>
                </c:pt>
                <c:pt idx="8">
                  <c:v>18.407428741455078</c:v>
                </c:pt>
                <c:pt idx="9">
                  <c:v>13.642251968383789</c:v>
                </c:pt>
                <c:pt idx="10">
                  <c:v>9.8537406921386719</c:v>
                </c:pt>
                <c:pt idx="11">
                  <c:v>7.0498008728027344</c:v>
                </c:pt>
                <c:pt idx="12">
                  <c:v>5.1340389251708984</c:v>
                </c:pt>
                <c:pt idx="13">
                  <c:v>3.8511583805084229</c:v>
                </c:pt>
                <c:pt idx="14">
                  <c:v>3.043381929397583</c:v>
                </c:pt>
                <c:pt idx="15">
                  <c:v>2.553682804107666</c:v>
                </c:pt>
                <c:pt idx="16">
                  <c:v>2.2685034275054932</c:v>
                </c:pt>
                <c:pt idx="17">
                  <c:v>2.1072254180908203</c:v>
                </c:pt>
                <c:pt idx="18">
                  <c:v>2.0293178558349609</c:v>
                </c:pt>
                <c:pt idx="19">
                  <c:v>2</c:v>
                </c:pt>
                <c:pt idx="20">
                  <c:v>2.0035519599914551</c:v>
                </c:pt>
                <c:pt idx="21">
                  <c:v>2.0271761417388916</c:v>
                </c:pt>
                <c:pt idx="22">
                  <c:v>2.0636997222900391</c:v>
                </c:pt>
                <c:pt idx="23">
                  <c:v>2.1033620834350586</c:v>
                </c:pt>
                <c:pt idx="24">
                  <c:v>2.1452758312225342</c:v>
                </c:pt>
                <c:pt idx="25">
                  <c:v>2.1923339366912842</c:v>
                </c:pt>
                <c:pt idx="26">
                  <c:v>2.240633487701416</c:v>
                </c:pt>
                <c:pt idx="27">
                  <c:v>2.2739198207855225</c:v>
                </c:pt>
                <c:pt idx="28">
                  <c:v>2.3007926940917969</c:v>
                </c:pt>
                <c:pt idx="29">
                  <c:v>2.3328213691711426</c:v>
                </c:pt>
                <c:pt idx="30">
                  <c:v>2.3635444641113281</c:v>
                </c:pt>
                <c:pt idx="31">
                  <c:v>2.3770489692687988</c:v>
                </c:pt>
                <c:pt idx="32">
                  <c:v>2.3916800022125244</c:v>
                </c:pt>
                <c:pt idx="33">
                  <c:v>2.4095449447631836</c:v>
                </c:pt>
                <c:pt idx="34">
                  <c:v>2.4184103012084961</c:v>
                </c:pt>
                <c:pt idx="35">
                  <c:v>2.4174983501434326</c:v>
                </c:pt>
                <c:pt idx="36">
                  <c:v>2.4239940643310547</c:v>
                </c:pt>
                <c:pt idx="37">
                  <c:v>2.42803955078125</c:v>
                </c:pt>
                <c:pt idx="38">
                  <c:v>2.4289956092834473</c:v>
                </c:pt>
                <c:pt idx="39">
                  <c:v>2.4246318340301514</c:v>
                </c:pt>
                <c:pt idx="40">
                  <c:v>2.4214653968811035</c:v>
                </c:pt>
                <c:pt idx="41">
                  <c:v>2.4034512042999268</c:v>
                </c:pt>
                <c:pt idx="42">
                  <c:v>2.4022819995880127</c:v>
                </c:pt>
                <c:pt idx="43">
                  <c:v>2.4190299510955811</c:v>
                </c:pt>
                <c:pt idx="44">
                  <c:v>2.4232659339904785</c:v>
                </c:pt>
                <c:pt idx="45">
                  <c:v>2.4253370761871338</c:v>
                </c:pt>
                <c:pt idx="46">
                  <c:v>2.4113717079162598</c:v>
                </c:pt>
                <c:pt idx="47">
                  <c:v>2.41522216796875</c:v>
                </c:pt>
                <c:pt idx="48">
                  <c:v>2.4313867092132568</c:v>
                </c:pt>
                <c:pt idx="49">
                  <c:v>2.4496171474456787</c:v>
                </c:pt>
                <c:pt idx="50">
                  <c:v>2.4484415054321289</c:v>
                </c:pt>
                <c:pt idx="51">
                  <c:v>2.4462308883666992</c:v>
                </c:pt>
                <c:pt idx="52">
                  <c:v>2.4482429027557373</c:v>
                </c:pt>
                <c:pt idx="53">
                  <c:v>2.4502813816070557</c:v>
                </c:pt>
                <c:pt idx="54">
                  <c:v>2.4482529163360596</c:v>
                </c:pt>
                <c:pt idx="55">
                  <c:v>2.4456191062927246</c:v>
                </c:pt>
                <c:pt idx="56">
                  <c:v>2.4427182674407959</c:v>
                </c:pt>
                <c:pt idx="57">
                  <c:v>2.4470558166503906</c:v>
                </c:pt>
                <c:pt idx="58">
                  <c:v>2.4552304744720459</c:v>
                </c:pt>
                <c:pt idx="59">
                  <c:v>2.4559602737426758</c:v>
                </c:pt>
                <c:pt idx="60">
                  <c:v>2.4490334987640381</c:v>
                </c:pt>
                <c:pt idx="61">
                  <c:v>2.4620671272277832</c:v>
                </c:pt>
                <c:pt idx="62">
                  <c:v>2.4710192680358887</c:v>
                </c:pt>
                <c:pt idx="63">
                  <c:v>2.4700911045074463</c:v>
                </c:pt>
                <c:pt idx="64">
                  <c:v>2.4836087226867676</c:v>
                </c:pt>
                <c:pt idx="65">
                  <c:v>2.4874362945556641</c:v>
                </c:pt>
                <c:pt idx="66">
                  <c:v>2.4737250804901123</c:v>
                </c:pt>
                <c:pt idx="67">
                  <c:v>2.4585971832275391</c:v>
                </c:pt>
                <c:pt idx="68">
                  <c:v>2.4675378799438477</c:v>
                </c:pt>
                <c:pt idx="69">
                  <c:v>2.4745876789093018</c:v>
                </c:pt>
                <c:pt idx="70">
                  <c:v>2.4630839824676514</c:v>
                </c:pt>
                <c:pt idx="71">
                  <c:v>2.460735559463501</c:v>
                </c:pt>
                <c:pt idx="72">
                  <c:v>2.4600830078125</c:v>
                </c:pt>
                <c:pt idx="73">
                  <c:v>2.4607996940612793</c:v>
                </c:pt>
                <c:pt idx="74">
                  <c:v>2.468944787979126</c:v>
                </c:pt>
                <c:pt idx="75">
                  <c:v>2.4633300304412842</c:v>
                </c:pt>
                <c:pt idx="76">
                  <c:v>2.4658684730529785</c:v>
                </c:pt>
                <c:pt idx="77">
                  <c:v>2.4733397960662842</c:v>
                </c:pt>
                <c:pt idx="78">
                  <c:v>2.4843089580535889</c:v>
                </c:pt>
                <c:pt idx="79">
                  <c:v>2.4882447719573975</c:v>
                </c:pt>
                <c:pt idx="80">
                  <c:v>2.4818408489227295</c:v>
                </c:pt>
                <c:pt idx="81">
                  <c:v>2.4748518466949463</c:v>
                </c:pt>
                <c:pt idx="82">
                  <c:v>2.4691433906555176</c:v>
                </c:pt>
                <c:pt idx="83">
                  <c:v>2.4784693717956543</c:v>
                </c:pt>
                <c:pt idx="84">
                  <c:v>2.4833216667175293</c:v>
                </c:pt>
                <c:pt idx="85">
                  <c:v>2.4780693054199219</c:v>
                </c:pt>
                <c:pt idx="86">
                  <c:v>2.4757847785949707</c:v>
                </c:pt>
                <c:pt idx="87">
                  <c:v>2.4746417999267578</c:v>
                </c:pt>
                <c:pt idx="88">
                  <c:v>2.47845458984375</c:v>
                </c:pt>
                <c:pt idx="89">
                  <c:v>2.4658882617950439</c:v>
                </c:pt>
                <c:pt idx="90">
                  <c:v>2.4385659694671631</c:v>
                </c:pt>
                <c:pt idx="91">
                  <c:v>2.4333250522613525</c:v>
                </c:pt>
                <c:pt idx="92">
                  <c:v>2.4431838989257813</c:v>
                </c:pt>
                <c:pt idx="93">
                  <c:v>2.4484577178955078</c:v>
                </c:pt>
                <c:pt idx="94">
                  <c:v>2.461143970489502</c:v>
                </c:pt>
                <c:pt idx="95">
                  <c:v>2.4499647617340088</c:v>
                </c:pt>
                <c:pt idx="96">
                  <c:v>2.4427132606506348</c:v>
                </c:pt>
                <c:pt idx="97">
                  <c:v>2.450127124786377</c:v>
                </c:pt>
                <c:pt idx="98">
                  <c:v>2.4543678760528564</c:v>
                </c:pt>
                <c:pt idx="99">
                  <c:v>2.4575953483581543</c:v>
                </c:pt>
                <c:pt idx="100">
                  <c:v>2.4560079574584961</c:v>
                </c:pt>
                <c:pt idx="101">
                  <c:v>2.4566457271575928</c:v>
                </c:pt>
                <c:pt idx="102">
                  <c:v>2.4551632404327393</c:v>
                </c:pt>
                <c:pt idx="103">
                  <c:v>2.4658734798431396</c:v>
                </c:pt>
                <c:pt idx="104">
                  <c:v>2.4571425914764404</c:v>
                </c:pt>
                <c:pt idx="105">
                  <c:v>2.4451026916503906</c:v>
                </c:pt>
                <c:pt idx="106">
                  <c:v>2.4649894237518311</c:v>
                </c:pt>
                <c:pt idx="107">
                  <c:v>2.4705600738525391</c:v>
                </c:pt>
                <c:pt idx="108">
                  <c:v>2.4623672962188721</c:v>
                </c:pt>
                <c:pt idx="109">
                  <c:v>2.4661407470703125</c:v>
                </c:pt>
                <c:pt idx="110">
                  <c:v>2.4573099613189697</c:v>
                </c:pt>
                <c:pt idx="111">
                  <c:v>2.4464964866638184</c:v>
                </c:pt>
                <c:pt idx="112">
                  <c:v>2.447232723236084</c:v>
                </c:pt>
                <c:pt idx="113">
                  <c:v>2.4522311687469482</c:v>
                </c:pt>
                <c:pt idx="114">
                  <c:v>2.4695205688476563</c:v>
                </c:pt>
                <c:pt idx="115">
                  <c:v>2.4746696949005127</c:v>
                </c:pt>
                <c:pt idx="116">
                  <c:v>2.4678444862365723</c:v>
                </c:pt>
                <c:pt idx="117">
                  <c:v>2.4597237110137939</c:v>
                </c:pt>
                <c:pt idx="118">
                  <c:v>2.4669589996337891</c:v>
                </c:pt>
                <c:pt idx="119">
                  <c:v>2.4686415195465088</c:v>
                </c:pt>
                <c:pt idx="120">
                  <c:v>2.4489235877990723</c:v>
                </c:pt>
                <c:pt idx="121">
                  <c:v>2.4448337554931641</c:v>
                </c:pt>
                <c:pt idx="122">
                  <c:v>2.4513359069824219</c:v>
                </c:pt>
                <c:pt idx="123">
                  <c:v>2.4670853614807129</c:v>
                </c:pt>
                <c:pt idx="124">
                  <c:v>2.4756176471710205</c:v>
                </c:pt>
                <c:pt idx="125">
                  <c:v>2.4651141166687012</c:v>
                </c:pt>
                <c:pt idx="126">
                  <c:v>2.4489383697509766</c:v>
                </c:pt>
                <c:pt idx="127">
                  <c:v>2.4515554904937744</c:v>
                </c:pt>
                <c:pt idx="128">
                  <c:v>2.4689302444458008</c:v>
                </c:pt>
                <c:pt idx="129">
                  <c:v>2.4733331203460693</c:v>
                </c:pt>
                <c:pt idx="130">
                  <c:v>2.4733726978302002</c:v>
                </c:pt>
                <c:pt idx="131">
                  <c:v>2.4642908573150635</c:v>
                </c:pt>
                <c:pt idx="132">
                  <c:v>2.4599206447601318</c:v>
                </c:pt>
                <c:pt idx="133">
                  <c:v>2.4638121128082275</c:v>
                </c:pt>
                <c:pt idx="134">
                  <c:v>2.4576592445373535</c:v>
                </c:pt>
                <c:pt idx="135">
                  <c:v>2.4722590446472168</c:v>
                </c:pt>
                <c:pt idx="136">
                  <c:v>2.7011215686798096</c:v>
                </c:pt>
                <c:pt idx="137">
                  <c:v>2.8179011344909668</c:v>
                </c:pt>
                <c:pt idx="138">
                  <c:v>2.604511022567749</c:v>
                </c:pt>
                <c:pt idx="139">
                  <c:v>2.4591743946075439</c:v>
                </c:pt>
                <c:pt idx="140">
                  <c:v>2.4516048431396484</c:v>
                </c:pt>
                <c:pt idx="141">
                  <c:v>2.443000316619873</c:v>
                </c:pt>
                <c:pt idx="142">
                  <c:v>2.4453601837158203</c:v>
                </c:pt>
                <c:pt idx="143">
                  <c:v>2.4350583553314209</c:v>
                </c:pt>
                <c:pt idx="144">
                  <c:v>2.4377820491790771</c:v>
                </c:pt>
                <c:pt idx="145">
                  <c:v>2.4615161418914795</c:v>
                </c:pt>
                <c:pt idx="146">
                  <c:v>2.4505486488342285</c:v>
                </c:pt>
                <c:pt idx="147">
                  <c:v>2.4746108055114746</c:v>
                </c:pt>
                <c:pt idx="148">
                  <c:v>2.5638303756713867</c:v>
                </c:pt>
                <c:pt idx="149">
                  <c:v>2.554645299911499</c:v>
                </c:pt>
                <c:pt idx="150">
                  <c:v>2.4355928897857666</c:v>
                </c:pt>
                <c:pt idx="151">
                  <c:v>2.4495794773101807</c:v>
                </c:pt>
                <c:pt idx="152">
                  <c:v>2.4359912872314453</c:v>
                </c:pt>
                <c:pt idx="153">
                  <c:v>2.4454913139343262</c:v>
                </c:pt>
                <c:pt idx="154">
                  <c:v>2.4793188571929932</c:v>
                </c:pt>
                <c:pt idx="155">
                  <c:v>2.4667129516601563</c:v>
                </c:pt>
                <c:pt idx="156">
                  <c:v>2.4450106620788574</c:v>
                </c:pt>
                <c:pt idx="157">
                  <c:v>2.4596483707427979</c:v>
                </c:pt>
                <c:pt idx="158">
                  <c:v>2.4588825702667236</c:v>
                </c:pt>
                <c:pt idx="159">
                  <c:v>2.4404075145721436</c:v>
                </c:pt>
                <c:pt idx="160">
                  <c:v>2.4523279666900635</c:v>
                </c:pt>
                <c:pt idx="161">
                  <c:v>2.4642481803894043</c:v>
                </c:pt>
                <c:pt idx="162">
                  <c:v>2.4600682258605957</c:v>
                </c:pt>
                <c:pt idx="163">
                  <c:v>2.4690268039703369</c:v>
                </c:pt>
                <c:pt idx="164">
                  <c:v>2.4512341022491455</c:v>
                </c:pt>
                <c:pt idx="165">
                  <c:v>2.4455797672271729</c:v>
                </c:pt>
                <c:pt idx="166">
                  <c:v>2.4804978370666504</c:v>
                </c:pt>
                <c:pt idx="167">
                  <c:v>2.4517982006072998</c:v>
                </c:pt>
                <c:pt idx="168">
                  <c:v>2.4686169624328613</c:v>
                </c:pt>
                <c:pt idx="169">
                  <c:v>2.4960653781890869</c:v>
                </c:pt>
                <c:pt idx="170">
                  <c:v>2.4864130020141602</c:v>
                </c:pt>
                <c:pt idx="171">
                  <c:v>2.4483447074890137</c:v>
                </c:pt>
                <c:pt idx="172">
                  <c:v>2.4487283229827881</c:v>
                </c:pt>
                <c:pt idx="173">
                  <c:v>2.4657487869262695</c:v>
                </c:pt>
                <c:pt idx="174">
                  <c:v>2.4449074268341064</c:v>
                </c:pt>
                <c:pt idx="175">
                  <c:v>2.4869132041931152</c:v>
                </c:pt>
                <c:pt idx="176">
                  <c:v>2.4821164608001709</c:v>
                </c:pt>
                <c:pt idx="177">
                  <c:v>2.4540925025939941</c:v>
                </c:pt>
                <c:pt idx="178">
                  <c:v>2.4668574333190918</c:v>
                </c:pt>
                <c:pt idx="179">
                  <c:v>2.4813883304595947</c:v>
                </c:pt>
                <c:pt idx="180">
                  <c:v>2.4925920963287354</c:v>
                </c:pt>
                <c:pt idx="181">
                  <c:v>2.4816246032714844</c:v>
                </c:pt>
                <c:pt idx="182">
                  <c:v>2.4768540859222412</c:v>
                </c:pt>
                <c:pt idx="183">
                  <c:v>2.4720640182495117</c:v>
                </c:pt>
                <c:pt idx="184">
                  <c:v>2.4799535274505615</c:v>
                </c:pt>
                <c:pt idx="185">
                  <c:v>2.4937925338745117</c:v>
                </c:pt>
                <c:pt idx="186">
                  <c:v>2.497201681137085</c:v>
                </c:pt>
                <c:pt idx="187">
                  <c:v>2.485255241394043</c:v>
                </c:pt>
                <c:pt idx="188">
                  <c:v>2.4438300132751465</c:v>
                </c:pt>
                <c:pt idx="189">
                  <c:v>2.4791514873504639</c:v>
                </c:pt>
                <c:pt idx="190">
                  <c:v>2.4889366626739502</c:v>
                </c:pt>
                <c:pt idx="191">
                  <c:v>2.4451649188995361</c:v>
                </c:pt>
                <c:pt idx="192">
                  <c:v>2.4461734294891357</c:v>
                </c:pt>
                <c:pt idx="193">
                  <c:v>2.4489777088165283</c:v>
                </c:pt>
                <c:pt idx="194">
                  <c:v>2.4711489677429199</c:v>
                </c:pt>
                <c:pt idx="195">
                  <c:v>2.4626247882843018</c:v>
                </c:pt>
                <c:pt idx="196">
                  <c:v>2.4963457584381104</c:v>
                </c:pt>
                <c:pt idx="197">
                  <c:v>2.4859998226165771</c:v>
                </c:pt>
                <c:pt idx="198">
                  <c:v>2.4683446884155273</c:v>
                </c:pt>
                <c:pt idx="199">
                  <c:v>2.4813752174377441</c:v>
                </c:pt>
                <c:pt idx="200">
                  <c:v>2.5015079975128174</c:v>
                </c:pt>
                <c:pt idx="201">
                  <c:v>2.4970786571502686</c:v>
                </c:pt>
                <c:pt idx="202">
                  <c:v>2.4542760848999023</c:v>
                </c:pt>
                <c:pt idx="203">
                  <c:v>2.4935300350189209</c:v>
                </c:pt>
                <c:pt idx="204">
                  <c:v>2.48236083984375</c:v>
                </c:pt>
                <c:pt idx="205">
                  <c:v>2.4861619472503662</c:v>
                </c:pt>
                <c:pt idx="206">
                  <c:v>2.4592154026031494</c:v>
                </c:pt>
                <c:pt idx="207">
                  <c:v>2.4617030620574951</c:v>
                </c:pt>
                <c:pt idx="208">
                  <c:v>2.4331281185150146</c:v>
                </c:pt>
                <c:pt idx="209">
                  <c:v>2.4458439350128174</c:v>
                </c:pt>
                <c:pt idx="210">
                  <c:v>2.4663407802581787</c:v>
                </c:pt>
                <c:pt idx="211">
                  <c:v>2.4506044387817383</c:v>
                </c:pt>
                <c:pt idx="212">
                  <c:v>2.4954946041107178</c:v>
                </c:pt>
                <c:pt idx="213">
                  <c:v>2.4480478763580322</c:v>
                </c:pt>
                <c:pt idx="214">
                  <c:v>2.4577903747558594</c:v>
                </c:pt>
                <c:pt idx="215">
                  <c:v>2.4328362941741943</c:v>
                </c:pt>
                <c:pt idx="216">
                  <c:v>2.433175802230835</c:v>
                </c:pt>
                <c:pt idx="217">
                  <c:v>2.4399862289428711</c:v>
                </c:pt>
                <c:pt idx="218">
                  <c:v>2.3953075408935547</c:v>
                </c:pt>
                <c:pt idx="219">
                  <c:v>2.4452650547027588</c:v>
                </c:pt>
                <c:pt idx="220">
                  <c:v>2.4139349460601807</c:v>
                </c:pt>
                <c:pt idx="221">
                  <c:v>2.4767031669616699</c:v>
                </c:pt>
                <c:pt idx="222">
                  <c:v>2.5511965751647949</c:v>
                </c:pt>
                <c:pt idx="223">
                  <c:v>2.4792170524597168</c:v>
                </c:pt>
                <c:pt idx="224">
                  <c:v>2.5541024208068848</c:v>
                </c:pt>
                <c:pt idx="225">
                  <c:v>2.4130165576934814</c:v>
                </c:pt>
              </c:numCache>
            </c:numRef>
          </c:yVal>
          <c:smooth val="1"/>
          <c:extLst>
            <c:ext xmlns:c16="http://schemas.microsoft.com/office/drawing/2014/chart" uri="{C3380CC4-5D6E-409C-BE32-E72D297353CC}">
              <c16:uniqueId val="{00000007-C55B-4A1A-87F7-276FE06EA34B}"/>
            </c:ext>
          </c:extLst>
        </c:ser>
        <c:dLbls>
          <c:showLegendKey val="0"/>
          <c:showVal val="0"/>
          <c:showCatName val="0"/>
          <c:showSerName val="0"/>
          <c:showPercent val="0"/>
          <c:showBubbleSize val="0"/>
        </c:dLbls>
        <c:axId val="1816209824"/>
        <c:axId val="1816210368"/>
      </c:scatterChart>
      <c:valAx>
        <c:axId val="1816209824"/>
        <c:scaling>
          <c:orientation val="minMax"/>
          <c:max val="600"/>
          <c:min val="20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400" b="0" i="0" u="none" strike="noStrike" kern="1200" baseline="0">
                    <a:solidFill>
                      <a:schemeClr val="tx1"/>
                    </a:solidFill>
                    <a:latin typeface="+mn-lt"/>
                    <a:ea typeface="+mn-ea"/>
                    <a:cs typeface="+mn-cs"/>
                  </a:defRPr>
                </a:pPr>
                <a:r>
                  <a:rPr lang="en-AU" sz="1400">
                    <a:solidFill>
                      <a:schemeClr val="tx1"/>
                    </a:solidFill>
                  </a:rPr>
                  <a:t>Wavelength (nm)</a:t>
                </a:r>
              </a:p>
            </c:rich>
          </c:tx>
          <c:layout>
            <c:manualLayout>
              <c:xMode val="edge"/>
              <c:yMode val="edge"/>
              <c:x val="0.40139134506920809"/>
              <c:y val="0.95506604301598996"/>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1816210368"/>
        <c:crosses val="autoZero"/>
        <c:crossBetween val="midCat"/>
        <c:majorUnit val="50"/>
      </c:valAx>
      <c:valAx>
        <c:axId val="1816210368"/>
        <c:scaling>
          <c:orientation val="minMax"/>
          <c:max val="104"/>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1816209824"/>
        <c:crosses val="autoZero"/>
        <c:crossBetween val="midCat"/>
        <c:majorUnit val="25"/>
      </c:valAx>
      <c:spPr>
        <a:noFill/>
        <a:ln>
          <a:noFill/>
        </a:ln>
        <a:effectLst/>
      </c:spPr>
    </c:plotArea>
    <c:legend>
      <c:legendPos val="r"/>
      <c:legendEntry>
        <c:idx val="0"/>
        <c:txPr>
          <a:bodyPr rot="0" spcFirstLastPara="1" vertOverflow="ellipsis" vert="horz" wrap="square" anchor="ctr" anchorCtr="1"/>
          <a:lstStyle/>
          <a:p>
            <a:pPr>
              <a:defRPr sz="1200" b="0" i="0" u="none" strike="noStrike" kern="1200" baseline="0">
                <a:noFill/>
                <a:latin typeface="+mn-lt"/>
                <a:ea typeface="+mn-ea"/>
                <a:cs typeface="+mn-cs"/>
              </a:defRPr>
            </a:pPr>
            <a:endParaRPr lang="en-US"/>
          </a:p>
        </c:txPr>
      </c:legendEntry>
      <c:legendEntry>
        <c:idx val="1"/>
        <c:txPr>
          <a:bodyPr rot="0" spcFirstLastPara="1" vertOverflow="ellipsis" vert="horz" wrap="square" anchor="ctr" anchorCtr="1"/>
          <a:lstStyle/>
          <a:p>
            <a:pPr>
              <a:defRPr sz="1200" b="0" i="0" u="none" strike="noStrike" kern="1200" baseline="0">
                <a:noFill/>
                <a:latin typeface="+mn-lt"/>
                <a:ea typeface="+mn-ea"/>
                <a:cs typeface="+mn-cs"/>
              </a:defRPr>
            </a:pPr>
            <a:endParaRPr lang="en-US"/>
          </a:p>
        </c:txPr>
      </c:legendEntry>
      <c:legendEntry>
        <c:idx val="2"/>
        <c:txPr>
          <a:bodyPr rot="0" spcFirstLastPara="1" vertOverflow="ellipsis" vert="horz" wrap="square" anchor="ctr" anchorCtr="1"/>
          <a:lstStyle/>
          <a:p>
            <a:pPr>
              <a:defRPr sz="1200" b="0" i="0" u="none" strike="noStrike" kern="1200" baseline="0">
                <a:noFill/>
                <a:latin typeface="+mn-lt"/>
                <a:ea typeface="+mn-ea"/>
                <a:cs typeface="+mn-cs"/>
              </a:defRPr>
            </a:pPr>
            <a:endParaRPr lang="en-US"/>
          </a:p>
        </c:txPr>
      </c:legendEntry>
      <c:legendEntry>
        <c:idx val="3"/>
        <c:txPr>
          <a:bodyPr rot="0" spcFirstLastPara="1" vertOverflow="ellipsis" vert="horz" wrap="square" anchor="ctr" anchorCtr="1"/>
          <a:lstStyle/>
          <a:p>
            <a:pPr>
              <a:defRPr sz="1200" b="0" i="0" u="none" strike="noStrike" kern="1200" baseline="0">
                <a:noFill/>
                <a:latin typeface="+mn-lt"/>
                <a:ea typeface="+mn-ea"/>
                <a:cs typeface="+mn-cs"/>
              </a:defRPr>
            </a:pPr>
            <a:endParaRPr lang="en-US"/>
          </a:p>
        </c:txPr>
      </c:legendEntry>
      <c:legendEntry>
        <c:idx val="4"/>
        <c:txPr>
          <a:bodyPr rot="0" spcFirstLastPara="1" vertOverflow="ellipsis" vert="horz" wrap="square" anchor="ctr" anchorCtr="1"/>
          <a:lstStyle/>
          <a:p>
            <a:pPr>
              <a:defRPr sz="1200" b="0" i="0" u="none" strike="noStrike" kern="1200" baseline="0">
                <a:noFill/>
                <a:latin typeface="+mn-lt"/>
                <a:ea typeface="+mn-ea"/>
                <a:cs typeface="+mn-cs"/>
              </a:defRPr>
            </a:pPr>
            <a:endParaRPr lang="en-US"/>
          </a:p>
        </c:txPr>
      </c:legendEntry>
      <c:legendEntry>
        <c:idx val="5"/>
        <c:txPr>
          <a:bodyPr rot="0" spcFirstLastPara="1" vertOverflow="ellipsis" vert="horz" wrap="square" anchor="ctr" anchorCtr="1"/>
          <a:lstStyle/>
          <a:p>
            <a:pPr>
              <a:defRPr sz="1200" b="0" i="0" u="none" strike="noStrike" kern="1200" baseline="0">
                <a:noFill/>
                <a:latin typeface="+mn-lt"/>
                <a:ea typeface="+mn-ea"/>
                <a:cs typeface="+mn-cs"/>
              </a:defRPr>
            </a:pPr>
            <a:endParaRPr lang="en-US"/>
          </a:p>
        </c:txPr>
      </c:legendEntry>
      <c:legendEntry>
        <c:idx val="6"/>
        <c:txPr>
          <a:bodyPr rot="0" spcFirstLastPara="1" vertOverflow="ellipsis" vert="horz" wrap="square" anchor="ctr" anchorCtr="1"/>
          <a:lstStyle/>
          <a:p>
            <a:pPr>
              <a:defRPr sz="1200" b="0" i="0" u="none" strike="noStrike" kern="1200" baseline="0">
                <a:noFill/>
                <a:latin typeface="+mn-lt"/>
                <a:ea typeface="+mn-ea"/>
                <a:cs typeface="+mn-cs"/>
              </a:defRPr>
            </a:pPr>
            <a:endParaRPr lang="en-US"/>
          </a:p>
        </c:txPr>
      </c:legendEntry>
      <c:legendEntry>
        <c:idx val="7"/>
        <c:txPr>
          <a:bodyPr rot="0" spcFirstLastPara="1" vertOverflow="ellipsis" vert="horz" wrap="square" anchor="ctr" anchorCtr="1"/>
          <a:lstStyle/>
          <a:p>
            <a:pPr>
              <a:defRPr sz="1200" b="0" i="0" u="none" strike="noStrike" kern="1200" baseline="0">
                <a:noFill/>
                <a:latin typeface="+mn-lt"/>
                <a:ea typeface="+mn-ea"/>
                <a:cs typeface="+mn-cs"/>
              </a:defRPr>
            </a:pPr>
            <a:endParaRPr lang="en-US"/>
          </a:p>
        </c:txPr>
      </c:legendEntry>
      <c:layout>
        <c:manualLayout>
          <c:xMode val="edge"/>
          <c:yMode val="edge"/>
          <c:x val="0.82240397165544188"/>
          <c:y val="1.5864471655588207E-2"/>
          <c:w val="0.1725423562561009"/>
          <c:h val="0.96827105668882363"/>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ChromatogramData!$B$1</c:f>
              <c:strCache>
                <c:ptCount val="1"/>
                <c:pt idx="0">
                  <c:v>210 nm</c:v>
                </c:pt>
              </c:strCache>
            </c:strRef>
          </c:tx>
          <c:spPr>
            <a:ln w="12700" cap="rnd">
              <a:solidFill>
                <a:srgbClr val="0000FF"/>
              </a:solidFill>
              <a:round/>
            </a:ln>
            <a:effectLst/>
          </c:spPr>
          <c:marker>
            <c:symbol val="none"/>
          </c:marker>
          <c:xVal>
            <c:numRef>
              <c:f>ChromatogramData!$A$2:$A$10001</c:f>
              <c:numCache>
                <c:formatCode>General</c:formatCode>
                <c:ptCount val="10000"/>
                <c:pt idx="0">
                  <c:v>0.51</c:v>
                </c:pt>
                <c:pt idx="1">
                  <c:v>0.53600000000000003</c:v>
                </c:pt>
                <c:pt idx="2">
                  <c:v>0.56299999999999994</c:v>
                </c:pt>
                <c:pt idx="3">
                  <c:v>0.59</c:v>
                </c:pt>
                <c:pt idx="4">
                  <c:v>0.61599999999999999</c:v>
                </c:pt>
                <c:pt idx="5">
                  <c:v>0.64300000000000002</c:v>
                </c:pt>
                <c:pt idx="6">
                  <c:v>0.67</c:v>
                </c:pt>
                <c:pt idx="7">
                  <c:v>0.69599999999999995</c:v>
                </c:pt>
                <c:pt idx="8">
                  <c:v>0.72299999999999998</c:v>
                </c:pt>
                <c:pt idx="9">
                  <c:v>0.75</c:v>
                </c:pt>
                <c:pt idx="10">
                  <c:v>0.77600000000000002</c:v>
                </c:pt>
                <c:pt idx="11">
                  <c:v>0.80300000000000005</c:v>
                </c:pt>
                <c:pt idx="12">
                  <c:v>0.83</c:v>
                </c:pt>
                <c:pt idx="13">
                  <c:v>0.85599999999999998</c:v>
                </c:pt>
                <c:pt idx="14">
                  <c:v>0.88300000000000001</c:v>
                </c:pt>
                <c:pt idx="15">
                  <c:v>0.91</c:v>
                </c:pt>
                <c:pt idx="16">
                  <c:v>0.93600000000000005</c:v>
                </c:pt>
                <c:pt idx="17">
                  <c:v>0.96299999999999997</c:v>
                </c:pt>
                <c:pt idx="18">
                  <c:v>0.99</c:v>
                </c:pt>
                <c:pt idx="19">
                  <c:v>1.016</c:v>
                </c:pt>
                <c:pt idx="20">
                  <c:v>1.0429999999999999</c:v>
                </c:pt>
                <c:pt idx="21">
                  <c:v>1.07</c:v>
                </c:pt>
                <c:pt idx="22">
                  <c:v>1.0960000000000001</c:v>
                </c:pt>
                <c:pt idx="23">
                  <c:v>1.123</c:v>
                </c:pt>
                <c:pt idx="24">
                  <c:v>1.1499999999999999</c:v>
                </c:pt>
                <c:pt idx="25">
                  <c:v>1.1759999999999999</c:v>
                </c:pt>
                <c:pt idx="26">
                  <c:v>1.2030000000000001</c:v>
                </c:pt>
                <c:pt idx="27">
                  <c:v>1.23</c:v>
                </c:pt>
                <c:pt idx="28">
                  <c:v>1.256</c:v>
                </c:pt>
                <c:pt idx="29">
                  <c:v>1.2829999999999999</c:v>
                </c:pt>
                <c:pt idx="30">
                  <c:v>1.31</c:v>
                </c:pt>
                <c:pt idx="31">
                  <c:v>1.3360000000000001</c:v>
                </c:pt>
                <c:pt idx="32">
                  <c:v>1.363</c:v>
                </c:pt>
                <c:pt idx="33">
                  <c:v>1.39</c:v>
                </c:pt>
                <c:pt idx="34">
                  <c:v>1.4159999999999999</c:v>
                </c:pt>
                <c:pt idx="35">
                  <c:v>1.4430000000000001</c:v>
                </c:pt>
                <c:pt idx="36">
                  <c:v>1.47</c:v>
                </c:pt>
                <c:pt idx="37">
                  <c:v>1.496</c:v>
                </c:pt>
                <c:pt idx="38">
                  <c:v>1.5229999999999999</c:v>
                </c:pt>
                <c:pt idx="39">
                  <c:v>1.55</c:v>
                </c:pt>
                <c:pt idx="40">
                  <c:v>1.5760000000000001</c:v>
                </c:pt>
                <c:pt idx="41">
                  <c:v>1.603</c:v>
                </c:pt>
                <c:pt idx="42">
                  <c:v>1.63</c:v>
                </c:pt>
                <c:pt idx="43">
                  <c:v>1.6559999999999999</c:v>
                </c:pt>
                <c:pt idx="44">
                  <c:v>1.6830000000000001</c:v>
                </c:pt>
                <c:pt idx="45">
                  <c:v>1.71</c:v>
                </c:pt>
                <c:pt idx="46">
                  <c:v>1.736</c:v>
                </c:pt>
                <c:pt idx="47">
                  <c:v>1.7629999999999999</c:v>
                </c:pt>
                <c:pt idx="48">
                  <c:v>1.79</c:v>
                </c:pt>
                <c:pt idx="49">
                  <c:v>1.8160000000000001</c:v>
                </c:pt>
                <c:pt idx="50">
                  <c:v>1.843</c:v>
                </c:pt>
                <c:pt idx="51">
                  <c:v>1.87</c:v>
                </c:pt>
                <c:pt idx="52">
                  <c:v>1.8959999999999999</c:v>
                </c:pt>
                <c:pt idx="53">
                  <c:v>1.923</c:v>
                </c:pt>
                <c:pt idx="54">
                  <c:v>1.95</c:v>
                </c:pt>
                <c:pt idx="55">
                  <c:v>1.976</c:v>
                </c:pt>
                <c:pt idx="56">
                  <c:v>2.0030000000000001</c:v>
                </c:pt>
                <c:pt idx="57">
                  <c:v>2.0299999999999998</c:v>
                </c:pt>
                <c:pt idx="58">
                  <c:v>2.056</c:v>
                </c:pt>
                <c:pt idx="59">
                  <c:v>2.0830000000000002</c:v>
                </c:pt>
                <c:pt idx="60">
                  <c:v>2.11</c:v>
                </c:pt>
                <c:pt idx="61">
                  <c:v>2.1360000000000001</c:v>
                </c:pt>
                <c:pt idx="62">
                  <c:v>2.1629999999999998</c:v>
                </c:pt>
                <c:pt idx="63">
                  <c:v>2.19</c:v>
                </c:pt>
                <c:pt idx="64">
                  <c:v>2.2160000000000002</c:v>
                </c:pt>
                <c:pt idx="65">
                  <c:v>2.2429999999999999</c:v>
                </c:pt>
                <c:pt idx="66">
                  <c:v>2.27</c:v>
                </c:pt>
                <c:pt idx="67">
                  <c:v>2.2959999999999998</c:v>
                </c:pt>
                <c:pt idx="68">
                  <c:v>2.323</c:v>
                </c:pt>
                <c:pt idx="69">
                  <c:v>2.35</c:v>
                </c:pt>
                <c:pt idx="70">
                  <c:v>2.3759999999999999</c:v>
                </c:pt>
                <c:pt idx="71">
                  <c:v>2.403</c:v>
                </c:pt>
                <c:pt idx="72">
                  <c:v>2.4300000000000002</c:v>
                </c:pt>
                <c:pt idx="73">
                  <c:v>2.456</c:v>
                </c:pt>
                <c:pt idx="74">
                  <c:v>2.4830000000000001</c:v>
                </c:pt>
                <c:pt idx="75">
                  <c:v>2.5099999999999998</c:v>
                </c:pt>
                <c:pt idx="76">
                  <c:v>2.536</c:v>
                </c:pt>
                <c:pt idx="77">
                  <c:v>2.5630000000000002</c:v>
                </c:pt>
                <c:pt idx="78">
                  <c:v>2.59</c:v>
                </c:pt>
                <c:pt idx="79">
                  <c:v>2.6160000000000001</c:v>
                </c:pt>
                <c:pt idx="80">
                  <c:v>2.6429999999999998</c:v>
                </c:pt>
                <c:pt idx="81">
                  <c:v>2.67</c:v>
                </c:pt>
                <c:pt idx="82">
                  <c:v>2.6960000000000002</c:v>
                </c:pt>
                <c:pt idx="83">
                  <c:v>2.7229999999999999</c:v>
                </c:pt>
                <c:pt idx="84">
                  <c:v>2.75</c:v>
                </c:pt>
                <c:pt idx="85">
                  <c:v>2.7759999999999998</c:v>
                </c:pt>
                <c:pt idx="86">
                  <c:v>2.8029999999999999</c:v>
                </c:pt>
                <c:pt idx="87">
                  <c:v>2.83</c:v>
                </c:pt>
                <c:pt idx="88">
                  <c:v>2.8559999999999999</c:v>
                </c:pt>
                <c:pt idx="89">
                  <c:v>2.883</c:v>
                </c:pt>
                <c:pt idx="90">
                  <c:v>2.91</c:v>
                </c:pt>
                <c:pt idx="91">
                  <c:v>2.9359999999999999</c:v>
                </c:pt>
                <c:pt idx="92">
                  <c:v>2.9630000000000001</c:v>
                </c:pt>
                <c:pt idx="93">
                  <c:v>2.99</c:v>
                </c:pt>
                <c:pt idx="94">
                  <c:v>3.016</c:v>
                </c:pt>
                <c:pt idx="95">
                  <c:v>3.0430000000000001</c:v>
                </c:pt>
                <c:pt idx="96">
                  <c:v>3.07</c:v>
                </c:pt>
                <c:pt idx="97">
                  <c:v>3.0960000000000001</c:v>
                </c:pt>
                <c:pt idx="98">
                  <c:v>3.1230000000000002</c:v>
                </c:pt>
                <c:pt idx="99">
                  <c:v>3.15</c:v>
                </c:pt>
                <c:pt idx="100">
                  <c:v>3.1760000000000002</c:v>
                </c:pt>
                <c:pt idx="101">
                  <c:v>3.2029999999999998</c:v>
                </c:pt>
                <c:pt idx="102">
                  <c:v>3.23</c:v>
                </c:pt>
                <c:pt idx="103">
                  <c:v>3.2559999999999998</c:v>
                </c:pt>
                <c:pt idx="104">
                  <c:v>3.2829999999999999</c:v>
                </c:pt>
                <c:pt idx="105">
                  <c:v>3.31</c:v>
                </c:pt>
                <c:pt idx="106">
                  <c:v>3.3359999999999999</c:v>
                </c:pt>
                <c:pt idx="107">
                  <c:v>3.363</c:v>
                </c:pt>
                <c:pt idx="108">
                  <c:v>3.39</c:v>
                </c:pt>
                <c:pt idx="109">
                  <c:v>3.4159999999999999</c:v>
                </c:pt>
                <c:pt idx="110">
                  <c:v>3.4430000000000001</c:v>
                </c:pt>
                <c:pt idx="111">
                  <c:v>3.47</c:v>
                </c:pt>
                <c:pt idx="112">
                  <c:v>3.496</c:v>
                </c:pt>
                <c:pt idx="113">
                  <c:v>3.5230000000000001</c:v>
                </c:pt>
                <c:pt idx="114">
                  <c:v>3.55</c:v>
                </c:pt>
                <c:pt idx="115">
                  <c:v>3.5760000000000001</c:v>
                </c:pt>
                <c:pt idx="116">
                  <c:v>3.6030000000000002</c:v>
                </c:pt>
                <c:pt idx="117">
                  <c:v>3.63</c:v>
                </c:pt>
                <c:pt idx="118">
                  <c:v>3.6560000000000001</c:v>
                </c:pt>
                <c:pt idx="119">
                  <c:v>3.6829999999999998</c:v>
                </c:pt>
                <c:pt idx="120">
                  <c:v>3.71</c:v>
                </c:pt>
                <c:pt idx="121">
                  <c:v>3.7360000000000002</c:v>
                </c:pt>
                <c:pt idx="122">
                  <c:v>3.7629999999999999</c:v>
                </c:pt>
                <c:pt idx="123">
                  <c:v>3.79</c:v>
                </c:pt>
                <c:pt idx="124">
                  <c:v>3.8159999999999998</c:v>
                </c:pt>
                <c:pt idx="125">
                  <c:v>3.843</c:v>
                </c:pt>
                <c:pt idx="126">
                  <c:v>3.87</c:v>
                </c:pt>
                <c:pt idx="127">
                  <c:v>3.8959999999999999</c:v>
                </c:pt>
                <c:pt idx="128">
                  <c:v>3.923</c:v>
                </c:pt>
                <c:pt idx="129">
                  <c:v>3.95</c:v>
                </c:pt>
                <c:pt idx="130">
                  <c:v>3.976</c:v>
                </c:pt>
                <c:pt idx="131">
                  <c:v>4.0030000000000001</c:v>
                </c:pt>
                <c:pt idx="132">
                  <c:v>4.03</c:v>
                </c:pt>
                <c:pt idx="133">
                  <c:v>4.056</c:v>
                </c:pt>
                <c:pt idx="134">
                  <c:v>4.0830000000000002</c:v>
                </c:pt>
                <c:pt idx="135">
                  <c:v>4.1100000000000003</c:v>
                </c:pt>
                <c:pt idx="136">
                  <c:v>4.1360000000000001</c:v>
                </c:pt>
                <c:pt idx="137">
                  <c:v>4.1630000000000003</c:v>
                </c:pt>
                <c:pt idx="138">
                  <c:v>4.1900000000000004</c:v>
                </c:pt>
                <c:pt idx="139">
                  <c:v>4.2160000000000002</c:v>
                </c:pt>
                <c:pt idx="140">
                  <c:v>4.2430000000000003</c:v>
                </c:pt>
                <c:pt idx="141">
                  <c:v>4.2699999999999996</c:v>
                </c:pt>
                <c:pt idx="142">
                  <c:v>4.2960000000000003</c:v>
                </c:pt>
                <c:pt idx="143">
                  <c:v>4.3230000000000004</c:v>
                </c:pt>
                <c:pt idx="144">
                  <c:v>4.3499999999999996</c:v>
                </c:pt>
                <c:pt idx="145">
                  <c:v>4.3760000000000003</c:v>
                </c:pt>
                <c:pt idx="146">
                  <c:v>4.4029999999999996</c:v>
                </c:pt>
                <c:pt idx="147">
                  <c:v>4.43</c:v>
                </c:pt>
                <c:pt idx="148">
                  <c:v>4.4560000000000004</c:v>
                </c:pt>
                <c:pt idx="149">
                  <c:v>4.4829999999999997</c:v>
                </c:pt>
                <c:pt idx="150">
                  <c:v>4.51</c:v>
                </c:pt>
                <c:pt idx="151">
                  <c:v>4.5359999999999996</c:v>
                </c:pt>
                <c:pt idx="152">
                  <c:v>4.5629999999999997</c:v>
                </c:pt>
                <c:pt idx="153">
                  <c:v>4.59</c:v>
                </c:pt>
                <c:pt idx="154">
                  <c:v>4.6159999999999997</c:v>
                </c:pt>
                <c:pt idx="155">
                  <c:v>4.6429999999999998</c:v>
                </c:pt>
                <c:pt idx="156">
                  <c:v>4.67</c:v>
                </c:pt>
                <c:pt idx="157">
                  <c:v>4.6959999999999997</c:v>
                </c:pt>
                <c:pt idx="158">
                  <c:v>4.7229999999999999</c:v>
                </c:pt>
                <c:pt idx="159">
                  <c:v>4.75</c:v>
                </c:pt>
                <c:pt idx="160">
                  <c:v>4.7759999999999998</c:v>
                </c:pt>
                <c:pt idx="161">
                  <c:v>4.8029999999999999</c:v>
                </c:pt>
                <c:pt idx="162">
                  <c:v>4.83</c:v>
                </c:pt>
                <c:pt idx="163">
                  <c:v>4.8559999999999999</c:v>
                </c:pt>
                <c:pt idx="164">
                  <c:v>4.883</c:v>
                </c:pt>
                <c:pt idx="165">
                  <c:v>4.91</c:v>
                </c:pt>
                <c:pt idx="166">
                  <c:v>4.9359999999999999</c:v>
                </c:pt>
                <c:pt idx="167">
                  <c:v>4.9630000000000001</c:v>
                </c:pt>
                <c:pt idx="168">
                  <c:v>4.99</c:v>
                </c:pt>
                <c:pt idx="169">
                  <c:v>5.016</c:v>
                </c:pt>
                <c:pt idx="170">
                  <c:v>5.0430000000000001</c:v>
                </c:pt>
                <c:pt idx="171">
                  <c:v>5.07</c:v>
                </c:pt>
                <c:pt idx="172">
                  <c:v>5.0960000000000001</c:v>
                </c:pt>
                <c:pt idx="173">
                  <c:v>5.1230000000000002</c:v>
                </c:pt>
                <c:pt idx="174">
                  <c:v>5.15</c:v>
                </c:pt>
                <c:pt idx="175">
                  <c:v>5.1760000000000002</c:v>
                </c:pt>
                <c:pt idx="176">
                  <c:v>5.2030000000000003</c:v>
                </c:pt>
                <c:pt idx="177">
                  <c:v>5.23</c:v>
                </c:pt>
                <c:pt idx="178">
                  <c:v>5.2560000000000002</c:v>
                </c:pt>
                <c:pt idx="179">
                  <c:v>5.2830000000000004</c:v>
                </c:pt>
                <c:pt idx="180">
                  <c:v>5.31</c:v>
                </c:pt>
                <c:pt idx="181">
                  <c:v>5.3360000000000003</c:v>
                </c:pt>
                <c:pt idx="182">
                  <c:v>5.3630000000000004</c:v>
                </c:pt>
                <c:pt idx="183">
                  <c:v>5.39</c:v>
                </c:pt>
                <c:pt idx="184">
                  <c:v>5.4160000000000004</c:v>
                </c:pt>
                <c:pt idx="185">
                  <c:v>5.4429999999999996</c:v>
                </c:pt>
                <c:pt idx="186">
                  <c:v>5.47</c:v>
                </c:pt>
                <c:pt idx="187">
                  <c:v>5.4960000000000004</c:v>
                </c:pt>
                <c:pt idx="188">
                  <c:v>5.5229999999999997</c:v>
                </c:pt>
                <c:pt idx="189">
                  <c:v>5.55</c:v>
                </c:pt>
                <c:pt idx="190">
                  <c:v>5.5759999999999996</c:v>
                </c:pt>
                <c:pt idx="191">
                  <c:v>5.6029999999999998</c:v>
                </c:pt>
                <c:pt idx="192">
                  <c:v>5.63</c:v>
                </c:pt>
                <c:pt idx="193">
                  <c:v>5.6559999999999997</c:v>
                </c:pt>
                <c:pt idx="194">
                  <c:v>5.6829999999999998</c:v>
                </c:pt>
                <c:pt idx="195">
                  <c:v>5.71</c:v>
                </c:pt>
                <c:pt idx="196">
                  <c:v>5.7359999999999998</c:v>
                </c:pt>
                <c:pt idx="197">
                  <c:v>5.7629999999999999</c:v>
                </c:pt>
                <c:pt idx="198">
                  <c:v>5.79</c:v>
                </c:pt>
                <c:pt idx="199">
                  <c:v>5.8159999999999998</c:v>
                </c:pt>
                <c:pt idx="200">
                  <c:v>5.843</c:v>
                </c:pt>
                <c:pt idx="201">
                  <c:v>5.87</c:v>
                </c:pt>
                <c:pt idx="202">
                  <c:v>5.8959999999999999</c:v>
                </c:pt>
                <c:pt idx="203">
                  <c:v>5.923</c:v>
                </c:pt>
                <c:pt idx="204">
                  <c:v>5.95</c:v>
                </c:pt>
                <c:pt idx="205">
                  <c:v>5.976</c:v>
                </c:pt>
                <c:pt idx="206">
                  <c:v>6.0030000000000001</c:v>
                </c:pt>
                <c:pt idx="207">
                  <c:v>6.03</c:v>
                </c:pt>
                <c:pt idx="208">
                  <c:v>6.056</c:v>
                </c:pt>
                <c:pt idx="209">
                  <c:v>6.0830000000000002</c:v>
                </c:pt>
                <c:pt idx="210">
                  <c:v>6.11</c:v>
                </c:pt>
                <c:pt idx="211">
                  <c:v>6.1360000000000001</c:v>
                </c:pt>
                <c:pt idx="212">
                  <c:v>6.1630000000000003</c:v>
                </c:pt>
                <c:pt idx="213">
                  <c:v>6.19</c:v>
                </c:pt>
                <c:pt idx="214">
                  <c:v>6.2160000000000002</c:v>
                </c:pt>
                <c:pt idx="215">
                  <c:v>6.2430000000000003</c:v>
                </c:pt>
                <c:pt idx="216">
                  <c:v>6.27</c:v>
                </c:pt>
                <c:pt idx="217">
                  <c:v>6.2960000000000003</c:v>
                </c:pt>
                <c:pt idx="218">
                  <c:v>6.3230000000000004</c:v>
                </c:pt>
                <c:pt idx="219">
                  <c:v>6.35</c:v>
                </c:pt>
                <c:pt idx="220">
                  <c:v>6.3760000000000003</c:v>
                </c:pt>
                <c:pt idx="221">
                  <c:v>6.4029999999999996</c:v>
                </c:pt>
                <c:pt idx="222">
                  <c:v>6.43</c:v>
                </c:pt>
                <c:pt idx="223">
                  <c:v>6.4560000000000004</c:v>
                </c:pt>
                <c:pt idx="224">
                  <c:v>6.4829999999999997</c:v>
                </c:pt>
                <c:pt idx="225">
                  <c:v>6.51</c:v>
                </c:pt>
                <c:pt idx="226">
                  <c:v>6.5359999999999996</c:v>
                </c:pt>
                <c:pt idx="227">
                  <c:v>6.5629999999999997</c:v>
                </c:pt>
                <c:pt idx="228">
                  <c:v>6.59</c:v>
                </c:pt>
                <c:pt idx="229">
                  <c:v>6.6159999999999997</c:v>
                </c:pt>
                <c:pt idx="230">
                  <c:v>6.6429999999999998</c:v>
                </c:pt>
                <c:pt idx="231">
                  <c:v>6.67</c:v>
                </c:pt>
                <c:pt idx="232">
                  <c:v>6.6959999999999997</c:v>
                </c:pt>
                <c:pt idx="233">
                  <c:v>6.7229999999999999</c:v>
                </c:pt>
                <c:pt idx="234">
                  <c:v>6.75</c:v>
                </c:pt>
                <c:pt idx="235">
                  <c:v>6.7759999999999998</c:v>
                </c:pt>
                <c:pt idx="236">
                  <c:v>6.8029999999999999</c:v>
                </c:pt>
                <c:pt idx="237">
                  <c:v>6.83</c:v>
                </c:pt>
                <c:pt idx="238">
                  <c:v>6.8559999999999999</c:v>
                </c:pt>
                <c:pt idx="239">
                  <c:v>6.883</c:v>
                </c:pt>
                <c:pt idx="240">
                  <c:v>6.91</c:v>
                </c:pt>
                <c:pt idx="241">
                  <c:v>6.9359999999999999</c:v>
                </c:pt>
                <c:pt idx="242">
                  <c:v>6.9630000000000001</c:v>
                </c:pt>
                <c:pt idx="243">
                  <c:v>6.99</c:v>
                </c:pt>
                <c:pt idx="244">
                  <c:v>7.016</c:v>
                </c:pt>
                <c:pt idx="245">
                  <c:v>7.0430000000000001</c:v>
                </c:pt>
                <c:pt idx="246">
                  <c:v>7.07</c:v>
                </c:pt>
                <c:pt idx="247">
                  <c:v>7.0960000000000001</c:v>
                </c:pt>
                <c:pt idx="248">
                  <c:v>7.1230000000000002</c:v>
                </c:pt>
                <c:pt idx="249">
                  <c:v>7.15</c:v>
                </c:pt>
                <c:pt idx="250">
                  <c:v>7.1760000000000002</c:v>
                </c:pt>
                <c:pt idx="251">
                  <c:v>7.2030000000000003</c:v>
                </c:pt>
                <c:pt idx="252">
                  <c:v>7.23</c:v>
                </c:pt>
                <c:pt idx="253">
                  <c:v>7.2560000000000002</c:v>
                </c:pt>
                <c:pt idx="254">
                  <c:v>7.2830000000000004</c:v>
                </c:pt>
                <c:pt idx="255">
                  <c:v>7.31</c:v>
                </c:pt>
                <c:pt idx="256">
                  <c:v>7.3360000000000003</c:v>
                </c:pt>
                <c:pt idx="257">
                  <c:v>7.3630000000000004</c:v>
                </c:pt>
                <c:pt idx="258">
                  <c:v>7.39</c:v>
                </c:pt>
                <c:pt idx="259">
                  <c:v>7.4160000000000004</c:v>
                </c:pt>
                <c:pt idx="260">
                  <c:v>7.4429999999999996</c:v>
                </c:pt>
                <c:pt idx="261">
                  <c:v>7.47</c:v>
                </c:pt>
                <c:pt idx="262">
                  <c:v>7.4960000000000004</c:v>
                </c:pt>
                <c:pt idx="263">
                  <c:v>7.5229999999999997</c:v>
                </c:pt>
                <c:pt idx="264">
                  <c:v>7.55</c:v>
                </c:pt>
                <c:pt idx="265">
                  <c:v>7.5759999999999996</c:v>
                </c:pt>
                <c:pt idx="266">
                  <c:v>7.6029999999999998</c:v>
                </c:pt>
                <c:pt idx="267">
                  <c:v>7.63</c:v>
                </c:pt>
                <c:pt idx="268">
                  <c:v>7.6559999999999997</c:v>
                </c:pt>
                <c:pt idx="269">
                  <c:v>7.6829999999999998</c:v>
                </c:pt>
                <c:pt idx="270">
                  <c:v>7.71</c:v>
                </c:pt>
                <c:pt idx="271">
                  <c:v>7.7359999999999998</c:v>
                </c:pt>
                <c:pt idx="272">
                  <c:v>7.7629999999999999</c:v>
                </c:pt>
                <c:pt idx="273">
                  <c:v>7.79</c:v>
                </c:pt>
                <c:pt idx="274">
                  <c:v>7.8159999999999998</c:v>
                </c:pt>
                <c:pt idx="275">
                  <c:v>7.843</c:v>
                </c:pt>
                <c:pt idx="276">
                  <c:v>7.87</c:v>
                </c:pt>
                <c:pt idx="277">
                  <c:v>7.8959999999999999</c:v>
                </c:pt>
                <c:pt idx="278">
                  <c:v>7.923</c:v>
                </c:pt>
                <c:pt idx="279">
                  <c:v>7.95</c:v>
                </c:pt>
                <c:pt idx="280">
                  <c:v>7.976</c:v>
                </c:pt>
                <c:pt idx="281">
                  <c:v>8.0030000000000001</c:v>
                </c:pt>
                <c:pt idx="282">
                  <c:v>8.0299999999999994</c:v>
                </c:pt>
                <c:pt idx="283">
                  <c:v>8.0559999999999992</c:v>
                </c:pt>
                <c:pt idx="284">
                  <c:v>8.0830000000000002</c:v>
                </c:pt>
                <c:pt idx="285">
                  <c:v>8.11</c:v>
                </c:pt>
                <c:pt idx="286">
                  <c:v>8.1359999999999992</c:v>
                </c:pt>
                <c:pt idx="287">
                  <c:v>8.1630000000000003</c:v>
                </c:pt>
                <c:pt idx="288">
                  <c:v>8.19</c:v>
                </c:pt>
                <c:pt idx="289">
                  <c:v>8.2159999999999993</c:v>
                </c:pt>
                <c:pt idx="290">
                  <c:v>8.2430000000000003</c:v>
                </c:pt>
                <c:pt idx="291">
                  <c:v>8.27</c:v>
                </c:pt>
                <c:pt idx="292">
                  <c:v>8.2959999999999994</c:v>
                </c:pt>
                <c:pt idx="293">
                  <c:v>8.3230000000000004</c:v>
                </c:pt>
                <c:pt idx="294">
                  <c:v>8.35</c:v>
                </c:pt>
                <c:pt idx="295">
                  <c:v>8.3759999999999994</c:v>
                </c:pt>
                <c:pt idx="296">
                  <c:v>8.4030000000000005</c:v>
                </c:pt>
                <c:pt idx="297">
                  <c:v>8.43</c:v>
                </c:pt>
                <c:pt idx="298">
                  <c:v>8.4559999999999995</c:v>
                </c:pt>
                <c:pt idx="299">
                  <c:v>8.4830000000000005</c:v>
                </c:pt>
                <c:pt idx="300">
                  <c:v>8.51</c:v>
                </c:pt>
                <c:pt idx="301">
                  <c:v>8.5359999999999996</c:v>
                </c:pt>
                <c:pt idx="302">
                  <c:v>8.5630000000000006</c:v>
                </c:pt>
                <c:pt idx="303">
                  <c:v>8.59</c:v>
                </c:pt>
                <c:pt idx="304">
                  <c:v>8.6159999999999997</c:v>
                </c:pt>
                <c:pt idx="305">
                  <c:v>8.6430000000000007</c:v>
                </c:pt>
                <c:pt idx="306">
                  <c:v>8.67</c:v>
                </c:pt>
                <c:pt idx="307">
                  <c:v>8.6959999999999997</c:v>
                </c:pt>
                <c:pt idx="308">
                  <c:v>8.7230000000000008</c:v>
                </c:pt>
                <c:pt idx="309">
                  <c:v>8.75</c:v>
                </c:pt>
                <c:pt idx="310">
                  <c:v>8.7759999999999998</c:v>
                </c:pt>
                <c:pt idx="311">
                  <c:v>8.8030000000000008</c:v>
                </c:pt>
                <c:pt idx="312">
                  <c:v>8.83</c:v>
                </c:pt>
                <c:pt idx="313">
                  <c:v>8.8559999999999999</c:v>
                </c:pt>
                <c:pt idx="314">
                  <c:v>8.8829999999999991</c:v>
                </c:pt>
                <c:pt idx="315">
                  <c:v>8.91</c:v>
                </c:pt>
                <c:pt idx="316">
                  <c:v>8.9359999999999999</c:v>
                </c:pt>
                <c:pt idx="317">
                  <c:v>8.9629999999999992</c:v>
                </c:pt>
                <c:pt idx="318">
                  <c:v>8.99</c:v>
                </c:pt>
                <c:pt idx="319">
                  <c:v>9.016</c:v>
                </c:pt>
                <c:pt idx="320">
                  <c:v>9.0429999999999993</c:v>
                </c:pt>
                <c:pt idx="321">
                  <c:v>9.07</c:v>
                </c:pt>
                <c:pt idx="322">
                  <c:v>9.0960000000000001</c:v>
                </c:pt>
                <c:pt idx="323">
                  <c:v>9.1229999999999993</c:v>
                </c:pt>
                <c:pt idx="324">
                  <c:v>9.15</c:v>
                </c:pt>
                <c:pt idx="325">
                  <c:v>9.1760000000000002</c:v>
                </c:pt>
                <c:pt idx="326">
                  <c:v>9.2029999999999994</c:v>
                </c:pt>
                <c:pt idx="327">
                  <c:v>9.23</c:v>
                </c:pt>
                <c:pt idx="328">
                  <c:v>9.2560000000000002</c:v>
                </c:pt>
                <c:pt idx="329">
                  <c:v>9.2829999999999995</c:v>
                </c:pt>
                <c:pt idx="330">
                  <c:v>9.31</c:v>
                </c:pt>
                <c:pt idx="331">
                  <c:v>9.3360000000000003</c:v>
                </c:pt>
                <c:pt idx="332">
                  <c:v>9.3629999999999995</c:v>
                </c:pt>
                <c:pt idx="333">
                  <c:v>9.39</c:v>
                </c:pt>
                <c:pt idx="334">
                  <c:v>9.4160000000000004</c:v>
                </c:pt>
                <c:pt idx="335">
                  <c:v>9.4429999999999996</c:v>
                </c:pt>
                <c:pt idx="336">
                  <c:v>9.4700000000000006</c:v>
                </c:pt>
                <c:pt idx="337">
                  <c:v>9.4960000000000004</c:v>
                </c:pt>
                <c:pt idx="338">
                  <c:v>9.5229999999999997</c:v>
                </c:pt>
                <c:pt idx="339">
                  <c:v>9.5500000000000007</c:v>
                </c:pt>
                <c:pt idx="340">
                  <c:v>9.5760000000000005</c:v>
                </c:pt>
                <c:pt idx="341">
                  <c:v>9.6029999999999998</c:v>
                </c:pt>
                <c:pt idx="342">
                  <c:v>9.6300000000000008</c:v>
                </c:pt>
                <c:pt idx="343">
                  <c:v>9.6560000000000006</c:v>
                </c:pt>
                <c:pt idx="344">
                  <c:v>9.6829999999999998</c:v>
                </c:pt>
                <c:pt idx="345">
                  <c:v>9.7100000000000009</c:v>
                </c:pt>
                <c:pt idx="346">
                  <c:v>9.7360000000000007</c:v>
                </c:pt>
                <c:pt idx="347">
                  <c:v>9.7629999999999999</c:v>
                </c:pt>
                <c:pt idx="348">
                  <c:v>9.7899999999999991</c:v>
                </c:pt>
                <c:pt idx="349">
                  <c:v>9.8160000000000007</c:v>
                </c:pt>
                <c:pt idx="350">
                  <c:v>9.843</c:v>
                </c:pt>
                <c:pt idx="351">
                  <c:v>9.8699999999999992</c:v>
                </c:pt>
                <c:pt idx="352">
                  <c:v>9.8960000000000008</c:v>
                </c:pt>
                <c:pt idx="353">
                  <c:v>9.923</c:v>
                </c:pt>
                <c:pt idx="354">
                  <c:v>9.9499999999999993</c:v>
                </c:pt>
                <c:pt idx="355">
                  <c:v>9.9760000000000009</c:v>
                </c:pt>
                <c:pt idx="356">
                  <c:v>10.003</c:v>
                </c:pt>
              </c:numCache>
            </c:numRef>
          </c:xVal>
          <c:yVal>
            <c:numRef>
              <c:f>ChromatogramData!$B$2:$B$10001</c:f>
              <c:numCache>
                <c:formatCode>General</c:formatCode>
                <c:ptCount val="10000"/>
                <c:pt idx="0">
                  <c:v>40.961685640159864</c:v>
                </c:pt>
                <c:pt idx="1">
                  <c:v>40.880013739659411</c:v>
                </c:pt>
                <c:pt idx="2">
                  <c:v>39.409919530651301</c:v>
                </c:pt>
                <c:pt idx="3">
                  <c:v>38.004744011784588</c:v>
                </c:pt>
                <c:pt idx="4">
                  <c:v>36.993268936355932</c:v>
                </c:pt>
                <c:pt idx="5">
                  <c:v>36.013206130350525</c:v>
                </c:pt>
                <c:pt idx="6">
                  <c:v>34.685514209394491</c:v>
                </c:pt>
                <c:pt idx="7">
                  <c:v>33.577708174401195</c:v>
                </c:pt>
                <c:pt idx="8">
                  <c:v>33.156783764129649</c:v>
                </c:pt>
                <c:pt idx="9">
                  <c:v>32.832190313422743</c:v>
                </c:pt>
                <c:pt idx="10">
                  <c:v>32.208133227547499</c:v>
                </c:pt>
                <c:pt idx="11">
                  <c:v>31.412355735491833</c:v>
                </c:pt>
                <c:pt idx="12">
                  <c:v>30.991431325220276</c:v>
                </c:pt>
                <c:pt idx="13">
                  <c:v>31.154775126221178</c:v>
                </c:pt>
                <c:pt idx="14">
                  <c:v>32.15996774776518</c:v>
                </c:pt>
                <c:pt idx="15">
                  <c:v>34.363014909982454</c:v>
                </c:pt>
                <c:pt idx="16">
                  <c:v>37.414193346627478</c:v>
                </c:pt>
                <c:pt idx="17">
                  <c:v>40.06329473465491</c:v>
                </c:pt>
                <c:pt idx="18">
                  <c:v>41.85588824307505</c:v>
                </c:pt>
                <c:pt idx="19">
                  <c:v>43.02651881691483</c:v>
                </c:pt>
                <c:pt idx="20">
                  <c:v>43.550056640635667</c:v>
                </c:pt>
                <c:pt idx="21">
                  <c:v>42.988824093606929</c:v>
                </c:pt>
                <c:pt idx="22">
                  <c:v>40.957497337570096</c:v>
                </c:pt>
                <c:pt idx="23">
                  <c:v>37.732504343449754</c:v>
                </c:pt>
                <c:pt idx="24">
                  <c:v>33.96931446654439</c:v>
                </c:pt>
                <c:pt idx="25">
                  <c:v>30.658461269333827</c:v>
                </c:pt>
                <c:pt idx="26">
                  <c:v>28.524521099847703</c:v>
                </c:pt>
                <c:pt idx="27">
                  <c:v>27.498386965354864</c:v>
                </c:pt>
                <c:pt idx="28">
                  <c:v>27.073274252493547</c:v>
                </c:pt>
                <c:pt idx="29">
                  <c:v>26.828258550992199</c:v>
                </c:pt>
                <c:pt idx="30">
                  <c:v>26.610466816324326</c:v>
                </c:pt>
                <c:pt idx="31">
                  <c:v>26.407334140720646</c:v>
                </c:pt>
                <c:pt idx="32">
                  <c:v>26.214672221591382</c:v>
                </c:pt>
                <c:pt idx="33">
                  <c:v>26.05342257188536</c:v>
                </c:pt>
                <c:pt idx="34">
                  <c:v>25.904737829948644</c:v>
                </c:pt>
                <c:pt idx="35">
                  <c:v>25.78118290355053</c:v>
                </c:pt>
                <c:pt idx="36">
                  <c:v>25.689040246575662</c:v>
                </c:pt>
                <c:pt idx="37">
                  <c:v>25.605274194780328</c:v>
                </c:pt>
                <c:pt idx="38">
                  <c:v>25.550826261113365</c:v>
                </c:pt>
                <c:pt idx="39">
                  <c:v>25.519413991690111</c:v>
                </c:pt>
                <c:pt idx="40">
                  <c:v>25.515225689100344</c:v>
                </c:pt>
                <c:pt idx="41">
                  <c:v>25.542449655933826</c:v>
                </c:pt>
                <c:pt idx="42">
                  <c:v>25.590615135716142</c:v>
                </c:pt>
                <c:pt idx="43">
                  <c:v>25.666004582331944</c:v>
                </c:pt>
                <c:pt idx="44">
                  <c:v>25.743488180242629</c:v>
                </c:pt>
                <c:pt idx="45">
                  <c:v>25.841913291102145</c:v>
                </c:pt>
                <c:pt idx="46">
                  <c:v>25.940338401961665</c:v>
                </c:pt>
                <c:pt idx="47">
                  <c:v>26.05132842059048</c:v>
                </c:pt>
                <c:pt idx="48">
                  <c:v>26.179071649578365</c:v>
                </c:pt>
                <c:pt idx="49">
                  <c:v>26.350792055758799</c:v>
                </c:pt>
                <c:pt idx="50">
                  <c:v>26.566489639131781</c:v>
                </c:pt>
                <c:pt idx="51">
                  <c:v>26.824070248402432</c:v>
                </c:pt>
                <c:pt idx="52">
                  <c:v>27.121439732275867</c:v>
                </c:pt>
                <c:pt idx="53">
                  <c:v>27.446033182982784</c:v>
                </c:pt>
                <c:pt idx="54">
                  <c:v>27.818792113472014</c:v>
                </c:pt>
                <c:pt idx="55">
                  <c:v>28.243904826333338</c:v>
                </c:pt>
                <c:pt idx="56">
                  <c:v>28.635511118476522</c:v>
                </c:pt>
                <c:pt idx="57">
                  <c:v>29.006175897670872</c:v>
                </c:pt>
                <c:pt idx="58">
                  <c:v>29.485736544199156</c:v>
                </c:pt>
                <c:pt idx="59">
                  <c:v>29.99461530885581</c:v>
                </c:pt>
                <c:pt idx="60">
                  <c:v>30.409257265242712</c:v>
                </c:pt>
                <c:pt idx="61">
                  <c:v>30.727568262064977</c:v>
                </c:pt>
                <c:pt idx="62">
                  <c:v>31.008184535579343</c:v>
                </c:pt>
                <c:pt idx="63">
                  <c:v>31.106609646438862</c:v>
                </c:pt>
                <c:pt idx="64">
                  <c:v>31.288800809093711</c:v>
                </c:pt>
                <c:pt idx="65">
                  <c:v>31.571511233902964</c:v>
                </c:pt>
                <c:pt idx="66">
                  <c:v>31.891916382020113</c:v>
                </c:pt>
                <c:pt idx="67">
                  <c:v>32.172532655534482</c:v>
                </c:pt>
                <c:pt idx="68">
                  <c:v>32.451054777753967</c:v>
                </c:pt>
                <c:pt idx="69">
                  <c:v>32.861508431551101</c:v>
                </c:pt>
                <c:pt idx="70">
                  <c:v>33.355728137143572</c:v>
                </c:pt>
                <c:pt idx="71">
                  <c:v>33.847853691441159</c:v>
                </c:pt>
                <c:pt idx="72">
                  <c:v>34.279248858187117</c:v>
                </c:pt>
                <c:pt idx="73">
                  <c:v>34.71692647881774</c:v>
                </c:pt>
                <c:pt idx="74">
                  <c:v>36.210056352069557</c:v>
                </c:pt>
                <c:pt idx="75">
                  <c:v>39.206786855047625</c:v>
                </c:pt>
                <c:pt idx="76">
                  <c:v>41.074769810083552</c:v>
                </c:pt>
                <c:pt idx="77">
                  <c:v>40.314592890040899</c:v>
                </c:pt>
                <c:pt idx="78">
                  <c:v>38.149240451131533</c:v>
                </c:pt>
                <c:pt idx="79">
                  <c:v>37.085411593330797</c:v>
                </c:pt>
                <c:pt idx="80">
                  <c:v>36.857149102188515</c:v>
                </c:pt>
                <c:pt idx="81">
                  <c:v>36.57862697996903</c:v>
                </c:pt>
                <c:pt idx="82">
                  <c:v>35.977605558337508</c:v>
                </c:pt>
                <c:pt idx="83">
                  <c:v>35.424749616488313</c:v>
                </c:pt>
                <c:pt idx="84">
                  <c:v>35.198581276640908</c:v>
                </c:pt>
                <c:pt idx="85">
                  <c:v>35.223711092179506</c:v>
                </c:pt>
                <c:pt idx="86">
                  <c:v>35.554586996771079</c:v>
                </c:pt>
                <c:pt idx="87">
                  <c:v>35.981793860927276</c:v>
                </c:pt>
                <c:pt idx="88">
                  <c:v>36.182832385236075</c:v>
                </c:pt>
                <c:pt idx="89">
                  <c:v>36.076030669197031</c:v>
                </c:pt>
                <c:pt idx="90">
                  <c:v>35.895933657837055</c:v>
                </c:pt>
                <c:pt idx="91">
                  <c:v>35.655106258925478</c:v>
                </c:pt>
                <c:pt idx="92">
                  <c:v>35.454067734616679</c:v>
                </c:pt>
                <c:pt idx="93">
                  <c:v>35.248840907718112</c:v>
                </c:pt>
                <c:pt idx="94">
                  <c:v>35.129474283909758</c:v>
                </c:pt>
                <c:pt idx="95">
                  <c:v>35.005919357511644</c:v>
                </c:pt>
                <c:pt idx="96">
                  <c:v>34.844669707805622</c:v>
                </c:pt>
                <c:pt idx="97">
                  <c:v>34.827916497446559</c:v>
                </c:pt>
                <c:pt idx="98">
                  <c:v>35.169263158512543</c:v>
                </c:pt>
                <c:pt idx="99">
                  <c:v>35.621599838207338</c:v>
                </c:pt>
                <c:pt idx="100">
                  <c:v>36.015300281645409</c:v>
                </c:pt>
                <c:pt idx="101">
                  <c:v>36.362929396596044</c:v>
                </c:pt>
                <c:pt idx="102">
                  <c:v>36.593286039033217</c:v>
                </c:pt>
                <c:pt idx="103">
                  <c:v>36.505331684648112</c:v>
                </c:pt>
                <c:pt idx="104">
                  <c:v>36.143043510633291</c:v>
                </c:pt>
                <c:pt idx="105">
                  <c:v>35.671859469284541</c:v>
                </c:pt>
                <c:pt idx="106">
                  <c:v>35.74934306719522</c:v>
                </c:pt>
                <c:pt idx="107">
                  <c:v>36.19120899041561</c:v>
                </c:pt>
                <c:pt idx="108">
                  <c:v>36.825736832765266</c:v>
                </c:pt>
                <c:pt idx="109">
                  <c:v>37.648738291654425</c:v>
                </c:pt>
                <c:pt idx="110">
                  <c:v>38.735602813698868</c:v>
                </c:pt>
                <c:pt idx="111">
                  <c:v>40.235015140835344</c:v>
                </c:pt>
                <c:pt idx="112">
                  <c:v>41.18157152612261</c:v>
                </c:pt>
                <c:pt idx="113">
                  <c:v>41.028698481596123</c:v>
                </c:pt>
                <c:pt idx="114">
                  <c:v>39.82456148703821</c:v>
                </c:pt>
                <c:pt idx="115">
                  <c:v>38.082227609695266</c:v>
                </c:pt>
                <c:pt idx="116">
                  <c:v>36.716840965431331</c:v>
                </c:pt>
                <c:pt idx="117">
                  <c:v>36.019488584235177</c:v>
                </c:pt>
                <c:pt idx="118">
                  <c:v>35.820544211221261</c:v>
                </c:pt>
                <c:pt idx="119">
                  <c:v>35.893839506542179</c:v>
                </c:pt>
                <c:pt idx="120">
                  <c:v>36.128384451569104</c:v>
                </c:pt>
                <c:pt idx="121">
                  <c:v>38.348184824145441</c:v>
                </c:pt>
                <c:pt idx="122">
                  <c:v>40.322969495220434</c:v>
                </c:pt>
                <c:pt idx="123">
                  <c:v>40.892578647428714</c:v>
                </c:pt>
                <c:pt idx="124">
                  <c:v>39.598393147190798</c:v>
                </c:pt>
                <c:pt idx="125">
                  <c:v>38.055003642861784</c:v>
                </c:pt>
                <c:pt idx="126">
                  <c:v>37.602666963166982</c:v>
                </c:pt>
                <c:pt idx="127">
                  <c:v>37.232002183972632</c:v>
                </c:pt>
                <c:pt idx="128">
                  <c:v>36.714746814136447</c:v>
                </c:pt>
                <c:pt idx="129">
                  <c:v>36.620510005866699</c:v>
                </c:pt>
                <c:pt idx="130">
                  <c:v>37.747163402513934</c:v>
                </c:pt>
                <c:pt idx="131">
                  <c:v>40.764835418440825</c:v>
                </c:pt>
                <c:pt idx="132">
                  <c:v>42.371049461616344</c:v>
                </c:pt>
                <c:pt idx="133">
                  <c:v>41.906147874152246</c:v>
                </c:pt>
                <c:pt idx="134">
                  <c:v>39.412013681946185</c:v>
                </c:pt>
                <c:pt idx="135">
                  <c:v>36.905314581970828</c:v>
                </c:pt>
                <c:pt idx="136">
                  <c:v>36.147231813223058</c:v>
                </c:pt>
                <c:pt idx="137">
                  <c:v>36.151420115812826</c:v>
                </c:pt>
                <c:pt idx="138">
                  <c:v>36.002735373876114</c:v>
                </c:pt>
                <c:pt idx="139">
                  <c:v>35.935722532439847</c:v>
                </c:pt>
                <c:pt idx="140">
                  <c:v>35.902216111721707</c:v>
                </c:pt>
                <c:pt idx="141">
                  <c:v>35.766096277554297</c:v>
                </c:pt>
                <c:pt idx="142">
                  <c:v>36.580721131263914</c:v>
                </c:pt>
                <c:pt idx="143">
                  <c:v>54.313994296336034</c:v>
                </c:pt>
                <c:pt idx="144">
                  <c:v>83.667712996715792</c:v>
                </c:pt>
                <c:pt idx="145">
                  <c:v>99.999998945510981</c:v>
                </c:pt>
                <c:pt idx="146">
                  <c:v>98.642988906426567</c:v>
                </c:pt>
                <c:pt idx="147">
                  <c:v>81.594503214781298</c:v>
                </c:pt>
                <c:pt idx="148">
                  <c:v>61.875974622159774</c:v>
                </c:pt>
                <c:pt idx="149">
                  <c:v>49.445092535732265</c:v>
                </c:pt>
                <c:pt idx="150">
                  <c:v>44.605508893256868</c:v>
                </c:pt>
                <c:pt idx="151">
                  <c:v>42.649571583835829</c:v>
                </c:pt>
                <c:pt idx="152">
                  <c:v>41.244396064969109</c:v>
                </c:pt>
                <c:pt idx="153">
                  <c:v>40.046541524295833</c:v>
                </c:pt>
                <c:pt idx="154">
                  <c:v>39.384789715112703</c:v>
                </c:pt>
                <c:pt idx="155">
                  <c:v>38.995277574264399</c:v>
                </c:pt>
                <c:pt idx="156">
                  <c:v>38.917793976353721</c:v>
                </c:pt>
                <c:pt idx="157">
                  <c:v>38.77957999089142</c:v>
                </c:pt>
                <c:pt idx="158">
                  <c:v>38.369126337094286</c:v>
                </c:pt>
                <c:pt idx="159">
                  <c:v>37.738786797334399</c:v>
                </c:pt>
                <c:pt idx="160">
                  <c:v>37.095882349805208</c:v>
                </c:pt>
                <c:pt idx="161">
                  <c:v>36.739876629675045</c:v>
                </c:pt>
                <c:pt idx="162">
                  <c:v>36.626792459751343</c:v>
                </c:pt>
                <c:pt idx="163">
                  <c:v>36.765006445213643</c:v>
                </c:pt>
                <c:pt idx="164">
                  <c:v>37.135671224408</c:v>
                </c:pt>
                <c:pt idx="165">
                  <c:v>37.541936575615367</c:v>
                </c:pt>
                <c:pt idx="166">
                  <c:v>37.613137719641394</c:v>
                </c:pt>
                <c:pt idx="167">
                  <c:v>37.319956538357729</c:v>
                </c:pt>
                <c:pt idx="168">
                  <c:v>37.010022146715002</c:v>
                </c:pt>
                <c:pt idx="169">
                  <c:v>37.160801039946598</c:v>
                </c:pt>
                <c:pt idx="170">
                  <c:v>37.311579933178201</c:v>
                </c:pt>
                <c:pt idx="171">
                  <c:v>37.349274656486095</c:v>
                </c:pt>
                <c:pt idx="172">
                  <c:v>37.621514324820929</c:v>
                </c:pt>
                <c:pt idx="173">
                  <c:v>38.197405930913845</c:v>
                </c:pt>
                <c:pt idx="174">
                  <c:v>38.151334602426417</c:v>
                </c:pt>
                <c:pt idx="175">
                  <c:v>38.159711207605959</c:v>
                </c:pt>
                <c:pt idx="176">
                  <c:v>37.883283236681351</c:v>
                </c:pt>
                <c:pt idx="177">
                  <c:v>37.278073512460068</c:v>
                </c:pt>
                <c:pt idx="178">
                  <c:v>36.829925135355026</c:v>
                </c:pt>
                <c:pt idx="179">
                  <c:v>36.66239303176436</c:v>
                </c:pt>
                <c:pt idx="180">
                  <c:v>36.517896592417408</c:v>
                </c:pt>
                <c:pt idx="181">
                  <c:v>36.455072053570916</c:v>
                </c:pt>
                <c:pt idx="182">
                  <c:v>37.198495763254492</c:v>
                </c:pt>
                <c:pt idx="183">
                  <c:v>38.080133458400375</c:v>
                </c:pt>
                <c:pt idx="184">
                  <c:v>43.139602986838533</c:v>
                </c:pt>
                <c:pt idx="185">
                  <c:v>50.647135378995308</c:v>
                </c:pt>
                <c:pt idx="186">
                  <c:v>51.451289476230507</c:v>
                </c:pt>
                <c:pt idx="187">
                  <c:v>46.20753463384262</c:v>
                </c:pt>
                <c:pt idx="188">
                  <c:v>40.048635675590724</c:v>
                </c:pt>
                <c:pt idx="189">
                  <c:v>37.386969379794003</c:v>
                </c:pt>
                <c:pt idx="190">
                  <c:v>36.607945098097403</c:v>
                </c:pt>
                <c:pt idx="191">
                  <c:v>36.547214710545774</c:v>
                </c:pt>
                <c:pt idx="192">
                  <c:v>36.721029268021098</c:v>
                </c:pt>
                <c:pt idx="193">
                  <c:v>36.859243253483392</c:v>
                </c:pt>
                <c:pt idx="194">
                  <c:v>36.938821002688961</c:v>
                </c:pt>
                <c:pt idx="195">
                  <c:v>36.808983622406195</c:v>
                </c:pt>
                <c:pt idx="196">
                  <c:v>36.687522847302958</c:v>
                </c:pt>
                <c:pt idx="197">
                  <c:v>36.651922275289948</c:v>
                </c:pt>
                <c:pt idx="198">
                  <c:v>36.656110577879709</c:v>
                </c:pt>
                <c:pt idx="199">
                  <c:v>36.700087755072261</c:v>
                </c:pt>
                <c:pt idx="200">
                  <c:v>36.723123419315982</c:v>
                </c:pt>
                <c:pt idx="201">
                  <c:v>36.737782478380161</c:v>
                </c:pt>
                <c:pt idx="202">
                  <c:v>36.708464360251796</c:v>
                </c:pt>
                <c:pt idx="203">
                  <c:v>36.639357367520638</c:v>
                </c:pt>
                <c:pt idx="204">
                  <c:v>36.637263216225769</c:v>
                </c:pt>
                <c:pt idx="205">
                  <c:v>36.687522847302958</c:v>
                </c:pt>
                <c:pt idx="206">
                  <c:v>36.708464360251796</c:v>
                </c:pt>
                <c:pt idx="207">
                  <c:v>36.750347386149464</c:v>
                </c:pt>
                <c:pt idx="208">
                  <c:v>36.84877249700898</c:v>
                </c:pt>
                <c:pt idx="209">
                  <c:v>36.96604496952245</c:v>
                </c:pt>
                <c:pt idx="210">
                  <c:v>37.030963659663833</c:v>
                </c:pt>
                <c:pt idx="211">
                  <c:v>37.072846685561494</c:v>
                </c:pt>
                <c:pt idx="212">
                  <c:v>37.064470080381959</c:v>
                </c:pt>
                <c:pt idx="213">
                  <c:v>37.097976501100099</c:v>
                </c:pt>
                <c:pt idx="214">
                  <c:v>37.148236132177303</c:v>
                </c:pt>
                <c:pt idx="215">
                  <c:v>37.160801039946598</c:v>
                </c:pt>
                <c:pt idx="216">
                  <c:v>37.206872368434034</c:v>
                </c:pt>
                <c:pt idx="217">
                  <c:v>37.35765126166563</c:v>
                </c:pt>
                <c:pt idx="218">
                  <c:v>37.491676944538163</c:v>
                </c:pt>
                <c:pt idx="219">
                  <c:v>37.479112036768861</c:v>
                </c:pt>
                <c:pt idx="220">
                  <c:v>37.573348845038616</c:v>
                </c:pt>
                <c:pt idx="221">
                  <c:v>37.684338863667435</c:v>
                </c:pt>
                <c:pt idx="222">
                  <c:v>37.713656981795801</c:v>
                </c:pt>
                <c:pt idx="223">
                  <c:v>37.581725450218144</c:v>
                </c:pt>
                <c:pt idx="224">
                  <c:v>37.407910892742827</c:v>
                </c:pt>
                <c:pt idx="225">
                  <c:v>37.345086353896328</c:v>
                </c:pt>
                <c:pt idx="226">
                  <c:v>37.3744044720247</c:v>
                </c:pt>
                <c:pt idx="227">
                  <c:v>37.430946556986548</c:v>
                </c:pt>
                <c:pt idx="228">
                  <c:v>37.445605616050734</c:v>
                </c:pt>
                <c:pt idx="229">
                  <c:v>37.428852405691657</c:v>
                </c:pt>
                <c:pt idx="230">
                  <c:v>37.35765126166563</c:v>
                </c:pt>
                <c:pt idx="231">
                  <c:v>37.284355966344712</c:v>
                </c:pt>
                <c:pt idx="232">
                  <c:v>37.242472940447044</c:v>
                </c:pt>
                <c:pt idx="233">
                  <c:v>37.242472940447044</c:v>
                </c:pt>
                <c:pt idx="234">
                  <c:v>37.319956538357729</c:v>
                </c:pt>
                <c:pt idx="235">
                  <c:v>37.428852405691657</c:v>
                </c:pt>
                <c:pt idx="236">
                  <c:v>37.546124878205127</c:v>
                </c:pt>
                <c:pt idx="237">
                  <c:v>37.663397350718597</c:v>
                </c:pt>
                <c:pt idx="238">
                  <c:v>37.766010764167881</c:v>
                </c:pt>
                <c:pt idx="239">
                  <c:v>37.824647000424612</c:v>
                </c:pt>
                <c:pt idx="240">
                  <c:v>37.837211908193908</c:v>
                </c:pt>
                <c:pt idx="241">
                  <c:v>37.843494362078566</c:v>
                </c:pt>
                <c:pt idx="242">
                  <c:v>37.824647000424612</c:v>
                </c:pt>
                <c:pt idx="243">
                  <c:v>37.904224749630188</c:v>
                </c:pt>
                <c:pt idx="244">
                  <c:v>38.170181964080371</c:v>
                </c:pt>
                <c:pt idx="245">
                  <c:v>38.199500082208736</c:v>
                </c:pt>
                <c:pt idx="246">
                  <c:v>38.170181964080371</c:v>
                </c:pt>
                <c:pt idx="247">
                  <c:v>37.885377387976234</c:v>
                </c:pt>
                <c:pt idx="248">
                  <c:v>37.722033586975328</c:v>
                </c:pt>
                <c:pt idx="249">
                  <c:v>37.715751133090677</c:v>
                </c:pt>
                <c:pt idx="250">
                  <c:v>37.847682664668334</c:v>
                </c:pt>
                <c:pt idx="251">
                  <c:v>37.971237591066448</c:v>
                </c:pt>
                <c:pt idx="252">
                  <c:v>38.057097794156675</c:v>
                </c:pt>
                <c:pt idx="253">
                  <c:v>38.013120616964123</c:v>
                </c:pt>
                <c:pt idx="254">
                  <c:v>37.952390229412501</c:v>
                </c:pt>
                <c:pt idx="255">
                  <c:v>37.933542867758554</c:v>
                </c:pt>
                <c:pt idx="256">
                  <c:v>38.000555709194813</c:v>
                </c:pt>
                <c:pt idx="257">
                  <c:v>38.096886668759453</c:v>
                </c:pt>
                <c:pt idx="258">
                  <c:v>38.1534287537213</c:v>
                </c:pt>
                <c:pt idx="259">
                  <c:v>38.134581392067354</c:v>
                </c:pt>
                <c:pt idx="260">
                  <c:v>38.092698366169678</c:v>
                </c:pt>
                <c:pt idx="261">
                  <c:v>38.023591373438535</c:v>
                </c:pt>
                <c:pt idx="262">
                  <c:v>37.979614196245983</c:v>
                </c:pt>
                <c:pt idx="263">
                  <c:v>37.923072111284135</c:v>
                </c:pt>
                <c:pt idx="264">
                  <c:v>37.893753993155762</c:v>
                </c:pt>
                <c:pt idx="265">
                  <c:v>37.883283236681351</c:v>
                </c:pt>
                <c:pt idx="266">
                  <c:v>37.856059269847862</c:v>
                </c:pt>
                <c:pt idx="267">
                  <c:v>37.849776815963217</c:v>
                </c:pt>
                <c:pt idx="268">
                  <c:v>37.822552849129735</c:v>
                </c:pt>
                <c:pt idx="269">
                  <c:v>37.759728310283229</c:v>
                </c:pt>
                <c:pt idx="270">
                  <c:v>37.650832442949294</c:v>
                </c:pt>
                <c:pt idx="271">
                  <c:v>37.527277516551187</c:v>
                </c:pt>
                <c:pt idx="272">
                  <c:v>37.458170523820037</c:v>
                </c:pt>
                <c:pt idx="273">
                  <c:v>37.456076372525146</c:v>
                </c:pt>
                <c:pt idx="274">
                  <c:v>37.487488641948396</c:v>
                </c:pt>
                <c:pt idx="275">
                  <c:v>37.53984242432049</c:v>
                </c:pt>
                <c:pt idx="276">
                  <c:v>37.564972239859081</c:v>
                </c:pt>
                <c:pt idx="277">
                  <c:v>37.548219029500018</c:v>
                </c:pt>
                <c:pt idx="278">
                  <c:v>37.489582793243279</c:v>
                </c:pt>
                <c:pt idx="279">
                  <c:v>37.363933715550274</c:v>
                </c:pt>
                <c:pt idx="280">
                  <c:v>37.232002183972632</c:v>
                </c:pt>
                <c:pt idx="281">
                  <c:v>37.074940836856385</c:v>
                </c:pt>
                <c:pt idx="282">
                  <c:v>36.976515725996862</c:v>
                </c:pt>
                <c:pt idx="283">
                  <c:v>37.077034988151262</c:v>
                </c:pt>
                <c:pt idx="284">
                  <c:v>36.991174785061055</c:v>
                </c:pt>
                <c:pt idx="285">
                  <c:v>36.911597035855472</c:v>
                </c:pt>
                <c:pt idx="286">
                  <c:v>36.626792459751343</c:v>
                </c:pt>
                <c:pt idx="287">
                  <c:v>36.354552791416509</c:v>
                </c:pt>
                <c:pt idx="288">
                  <c:v>36.2184329572491</c:v>
                </c:pt>
                <c:pt idx="289">
                  <c:v>36.159796720992361</c:v>
                </c:pt>
                <c:pt idx="290">
                  <c:v>36.138855208043523</c:v>
                </c:pt>
                <c:pt idx="291">
                  <c:v>36.107442938620281</c:v>
                </c:pt>
                <c:pt idx="292">
                  <c:v>36.032053492004479</c:v>
                </c:pt>
                <c:pt idx="293">
                  <c:v>35.885462901362644</c:v>
                </c:pt>
                <c:pt idx="294">
                  <c:v>35.688612679643612</c:v>
                </c:pt>
                <c:pt idx="295">
                  <c:v>35.428937919078074</c:v>
                </c:pt>
                <c:pt idx="296">
                  <c:v>35.192298822756257</c:v>
                </c:pt>
                <c:pt idx="297">
                  <c:v>34.987071995857697</c:v>
                </c:pt>
                <c:pt idx="298">
                  <c:v>34.809069135792605</c:v>
                </c:pt>
                <c:pt idx="299">
                  <c:v>34.999636903626993</c:v>
                </c:pt>
                <c:pt idx="300">
                  <c:v>38.375408790978938</c:v>
                </c:pt>
                <c:pt idx="301">
                  <c:v>40.915614311672428</c:v>
                </c:pt>
                <c:pt idx="302">
                  <c:v>41.587836877329984</c:v>
                </c:pt>
                <c:pt idx="303">
                  <c:v>40.831848259877091</c:v>
                </c:pt>
                <c:pt idx="304">
                  <c:v>36.656110577879709</c:v>
                </c:pt>
                <c:pt idx="305">
                  <c:v>34.448875113072667</c:v>
                </c:pt>
                <c:pt idx="306">
                  <c:v>33.477188912246802</c:v>
                </c:pt>
                <c:pt idx="307">
                  <c:v>33.047887896795714</c:v>
                </c:pt>
                <c:pt idx="308">
                  <c:v>32.649999150767883</c:v>
                </c:pt>
                <c:pt idx="309">
                  <c:v>32.216509832727034</c:v>
                </c:pt>
                <c:pt idx="310">
                  <c:v>31.774643909506651</c:v>
                </c:pt>
                <c:pt idx="311">
                  <c:v>31.320213078516961</c:v>
                </c:pt>
                <c:pt idx="312">
                  <c:v>30.886723760476112</c:v>
                </c:pt>
                <c:pt idx="313">
                  <c:v>30.509776527397108</c:v>
                </c:pt>
                <c:pt idx="314">
                  <c:v>30.185183076690191</c:v>
                </c:pt>
                <c:pt idx="315">
                  <c:v>29.933884921304191</c:v>
                </c:pt>
                <c:pt idx="316">
                  <c:v>29.619762227071693</c:v>
                </c:pt>
                <c:pt idx="317">
                  <c:v>29.203026119389907</c:v>
                </c:pt>
                <c:pt idx="318">
                  <c:v>28.700429808617901</c:v>
                </c:pt>
                <c:pt idx="319">
                  <c:v>28.193645195256138</c:v>
                </c:pt>
                <c:pt idx="320">
                  <c:v>27.877428349728753</c:v>
                </c:pt>
                <c:pt idx="321">
                  <c:v>27.418809216149299</c:v>
                </c:pt>
                <c:pt idx="322">
                  <c:v>27.020920470121467</c:v>
                </c:pt>
                <c:pt idx="323">
                  <c:v>26.430369804964364</c:v>
                </c:pt>
                <c:pt idx="324">
                  <c:v>25.772806298370995</c:v>
                </c:pt>
                <c:pt idx="325">
                  <c:v>25.138278456021343</c:v>
                </c:pt>
                <c:pt idx="326">
                  <c:v>24.486997403312625</c:v>
                </c:pt>
                <c:pt idx="327">
                  <c:v>23.720538029385324</c:v>
                </c:pt>
                <c:pt idx="328">
                  <c:v>22.905913175675703</c:v>
                </c:pt>
                <c:pt idx="329">
                  <c:v>22.007522270170753</c:v>
                </c:pt>
                <c:pt idx="330">
                  <c:v>21.109131364665799</c:v>
                </c:pt>
                <c:pt idx="331">
                  <c:v>20.208646307865962</c:v>
                </c:pt>
                <c:pt idx="332">
                  <c:v>19.268372376463343</c:v>
                </c:pt>
                <c:pt idx="333">
                  <c:v>18.275744662688641</c:v>
                </c:pt>
                <c:pt idx="334">
                  <c:v>17.255892982080454</c:v>
                </c:pt>
                <c:pt idx="335">
                  <c:v>16.23813545276715</c:v>
                </c:pt>
                <c:pt idx="336">
                  <c:v>15.230848679928261</c:v>
                </c:pt>
                <c:pt idx="337">
                  <c:v>14.275915689461458</c:v>
                </c:pt>
                <c:pt idx="338">
                  <c:v>13.381713086546274</c:v>
                </c:pt>
                <c:pt idx="339">
                  <c:v>12.535675963413404</c:v>
                </c:pt>
                <c:pt idx="340">
                  <c:v>11.959784357320485</c:v>
                </c:pt>
                <c:pt idx="341">
                  <c:v>11.737804320062851</c:v>
                </c:pt>
                <c:pt idx="342">
                  <c:v>11.080240813469484</c:v>
                </c:pt>
                <c:pt idx="343">
                  <c:v>9.9870938375403817</c:v>
                </c:pt>
                <c:pt idx="344">
                  <c:v>8.3704090378904414</c:v>
                </c:pt>
                <c:pt idx="345">
                  <c:v>7.358933962461788</c:v>
                </c:pt>
                <c:pt idx="346">
                  <c:v>6.7055587584581868</c:v>
                </c:pt>
                <c:pt idx="347">
                  <c:v>6.1066314881215522</c:v>
                </c:pt>
                <c:pt idx="348">
                  <c:v>5.4302206198742331</c:v>
                </c:pt>
                <c:pt idx="349">
                  <c:v>4.7391506925627311</c:v>
                </c:pt>
                <c:pt idx="350">
                  <c:v>4.1674473890595802</c:v>
                </c:pt>
                <c:pt idx="351">
                  <c:v>3.6732276834671103</c:v>
                </c:pt>
                <c:pt idx="352">
                  <c:v>3.1957611882337091</c:v>
                </c:pt>
                <c:pt idx="353">
                  <c:v>2.7685543240775061</c:v>
                </c:pt>
                <c:pt idx="354">
                  <c:v>2.4125486039473389</c:v>
                </c:pt>
                <c:pt idx="355">
                  <c:v>2.1863802640999408</c:v>
                </c:pt>
                <c:pt idx="356">
                  <c:v>2.0000007988553228</c:v>
                </c:pt>
              </c:numCache>
            </c:numRef>
          </c:yVal>
          <c:smooth val="1"/>
          <c:extLst>
            <c:ext xmlns:c16="http://schemas.microsoft.com/office/drawing/2014/chart" uri="{C3380CC4-5D6E-409C-BE32-E72D297353CC}">
              <c16:uniqueId val="{00000000-0B7A-4B2F-BFF6-096568D6F33F}"/>
            </c:ext>
          </c:extLst>
        </c:ser>
        <c:dLbls>
          <c:showLegendKey val="0"/>
          <c:showVal val="0"/>
          <c:showCatName val="0"/>
          <c:showSerName val="0"/>
          <c:showPercent val="0"/>
          <c:showBubbleSize val="0"/>
        </c:dLbls>
        <c:axId val="1816210912"/>
        <c:axId val="1816211456"/>
      </c:scatterChart>
      <c:scatterChart>
        <c:scatterStyle val="smoothMarker"/>
        <c:varyColors val="0"/>
        <c:ser>
          <c:idx val="1"/>
          <c:order val="1"/>
          <c:tx>
            <c:strRef>
              <c:f>ChromatogramData!$C$1</c:f>
              <c:strCache>
                <c:ptCount val="1"/>
                <c:pt idx="0">
                  <c:v>254 nm</c:v>
                </c:pt>
              </c:strCache>
            </c:strRef>
          </c:tx>
          <c:spPr>
            <a:ln w="12700" cap="rnd">
              <a:solidFill>
                <a:srgbClr val="FF0000"/>
              </a:solidFill>
              <a:round/>
            </a:ln>
            <a:effectLst/>
          </c:spPr>
          <c:marker>
            <c:symbol val="none"/>
          </c:marker>
          <c:xVal>
            <c:numRef>
              <c:f>ChromatogramData!$A$2:$A$10001</c:f>
              <c:numCache>
                <c:formatCode>General</c:formatCode>
                <c:ptCount val="10000"/>
                <c:pt idx="0">
                  <c:v>0.51</c:v>
                </c:pt>
                <c:pt idx="1">
                  <c:v>0.53600000000000003</c:v>
                </c:pt>
                <c:pt idx="2">
                  <c:v>0.56299999999999994</c:v>
                </c:pt>
                <c:pt idx="3">
                  <c:v>0.59</c:v>
                </c:pt>
                <c:pt idx="4">
                  <c:v>0.61599999999999999</c:v>
                </c:pt>
                <c:pt idx="5">
                  <c:v>0.64300000000000002</c:v>
                </c:pt>
                <c:pt idx="6">
                  <c:v>0.67</c:v>
                </c:pt>
                <c:pt idx="7">
                  <c:v>0.69599999999999995</c:v>
                </c:pt>
                <c:pt idx="8">
                  <c:v>0.72299999999999998</c:v>
                </c:pt>
                <c:pt idx="9">
                  <c:v>0.75</c:v>
                </c:pt>
                <c:pt idx="10">
                  <c:v>0.77600000000000002</c:v>
                </c:pt>
                <c:pt idx="11">
                  <c:v>0.80300000000000005</c:v>
                </c:pt>
                <c:pt idx="12">
                  <c:v>0.83</c:v>
                </c:pt>
                <c:pt idx="13">
                  <c:v>0.85599999999999998</c:v>
                </c:pt>
                <c:pt idx="14">
                  <c:v>0.88300000000000001</c:v>
                </c:pt>
                <c:pt idx="15">
                  <c:v>0.91</c:v>
                </c:pt>
                <c:pt idx="16">
                  <c:v>0.93600000000000005</c:v>
                </c:pt>
                <c:pt idx="17">
                  <c:v>0.96299999999999997</c:v>
                </c:pt>
                <c:pt idx="18">
                  <c:v>0.99</c:v>
                </c:pt>
                <c:pt idx="19">
                  <c:v>1.016</c:v>
                </c:pt>
                <c:pt idx="20">
                  <c:v>1.0429999999999999</c:v>
                </c:pt>
                <c:pt idx="21">
                  <c:v>1.07</c:v>
                </c:pt>
                <c:pt idx="22">
                  <c:v>1.0960000000000001</c:v>
                </c:pt>
                <c:pt idx="23">
                  <c:v>1.123</c:v>
                </c:pt>
                <c:pt idx="24">
                  <c:v>1.1499999999999999</c:v>
                </c:pt>
                <c:pt idx="25">
                  <c:v>1.1759999999999999</c:v>
                </c:pt>
                <c:pt idx="26">
                  <c:v>1.2030000000000001</c:v>
                </c:pt>
                <c:pt idx="27">
                  <c:v>1.23</c:v>
                </c:pt>
                <c:pt idx="28">
                  <c:v>1.256</c:v>
                </c:pt>
                <c:pt idx="29">
                  <c:v>1.2829999999999999</c:v>
                </c:pt>
                <c:pt idx="30">
                  <c:v>1.31</c:v>
                </c:pt>
                <c:pt idx="31">
                  <c:v>1.3360000000000001</c:v>
                </c:pt>
                <c:pt idx="32">
                  <c:v>1.363</c:v>
                </c:pt>
                <c:pt idx="33">
                  <c:v>1.39</c:v>
                </c:pt>
                <c:pt idx="34">
                  <c:v>1.4159999999999999</c:v>
                </c:pt>
                <c:pt idx="35">
                  <c:v>1.4430000000000001</c:v>
                </c:pt>
                <c:pt idx="36">
                  <c:v>1.47</c:v>
                </c:pt>
                <c:pt idx="37">
                  <c:v>1.496</c:v>
                </c:pt>
                <c:pt idx="38">
                  <c:v>1.5229999999999999</c:v>
                </c:pt>
                <c:pt idx="39">
                  <c:v>1.55</c:v>
                </c:pt>
                <c:pt idx="40">
                  <c:v>1.5760000000000001</c:v>
                </c:pt>
                <c:pt idx="41">
                  <c:v>1.603</c:v>
                </c:pt>
                <c:pt idx="42">
                  <c:v>1.63</c:v>
                </c:pt>
                <c:pt idx="43">
                  <c:v>1.6559999999999999</c:v>
                </c:pt>
                <c:pt idx="44">
                  <c:v>1.6830000000000001</c:v>
                </c:pt>
                <c:pt idx="45">
                  <c:v>1.71</c:v>
                </c:pt>
                <c:pt idx="46">
                  <c:v>1.736</c:v>
                </c:pt>
                <c:pt idx="47">
                  <c:v>1.7629999999999999</c:v>
                </c:pt>
                <c:pt idx="48">
                  <c:v>1.79</c:v>
                </c:pt>
                <c:pt idx="49">
                  <c:v>1.8160000000000001</c:v>
                </c:pt>
                <c:pt idx="50">
                  <c:v>1.843</c:v>
                </c:pt>
                <c:pt idx="51">
                  <c:v>1.87</c:v>
                </c:pt>
                <c:pt idx="52">
                  <c:v>1.8959999999999999</c:v>
                </c:pt>
                <c:pt idx="53">
                  <c:v>1.923</c:v>
                </c:pt>
                <c:pt idx="54">
                  <c:v>1.95</c:v>
                </c:pt>
                <c:pt idx="55">
                  <c:v>1.976</c:v>
                </c:pt>
                <c:pt idx="56">
                  <c:v>2.0030000000000001</c:v>
                </c:pt>
                <c:pt idx="57">
                  <c:v>2.0299999999999998</c:v>
                </c:pt>
                <c:pt idx="58">
                  <c:v>2.056</c:v>
                </c:pt>
                <c:pt idx="59">
                  <c:v>2.0830000000000002</c:v>
                </c:pt>
                <c:pt idx="60">
                  <c:v>2.11</c:v>
                </c:pt>
                <c:pt idx="61">
                  <c:v>2.1360000000000001</c:v>
                </c:pt>
                <c:pt idx="62">
                  <c:v>2.1629999999999998</c:v>
                </c:pt>
                <c:pt idx="63">
                  <c:v>2.19</c:v>
                </c:pt>
                <c:pt idx="64">
                  <c:v>2.2160000000000002</c:v>
                </c:pt>
                <c:pt idx="65">
                  <c:v>2.2429999999999999</c:v>
                </c:pt>
                <c:pt idx="66">
                  <c:v>2.27</c:v>
                </c:pt>
                <c:pt idx="67">
                  <c:v>2.2959999999999998</c:v>
                </c:pt>
                <c:pt idx="68">
                  <c:v>2.323</c:v>
                </c:pt>
                <c:pt idx="69">
                  <c:v>2.35</c:v>
                </c:pt>
                <c:pt idx="70">
                  <c:v>2.3759999999999999</c:v>
                </c:pt>
                <c:pt idx="71">
                  <c:v>2.403</c:v>
                </c:pt>
                <c:pt idx="72">
                  <c:v>2.4300000000000002</c:v>
                </c:pt>
                <c:pt idx="73">
                  <c:v>2.456</c:v>
                </c:pt>
                <c:pt idx="74">
                  <c:v>2.4830000000000001</c:v>
                </c:pt>
                <c:pt idx="75">
                  <c:v>2.5099999999999998</c:v>
                </c:pt>
                <c:pt idx="76">
                  <c:v>2.536</c:v>
                </c:pt>
                <c:pt idx="77">
                  <c:v>2.5630000000000002</c:v>
                </c:pt>
                <c:pt idx="78">
                  <c:v>2.59</c:v>
                </c:pt>
                <c:pt idx="79">
                  <c:v>2.6160000000000001</c:v>
                </c:pt>
                <c:pt idx="80">
                  <c:v>2.6429999999999998</c:v>
                </c:pt>
                <c:pt idx="81">
                  <c:v>2.67</c:v>
                </c:pt>
                <c:pt idx="82">
                  <c:v>2.6960000000000002</c:v>
                </c:pt>
                <c:pt idx="83">
                  <c:v>2.7229999999999999</c:v>
                </c:pt>
                <c:pt idx="84">
                  <c:v>2.75</c:v>
                </c:pt>
                <c:pt idx="85">
                  <c:v>2.7759999999999998</c:v>
                </c:pt>
                <c:pt idx="86">
                  <c:v>2.8029999999999999</c:v>
                </c:pt>
                <c:pt idx="87">
                  <c:v>2.83</c:v>
                </c:pt>
                <c:pt idx="88">
                  <c:v>2.8559999999999999</c:v>
                </c:pt>
                <c:pt idx="89">
                  <c:v>2.883</c:v>
                </c:pt>
                <c:pt idx="90">
                  <c:v>2.91</c:v>
                </c:pt>
                <c:pt idx="91">
                  <c:v>2.9359999999999999</c:v>
                </c:pt>
                <c:pt idx="92">
                  <c:v>2.9630000000000001</c:v>
                </c:pt>
                <c:pt idx="93">
                  <c:v>2.99</c:v>
                </c:pt>
                <c:pt idx="94">
                  <c:v>3.016</c:v>
                </c:pt>
                <c:pt idx="95">
                  <c:v>3.0430000000000001</c:v>
                </c:pt>
                <c:pt idx="96">
                  <c:v>3.07</c:v>
                </c:pt>
                <c:pt idx="97">
                  <c:v>3.0960000000000001</c:v>
                </c:pt>
                <c:pt idx="98">
                  <c:v>3.1230000000000002</c:v>
                </c:pt>
                <c:pt idx="99">
                  <c:v>3.15</c:v>
                </c:pt>
                <c:pt idx="100">
                  <c:v>3.1760000000000002</c:v>
                </c:pt>
                <c:pt idx="101">
                  <c:v>3.2029999999999998</c:v>
                </c:pt>
                <c:pt idx="102">
                  <c:v>3.23</c:v>
                </c:pt>
                <c:pt idx="103">
                  <c:v>3.2559999999999998</c:v>
                </c:pt>
                <c:pt idx="104">
                  <c:v>3.2829999999999999</c:v>
                </c:pt>
                <c:pt idx="105">
                  <c:v>3.31</c:v>
                </c:pt>
                <c:pt idx="106">
                  <c:v>3.3359999999999999</c:v>
                </c:pt>
                <c:pt idx="107">
                  <c:v>3.363</c:v>
                </c:pt>
                <c:pt idx="108">
                  <c:v>3.39</c:v>
                </c:pt>
                <c:pt idx="109">
                  <c:v>3.4159999999999999</c:v>
                </c:pt>
                <c:pt idx="110">
                  <c:v>3.4430000000000001</c:v>
                </c:pt>
                <c:pt idx="111">
                  <c:v>3.47</c:v>
                </c:pt>
                <c:pt idx="112">
                  <c:v>3.496</c:v>
                </c:pt>
                <c:pt idx="113">
                  <c:v>3.5230000000000001</c:v>
                </c:pt>
                <c:pt idx="114">
                  <c:v>3.55</c:v>
                </c:pt>
                <c:pt idx="115">
                  <c:v>3.5760000000000001</c:v>
                </c:pt>
                <c:pt idx="116">
                  <c:v>3.6030000000000002</c:v>
                </c:pt>
                <c:pt idx="117">
                  <c:v>3.63</c:v>
                </c:pt>
                <c:pt idx="118">
                  <c:v>3.6560000000000001</c:v>
                </c:pt>
                <c:pt idx="119">
                  <c:v>3.6829999999999998</c:v>
                </c:pt>
                <c:pt idx="120">
                  <c:v>3.71</c:v>
                </c:pt>
                <c:pt idx="121">
                  <c:v>3.7360000000000002</c:v>
                </c:pt>
                <c:pt idx="122">
                  <c:v>3.7629999999999999</c:v>
                </c:pt>
                <c:pt idx="123">
                  <c:v>3.79</c:v>
                </c:pt>
                <c:pt idx="124">
                  <c:v>3.8159999999999998</c:v>
                </c:pt>
                <c:pt idx="125">
                  <c:v>3.843</c:v>
                </c:pt>
                <c:pt idx="126">
                  <c:v>3.87</c:v>
                </c:pt>
                <c:pt idx="127">
                  <c:v>3.8959999999999999</c:v>
                </c:pt>
                <c:pt idx="128">
                  <c:v>3.923</c:v>
                </c:pt>
                <c:pt idx="129">
                  <c:v>3.95</c:v>
                </c:pt>
                <c:pt idx="130">
                  <c:v>3.976</c:v>
                </c:pt>
                <c:pt idx="131">
                  <c:v>4.0030000000000001</c:v>
                </c:pt>
                <c:pt idx="132">
                  <c:v>4.03</c:v>
                </c:pt>
                <c:pt idx="133">
                  <c:v>4.056</c:v>
                </c:pt>
                <c:pt idx="134">
                  <c:v>4.0830000000000002</c:v>
                </c:pt>
                <c:pt idx="135">
                  <c:v>4.1100000000000003</c:v>
                </c:pt>
                <c:pt idx="136">
                  <c:v>4.1360000000000001</c:v>
                </c:pt>
                <c:pt idx="137">
                  <c:v>4.1630000000000003</c:v>
                </c:pt>
                <c:pt idx="138">
                  <c:v>4.1900000000000004</c:v>
                </c:pt>
                <c:pt idx="139">
                  <c:v>4.2160000000000002</c:v>
                </c:pt>
                <c:pt idx="140">
                  <c:v>4.2430000000000003</c:v>
                </c:pt>
                <c:pt idx="141">
                  <c:v>4.2699999999999996</c:v>
                </c:pt>
                <c:pt idx="142">
                  <c:v>4.2960000000000003</c:v>
                </c:pt>
                <c:pt idx="143">
                  <c:v>4.3230000000000004</c:v>
                </c:pt>
                <c:pt idx="144">
                  <c:v>4.3499999999999996</c:v>
                </c:pt>
                <c:pt idx="145">
                  <c:v>4.3760000000000003</c:v>
                </c:pt>
                <c:pt idx="146">
                  <c:v>4.4029999999999996</c:v>
                </c:pt>
                <c:pt idx="147">
                  <c:v>4.43</c:v>
                </c:pt>
                <c:pt idx="148">
                  <c:v>4.4560000000000004</c:v>
                </c:pt>
                <c:pt idx="149">
                  <c:v>4.4829999999999997</c:v>
                </c:pt>
                <c:pt idx="150">
                  <c:v>4.51</c:v>
                </c:pt>
                <c:pt idx="151">
                  <c:v>4.5359999999999996</c:v>
                </c:pt>
                <c:pt idx="152">
                  <c:v>4.5629999999999997</c:v>
                </c:pt>
                <c:pt idx="153">
                  <c:v>4.59</c:v>
                </c:pt>
                <c:pt idx="154">
                  <c:v>4.6159999999999997</c:v>
                </c:pt>
                <c:pt idx="155">
                  <c:v>4.6429999999999998</c:v>
                </c:pt>
                <c:pt idx="156">
                  <c:v>4.67</c:v>
                </c:pt>
                <c:pt idx="157">
                  <c:v>4.6959999999999997</c:v>
                </c:pt>
                <c:pt idx="158">
                  <c:v>4.7229999999999999</c:v>
                </c:pt>
                <c:pt idx="159">
                  <c:v>4.75</c:v>
                </c:pt>
                <c:pt idx="160">
                  <c:v>4.7759999999999998</c:v>
                </c:pt>
                <c:pt idx="161">
                  <c:v>4.8029999999999999</c:v>
                </c:pt>
                <c:pt idx="162">
                  <c:v>4.83</c:v>
                </c:pt>
                <c:pt idx="163">
                  <c:v>4.8559999999999999</c:v>
                </c:pt>
                <c:pt idx="164">
                  <c:v>4.883</c:v>
                </c:pt>
                <c:pt idx="165">
                  <c:v>4.91</c:v>
                </c:pt>
                <c:pt idx="166">
                  <c:v>4.9359999999999999</c:v>
                </c:pt>
                <c:pt idx="167">
                  <c:v>4.9630000000000001</c:v>
                </c:pt>
                <c:pt idx="168">
                  <c:v>4.99</c:v>
                </c:pt>
                <c:pt idx="169">
                  <c:v>5.016</c:v>
                </c:pt>
                <c:pt idx="170">
                  <c:v>5.0430000000000001</c:v>
                </c:pt>
                <c:pt idx="171">
                  <c:v>5.07</c:v>
                </c:pt>
                <c:pt idx="172">
                  <c:v>5.0960000000000001</c:v>
                </c:pt>
                <c:pt idx="173">
                  <c:v>5.1230000000000002</c:v>
                </c:pt>
                <c:pt idx="174">
                  <c:v>5.15</c:v>
                </c:pt>
                <c:pt idx="175">
                  <c:v>5.1760000000000002</c:v>
                </c:pt>
                <c:pt idx="176">
                  <c:v>5.2030000000000003</c:v>
                </c:pt>
                <c:pt idx="177">
                  <c:v>5.23</c:v>
                </c:pt>
                <c:pt idx="178">
                  <c:v>5.2560000000000002</c:v>
                </c:pt>
                <c:pt idx="179">
                  <c:v>5.2830000000000004</c:v>
                </c:pt>
                <c:pt idx="180">
                  <c:v>5.31</c:v>
                </c:pt>
                <c:pt idx="181">
                  <c:v>5.3360000000000003</c:v>
                </c:pt>
                <c:pt idx="182">
                  <c:v>5.3630000000000004</c:v>
                </c:pt>
                <c:pt idx="183">
                  <c:v>5.39</c:v>
                </c:pt>
                <c:pt idx="184">
                  <c:v>5.4160000000000004</c:v>
                </c:pt>
                <c:pt idx="185">
                  <c:v>5.4429999999999996</c:v>
                </c:pt>
                <c:pt idx="186">
                  <c:v>5.47</c:v>
                </c:pt>
                <c:pt idx="187">
                  <c:v>5.4960000000000004</c:v>
                </c:pt>
                <c:pt idx="188">
                  <c:v>5.5229999999999997</c:v>
                </c:pt>
                <c:pt idx="189">
                  <c:v>5.55</c:v>
                </c:pt>
                <c:pt idx="190">
                  <c:v>5.5759999999999996</c:v>
                </c:pt>
                <c:pt idx="191">
                  <c:v>5.6029999999999998</c:v>
                </c:pt>
                <c:pt idx="192">
                  <c:v>5.63</c:v>
                </c:pt>
                <c:pt idx="193">
                  <c:v>5.6559999999999997</c:v>
                </c:pt>
                <c:pt idx="194">
                  <c:v>5.6829999999999998</c:v>
                </c:pt>
                <c:pt idx="195">
                  <c:v>5.71</c:v>
                </c:pt>
                <c:pt idx="196">
                  <c:v>5.7359999999999998</c:v>
                </c:pt>
                <c:pt idx="197">
                  <c:v>5.7629999999999999</c:v>
                </c:pt>
                <c:pt idx="198">
                  <c:v>5.79</c:v>
                </c:pt>
                <c:pt idx="199">
                  <c:v>5.8159999999999998</c:v>
                </c:pt>
                <c:pt idx="200">
                  <c:v>5.843</c:v>
                </c:pt>
                <c:pt idx="201">
                  <c:v>5.87</c:v>
                </c:pt>
                <c:pt idx="202">
                  <c:v>5.8959999999999999</c:v>
                </c:pt>
                <c:pt idx="203">
                  <c:v>5.923</c:v>
                </c:pt>
                <c:pt idx="204">
                  <c:v>5.95</c:v>
                </c:pt>
                <c:pt idx="205">
                  <c:v>5.976</c:v>
                </c:pt>
                <c:pt idx="206">
                  <c:v>6.0030000000000001</c:v>
                </c:pt>
                <c:pt idx="207">
                  <c:v>6.03</c:v>
                </c:pt>
                <c:pt idx="208">
                  <c:v>6.056</c:v>
                </c:pt>
                <c:pt idx="209">
                  <c:v>6.0830000000000002</c:v>
                </c:pt>
                <c:pt idx="210">
                  <c:v>6.11</c:v>
                </c:pt>
                <c:pt idx="211">
                  <c:v>6.1360000000000001</c:v>
                </c:pt>
                <c:pt idx="212">
                  <c:v>6.1630000000000003</c:v>
                </c:pt>
                <c:pt idx="213">
                  <c:v>6.19</c:v>
                </c:pt>
                <c:pt idx="214">
                  <c:v>6.2160000000000002</c:v>
                </c:pt>
                <c:pt idx="215">
                  <c:v>6.2430000000000003</c:v>
                </c:pt>
                <c:pt idx="216">
                  <c:v>6.27</c:v>
                </c:pt>
                <c:pt idx="217">
                  <c:v>6.2960000000000003</c:v>
                </c:pt>
                <c:pt idx="218">
                  <c:v>6.3230000000000004</c:v>
                </c:pt>
                <c:pt idx="219">
                  <c:v>6.35</c:v>
                </c:pt>
                <c:pt idx="220">
                  <c:v>6.3760000000000003</c:v>
                </c:pt>
                <c:pt idx="221">
                  <c:v>6.4029999999999996</c:v>
                </c:pt>
                <c:pt idx="222">
                  <c:v>6.43</c:v>
                </c:pt>
                <c:pt idx="223">
                  <c:v>6.4560000000000004</c:v>
                </c:pt>
                <c:pt idx="224">
                  <c:v>6.4829999999999997</c:v>
                </c:pt>
                <c:pt idx="225">
                  <c:v>6.51</c:v>
                </c:pt>
                <c:pt idx="226">
                  <c:v>6.5359999999999996</c:v>
                </c:pt>
                <c:pt idx="227">
                  <c:v>6.5629999999999997</c:v>
                </c:pt>
                <c:pt idx="228">
                  <c:v>6.59</c:v>
                </c:pt>
                <c:pt idx="229">
                  <c:v>6.6159999999999997</c:v>
                </c:pt>
                <c:pt idx="230">
                  <c:v>6.6429999999999998</c:v>
                </c:pt>
                <c:pt idx="231">
                  <c:v>6.67</c:v>
                </c:pt>
                <c:pt idx="232">
                  <c:v>6.6959999999999997</c:v>
                </c:pt>
                <c:pt idx="233">
                  <c:v>6.7229999999999999</c:v>
                </c:pt>
                <c:pt idx="234">
                  <c:v>6.75</c:v>
                </c:pt>
                <c:pt idx="235">
                  <c:v>6.7759999999999998</c:v>
                </c:pt>
                <c:pt idx="236">
                  <c:v>6.8029999999999999</c:v>
                </c:pt>
                <c:pt idx="237">
                  <c:v>6.83</c:v>
                </c:pt>
                <c:pt idx="238">
                  <c:v>6.8559999999999999</c:v>
                </c:pt>
                <c:pt idx="239">
                  <c:v>6.883</c:v>
                </c:pt>
                <c:pt idx="240">
                  <c:v>6.91</c:v>
                </c:pt>
                <c:pt idx="241">
                  <c:v>6.9359999999999999</c:v>
                </c:pt>
                <c:pt idx="242">
                  <c:v>6.9630000000000001</c:v>
                </c:pt>
                <c:pt idx="243">
                  <c:v>6.99</c:v>
                </c:pt>
                <c:pt idx="244">
                  <c:v>7.016</c:v>
                </c:pt>
                <c:pt idx="245">
                  <c:v>7.0430000000000001</c:v>
                </c:pt>
                <c:pt idx="246">
                  <c:v>7.07</c:v>
                </c:pt>
                <c:pt idx="247">
                  <c:v>7.0960000000000001</c:v>
                </c:pt>
                <c:pt idx="248">
                  <c:v>7.1230000000000002</c:v>
                </c:pt>
                <c:pt idx="249">
                  <c:v>7.15</c:v>
                </c:pt>
                <c:pt idx="250">
                  <c:v>7.1760000000000002</c:v>
                </c:pt>
                <c:pt idx="251">
                  <c:v>7.2030000000000003</c:v>
                </c:pt>
                <c:pt idx="252">
                  <c:v>7.23</c:v>
                </c:pt>
                <c:pt idx="253">
                  <c:v>7.2560000000000002</c:v>
                </c:pt>
                <c:pt idx="254">
                  <c:v>7.2830000000000004</c:v>
                </c:pt>
                <c:pt idx="255">
                  <c:v>7.31</c:v>
                </c:pt>
                <c:pt idx="256">
                  <c:v>7.3360000000000003</c:v>
                </c:pt>
                <c:pt idx="257">
                  <c:v>7.3630000000000004</c:v>
                </c:pt>
                <c:pt idx="258">
                  <c:v>7.39</c:v>
                </c:pt>
                <c:pt idx="259">
                  <c:v>7.4160000000000004</c:v>
                </c:pt>
                <c:pt idx="260">
                  <c:v>7.4429999999999996</c:v>
                </c:pt>
                <c:pt idx="261">
                  <c:v>7.47</c:v>
                </c:pt>
                <c:pt idx="262">
                  <c:v>7.4960000000000004</c:v>
                </c:pt>
                <c:pt idx="263">
                  <c:v>7.5229999999999997</c:v>
                </c:pt>
                <c:pt idx="264">
                  <c:v>7.55</c:v>
                </c:pt>
                <c:pt idx="265">
                  <c:v>7.5759999999999996</c:v>
                </c:pt>
                <c:pt idx="266">
                  <c:v>7.6029999999999998</c:v>
                </c:pt>
                <c:pt idx="267">
                  <c:v>7.63</c:v>
                </c:pt>
                <c:pt idx="268">
                  <c:v>7.6559999999999997</c:v>
                </c:pt>
                <c:pt idx="269">
                  <c:v>7.6829999999999998</c:v>
                </c:pt>
                <c:pt idx="270">
                  <c:v>7.71</c:v>
                </c:pt>
                <c:pt idx="271">
                  <c:v>7.7359999999999998</c:v>
                </c:pt>
                <c:pt idx="272">
                  <c:v>7.7629999999999999</c:v>
                </c:pt>
                <c:pt idx="273">
                  <c:v>7.79</c:v>
                </c:pt>
                <c:pt idx="274">
                  <c:v>7.8159999999999998</c:v>
                </c:pt>
                <c:pt idx="275">
                  <c:v>7.843</c:v>
                </c:pt>
                <c:pt idx="276">
                  <c:v>7.87</c:v>
                </c:pt>
                <c:pt idx="277">
                  <c:v>7.8959999999999999</c:v>
                </c:pt>
                <c:pt idx="278">
                  <c:v>7.923</c:v>
                </c:pt>
                <c:pt idx="279">
                  <c:v>7.95</c:v>
                </c:pt>
                <c:pt idx="280">
                  <c:v>7.976</c:v>
                </c:pt>
                <c:pt idx="281">
                  <c:v>8.0030000000000001</c:v>
                </c:pt>
                <c:pt idx="282">
                  <c:v>8.0299999999999994</c:v>
                </c:pt>
                <c:pt idx="283">
                  <c:v>8.0559999999999992</c:v>
                </c:pt>
                <c:pt idx="284">
                  <c:v>8.0830000000000002</c:v>
                </c:pt>
                <c:pt idx="285">
                  <c:v>8.11</c:v>
                </c:pt>
                <c:pt idx="286">
                  <c:v>8.1359999999999992</c:v>
                </c:pt>
                <c:pt idx="287">
                  <c:v>8.1630000000000003</c:v>
                </c:pt>
                <c:pt idx="288">
                  <c:v>8.19</c:v>
                </c:pt>
                <c:pt idx="289">
                  <c:v>8.2159999999999993</c:v>
                </c:pt>
                <c:pt idx="290">
                  <c:v>8.2430000000000003</c:v>
                </c:pt>
                <c:pt idx="291">
                  <c:v>8.27</c:v>
                </c:pt>
                <c:pt idx="292">
                  <c:v>8.2959999999999994</c:v>
                </c:pt>
                <c:pt idx="293">
                  <c:v>8.3230000000000004</c:v>
                </c:pt>
                <c:pt idx="294">
                  <c:v>8.35</c:v>
                </c:pt>
                <c:pt idx="295">
                  <c:v>8.3759999999999994</c:v>
                </c:pt>
                <c:pt idx="296">
                  <c:v>8.4030000000000005</c:v>
                </c:pt>
                <c:pt idx="297">
                  <c:v>8.43</c:v>
                </c:pt>
                <c:pt idx="298">
                  <c:v>8.4559999999999995</c:v>
                </c:pt>
                <c:pt idx="299">
                  <c:v>8.4830000000000005</c:v>
                </c:pt>
                <c:pt idx="300">
                  <c:v>8.51</c:v>
                </c:pt>
                <c:pt idx="301">
                  <c:v>8.5359999999999996</c:v>
                </c:pt>
                <c:pt idx="302">
                  <c:v>8.5630000000000006</c:v>
                </c:pt>
                <c:pt idx="303">
                  <c:v>8.59</c:v>
                </c:pt>
                <c:pt idx="304">
                  <c:v>8.6159999999999997</c:v>
                </c:pt>
                <c:pt idx="305">
                  <c:v>8.6430000000000007</c:v>
                </c:pt>
                <c:pt idx="306">
                  <c:v>8.67</c:v>
                </c:pt>
                <c:pt idx="307">
                  <c:v>8.6959999999999997</c:v>
                </c:pt>
                <c:pt idx="308">
                  <c:v>8.7230000000000008</c:v>
                </c:pt>
                <c:pt idx="309">
                  <c:v>8.75</c:v>
                </c:pt>
                <c:pt idx="310">
                  <c:v>8.7759999999999998</c:v>
                </c:pt>
                <c:pt idx="311">
                  <c:v>8.8030000000000008</c:v>
                </c:pt>
                <c:pt idx="312">
                  <c:v>8.83</c:v>
                </c:pt>
                <c:pt idx="313">
                  <c:v>8.8559999999999999</c:v>
                </c:pt>
                <c:pt idx="314">
                  <c:v>8.8829999999999991</c:v>
                </c:pt>
                <c:pt idx="315">
                  <c:v>8.91</c:v>
                </c:pt>
                <c:pt idx="316">
                  <c:v>8.9359999999999999</c:v>
                </c:pt>
                <c:pt idx="317">
                  <c:v>8.9629999999999992</c:v>
                </c:pt>
                <c:pt idx="318">
                  <c:v>8.99</c:v>
                </c:pt>
                <c:pt idx="319">
                  <c:v>9.016</c:v>
                </c:pt>
                <c:pt idx="320">
                  <c:v>9.0429999999999993</c:v>
                </c:pt>
                <c:pt idx="321">
                  <c:v>9.07</c:v>
                </c:pt>
                <c:pt idx="322">
                  <c:v>9.0960000000000001</c:v>
                </c:pt>
                <c:pt idx="323">
                  <c:v>9.1229999999999993</c:v>
                </c:pt>
                <c:pt idx="324">
                  <c:v>9.15</c:v>
                </c:pt>
                <c:pt idx="325">
                  <c:v>9.1760000000000002</c:v>
                </c:pt>
                <c:pt idx="326">
                  <c:v>9.2029999999999994</c:v>
                </c:pt>
                <c:pt idx="327">
                  <c:v>9.23</c:v>
                </c:pt>
                <c:pt idx="328">
                  <c:v>9.2560000000000002</c:v>
                </c:pt>
                <c:pt idx="329">
                  <c:v>9.2829999999999995</c:v>
                </c:pt>
                <c:pt idx="330">
                  <c:v>9.31</c:v>
                </c:pt>
                <c:pt idx="331">
                  <c:v>9.3360000000000003</c:v>
                </c:pt>
                <c:pt idx="332">
                  <c:v>9.3629999999999995</c:v>
                </c:pt>
                <c:pt idx="333">
                  <c:v>9.39</c:v>
                </c:pt>
                <c:pt idx="334">
                  <c:v>9.4160000000000004</c:v>
                </c:pt>
                <c:pt idx="335">
                  <c:v>9.4429999999999996</c:v>
                </c:pt>
                <c:pt idx="336">
                  <c:v>9.4700000000000006</c:v>
                </c:pt>
                <c:pt idx="337">
                  <c:v>9.4960000000000004</c:v>
                </c:pt>
                <c:pt idx="338">
                  <c:v>9.5229999999999997</c:v>
                </c:pt>
                <c:pt idx="339">
                  <c:v>9.5500000000000007</c:v>
                </c:pt>
                <c:pt idx="340">
                  <c:v>9.5760000000000005</c:v>
                </c:pt>
                <c:pt idx="341">
                  <c:v>9.6029999999999998</c:v>
                </c:pt>
                <c:pt idx="342">
                  <c:v>9.6300000000000008</c:v>
                </c:pt>
                <c:pt idx="343">
                  <c:v>9.6560000000000006</c:v>
                </c:pt>
                <c:pt idx="344">
                  <c:v>9.6829999999999998</c:v>
                </c:pt>
                <c:pt idx="345">
                  <c:v>9.7100000000000009</c:v>
                </c:pt>
                <c:pt idx="346">
                  <c:v>9.7360000000000007</c:v>
                </c:pt>
                <c:pt idx="347">
                  <c:v>9.7629999999999999</c:v>
                </c:pt>
                <c:pt idx="348">
                  <c:v>9.7899999999999991</c:v>
                </c:pt>
                <c:pt idx="349">
                  <c:v>9.8160000000000007</c:v>
                </c:pt>
                <c:pt idx="350">
                  <c:v>9.843</c:v>
                </c:pt>
                <c:pt idx="351">
                  <c:v>9.8699999999999992</c:v>
                </c:pt>
                <c:pt idx="352">
                  <c:v>9.8960000000000008</c:v>
                </c:pt>
                <c:pt idx="353">
                  <c:v>9.923</c:v>
                </c:pt>
                <c:pt idx="354">
                  <c:v>9.9499999999999993</c:v>
                </c:pt>
                <c:pt idx="355">
                  <c:v>9.9760000000000009</c:v>
                </c:pt>
                <c:pt idx="356">
                  <c:v>10.003</c:v>
                </c:pt>
              </c:numCache>
            </c:numRef>
          </c:xVal>
          <c:yVal>
            <c:numRef>
              <c:f>ChromatogramData!$C$2:$C$10001</c:f>
              <c:numCache>
                <c:formatCode>General</c:formatCode>
                <c:ptCount val="10000"/>
                <c:pt idx="0">
                  <c:v>8.5295637379455371</c:v>
                </c:pt>
                <c:pt idx="1">
                  <c:v>6.7558175911793494</c:v>
                </c:pt>
                <c:pt idx="2">
                  <c:v>5.3757718878512293</c:v>
                </c:pt>
                <c:pt idx="3">
                  <c:v>5.2940999873507781</c:v>
                </c:pt>
                <c:pt idx="4">
                  <c:v>5.9139687706362469</c:v>
                </c:pt>
                <c:pt idx="5">
                  <c:v>6.6029445466528651</c:v>
                </c:pt>
                <c:pt idx="6">
                  <c:v>6.7641941963588827</c:v>
                </c:pt>
                <c:pt idx="7">
                  <c:v>6.6448275725505326</c:v>
                </c:pt>
                <c:pt idx="8">
                  <c:v>6.6741456906788983</c:v>
                </c:pt>
                <c:pt idx="9">
                  <c:v>6.5170843435626482</c:v>
                </c:pt>
                <c:pt idx="10">
                  <c:v>5.7150243976223294</c:v>
                </c:pt>
                <c:pt idx="11">
                  <c:v>4.5841826983853258</c:v>
                </c:pt>
                <c:pt idx="12">
                  <c:v>3.9685022176896236</c:v>
                </c:pt>
                <c:pt idx="13">
                  <c:v>4.3810500227816416</c:v>
                </c:pt>
                <c:pt idx="14">
                  <c:v>6.096159933291097</c:v>
                </c:pt>
                <c:pt idx="15">
                  <c:v>9.2813640528086587</c:v>
                </c:pt>
                <c:pt idx="16">
                  <c:v>13.17020300740702</c:v>
                </c:pt>
                <c:pt idx="17">
                  <c:v>16.384725245052948</c:v>
                </c:pt>
                <c:pt idx="18">
                  <c:v>18.516571263244185</c:v>
                </c:pt>
                <c:pt idx="19">
                  <c:v>19.909181874341606</c:v>
                </c:pt>
                <c:pt idx="20">
                  <c:v>20.681923702153561</c:v>
                </c:pt>
                <c:pt idx="21">
                  <c:v>20.321729679433624</c:v>
                </c:pt>
                <c:pt idx="22">
                  <c:v>18.294591225986551</c:v>
                </c:pt>
                <c:pt idx="23">
                  <c:v>14.849712345903457</c:v>
                </c:pt>
                <c:pt idx="24">
                  <c:v>10.682351269085613</c:v>
                </c:pt>
                <c:pt idx="25">
                  <c:v>6.9275379973597824</c:v>
                </c:pt>
                <c:pt idx="26">
                  <c:v>4.5234523108337097</c:v>
                </c:pt>
                <c:pt idx="27">
                  <c:v>3.4156462758404222</c:v>
                </c:pt>
                <c:pt idx="28">
                  <c:v>2.994721865568871</c:v>
                </c:pt>
                <c:pt idx="29">
                  <c:v>2.8250956106833205</c:v>
                </c:pt>
                <c:pt idx="30">
                  <c:v>2.7182938946442703</c:v>
                </c:pt>
                <c:pt idx="31">
                  <c:v>2.619868783784753</c:v>
                </c:pt>
                <c:pt idx="32">
                  <c:v>2.5256319755150027</c:v>
                </c:pt>
                <c:pt idx="33">
                  <c:v>2.4376776211299025</c:v>
                </c:pt>
                <c:pt idx="34">
                  <c:v>2.3539115693345689</c:v>
                </c:pt>
                <c:pt idx="35">
                  <c:v>2.2659572149494687</c:v>
                </c:pt>
                <c:pt idx="36">
                  <c:v>2.1968502222183184</c:v>
                </c:pt>
                <c:pt idx="37">
                  <c:v>2.1424022885513518</c:v>
                </c:pt>
                <c:pt idx="38">
                  <c:v>2.0837660522946182</c:v>
                </c:pt>
                <c:pt idx="39">
                  <c:v>2.0460713289867178</c:v>
                </c:pt>
                <c:pt idx="40">
                  <c:v>2.0188473621532346</c:v>
                </c:pt>
                <c:pt idx="41">
                  <c:v>2.0000000004992846</c:v>
                </c:pt>
                <c:pt idx="42">
                  <c:v>2.0000000004992846</c:v>
                </c:pt>
                <c:pt idx="43">
                  <c:v>2.0062824543839346</c:v>
                </c:pt>
                <c:pt idx="44">
                  <c:v>2.0167532108583512</c:v>
                </c:pt>
                <c:pt idx="45">
                  <c:v>2.0376947238071845</c:v>
                </c:pt>
                <c:pt idx="46">
                  <c:v>2.0628245393457849</c:v>
                </c:pt>
                <c:pt idx="47">
                  <c:v>2.0795777497048515</c:v>
                </c:pt>
                <c:pt idx="48">
                  <c:v>2.1047075652434515</c:v>
                </c:pt>
                <c:pt idx="49">
                  <c:v>2.1444964398462352</c:v>
                </c:pt>
                <c:pt idx="50">
                  <c:v>2.1842853144490184</c:v>
                </c:pt>
                <c:pt idx="51">
                  <c:v>2.2429215507057521</c:v>
                </c:pt>
                <c:pt idx="52">
                  <c:v>2.3057460895522519</c:v>
                </c:pt>
                <c:pt idx="53">
                  <c:v>2.3769472335782855</c:v>
                </c:pt>
                <c:pt idx="54">
                  <c:v>2.4649015879633862</c:v>
                </c:pt>
                <c:pt idx="55">
                  <c:v>2.5800799091819697</c:v>
                </c:pt>
                <c:pt idx="56">
                  <c:v>2.6973523816954366</c:v>
                </c:pt>
                <c:pt idx="57">
                  <c:v>2.8209073080935538</c:v>
                </c:pt>
                <c:pt idx="58">
                  <c:v>2.9842511090944543</c:v>
                </c:pt>
                <c:pt idx="59">
                  <c:v>3.1538773639800048</c:v>
                </c:pt>
                <c:pt idx="60">
                  <c:v>3.2669615339037055</c:v>
                </c:pt>
                <c:pt idx="61">
                  <c:v>3.3381626779297386</c:v>
                </c:pt>
                <c:pt idx="62">
                  <c:v>3.382139855122289</c:v>
                </c:pt>
                <c:pt idx="63">
                  <c:v>3.3674807960581052</c:v>
                </c:pt>
                <c:pt idx="64">
                  <c:v>3.357010039583689</c:v>
                </c:pt>
                <c:pt idx="65">
                  <c:v>3.4009872167762394</c:v>
                </c:pt>
                <c:pt idx="66">
                  <c:v>3.4784708146869225</c:v>
                </c:pt>
                <c:pt idx="67">
                  <c:v>3.5538602613027228</c:v>
                </c:pt>
                <c:pt idx="68">
                  <c:v>3.6208731027389893</c:v>
                </c:pt>
                <c:pt idx="69">
                  <c:v>3.7109216084189729</c:v>
                </c:pt>
                <c:pt idx="70">
                  <c:v>3.7988759628040736</c:v>
                </c:pt>
                <c:pt idx="71">
                  <c:v>3.9014893762533571</c:v>
                </c:pt>
                <c:pt idx="72">
                  <c:v>4.012479394882174</c:v>
                </c:pt>
                <c:pt idx="73">
                  <c:v>4.1234694135109908</c:v>
                </c:pt>
                <c:pt idx="74">
                  <c:v>4.5674294880262591</c:v>
                </c:pt>
                <c:pt idx="75">
                  <c:v>5.4365022754028445</c:v>
                </c:pt>
                <c:pt idx="76">
                  <c:v>5.9349102835850802</c:v>
                </c:pt>
                <c:pt idx="77">
                  <c:v>5.6145051354679296</c:v>
                </c:pt>
                <c:pt idx="78">
                  <c:v>4.9360001159257276</c:v>
                </c:pt>
                <c:pt idx="79">
                  <c:v>4.6323481781676428</c:v>
                </c:pt>
                <c:pt idx="80">
                  <c:v>4.5674294880262591</c:v>
                </c:pt>
                <c:pt idx="81">
                  <c:v>4.5255464621285917</c:v>
                </c:pt>
                <c:pt idx="82">
                  <c:v>4.4522511668076756</c:v>
                </c:pt>
                <c:pt idx="83">
                  <c:v>4.4166505947946586</c:v>
                </c:pt>
                <c:pt idx="84">
                  <c:v>4.435497956448609</c:v>
                </c:pt>
                <c:pt idx="85">
                  <c:v>4.4773809823462756</c:v>
                </c:pt>
                <c:pt idx="86">
                  <c:v>4.6365364807574085</c:v>
                </c:pt>
                <c:pt idx="87">
                  <c:v>4.8480457615406269</c:v>
                </c:pt>
                <c:pt idx="88">
                  <c:v>4.9485650236950267</c:v>
                </c:pt>
                <c:pt idx="89">
                  <c:v>4.8941170900280602</c:v>
                </c:pt>
                <c:pt idx="90">
                  <c:v>4.822915946002027</c:v>
                </c:pt>
                <c:pt idx="91">
                  <c:v>4.8040685843480766</c:v>
                </c:pt>
                <c:pt idx="92">
                  <c:v>4.8627048206048098</c:v>
                </c:pt>
                <c:pt idx="93">
                  <c:v>4.7935978278736595</c:v>
                </c:pt>
                <c:pt idx="94">
                  <c:v>4.6407247833471761</c:v>
                </c:pt>
                <c:pt idx="95">
                  <c:v>4.5339230673081259</c:v>
                </c:pt>
                <c:pt idx="96">
                  <c:v>4.5506762776671925</c:v>
                </c:pt>
                <c:pt idx="97">
                  <c:v>4.6888902631294931</c:v>
                </c:pt>
                <c:pt idx="98">
                  <c:v>4.9485650236950267</c:v>
                </c:pt>
                <c:pt idx="99">
                  <c:v>5.210333935555445</c:v>
                </c:pt>
                <c:pt idx="100">
                  <c:v>5.501420965544229</c:v>
                </c:pt>
                <c:pt idx="101">
                  <c:v>5.7464366670455798</c:v>
                </c:pt>
                <c:pt idx="102">
                  <c:v>5.8616149882641633</c:v>
                </c:pt>
                <c:pt idx="103">
                  <c:v>5.7171185489172132</c:v>
                </c:pt>
                <c:pt idx="104">
                  <c:v>5.4009017033898292</c:v>
                </c:pt>
                <c:pt idx="105">
                  <c:v>5.0700257987982607</c:v>
                </c:pt>
                <c:pt idx="106">
                  <c:v>4.8564223667201603</c:v>
                </c:pt>
                <c:pt idx="107">
                  <c:v>4.9695065366438609</c:v>
                </c:pt>
                <c:pt idx="108">
                  <c:v>5.3841484930307626</c:v>
                </c:pt>
                <c:pt idx="109">
                  <c:v>5.8762740473283461</c:v>
                </c:pt>
                <c:pt idx="110">
                  <c:v>6.3788703581003476</c:v>
                </c:pt>
                <c:pt idx="111">
                  <c:v>7.0699402854118496</c:v>
                </c:pt>
                <c:pt idx="112">
                  <c:v>7.6479260427996518</c:v>
                </c:pt>
                <c:pt idx="113">
                  <c:v>7.754727758838702</c:v>
                </c:pt>
                <c:pt idx="114">
                  <c:v>7.2667905071308843</c:v>
                </c:pt>
                <c:pt idx="115">
                  <c:v>6.3893411145747647</c:v>
                </c:pt>
                <c:pt idx="116">
                  <c:v>5.6124109841730458</c:v>
                </c:pt>
                <c:pt idx="117">
                  <c:v>5.1789216661321946</c:v>
                </c:pt>
                <c:pt idx="118">
                  <c:v>5.0679316475033769</c:v>
                </c:pt>
                <c:pt idx="119">
                  <c:v>5.1454152454140614</c:v>
                </c:pt>
                <c:pt idx="120">
                  <c:v>5.2794409282865953</c:v>
                </c:pt>
                <c:pt idx="121">
                  <c:v>6.3223282731384982</c:v>
                </c:pt>
                <c:pt idx="122">
                  <c:v>7.1830244553355502</c:v>
                </c:pt>
                <c:pt idx="123">
                  <c:v>7.3589331641057516</c:v>
                </c:pt>
                <c:pt idx="124">
                  <c:v>6.6846164471533163</c:v>
                </c:pt>
                <c:pt idx="125">
                  <c:v>6.0396178483292466</c:v>
                </c:pt>
                <c:pt idx="126">
                  <c:v>5.9432868887646144</c:v>
                </c:pt>
                <c:pt idx="127">
                  <c:v>5.767378179994413</c:v>
                </c:pt>
                <c:pt idx="128">
                  <c:v>5.501420965544229</c:v>
                </c:pt>
                <c:pt idx="129">
                  <c:v>5.3883367956205284</c:v>
                </c:pt>
                <c:pt idx="130">
                  <c:v>5.6898945820837294</c:v>
                </c:pt>
                <c:pt idx="131">
                  <c:v>6.542214159101249</c:v>
                </c:pt>
                <c:pt idx="132">
                  <c:v>7.1327648242583503</c:v>
                </c:pt>
                <c:pt idx="133">
                  <c:v>7.1641770936815998</c:v>
                </c:pt>
                <c:pt idx="134">
                  <c:v>6.4961428306138149</c:v>
                </c:pt>
                <c:pt idx="135">
                  <c:v>5.7275893053916294</c:v>
                </c:pt>
                <c:pt idx="136">
                  <c:v>5.501420965544229</c:v>
                </c:pt>
                <c:pt idx="137">
                  <c:v>5.5265507810828289</c:v>
                </c:pt>
                <c:pt idx="138">
                  <c:v>5.4700086961209795</c:v>
                </c:pt>
                <c:pt idx="139">
                  <c:v>5.4741969987107453</c:v>
                </c:pt>
                <c:pt idx="140">
                  <c:v>5.4218432163386616</c:v>
                </c:pt>
                <c:pt idx="141">
                  <c:v>5.3673952826716951</c:v>
                </c:pt>
                <c:pt idx="142">
                  <c:v>5.7401542131609293</c:v>
                </c:pt>
                <c:pt idx="143">
                  <c:v>12.125221511260232</c:v>
                </c:pt>
                <c:pt idx="144">
                  <c:v>22.445199092445332</c:v>
                </c:pt>
                <c:pt idx="145">
                  <c:v>31.803961229278976</c:v>
                </c:pt>
                <c:pt idx="146">
                  <c:v>40.140777534209555</c:v>
                </c:pt>
                <c:pt idx="147">
                  <c:v>36.444600498740456</c:v>
                </c:pt>
                <c:pt idx="148">
                  <c:v>23.289142064283318</c:v>
                </c:pt>
                <c:pt idx="149">
                  <c:v>12.851892010584752</c:v>
                </c:pt>
                <c:pt idx="150">
                  <c:v>9.0133126870635891</c:v>
                </c:pt>
                <c:pt idx="151">
                  <c:v>8.0144025194042356</c:v>
                </c:pt>
                <c:pt idx="152">
                  <c:v>7.4908646956834009</c:v>
                </c:pt>
                <c:pt idx="153">
                  <c:v>6.9945508387960498</c:v>
                </c:pt>
                <c:pt idx="154">
                  <c:v>6.6490158751402983</c:v>
                </c:pt>
                <c:pt idx="155">
                  <c:v>6.3830586606901143</c:v>
                </c:pt>
                <c:pt idx="156">
                  <c:v>6.4437890482417322</c:v>
                </c:pt>
                <c:pt idx="157">
                  <c:v>6.5443083103961319</c:v>
                </c:pt>
                <c:pt idx="158">
                  <c:v>6.4249416865877818</c:v>
                </c:pt>
                <c:pt idx="159">
                  <c:v>6.0375236970343638</c:v>
                </c:pt>
                <c:pt idx="160">
                  <c:v>5.5705279582753793</c:v>
                </c:pt>
                <c:pt idx="161">
                  <c:v>5.321323954184261</c:v>
                </c:pt>
                <c:pt idx="162">
                  <c:v>5.2731584744019449</c:v>
                </c:pt>
                <c:pt idx="163">
                  <c:v>5.5244566297879452</c:v>
                </c:pt>
                <c:pt idx="164">
                  <c:v>5.8385793240204453</c:v>
                </c:pt>
                <c:pt idx="165">
                  <c:v>5.9118746193413632</c:v>
                </c:pt>
                <c:pt idx="166">
                  <c:v>5.729683456686514</c:v>
                </c:pt>
                <c:pt idx="167">
                  <c:v>5.5035151168391128</c:v>
                </c:pt>
                <c:pt idx="168">
                  <c:v>5.379960190440995</c:v>
                </c:pt>
                <c:pt idx="169">
                  <c:v>5.4218432163386616</c:v>
                </c:pt>
                <c:pt idx="170">
                  <c:v>5.4679145448260957</c:v>
                </c:pt>
                <c:pt idx="171">
                  <c:v>5.5265507810828289</c:v>
                </c:pt>
                <c:pt idx="172">
                  <c:v>5.9998289737264638</c:v>
                </c:pt>
                <c:pt idx="173">
                  <c:v>6.88146666887235</c:v>
                </c:pt>
                <c:pt idx="174">
                  <c:v>6.9987391413858164</c:v>
                </c:pt>
                <c:pt idx="175">
                  <c:v>7.4280401568369019</c:v>
                </c:pt>
                <c:pt idx="176">
                  <c:v>7.3735922231699345</c:v>
                </c:pt>
                <c:pt idx="177">
                  <c:v>6.6008503953579822</c:v>
                </c:pt>
                <c:pt idx="178">
                  <c:v>5.9935465198418143</c:v>
                </c:pt>
                <c:pt idx="179">
                  <c:v>5.81554365977673</c:v>
                </c:pt>
                <c:pt idx="180">
                  <c:v>5.6019402276986288</c:v>
                </c:pt>
                <c:pt idx="181">
                  <c:v>5.2794409282865953</c:v>
                </c:pt>
                <c:pt idx="182">
                  <c:v>5.369489433966578</c:v>
                </c:pt>
                <c:pt idx="183">
                  <c:v>5.7548132722251131</c:v>
                </c:pt>
                <c:pt idx="184">
                  <c:v>15.283201663944309</c:v>
                </c:pt>
                <c:pt idx="185">
                  <c:v>30.564223662708038</c:v>
                </c:pt>
                <c:pt idx="186">
                  <c:v>33.125370696350359</c:v>
                </c:pt>
                <c:pt idx="187">
                  <c:v>23.192811104718682</c:v>
                </c:pt>
                <c:pt idx="188">
                  <c:v>11.210077395396214</c:v>
                </c:pt>
                <c:pt idx="189">
                  <c:v>6.2176207083943309</c:v>
                </c:pt>
                <c:pt idx="190">
                  <c:v>4.9988246547722266</c:v>
                </c:pt>
                <c:pt idx="191">
                  <c:v>4.9632240827592105</c:v>
                </c:pt>
                <c:pt idx="192">
                  <c:v>4.9988246547722266</c:v>
                </c:pt>
                <c:pt idx="193">
                  <c:v>4.9883538982978104</c:v>
                </c:pt>
                <c:pt idx="194">
                  <c:v>4.9590357801694438</c:v>
                </c:pt>
                <c:pt idx="195">
                  <c:v>4.9066819977973601</c:v>
                </c:pt>
                <c:pt idx="196">
                  <c:v>4.9255293594513105</c:v>
                </c:pt>
                <c:pt idx="197">
                  <c:v>5.0134837138364112</c:v>
                </c:pt>
                <c:pt idx="198">
                  <c:v>5.0260486216057103</c:v>
                </c:pt>
                <c:pt idx="199">
                  <c:v>4.9632240827592105</c:v>
                </c:pt>
                <c:pt idx="200">
                  <c:v>4.8689872744894593</c:v>
                </c:pt>
                <c:pt idx="201">
                  <c:v>4.8271042485917928</c:v>
                </c:pt>
                <c:pt idx="202">
                  <c:v>4.8019744330531928</c:v>
                </c:pt>
                <c:pt idx="203">
                  <c:v>4.7768446175145929</c:v>
                </c:pt>
                <c:pt idx="204">
                  <c:v>4.8312925511815603</c:v>
                </c:pt>
                <c:pt idx="205">
                  <c:v>4.9255293594513105</c:v>
                </c:pt>
                <c:pt idx="206">
                  <c:v>4.9171527542717772</c:v>
                </c:pt>
                <c:pt idx="207">
                  <c:v>4.8312925511815603</c:v>
                </c:pt>
                <c:pt idx="208">
                  <c:v>4.7831270713992424</c:v>
                </c:pt>
                <c:pt idx="209">
                  <c:v>4.7998802817583099</c:v>
                </c:pt>
                <c:pt idx="210">
                  <c:v>4.822915946002027</c:v>
                </c:pt>
                <c:pt idx="211">
                  <c:v>4.8354808537713261</c:v>
                </c:pt>
                <c:pt idx="212">
                  <c:v>4.8082568869378433</c:v>
                </c:pt>
                <c:pt idx="213">
                  <c:v>4.7831270713992424</c:v>
                </c:pt>
                <c:pt idx="214">
                  <c:v>4.7831270713992424</c:v>
                </c:pt>
                <c:pt idx="215">
                  <c:v>4.78731537398901</c:v>
                </c:pt>
                <c:pt idx="216">
                  <c:v>4.8208217947071432</c:v>
                </c:pt>
                <c:pt idx="217">
                  <c:v>4.8354808537713261</c:v>
                </c:pt>
                <c:pt idx="218">
                  <c:v>4.8417633076559765</c:v>
                </c:pt>
                <c:pt idx="219">
                  <c:v>4.8375750050662099</c:v>
                </c:pt>
                <c:pt idx="220">
                  <c:v>4.8647989718996936</c:v>
                </c:pt>
                <c:pt idx="221">
                  <c:v>4.8857404848485269</c:v>
                </c:pt>
                <c:pt idx="222">
                  <c:v>4.8794580309638764</c:v>
                </c:pt>
                <c:pt idx="223">
                  <c:v>4.8480457615406269</c:v>
                </c:pt>
                <c:pt idx="224">
                  <c:v>4.8312925511815603</c:v>
                </c:pt>
                <c:pt idx="225">
                  <c:v>4.8480457615406269</c:v>
                </c:pt>
                <c:pt idx="226">
                  <c:v>4.9045878465024773</c:v>
                </c:pt>
                <c:pt idx="227">
                  <c:v>4.9695065366438609</c:v>
                </c:pt>
                <c:pt idx="228">
                  <c:v>4.9841655957080437</c:v>
                </c:pt>
                <c:pt idx="229">
                  <c:v>4.9213410568615439</c:v>
                </c:pt>
                <c:pt idx="230">
                  <c:v>4.8689872744894593</c:v>
                </c:pt>
                <c:pt idx="231">
                  <c:v>4.8522340641303927</c:v>
                </c:pt>
                <c:pt idx="232">
                  <c:v>4.8396691563610936</c:v>
                </c:pt>
                <c:pt idx="233">
                  <c:v>4.8396691563610936</c:v>
                </c:pt>
                <c:pt idx="234">
                  <c:v>4.8417633076559765</c:v>
                </c:pt>
                <c:pt idx="235">
                  <c:v>4.8480457615406269</c:v>
                </c:pt>
                <c:pt idx="236">
                  <c:v>4.8585165180150431</c:v>
                </c:pt>
                <c:pt idx="237">
                  <c:v>4.8543282154252765</c:v>
                </c:pt>
                <c:pt idx="238">
                  <c:v>4.8857404848485269</c:v>
                </c:pt>
                <c:pt idx="239">
                  <c:v>4.9150586029768935</c:v>
                </c:pt>
                <c:pt idx="240">
                  <c:v>4.9255293594513105</c:v>
                </c:pt>
                <c:pt idx="241">
                  <c:v>4.9506591749899105</c:v>
                </c:pt>
                <c:pt idx="242">
                  <c:v>4.9527533262847943</c:v>
                </c:pt>
                <c:pt idx="243">
                  <c:v>4.9967305034773446</c:v>
                </c:pt>
                <c:pt idx="244">
                  <c:v>5.0867790091573273</c:v>
                </c:pt>
                <c:pt idx="245">
                  <c:v>5.1035322195163939</c:v>
                </c:pt>
                <c:pt idx="246">
                  <c:v>5.0909673117470948</c:v>
                </c:pt>
                <c:pt idx="247">
                  <c:v>4.9904480495926933</c:v>
                </c:pt>
                <c:pt idx="248">
                  <c:v>4.9464708724001438</c:v>
                </c:pt>
                <c:pt idx="249">
                  <c:v>4.9297176620410772</c:v>
                </c:pt>
                <c:pt idx="250">
                  <c:v>4.9464708724001438</c:v>
                </c:pt>
                <c:pt idx="251">
                  <c:v>4.9674123853489771</c:v>
                </c:pt>
                <c:pt idx="252">
                  <c:v>4.9716006879387438</c:v>
                </c:pt>
                <c:pt idx="253">
                  <c:v>4.9674123853489771</c:v>
                </c:pt>
                <c:pt idx="254">
                  <c:v>4.9632240827592105</c:v>
                </c:pt>
                <c:pt idx="255">
                  <c:v>4.9757889905285104</c:v>
                </c:pt>
                <c:pt idx="256">
                  <c:v>5.0281427729005941</c:v>
                </c:pt>
                <c:pt idx="257">
                  <c:v>5.0742141013880273</c:v>
                </c:pt>
                <c:pt idx="258">
                  <c:v>5.0888731604522102</c:v>
                </c:pt>
                <c:pt idx="259">
                  <c:v>5.0721199500931444</c:v>
                </c:pt>
                <c:pt idx="260">
                  <c:v>5.0637433449136111</c:v>
                </c:pt>
                <c:pt idx="261">
                  <c:v>5.0595550423238436</c:v>
                </c:pt>
                <c:pt idx="262">
                  <c:v>5.114002975990811</c:v>
                </c:pt>
                <c:pt idx="263">
                  <c:v>5.1349444889396434</c:v>
                </c:pt>
                <c:pt idx="264">
                  <c:v>5.1516976992987109</c:v>
                </c:pt>
                <c:pt idx="265">
                  <c:v>5.1726392122475442</c:v>
                </c:pt>
                <c:pt idx="266">
                  <c:v>5.1328503376447614</c:v>
                </c:pt>
                <c:pt idx="267">
                  <c:v>5.1244737324652281</c:v>
                </c:pt>
                <c:pt idx="268">
                  <c:v>5.1014380682215101</c:v>
                </c:pt>
                <c:pt idx="269">
                  <c:v>5.0825907065675615</c:v>
                </c:pt>
                <c:pt idx="270">
                  <c:v>5.0616491936187273</c:v>
                </c:pt>
                <c:pt idx="271">
                  <c:v>5.0407076806698941</c:v>
                </c:pt>
                <c:pt idx="272">
                  <c:v>5.0407076806698941</c:v>
                </c:pt>
                <c:pt idx="273">
                  <c:v>5.0595550423238436</c:v>
                </c:pt>
                <c:pt idx="274">
                  <c:v>5.0763082526829102</c:v>
                </c:pt>
                <c:pt idx="275">
                  <c:v>5.1035322195163939</c:v>
                </c:pt>
                <c:pt idx="276">
                  <c:v>5.1119088246959272</c:v>
                </c:pt>
                <c:pt idx="277">
                  <c:v>5.1056263708112777</c:v>
                </c:pt>
                <c:pt idx="278">
                  <c:v>5.1223795811703443</c:v>
                </c:pt>
                <c:pt idx="279">
                  <c:v>5.1475093967089443</c:v>
                </c:pt>
                <c:pt idx="280">
                  <c:v>5.1977690277861441</c:v>
                </c:pt>
                <c:pt idx="281">
                  <c:v>5.2208046920298612</c:v>
                </c:pt>
                <c:pt idx="282">
                  <c:v>5.2208046920298612</c:v>
                </c:pt>
                <c:pt idx="283">
                  <c:v>5.2082397842605612</c:v>
                </c:pt>
                <c:pt idx="284">
                  <c:v>5.1810158174270775</c:v>
                </c:pt>
                <c:pt idx="285">
                  <c:v>5.1579801531833613</c:v>
                </c:pt>
                <c:pt idx="286">
                  <c:v>5.1579801531833613</c:v>
                </c:pt>
                <c:pt idx="287">
                  <c:v>5.1579801531833613</c:v>
                </c:pt>
                <c:pt idx="288">
                  <c:v>5.1642626070680109</c:v>
                </c:pt>
                <c:pt idx="289">
                  <c:v>5.1852041200168442</c:v>
                </c:pt>
                <c:pt idx="290">
                  <c:v>5.2124280868503279</c:v>
                </c:pt>
                <c:pt idx="291">
                  <c:v>5.2312754485042783</c:v>
                </c:pt>
                <c:pt idx="292">
                  <c:v>5.248028658863344</c:v>
                </c:pt>
                <c:pt idx="293">
                  <c:v>5.2689701718121782</c:v>
                </c:pt>
                <c:pt idx="294">
                  <c:v>5.3129473490047285</c:v>
                </c:pt>
                <c:pt idx="295">
                  <c:v>5.3276064080689114</c:v>
                </c:pt>
                <c:pt idx="296">
                  <c:v>5.344359618427978</c:v>
                </c:pt>
                <c:pt idx="297">
                  <c:v>5.3548303749023951</c:v>
                </c:pt>
                <c:pt idx="298">
                  <c:v>5.3276064080689114</c:v>
                </c:pt>
                <c:pt idx="299">
                  <c:v>5.3255122567740285</c:v>
                </c:pt>
                <c:pt idx="300">
                  <c:v>5.3380771645433285</c:v>
                </c:pt>
                <c:pt idx="301">
                  <c:v>5.3632069800819284</c:v>
                </c:pt>
                <c:pt idx="302">
                  <c:v>5.3757718878512293</c:v>
                </c:pt>
                <c:pt idx="303">
                  <c:v>5.3925250982102959</c:v>
                </c:pt>
                <c:pt idx="304">
                  <c:v>5.4176549137488959</c:v>
                </c:pt>
                <c:pt idx="305">
                  <c:v>5.4260315189284292</c:v>
                </c:pt>
                <c:pt idx="306">
                  <c:v>5.4344081241079625</c:v>
                </c:pt>
                <c:pt idx="307">
                  <c:v>5.4490671831721453</c:v>
                </c:pt>
                <c:pt idx="308">
                  <c:v>5.4574437883516786</c:v>
                </c:pt>
                <c:pt idx="309">
                  <c:v>5.4490671831721453</c:v>
                </c:pt>
                <c:pt idx="310">
                  <c:v>5.4427847292874958</c:v>
                </c:pt>
                <c:pt idx="311">
                  <c:v>5.4553496370567949</c:v>
                </c:pt>
                <c:pt idx="312">
                  <c:v>5.476291150005629</c:v>
                </c:pt>
                <c:pt idx="313">
                  <c:v>5.5097975707237623</c:v>
                </c:pt>
                <c:pt idx="314">
                  <c:v>5.5474922940316622</c:v>
                </c:pt>
                <c:pt idx="315">
                  <c:v>5.5830928660446784</c:v>
                </c:pt>
                <c:pt idx="316">
                  <c:v>5.6040343789935125</c:v>
                </c:pt>
                <c:pt idx="317">
                  <c:v>5.6249758919423458</c:v>
                </c:pt>
                <c:pt idx="318">
                  <c:v>5.6333524971218791</c:v>
                </c:pt>
                <c:pt idx="319">
                  <c:v>5.6521998587758286</c:v>
                </c:pt>
                <c:pt idx="320">
                  <c:v>5.6773296743144286</c:v>
                </c:pt>
                <c:pt idx="321">
                  <c:v>5.708741943737679</c:v>
                </c:pt>
                <c:pt idx="322">
                  <c:v>5.7631898774046473</c:v>
                </c:pt>
                <c:pt idx="323">
                  <c:v>5.7966962981227805</c:v>
                </c:pt>
                <c:pt idx="324">
                  <c:v>5.82810856754603</c:v>
                </c:pt>
                <c:pt idx="325">
                  <c:v>5.8595208369692795</c:v>
                </c:pt>
                <c:pt idx="326">
                  <c:v>5.8658032908539308</c:v>
                </c:pt>
                <c:pt idx="327">
                  <c:v>5.8783681986232299</c:v>
                </c:pt>
                <c:pt idx="328">
                  <c:v>5.8972155602771803</c:v>
                </c:pt>
                <c:pt idx="329">
                  <c:v>5.9202512245208965</c:v>
                </c:pt>
                <c:pt idx="330">
                  <c:v>5.9474751913543802</c:v>
                </c:pt>
                <c:pt idx="331">
                  <c:v>5.9726050068929801</c:v>
                </c:pt>
                <c:pt idx="332">
                  <c:v>5.9998289737264638</c:v>
                </c:pt>
                <c:pt idx="333">
                  <c:v>6.0270529405599476</c:v>
                </c:pt>
                <c:pt idx="334">
                  <c:v>6.0647476638678475</c:v>
                </c:pt>
                <c:pt idx="335">
                  <c:v>6.1024423871757474</c:v>
                </c:pt>
                <c:pt idx="336">
                  <c:v>6.1443254130734148</c:v>
                </c:pt>
                <c:pt idx="337">
                  <c:v>6.2008674980352634</c:v>
                </c:pt>
                <c:pt idx="338">
                  <c:v>6.2657861881766479</c:v>
                </c:pt>
                <c:pt idx="339">
                  <c:v>6.3516463912668639</c:v>
                </c:pt>
                <c:pt idx="340">
                  <c:v>6.4081884762287151</c:v>
                </c:pt>
                <c:pt idx="341">
                  <c:v>6.458448107305915</c:v>
                </c:pt>
                <c:pt idx="342">
                  <c:v>6.494048679318932</c:v>
                </c:pt>
                <c:pt idx="343">
                  <c:v>6.5087077383831158</c:v>
                </c:pt>
                <c:pt idx="344">
                  <c:v>6.5484966129858986</c:v>
                </c:pt>
                <c:pt idx="345">
                  <c:v>6.6050386979477489</c:v>
                </c:pt>
                <c:pt idx="346">
                  <c:v>6.6762398419737821</c:v>
                </c:pt>
                <c:pt idx="347">
                  <c:v>6.7369702295253999</c:v>
                </c:pt>
                <c:pt idx="348">
                  <c:v>6.7767591041281827</c:v>
                </c:pt>
                <c:pt idx="349">
                  <c:v>6.8207362813207331</c:v>
                </c:pt>
                <c:pt idx="350">
                  <c:v>6.8898432740518825</c:v>
                </c:pt>
                <c:pt idx="351">
                  <c:v>6.9966449900909344</c:v>
                </c:pt>
                <c:pt idx="352">
                  <c:v>7.0552812263476667</c:v>
                </c:pt>
                <c:pt idx="353">
                  <c:v>7.0657519828220838</c:v>
                </c:pt>
                <c:pt idx="354">
                  <c:v>7.0552812263476667</c:v>
                </c:pt>
                <c:pt idx="355">
                  <c:v>7.0825051931811505</c:v>
                </c:pt>
                <c:pt idx="356">
                  <c:v>7.1139174626044008</c:v>
                </c:pt>
              </c:numCache>
            </c:numRef>
          </c:yVal>
          <c:smooth val="1"/>
          <c:extLst>
            <c:ext xmlns:c16="http://schemas.microsoft.com/office/drawing/2014/chart" uri="{C3380CC4-5D6E-409C-BE32-E72D297353CC}">
              <c16:uniqueId val="{00000001-0B7A-4B2F-BFF6-096568D6F33F}"/>
            </c:ext>
          </c:extLst>
        </c:ser>
        <c:dLbls>
          <c:showLegendKey val="0"/>
          <c:showVal val="0"/>
          <c:showCatName val="0"/>
          <c:showSerName val="0"/>
          <c:showPercent val="0"/>
          <c:showBubbleSize val="0"/>
        </c:dLbls>
        <c:axId val="1816227776"/>
        <c:axId val="1816225056"/>
      </c:scatterChart>
      <c:valAx>
        <c:axId val="1816210912"/>
        <c:scaling>
          <c:orientation val="minMax"/>
          <c:max val="10"/>
          <c:min val="0.5"/>
        </c:scaling>
        <c:delete val="0"/>
        <c:axPos val="b"/>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816211456"/>
        <c:crosses val="autoZero"/>
        <c:crossBetween val="midCat"/>
        <c:majorUnit val="0.5"/>
      </c:valAx>
      <c:valAx>
        <c:axId val="1816211456"/>
        <c:scaling>
          <c:orientation val="minMax"/>
          <c:max val="100"/>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816210912"/>
        <c:crosses val="autoZero"/>
        <c:crossBetween val="midCat"/>
        <c:majorUnit val="50"/>
        <c:minorUnit val="5"/>
      </c:valAx>
      <c:valAx>
        <c:axId val="1816225056"/>
        <c:scaling>
          <c:orientation val="minMax"/>
          <c:max val="100"/>
          <c:min val="0"/>
        </c:scaling>
        <c:delete val="0"/>
        <c:axPos val="r"/>
        <c:numFmt formatCode="General" sourceLinked="1"/>
        <c:majorTickMark val="none"/>
        <c:minorTickMark val="none"/>
        <c:tickLblPos val="none"/>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816227776"/>
        <c:crosses val="max"/>
        <c:crossBetween val="midCat"/>
        <c:majorUnit val="50"/>
      </c:valAx>
      <c:valAx>
        <c:axId val="1816227776"/>
        <c:scaling>
          <c:orientation val="minMax"/>
        </c:scaling>
        <c:delete val="1"/>
        <c:axPos val="b"/>
        <c:numFmt formatCode="General" sourceLinked="1"/>
        <c:majorTickMark val="out"/>
        <c:minorTickMark val="none"/>
        <c:tickLblPos val="nextTo"/>
        <c:crossAx val="181622505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userShapes r:id="rId3"/>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873769042577249E-2"/>
          <c:y val="7.4673103048048639E-2"/>
          <c:w val="0.8806190105088566"/>
          <c:h val="0.72290323006106649"/>
        </c:manualLayout>
      </c:layout>
      <c:scatterChart>
        <c:scatterStyle val="smoothMarker"/>
        <c:varyColors val="0"/>
        <c:ser>
          <c:idx val="0"/>
          <c:order val="0"/>
          <c:tx>
            <c:strRef>
              <c:f>ChromatogramData!$B$1</c:f>
              <c:strCache>
                <c:ptCount val="1"/>
                <c:pt idx="0">
                  <c:v>210 nm</c:v>
                </c:pt>
              </c:strCache>
            </c:strRef>
          </c:tx>
          <c:spPr>
            <a:ln w="12700" cap="rnd">
              <a:solidFill>
                <a:srgbClr val="0000FF"/>
              </a:solidFill>
              <a:round/>
            </a:ln>
            <a:effectLst/>
          </c:spPr>
          <c:marker>
            <c:symbol val="none"/>
          </c:marker>
          <c:xVal>
            <c:numRef>
              <c:f>ChromatogramData!$A$2:$A$10001</c:f>
              <c:numCache>
                <c:formatCode>General</c:formatCode>
                <c:ptCount val="10000"/>
                <c:pt idx="0">
                  <c:v>0.51</c:v>
                </c:pt>
                <c:pt idx="1">
                  <c:v>0.53600000000000003</c:v>
                </c:pt>
                <c:pt idx="2">
                  <c:v>0.56299999999999994</c:v>
                </c:pt>
                <c:pt idx="3">
                  <c:v>0.59</c:v>
                </c:pt>
                <c:pt idx="4">
                  <c:v>0.61599999999999999</c:v>
                </c:pt>
                <c:pt idx="5">
                  <c:v>0.64300000000000002</c:v>
                </c:pt>
                <c:pt idx="6">
                  <c:v>0.67</c:v>
                </c:pt>
                <c:pt idx="7">
                  <c:v>0.69599999999999995</c:v>
                </c:pt>
                <c:pt idx="8">
                  <c:v>0.72299999999999998</c:v>
                </c:pt>
                <c:pt idx="9">
                  <c:v>0.75</c:v>
                </c:pt>
                <c:pt idx="10">
                  <c:v>0.77600000000000002</c:v>
                </c:pt>
                <c:pt idx="11">
                  <c:v>0.80300000000000005</c:v>
                </c:pt>
                <c:pt idx="12">
                  <c:v>0.83</c:v>
                </c:pt>
                <c:pt idx="13">
                  <c:v>0.85599999999999998</c:v>
                </c:pt>
                <c:pt idx="14">
                  <c:v>0.88300000000000001</c:v>
                </c:pt>
                <c:pt idx="15">
                  <c:v>0.91</c:v>
                </c:pt>
                <c:pt idx="16">
                  <c:v>0.93600000000000005</c:v>
                </c:pt>
                <c:pt idx="17">
                  <c:v>0.96299999999999997</c:v>
                </c:pt>
                <c:pt idx="18">
                  <c:v>0.99</c:v>
                </c:pt>
                <c:pt idx="19">
                  <c:v>1.016</c:v>
                </c:pt>
                <c:pt idx="20">
                  <c:v>1.0429999999999999</c:v>
                </c:pt>
                <c:pt idx="21">
                  <c:v>1.07</c:v>
                </c:pt>
                <c:pt idx="22">
                  <c:v>1.0960000000000001</c:v>
                </c:pt>
                <c:pt idx="23">
                  <c:v>1.123</c:v>
                </c:pt>
                <c:pt idx="24">
                  <c:v>1.1499999999999999</c:v>
                </c:pt>
                <c:pt idx="25">
                  <c:v>1.1759999999999999</c:v>
                </c:pt>
                <c:pt idx="26">
                  <c:v>1.2030000000000001</c:v>
                </c:pt>
                <c:pt idx="27">
                  <c:v>1.23</c:v>
                </c:pt>
                <c:pt idx="28">
                  <c:v>1.256</c:v>
                </c:pt>
                <c:pt idx="29">
                  <c:v>1.2829999999999999</c:v>
                </c:pt>
                <c:pt idx="30">
                  <c:v>1.31</c:v>
                </c:pt>
                <c:pt idx="31">
                  <c:v>1.3360000000000001</c:v>
                </c:pt>
                <c:pt idx="32">
                  <c:v>1.363</c:v>
                </c:pt>
                <c:pt idx="33">
                  <c:v>1.39</c:v>
                </c:pt>
                <c:pt idx="34">
                  <c:v>1.4159999999999999</c:v>
                </c:pt>
                <c:pt idx="35">
                  <c:v>1.4430000000000001</c:v>
                </c:pt>
                <c:pt idx="36">
                  <c:v>1.47</c:v>
                </c:pt>
                <c:pt idx="37">
                  <c:v>1.496</c:v>
                </c:pt>
                <c:pt idx="38">
                  <c:v>1.5229999999999999</c:v>
                </c:pt>
                <c:pt idx="39">
                  <c:v>1.55</c:v>
                </c:pt>
                <c:pt idx="40">
                  <c:v>1.5760000000000001</c:v>
                </c:pt>
                <c:pt idx="41">
                  <c:v>1.603</c:v>
                </c:pt>
                <c:pt idx="42">
                  <c:v>1.63</c:v>
                </c:pt>
                <c:pt idx="43">
                  <c:v>1.6559999999999999</c:v>
                </c:pt>
                <c:pt idx="44">
                  <c:v>1.6830000000000001</c:v>
                </c:pt>
                <c:pt idx="45">
                  <c:v>1.71</c:v>
                </c:pt>
                <c:pt idx="46">
                  <c:v>1.736</c:v>
                </c:pt>
                <c:pt idx="47">
                  <c:v>1.7629999999999999</c:v>
                </c:pt>
                <c:pt idx="48">
                  <c:v>1.79</c:v>
                </c:pt>
                <c:pt idx="49">
                  <c:v>1.8160000000000001</c:v>
                </c:pt>
                <c:pt idx="50">
                  <c:v>1.843</c:v>
                </c:pt>
                <c:pt idx="51">
                  <c:v>1.87</c:v>
                </c:pt>
                <c:pt idx="52">
                  <c:v>1.8959999999999999</c:v>
                </c:pt>
                <c:pt idx="53">
                  <c:v>1.923</c:v>
                </c:pt>
                <c:pt idx="54">
                  <c:v>1.95</c:v>
                </c:pt>
                <c:pt idx="55">
                  <c:v>1.976</c:v>
                </c:pt>
                <c:pt idx="56">
                  <c:v>2.0030000000000001</c:v>
                </c:pt>
                <c:pt idx="57">
                  <c:v>2.0299999999999998</c:v>
                </c:pt>
                <c:pt idx="58">
                  <c:v>2.056</c:v>
                </c:pt>
                <c:pt idx="59">
                  <c:v>2.0830000000000002</c:v>
                </c:pt>
                <c:pt idx="60">
                  <c:v>2.11</c:v>
                </c:pt>
                <c:pt idx="61">
                  <c:v>2.1360000000000001</c:v>
                </c:pt>
                <c:pt idx="62">
                  <c:v>2.1629999999999998</c:v>
                </c:pt>
                <c:pt idx="63">
                  <c:v>2.19</c:v>
                </c:pt>
                <c:pt idx="64">
                  <c:v>2.2160000000000002</c:v>
                </c:pt>
                <c:pt idx="65">
                  <c:v>2.2429999999999999</c:v>
                </c:pt>
                <c:pt idx="66">
                  <c:v>2.27</c:v>
                </c:pt>
                <c:pt idx="67">
                  <c:v>2.2959999999999998</c:v>
                </c:pt>
                <c:pt idx="68">
                  <c:v>2.323</c:v>
                </c:pt>
                <c:pt idx="69">
                  <c:v>2.35</c:v>
                </c:pt>
                <c:pt idx="70">
                  <c:v>2.3759999999999999</c:v>
                </c:pt>
                <c:pt idx="71">
                  <c:v>2.403</c:v>
                </c:pt>
                <c:pt idx="72">
                  <c:v>2.4300000000000002</c:v>
                </c:pt>
                <c:pt idx="73">
                  <c:v>2.456</c:v>
                </c:pt>
                <c:pt idx="74">
                  <c:v>2.4830000000000001</c:v>
                </c:pt>
                <c:pt idx="75">
                  <c:v>2.5099999999999998</c:v>
                </c:pt>
                <c:pt idx="76">
                  <c:v>2.536</c:v>
                </c:pt>
                <c:pt idx="77">
                  <c:v>2.5630000000000002</c:v>
                </c:pt>
                <c:pt idx="78">
                  <c:v>2.59</c:v>
                </c:pt>
                <c:pt idx="79">
                  <c:v>2.6160000000000001</c:v>
                </c:pt>
                <c:pt idx="80">
                  <c:v>2.6429999999999998</c:v>
                </c:pt>
                <c:pt idx="81">
                  <c:v>2.67</c:v>
                </c:pt>
                <c:pt idx="82">
                  <c:v>2.6960000000000002</c:v>
                </c:pt>
                <c:pt idx="83">
                  <c:v>2.7229999999999999</c:v>
                </c:pt>
                <c:pt idx="84">
                  <c:v>2.75</c:v>
                </c:pt>
                <c:pt idx="85">
                  <c:v>2.7759999999999998</c:v>
                </c:pt>
                <c:pt idx="86">
                  <c:v>2.8029999999999999</c:v>
                </c:pt>
                <c:pt idx="87">
                  <c:v>2.83</c:v>
                </c:pt>
                <c:pt idx="88">
                  <c:v>2.8559999999999999</c:v>
                </c:pt>
                <c:pt idx="89">
                  <c:v>2.883</c:v>
                </c:pt>
                <c:pt idx="90">
                  <c:v>2.91</c:v>
                </c:pt>
                <c:pt idx="91">
                  <c:v>2.9359999999999999</c:v>
                </c:pt>
                <c:pt idx="92">
                  <c:v>2.9630000000000001</c:v>
                </c:pt>
                <c:pt idx="93">
                  <c:v>2.99</c:v>
                </c:pt>
                <c:pt idx="94">
                  <c:v>3.016</c:v>
                </c:pt>
                <c:pt idx="95">
                  <c:v>3.0430000000000001</c:v>
                </c:pt>
                <c:pt idx="96">
                  <c:v>3.07</c:v>
                </c:pt>
                <c:pt idx="97">
                  <c:v>3.0960000000000001</c:v>
                </c:pt>
                <c:pt idx="98">
                  <c:v>3.1230000000000002</c:v>
                </c:pt>
                <c:pt idx="99">
                  <c:v>3.15</c:v>
                </c:pt>
                <c:pt idx="100">
                  <c:v>3.1760000000000002</c:v>
                </c:pt>
                <c:pt idx="101">
                  <c:v>3.2029999999999998</c:v>
                </c:pt>
                <c:pt idx="102">
                  <c:v>3.23</c:v>
                </c:pt>
                <c:pt idx="103">
                  <c:v>3.2559999999999998</c:v>
                </c:pt>
                <c:pt idx="104">
                  <c:v>3.2829999999999999</c:v>
                </c:pt>
                <c:pt idx="105">
                  <c:v>3.31</c:v>
                </c:pt>
                <c:pt idx="106">
                  <c:v>3.3359999999999999</c:v>
                </c:pt>
                <c:pt idx="107">
                  <c:v>3.363</c:v>
                </c:pt>
                <c:pt idx="108">
                  <c:v>3.39</c:v>
                </c:pt>
                <c:pt idx="109">
                  <c:v>3.4159999999999999</c:v>
                </c:pt>
                <c:pt idx="110">
                  <c:v>3.4430000000000001</c:v>
                </c:pt>
                <c:pt idx="111">
                  <c:v>3.47</c:v>
                </c:pt>
                <c:pt idx="112">
                  <c:v>3.496</c:v>
                </c:pt>
                <c:pt idx="113">
                  <c:v>3.5230000000000001</c:v>
                </c:pt>
                <c:pt idx="114">
                  <c:v>3.55</c:v>
                </c:pt>
                <c:pt idx="115">
                  <c:v>3.5760000000000001</c:v>
                </c:pt>
                <c:pt idx="116">
                  <c:v>3.6030000000000002</c:v>
                </c:pt>
                <c:pt idx="117">
                  <c:v>3.63</c:v>
                </c:pt>
                <c:pt idx="118">
                  <c:v>3.6560000000000001</c:v>
                </c:pt>
                <c:pt idx="119">
                  <c:v>3.6829999999999998</c:v>
                </c:pt>
                <c:pt idx="120">
                  <c:v>3.71</c:v>
                </c:pt>
                <c:pt idx="121">
                  <c:v>3.7360000000000002</c:v>
                </c:pt>
                <c:pt idx="122">
                  <c:v>3.7629999999999999</c:v>
                </c:pt>
                <c:pt idx="123">
                  <c:v>3.79</c:v>
                </c:pt>
                <c:pt idx="124">
                  <c:v>3.8159999999999998</c:v>
                </c:pt>
                <c:pt idx="125">
                  <c:v>3.843</c:v>
                </c:pt>
                <c:pt idx="126">
                  <c:v>3.87</c:v>
                </c:pt>
                <c:pt idx="127">
                  <c:v>3.8959999999999999</c:v>
                </c:pt>
                <c:pt idx="128">
                  <c:v>3.923</c:v>
                </c:pt>
                <c:pt idx="129">
                  <c:v>3.95</c:v>
                </c:pt>
                <c:pt idx="130">
                  <c:v>3.976</c:v>
                </c:pt>
                <c:pt idx="131">
                  <c:v>4.0030000000000001</c:v>
                </c:pt>
                <c:pt idx="132">
                  <c:v>4.03</c:v>
                </c:pt>
                <c:pt idx="133">
                  <c:v>4.056</c:v>
                </c:pt>
                <c:pt idx="134">
                  <c:v>4.0830000000000002</c:v>
                </c:pt>
                <c:pt idx="135">
                  <c:v>4.1100000000000003</c:v>
                </c:pt>
                <c:pt idx="136">
                  <c:v>4.1360000000000001</c:v>
                </c:pt>
                <c:pt idx="137">
                  <c:v>4.1630000000000003</c:v>
                </c:pt>
                <c:pt idx="138">
                  <c:v>4.1900000000000004</c:v>
                </c:pt>
                <c:pt idx="139">
                  <c:v>4.2160000000000002</c:v>
                </c:pt>
                <c:pt idx="140">
                  <c:v>4.2430000000000003</c:v>
                </c:pt>
                <c:pt idx="141">
                  <c:v>4.2699999999999996</c:v>
                </c:pt>
                <c:pt idx="142">
                  <c:v>4.2960000000000003</c:v>
                </c:pt>
                <c:pt idx="143">
                  <c:v>4.3230000000000004</c:v>
                </c:pt>
                <c:pt idx="144">
                  <c:v>4.3499999999999996</c:v>
                </c:pt>
                <c:pt idx="145">
                  <c:v>4.3760000000000003</c:v>
                </c:pt>
                <c:pt idx="146">
                  <c:v>4.4029999999999996</c:v>
                </c:pt>
                <c:pt idx="147">
                  <c:v>4.43</c:v>
                </c:pt>
                <c:pt idx="148">
                  <c:v>4.4560000000000004</c:v>
                </c:pt>
                <c:pt idx="149">
                  <c:v>4.4829999999999997</c:v>
                </c:pt>
                <c:pt idx="150">
                  <c:v>4.51</c:v>
                </c:pt>
                <c:pt idx="151">
                  <c:v>4.5359999999999996</c:v>
                </c:pt>
                <c:pt idx="152">
                  <c:v>4.5629999999999997</c:v>
                </c:pt>
                <c:pt idx="153">
                  <c:v>4.59</c:v>
                </c:pt>
                <c:pt idx="154">
                  <c:v>4.6159999999999997</c:v>
                </c:pt>
                <c:pt idx="155">
                  <c:v>4.6429999999999998</c:v>
                </c:pt>
                <c:pt idx="156">
                  <c:v>4.67</c:v>
                </c:pt>
                <c:pt idx="157">
                  <c:v>4.6959999999999997</c:v>
                </c:pt>
                <c:pt idx="158">
                  <c:v>4.7229999999999999</c:v>
                </c:pt>
                <c:pt idx="159">
                  <c:v>4.75</c:v>
                </c:pt>
                <c:pt idx="160">
                  <c:v>4.7759999999999998</c:v>
                </c:pt>
                <c:pt idx="161">
                  <c:v>4.8029999999999999</c:v>
                </c:pt>
                <c:pt idx="162">
                  <c:v>4.83</c:v>
                </c:pt>
                <c:pt idx="163">
                  <c:v>4.8559999999999999</c:v>
                </c:pt>
                <c:pt idx="164">
                  <c:v>4.883</c:v>
                </c:pt>
                <c:pt idx="165">
                  <c:v>4.91</c:v>
                </c:pt>
                <c:pt idx="166">
                  <c:v>4.9359999999999999</c:v>
                </c:pt>
                <c:pt idx="167">
                  <c:v>4.9630000000000001</c:v>
                </c:pt>
                <c:pt idx="168">
                  <c:v>4.99</c:v>
                </c:pt>
                <c:pt idx="169">
                  <c:v>5.016</c:v>
                </c:pt>
                <c:pt idx="170">
                  <c:v>5.0430000000000001</c:v>
                </c:pt>
                <c:pt idx="171">
                  <c:v>5.07</c:v>
                </c:pt>
                <c:pt idx="172">
                  <c:v>5.0960000000000001</c:v>
                </c:pt>
                <c:pt idx="173">
                  <c:v>5.1230000000000002</c:v>
                </c:pt>
                <c:pt idx="174">
                  <c:v>5.15</c:v>
                </c:pt>
                <c:pt idx="175">
                  <c:v>5.1760000000000002</c:v>
                </c:pt>
                <c:pt idx="176">
                  <c:v>5.2030000000000003</c:v>
                </c:pt>
                <c:pt idx="177">
                  <c:v>5.23</c:v>
                </c:pt>
                <c:pt idx="178">
                  <c:v>5.2560000000000002</c:v>
                </c:pt>
                <c:pt idx="179">
                  <c:v>5.2830000000000004</c:v>
                </c:pt>
                <c:pt idx="180">
                  <c:v>5.31</c:v>
                </c:pt>
                <c:pt idx="181">
                  <c:v>5.3360000000000003</c:v>
                </c:pt>
                <c:pt idx="182">
                  <c:v>5.3630000000000004</c:v>
                </c:pt>
                <c:pt idx="183">
                  <c:v>5.39</c:v>
                </c:pt>
                <c:pt idx="184">
                  <c:v>5.4160000000000004</c:v>
                </c:pt>
                <c:pt idx="185">
                  <c:v>5.4429999999999996</c:v>
                </c:pt>
                <c:pt idx="186">
                  <c:v>5.47</c:v>
                </c:pt>
                <c:pt idx="187">
                  <c:v>5.4960000000000004</c:v>
                </c:pt>
                <c:pt idx="188">
                  <c:v>5.5229999999999997</c:v>
                </c:pt>
                <c:pt idx="189">
                  <c:v>5.55</c:v>
                </c:pt>
                <c:pt idx="190">
                  <c:v>5.5759999999999996</c:v>
                </c:pt>
                <c:pt idx="191">
                  <c:v>5.6029999999999998</c:v>
                </c:pt>
                <c:pt idx="192">
                  <c:v>5.63</c:v>
                </c:pt>
                <c:pt idx="193">
                  <c:v>5.6559999999999997</c:v>
                </c:pt>
                <c:pt idx="194">
                  <c:v>5.6829999999999998</c:v>
                </c:pt>
                <c:pt idx="195">
                  <c:v>5.71</c:v>
                </c:pt>
                <c:pt idx="196">
                  <c:v>5.7359999999999998</c:v>
                </c:pt>
                <c:pt idx="197">
                  <c:v>5.7629999999999999</c:v>
                </c:pt>
                <c:pt idx="198">
                  <c:v>5.79</c:v>
                </c:pt>
                <c:pt idx="199">
                  <c:v>5.8159999999999998</c:v>
                </c:pt>
                <c:pt idx="200">
                  <c:v>5.843</c:v>
                </c:pt>
                <c:pt idx="201">
                  <c:v>5.87</c:v>
                </c:pt>
                <c:pt idx="202">
                  <c:v>5.8959999999999999</c:v>
                </c:pt>
                <c:pt idx="203">
                  <c:v>5.923</c:v>
                </c:pt>
                <c:pt idx="204">
                  <c:v>5.95</c:v>
                </c:pt>
                <c:pt idx="205">
                  <c:v>5.976</c:v>
                </c:pt>
                <c:pt idx="206">
                  <c:v>6.0030000000000001</c:v>
                </c:pt>
                <c:pt idx="207">
                  <c:v>6.03</c:v>
                </c:pt>
                <c:pt idx="208">
                  <c:v>6.056</c:v>
                </c:pt>
                <c:pt idx="209">
                  <c:v>6.0830000000000002</c:v>
                </c:pt>
                <c:pt idx="210">
                  <c:v>6.11</c:v>
                </c:pt>
                <c:pt idx="211">
                  <c:v>6.1360000000000001</c:v>
                </c:pt>
                <c:pt idx="212">
                  <c:v>6.1630000000000003</c:v>
                </c:pt>
                <c:pt idx="213">
                  <c:v>6.19</c:v>
                </c:pt>
                <c:pt idx="214">
                  <c:v>6.2160000000000002</c:v>
                </c:pt>
                <c:pt idx="215">
                  <c:v>6.2430000000000003</c:v>
                </c:pt>
                <c:pt idx="216">
                  <c:v>6.27</c:v>
                </c:pt>
                <c:pt idx="217">
                  <c:v>6.2960000000000003</c:v>
                </c:pt>
                <c:pt idx="218">
                  <c:v>6.3230000000000004</c:v>
                </c:pt>
                <c:pt idx="219">
                  <c:v>6.35</c:v>
                </c:pt>
                <c:pt idx="220">
                  <c:v>6.3760000000000003</c:v>
                </c:pt>
                <c:pt idx="221">
                  <c:v>6.4029999999999996</c:v>
                </c:pt>
                <c:pt idx="222">
                  <c:v>6.43</c:v>
                </c:pt>
                <c:pt idx="223">
                  <c:v>6.4560000000000004</c:v>
                </c:pt>
                <c:pt idx="224">
                  <c:v>6.4829999999999997</c:v>
                </c:pt>
                <c:pt idx="225">
                  <c:v>6.51</c:v>
                </c:pt>
                <c:pt idx="226">
                  <c:v>6.5359999999999996</c:v>
                </c:pt>
                <c:pt idx="227">
                  <c:v>6.5629999999999997</c:v>
                </c:pt>
                <c:pt idx="228">
                  <c:v>6.59</c:v>
                </c:pt>
                <c:pt idx="229">
                  <c:v>6.6159999999999997</c:v>
                </c:pt>
                <c:pt idx="230">
                  <c:v>6.6429999999999998</c:v>
                </c:pt>
                <c:pt idx="231">
                  <c:v>6.67</c:v>
                </c:pt>
                <c:pt idx="232">
                  <c:v>6.6959999999999997</c:v>
                </c:pt>
                <c:pt idx="233">
                  <c:v>6.7229999999999999</c:v>
                </c:pt>
                <c:pt idx="234">
                  <c:v>6.75</c:v>
                </c:pt>
                <c:pt idx="235">
                  <c:v>6.7759999999999998</c:v>
                </c:pt>
                <c:pt idx="236">
                  <c:v>6.8029999999999999</c:v>
                </c:pt>
                <c:pt idx="237">
                  <c:v>6.83</c:v>
                </c:pt>
                <c:pt idx="238">
                  <c:v>6.8559999999999999</c:v>
                </c:pt>
                <c:pt idx="239">
                  <c:v>6.883</c:v>
                </c:pt>
                <c:pt idx="240">
                  <c:v>6.91</c:v>
                </c:pt>
                <c:pt idx="241">
                  <c:v>6.9359999999999999</c:v>
                </c:pt>
                <c:pt idx="242">
                  <c:v>6.9630000000000001</c:v>
                </c:pt>
                <c:pt idx="243">
                  <c:v>6.99</c:v>
                </c:pt>
                <c:pt idx="244">
                  <c:v>7.016</c:v>
                </c:pt>
                <c:pt idx="245">
                  <c:v>7.0430000000000001</c:v>
                </c:pt>
                <c:pt idx="246">
                  <c:v>7.07</c:v>
                </c:pt>
                <c:pt idx="247">
                  <c:v>7.0960000000000001</c:v>
                </c:pt>
                <c:pt idx="248">
                  <c:v>7.1230000000000002</c:v>
                </c:pt>
                <c:pt idx="249">
                  <c:v>7.15</c:v>
                </c:pt>
                <c:pt idx="250">
                  <c:v>7.1760000000000002</c:v>
                </c:pt>
                <c:pt idx="251">
                  <c:v>7.2030000000000003</c:v>
                </c:pt>
                <c:pt idx="252">
                  <c:v>7.23</c:v>
                </c:pt>
                <c:pt idx="253">
                  <c:v>7.2560000000000002</c:v>
                </c:pt>
                <c:pt idx="254">
                  <c:v>7.2830000000000004</c:v>
                </c:pt>
                <c:pt idx="255">
                  <c:v>7.31</c:v>
                </c:pt>
                <c:pt idx="256">
                  <c:v>7.3360000000000003</c:v>
                </c:pt>
                <c:pt idx="257">
                  <c:v>7.3630000000000004</c:v>
                </c:pt>
                <c:pt idx="258">
                  <c:v>7.39</c:v>
                </c:pt>
                <c:pt idx="259">
                  <c:v>7.4160000000000004</c:v>
                </c:pt>
                <c:pt idx="260">
                  <c:v>7.4429999999999996</c:v>
                </c:pt>
                <c:pt idx="261">
                  <c:v>7.47</c:v>
                </c:pt>
                <c:pt idx="262">
                  <c:v>7.4960000000000004</c:v>
                </c:pt>
                <c:pt idx="263">
                  <c:v>7.5229999999999997</c:v>
                </c:pt>
                <c:pt idx="264">
                  <c:v>7.55</c:v>
                </c:pt>
                <c:pt idx="265">
                  <c:v>7.5759999999999996</c:v>
                </c:pt>
                <c:pt idx="266">
                  <c:v>7.6029999999999998</c:v>
                </c:pt>
                <c:pt idx="267">
                  <c:v>7.63</c:v>
                </c:pt>
                <c:pt idx="268">
                  <c:v>7.6559999999999997</c:v>
                </c:pt>
                <c:pt idx="269">
                  <c:v>7.6829999999999998</c:v>
                </c:pt>
                <c:pt idx="270">
                  <c:v>7.71</c:v>
                </c:pt>
                <c:pt idx="271">
                  <c:v>7.7359999999999998</c:v>
                </c:pt>
                <c:pt idx="272">
                  <c:v>7.7629999999999999</c:v>
                </c:pt>
                <c:pt idx="273">
                  <c:v>7.79</c:v>
                </c:pt>
                <c:pt idx="274">
                  <c:v>7.8159999999999998</c:v>
                </c:pt>
                <c:pt idx="275">
                  <c:v>7.843</c:v>
                </c:pt>
                <c:pt idx="276">
                  <c:v>7.87</c:v>
                </c:pt>
                <c:pt idx="277">
                  <c:v>7.8959999999999999</c:v>
                </c:pt>
                <c:pt idx="278">
                  <c:v>7.923</c:v>
                </c:pt>
                <c:pt idx="279">
                  <c:v>7.95</c:v>
                </c:pt>
                <c:pt idx="280">
                  <c:v>7.976</c:v>
                </c:pt>
                <c:pt idx="281">
                  <c:v>8.0030000000000001</c:v>
                </c:pt>
                <c:pt idx="282">
                  <c:v>8.0299999999999994</c:v>
                </c:pt>
                <c:pt idx="283">
                  <c:v>8.0559999999999992</c:v>
                </c:pt>
                <c:pt idx="284">
                  <c:v>8.0830000000000002</c:v>
                </c:pt>
                <c:pt idx="285">
                  <c:v>8.11</c:v>
                </c:pt>
                <c:pt idx="286">
                  <c:v>8.1359999999999992</c:v>
                </c:pt>
                <c:pt idx="287">
                  <c:v>8.1630000000000003</c:v>
                </c:pt>
                <c:pt idx="288">
                  <c:v>8.19</c:v>
                </c:pt>
                <c:pt idx="289">
                  <c:v>8.2159999999999993</c:v>
                </c:pt>
                <c:pt idx="290">
                  <c:v>8.2430000000000003</c:v>
                </c:pt>
                <c:pt idx="291">
                  <c:v>8.27</c:v>
                </c:pt>
                <c:pt idx="292">
                  <c:v>8.2959999999999994</c:v>
                </c:pt>
                <c:pt idx="293">
                  <c:v>8.3230000000000004</c:v>
                </c:pt>
                <c:pt idx="294">
                  <c:v>8.35</c:v>
                </c:pt>
                <c:pt idx="295">
                  <c:v>8.3759999999999994</c:v>
                </c:pt>
                <c:pt idx="296">
                  <c:v>8.4030000000000005</c:v>
                </c:pt>
                <c:pt idx="297">
                  <c:v>8.43</c:v>
                </c:pt>
                <c:pt idx="298">
                  <c:v>8.4559999999999995</c:v>
                </c:pt>
                <c:pt idx="299">
                  <c:v>8.4830000000000005</c:v>
                </c:pt>
                <c:pt idx="300">
                  <c:v>8.51</c:v>
                </c:pt>
                <c:pt idx="301">
                  <c:v>8.5359999999999996</c:v>
                </c:pt>
                <c:pt idx="302">
                  <c:v>8.5630000000000006</c:v>
                </c:pt>
                <c:pt idx="303">
                  <c:v>8.59</c:v>
                </c:pt>
                <c:pt idx="304">
                  <c:v>8.6159999999999997</c:v>
                </c:pt>
                <c:pt idx="305">
                  <c:v>8.6430000000000007</c:v>
                </c:pt>
                <c:pt idx="306">
                  <c:v>8.67</c:v>
                </c:pt>
                <c:pt idx="307">
                  <c:v>8.6959999999999997</c:v>
                </c:pt>
                <c:pt idx="308">
                  <c:v>8.7230000000000008</c:v>
                </c:pt>
                <c:pt idx="309">
                  <c:v>8.75</c:v>
                </c:pt>
                <c:pt idx="310">
                  <c:v>8.7759999999999998</c:v>
                </c:pt>
                <c:pt idx="311">
                  <c:v>8.8030000000000008</c:v>
                </c:pt>
                <c:pt idx="312">
                  <c:v>8.83</c:v>
                </c:pt>
                <c:pt idx="313">
                  <c:v>8.8559999999999999</c:v>
                </c:pt>
                <c:pt idx="314">
                  <c:v>8.8829999999999991</c:v>
                </c:pt>
                <c:pt idx="315">
                  <c:v>8.91</c:v>
                </c:pt>
                <c:pt idx="316">
                  <c:v>8.9359999999999999</c:v>
                </c:pt>
                <c:pt idx="317">
                  <c:v>8.9629999999999992</c:v>
                </c:pt>
                <c:pt idx="318">
                  <c:v>8.99</c:v>
                </c:pt>
                <c:pt idx="319">
                  <c:v>9.016</c:v>
                </c:pt>
                <c:pt idx="320">
                  <c:v>9.0429999999999993</c:v>
                </c:pt>
                <c:pt idx="321">
                  <c:v>9.07</c:v>
                </c:pt>
                <c:pt idx="322">
                  <c:v>9.0960000000000001</c:v>
                </c:pt>
                <c:pt idx="323">
                  <c:v>9.1229999999999993</c:v>
                </c:pt>
                <c:pt idx="324">
                  <c:v>9.15</c:v>
                </c:pt>
                <c:pt idx="325">
                  <c:v>9.1760000000000002</c:v>
                </c:pt>
                <c:pt idx="326">
                  <c:v>9.2029999999999994</c:v>
                </c:pt>
                <c:pt idx="327">
                  <c:v>9.23</c:v>
                </c:pt>
                <c:pt idx="328">
                  <c:v>9.2560000000000002</c:v>
                </c:pt>
                <c:pt idx="329">
                  <c:v>9.2829999999999995</c:v>
                </c:pt>
                <c:pt idx="330">
                  <c:v>9.31</c:v>
                </c:pt>
                <c:pt idx="331">
                  <c:v>9.3360000000000003</c:v>
                </c:pt>
                <c:pt idx="332">
                  <c:v>9.3629999999999995</c:v>
                </c:pt>
                <c:pt idx="333">
                  <c:v>9.39</c:v>
                </c:pt>
                <c:pt idx="334">
                  <c:v>9.4160000000000004</c:v>
                </c:pt>
                <c:pt idx="335">
                  <c:v>9.4429999999999996</c:v>
                </c:pt>
                <c:pt idx="336">
                  <c:v>9.4700000000000006</c:v>
                </c:pt>
                <c:pt idx="337">
                  <c:v>9.4960000000000004</c:v>
                </c:pt>
                <c:pt idx="338">
                  <c:v>9.5229999999999997</c:v>
                </c:pt>
                <c:pt idx="339">
                  <c:v>9.5500000000000007</c:v>
                </c:pt>
                <c:pt idx="340">
                  <c:v>9.5760000000000005</c:v>
                </c:pt>
                <c:pt idx="341">
                  <c:v>9.6029999999999998</c:v>
                </c:pt>
                <c:pt idx="342">
                  <c:v>9.6300000000000008</c:v>
                </c:pt>
                <c:pt idx="343">
                  <c:v>9.6560000000000006</c:v>
                </c:pt>
                <c:pt idx="344">
                  <c:v>9.6829999999999998</c:v>
                </c:pt>
                <c:pt idx="345">
                  <c:v>9.7100000000000009</c:v>
                </c:pt>
                <c:pt idx="346">
                  <c:v>9.7360000000000007</c:v>
                </c:pt>
                <c:pt idx="347">
                  <c:v>9.7629999999999999</c:v>
                </c:pt>
                <c:pt idx="348">
                  <c:v>9.7899999999999991</c:v>
                </c:pt>
                <c:pt idx="349">
                  <c:v>9.8160000000000007</c:v>
                </c:pt>
                <c:pt idx="350">
                  <c:v>9.843</c:v>
                </c:pt>
                <c:pt idx="351">
                  <c:v>9.8699999999999992</c:v>
                </c:pt>
                <c:pt idx="352">
                  <c:v>9.8960000000000008</c:v>
                </c:pt>
                <c:pt idx="353">
                  <c:v>9.923</c:v>
                </c:pt>
                <c:pt idx="354">
                  <c:v>9.9499999999999993</c:v>
                </c:pt>
                <c:pt idx="355">
                  <c:v>9.9760000000000009</c:v>
                </c:pt>
                <c:pt idx="356">
                  <c:v>10.003</c:v>
                </c:pt>
              </c:numCache>
            </c:numRef>
          </c:xVal>
          <c:yVal>
            <c:numRef>
              <c:f>ChromatogramData!$B$2:$B$10001</c:f>
              <c:numCache>
                <c:formatCode>General</c:formatCode>
                <c:ptCount val="10000"/>
                <c:pt idx="0">
                  <c:v>40.961685640159864</c:v>
                </c:pt>
                <c:pt idx="1">
                  <c:v>40.880013739659411</c:v>
                </c:pt>
                <c:pt idx="2">
                  <c:v>39.409919530651301</c:v>
                </c:pt>
                <c:pt idx="3">
                  <c:v>38.004744011784588</c:v>
                </c:pt>
                <c:pt idx="4">
                  <c:v>36.993268936355932</c:v>
                </c:pt>
                <c:pt idx="5">
                  <c:v>36.013206130350525</c:v>
                </c:pt>
                <c:pt idx="6">
                  <c:v>34.685514209394491</c:v>
                </c:pt>
                <c:pt idx="7">
                  <c:v>33.577708174401195</c:v>
                </c:pt>
                <c:pt idx="8">
                  <c:v>33.156783764129649</c:v>
                </c:pt>
                <c:pt idx="9">
                  <c:v>32.832190313422743</c:v>
                </c:pt>
                <c:pt idx="10">
                  <c:v>32.208133227547499</c:v>
                </c:pt>
                <c:pt idx="11">
                  <c:v>31.412355735491833</c:v>
                </c:pt>
                <c:pt idx="12">
                  <c:v>30.991431325220276</c:v>
                </c:pt>
                <c:pt idx="13">
                  <c:v>31.154775126221178</c:v>
                </c:pt>
                <c:pt idx="14">
                  <c:v>32.15996774776518</c:v>
                </c:pt>
                <c:pt idx="15">
                  <c:v>34.363014909982454</c:v>
                </c:pt>
                <c:pt idx="16">
                  <c:v>37.414193346627478</c:v>
                </c:pt>
                <c:pt idx="17">
                  <c:v>40.06329473465491</c:v>
                </c:pt>
                <c:pt idx="18">
                  <c:v>41.85588824307505</c:v>
                </c:pt>
                <c:pt idx="19">
                  <c:v>43.02651881691483</c:v>
                </c:pt>
                <c:pt idx="20">
                  <c:v>43.550056640635667</c:v>
                </c:pt>
                <c:pt idx="21">
                  <c:v>42.988824093606929</c:v>
                </c:pt>
                <c:pt idx="22">
                  <c:v>40.957497337570096</c:v>
                </c:pt>
                <c:pt idx="23">
                  <c:v>37.732504343449754</c:v>
                </c:pt>
                <c:pt idx="24">
                  <c:v>33.96931446654439</c:v>
                </c:pt>
                <c:pt idx="25">
                  <c:v>30.658461269333827</c:v>
                </c:pt>
                <c:pt idx="26">
                  <c:v>28.524521099847703</c:v>
                </c:pt>
                <c:pt idx="27">
                  <c:v>27.498386965354864</c:v>
                </c:pt>
                <c:pt idx="28">
                  <c:v>27.073274252493547</c:v>
                </c:pt>
                <c:pt idx="29">
                  <c:v>26.828258550992199</c:v>
                </c:pt>
                <c:pt idx="30">
                  <c:v>26.610466816324326</c:v>
                </c:pt>
                <c:pt idx="31">
                  <c:v>26.407334140720646</c:v>
                </c:pt>
                <c:pt idx="32">
                  <c:v>26.214672221591382</c:v>
                </c:pt>
                <c:pt idx="33">
                  <c:v>26.05342257188536</c:v>
                </c:pt>
                <c:pt idx="34">
                  <c:v>25.904737829948644</c:v>
                </c:pt>
                <c:pt idx="35">
                  <c:v>25.78118290355053</c:v>
                </c:pt>
                <c:pt idx="36">
                  <c:v>25.689040246575662</c:v>
                </c:pt>
                <c:pt idx="37">
                  <c:v>25.605274194780328</c:v>
                </c:pt>
                <c:pt idx="38">
                  <c:v>25.550826261113365</c:v>
                </c:pt>
                <c:pt idx="39">
                  <c:v>25.519413991690111</c:v>
                </c:pt>
                <c:pt idx="40">
                  <c:v>25.515225689100344</c:v>
                </c:pt>
                <c:pt idx="41">
                  <c:v>25.542449655933826</c:v>
                </c:pt>
                <c:pt idx="42">
                  <c:v>25.590615135716142</c:v>
                </c:pt>
                <c:pt idx="43">
                  <c:v>25.666004582331944</c:v>
                </c:pt>
                <c:pt idx="44">
                  <c:v>25.743488180242629</c:v>
                </c:pt>
                <c:pt idx="45">
                  <c:v>25.841913291102145</c:v>
                </c:pt>
                <c:pt idx="46">
                  <c:v>25.940338401961665</c:v>
                </c:pt>
                <c:pt idx="47">
                  <c:v>26.05132842059048</c:v>
                </c:pt>
                <c:pt idx="48">
                  <c:v>26.179071649578365</c:v>
                </c:pt>
                <c:pt idx="49">
                  <c:v>26.350792055758799</c:v>
                </c:pt>
                <c:pt idx="50">
                  <c:v>26.566489639131781</c:v>
                </c:pt>
                <c:pt idx="51">
                  <c:v>26.824070248402432</c:v>
                </c:pt>
                <c:pt idx="52">
                  <c:v>27.121439732275867</c:v>
                </c:pt>
                <c:pt idx="53">
                  <c:v>27.446033182982784</c:v>
                </c:pt>
                <c:pt idx="54">
                  <c:v>27.818792113472014</c:v>
                </c:pt>
                <c:pt idx="55">
                  <c:v>28.243904826333338</c:v>
                </c:pt>
                <c:pt idx="56">
                  <c:v>28.635511118476522</c:v>
                </c:pt>
                <c:pt idx="57">
                  <c:v>29.006175897670872</c:v>
                </c:pt>
                <c:pt idx="58">
                  <c:v>29.485736544199156</c:v>
                </c:pt>
                <c:pt idx="59">
                  <c:v>29.99461530885581</c:v>
                </c:pt>
                <c:pt idx="60">
                  <c:v>30.409257265242712</c:v>
                </c:pt>
                <c:pt idx="61">
                  <c:v>30.727568262064977</c:v>
                </c:pt>
                <c:pt idx="62">
                  <c:v>31.008184535579343</c:v>
                </c:pt>
                <c:pt idx="63">
                  <c:v>31.106609646438862</c:v>
                </c:pt>
                <c:pt idx="64">
                  <c:v>31.288800809093711</c:v>
                </c:pt>
                <c:pt idx="65">
                  <c:v>31.571511233902964</c:v>
                </c:pt>
                <c:pt idx="66">
                  <c:v>31.891916382020113</c:v>
                </c:pt>
                <c:pt idx="67">
                  <c:v>32.172532655534482</c:v>
                </c:pt>
                <c:pt idx="68">
                  <c:v>32.451054777753967</c:v>
                </c:pt>
                <c:pt idx="69">
                  <c:v>32.861508431551101</c:v>
                </c:pt>
                <c:pt idx="70">
                  <c:v>33.355728137143572</c:v>
                </c:pt>
                <c:pt idx="71">
                  <c:v>33.847853691441159</c:v>
                </c:pt>
                <c:pt idx="72">
                  <c:v>34.279248858187117</c:v>
                </c:pt>
                <c:pt idx="73">
                  <c:v>34.71692647881774</c:v>
                </c:pt>
                <c:pt idx="74">
                  <c:v>36.210056352069557</c:v>
                </c:pt>
                <c:pt idx="75">
                  <c:v>39.206786855047625</c:v>
                </c:pt>
                <c:pt idx="76">
                  <c:v>41.074769810083552</c:v>
                </c:pt>
                <c:pt idx="77">
                  <c:v>40.314592890040899</c:v>
                </c:pt>
                <c:pt idx="78">
                  <c:v>38.149240451131533</c:v>
                </c:pt>
                <c:pt idx="79">
                  <c:v>37.085411593330797</c:v>
                </c:pt>
                <c:pt idx="80">
                  <c:v>36.857149102188515</c:v>
                </c:pt>
                <c:pt idx="81">
                  <c:v>36.57862697996903</c:v>
                </c:pt>
                <c:pt idx="82">
                  <c:v>35.977605558337508</c:v>
                </c:pt>
                <c:pt idx="83">
                  <c:v>35.424749616488313</c:v>
                </c:pt>
                <c:pt idx="84">
                  <c:v>35.198581276640908</c:v>
                </c:pt>
                <c:pt idx="85">
                  <c:v>35.223711092179506</c:v>
                </c:pt>
                <c:pt idx="86">
                  <c:v>35.554586996771079</c:v>
                </c:pt>
                <c:pt idx="87">
                  <c:v>35.981793860927276</c:v>
                </c:pt>
                <c:pt idx="88">
                  <c:v>36.182832385236075</c:v>
                </c:pt>
                <c:pt idx="89">
                  <c:v>36.076030669197031</c:v>
                </c:pt>
                <c:pt idx="90">
                  <c:v>35.895933657837055</c:v>
                </c:pt>
                <c:pt idx="91">
                  <c:v>35.655106258925478</c:v>
                </c:pt>
                <c:pt idx="92">
                  <c:v>35.454067734616679</c:v>
                </c:pt>
                <c:pt idx="93">
                  <c:v>35.248840907718112</c:v>
                </c:pt>
                <c:pt idx="94">
                  <c:v>35.129474283909758</c:v>
                </c:pt>
                <c:pt idx="95">
                  <c:v>35.005919357511644</c:v>
                </c:pt>
                <c:pt idx="96">
                  <c:v>34.844669707805622</c:v>
                </c:pt>
                <c:pt idx="97">
                  <c:v>34.827916497446559</c:v>
                </c:pt>
                <c:pt idx="98">
                  <c:v>35.169263158512543</c:v>
                </c:pt>
                <c:pt idx="99">
                  <c:v>35.621599838207338</c:v>
                </c:pt>
                <c:pt idx="100">
                  <c:v>36.015300281645409</c:v>
                </c:pt>
                <c:pt idx="101">
                  <c:v>36.362929396596044</c:v>
                </c:pt>
                <c:pt idx="102">
                  <c:v>36.593286039033217</c:v>
                </c:pt>
                <c:pt idx="103">
                  <c:v>36.505331684648112</c:v>
                </c:pt>
                <c:pt idx="104">
                  <c:v>36.143043510633291</c:v>
                </c:pt>
                <c:pt idx="105">
                  <c:v>35.671859469284541</c:v>
                </c:pt>
                <c:pt idx="106">
                  <c:v>35.74934306719522</c:v>
                </c:pt>
                <c:pt idx="107">
                  <c:v>36.19120899041561</c:v>
                </c:pt>
                <c:pt idx="108">
                  <c:v>36.825736832765266</c:v>
                </c:pt>
                <c:pt idx="109">
                  <c:v>37.648738291654425</c:v>
                </c:pt>
                <c:pt idx="110">
                  <c:v>38.735602813698868</c:v>
                </c:pt>
                <c:pt idx="111">
                  <c:v>40.235015140835344</c:v>
                </c:pt>
                <c:pt idx="112">
                  <c:v>41.18157152612261</c:v>
                </c:pt>
                <c:pt idx="113">
                  <c:v>41.028698481596123</c:v>
                </c:pt>
                <c:pt idx="114">
                  <c:v>39.82456148703821</c:v>
                </c:pt>
                <c:pt idx="115">
                  <c:v>38.082227609695266</c:v>
                </c:pt>
                <c:pt idx="116">
                  <c:v>36.716840965431331</c:v>
                </c:pt>
                <c:pt idx="117">
                  <c:v>36.019488584235177</c:v>
                </c:pt>
                <c:pt idx="118">
                  <c:v>35.820544211221261</c:v>
                </c:pt>
                <c:pt idx="119">
                  <c:v>35.893839506542179</c:v>
                </c:pt>
                <c:pt idx="120">
                  <c:v>36.128384451569104</c:v>
                </c:pt>
                <c:pt idx="121">
                  <c:v>38.348184824145441</c:v>
                </c:pt>
                <c:pt idx="122">
                  <c:v>40.322969495220434</c:v>
                </c:pt>
                <c:pt idx="123">
                  <c:v>40.892578647428714</c:v>
                </c:pt>
                <c:pt idx="124">
                  <c:v>39.598393147190798</c:v>
                </c:pt>
                <c:pt idx="125">
                  <c:v>38.055003642861784</c:v>
                </c:pt>
                <c:pt idx="126">
                  <c:v>37.602666963166982</c:v>
                </c:pt>
                <c:pt idx="127">
                  <c:v>37.232002183972632</c:v>
                </c:pt>
                <c:pt idx="128">
                  <c:v>36.714746814136447</c:v>
                </c:pt>
                <c:pt idx="129">
                  <c:v>36.620510005866699</c:v>
                </c:pt>
                <c:pt idx="130">
                  <c:v>37.747163402513934</c:v>
                </c:pt>
                <c:pt idx="131">
                  <c:v>40.764835418440825</c:v>
                </c:pt>
                <c:pt idx="132">
                  <c:v>42.371049461616344</c:v>
                </c:pt>
                <c:pt idx="133">
                  <c:v>41.906147874152246</c:v>
                </c:pt>
                <c:pt idx="134">
                  <c:v>39.412013681946185</c:v>
                </c:pt>
                <c:pt idx="135">
                  <c:v>36.905314581970828</c:v>
                </c:pt>
                <c:pt idx="136">
                  <c:v>36.147231813223058</c:v>
                </c:pt>
                <c:pt idx="137">
                  <c:v>36.151420115812826</c:v>
                </c:pt>
                <c:pt idx="138">
                  <c:v>36.002735373876114</c:v>
                </c:pt>
                <c:pt idx="139">
                  <c:v>35.935722532439847</c:v>
                </c:pt>
                <c:pt idx="140">
                  <c:v>35.902216111721707</c:v>
                </c:pt>
                <c:pt idx="141">
                  <c:v>35.766096277554297</c:v>
                </c:pt>
                <c:pt idx="142">
                  <c:v>36.580721131263914</c:v>
                </c:pt>
                <c:pt idx="143">
                  <c:v>54.313994296336034</c:v>
                </c:pt>
                <c:pt idx="144">
                  <c:v>83.667712996715792</c:v>
                </c:pt>
                <c:pt idx="145">
                  <c:v>99.999998945510981</c:v>
                </c:pt>
                <c:pt idx="146">
                  <c:v>98.642988906426567</c:v>
                </c:pt>
                <c:pt idx="147">
                  <c:v>81.594503214781298</c:v>
                </c:pt>
                <c:pt idx="148">
                  <c:v>61.875974622159774</c:v>
                </c:pt>
                <c:pt idx="149">
                  <c:v>49.445092535732265</c:v>
                </c:pt>
                <c:pt idx="150">
                  <c:v>44.605508893256868</c:v>
                </c:pt>
                <c:pt idx="151">
                  <c:v>42.649571583835829</c:v>
                </c:pt>
                <c:pt idx="152">
                  <c:v>41.244396064969109</c:v>
                </c:pt>
                <c:pt idx="153">
                  <c:v>40.046541524295833</c:v>
                </c:pt>
                <c:pt idx="154">
                  <c:v>39.384789715112703</c:v>
                </c:pt>
                <c:pt idx="155">
                  <c:v>38.995277574264399</c:v>
                </c:pt>
                <c:pt idx="156">
                  <c:v>38.917793976353721</c:v>
                </c:pt>
                <c:pt idx="157">
                  <c:v>38.77957999089142</c:v>
                </c:pt>
                <c:pt idx="158">
                  <c:v>38.369126337094286</c:v>
                </c:pt>
                <c:pt idx="159">
                  <c:v>37.738786797334399</c:v>
                </c:pt>
                <c:pt idx="160">
                  <c:v>37.095882349805208</c:v>
                </c:pt>
                <c:pt idx="161">
                  <c:v>36.739876629675045</c:v>
                </c:pt>
                <c:pt idx="162">
                  <c:v>36.626792459751343</c:v>
                </c:pt>
                <c:pt idx="163">
                  <c:v>36.765006445213643</c:v>
                </c:pt>
                <c:pt idx="164">
                  <c:v>37.135671224408</c:v>
                </c:pt>
                <c:pt idx="165">
                  <c:v>37.541936575615367</c:v>
                </c:pt>
                <c:pt idx="166">
                  <c:v>37.613137719641394</c:v>
                </c:pt>
                <c:pt idx="167">
                  <c:v>37.319956538357729</c:v>
                </c:pt>
                <c:pt idx="168">
                  <c:v>37.010022146715002</c:v>
                </c:pt>
                <c:pt idx="169">
                  <c:v>37.160801039946598</c:v>
                </c:pt>
                <c:pt idx="170">
                  <c:v>37.311579933178201</c:v>
                </c:pt>
                <c:pt idx="171">
                  <c:v>37.349274656486095</c:v>
                </c:pt>
                <c:pt idx="172">
                  <c:v>37.621514324820929</c:v>
                </c:pt>
                <c:pt idx="173">
                  <c:v>38.197405930913845</c:v>
                </c:pt>
                <c:pt idx="174">
                  <c:v>38.151334602426417</c:v>
                </c:pt>
                <c:pt idx="175">
                  <c:v>38.159711207605959</c:v>
                </c:pt>
                <c:pt idx="176">
                  <c:v>37.883283236681351</c:v>
                </c:pt>
                <c:pt idx="177">
                  <c:v>37.278073512460068</c:v>
                </c:pt>
                <c:pt idx="178">
                  <c:v>36.829925135355026</c:v>
                </c:pt>
                <c:pt idx="179">
                  <c:v>36.66239303176436</c:v>
                </c:pt>
                <c:pt idx="180">
                  <c:v>36.517896592417408</c:v>
                </c:pt>
                <c:pt idx="181">
                  <c:v>36.455072053570916</c:v>
                </c:pt>
                <c:pt idx="182">
                  <c:v>37.198495763254492</c:v>
                </c:pt>
                <c:pt idx="183">
                  <c:v>38.080133458400375</c:v>
                </c:pt>
                <c:pt idx="184">
                  <c:v>43.139602986838533</c:v>
                </c:pt>
                <c:pt idx="185">
                  <c:v>50.647135378995308</c:v>
                </c:pt>
                <c:pt idx="186">
                  <c:v>51.451289476230507</c:v>
                </c:pt>
                <c:pt idx="187">
                  <c:v>46.20753463384262</c:v>
                </c:pt>
                <c:pt idx="188">
                  <c:v>40.048635675590724</c:v>
                </c:pt>
                <c:pt idx="189">
                  <c:v>37.386969379794003</c:v>
                </c:pt>
                <c:pt idx="190">
                  <c:v>36.607945098097403</c:v>
                </c:pt>
                <c:pt idx="191">
                  <c:v>36.547214710545774</c:v>
                </c:pt>
                <c:pt idx="192">
                  <c:v>36.721029268021098</c:v>
                </c:pt>
                <c:pt idx="193">
                  <c:v>36.859243253483392</c:v>
                </c:pt>
                <c:pt idx="194">
                  <c:v>36.938821002688961</c:v>
                </c:pt>
                <c:pt idx="195">
                  <c:v>36.808983622406195</c:v>
                </c:pt>
                <c:pt idx="196">
                  <c:v>36.687522847302958</c:v>
                </c:pt>
                <c:pt idx="197">
                  <c:v>36.651922275289948</c:v>
                </c:pt>
                <c:pt idx="198">
                  <c:v>36.656110577879709</c:v>
                </c:pt>
                <c:pt idx="199">
                  <c:v>36.700087755072261</c:v>
                </c:pt>
                <c:pt idx="200">
                  <c:v>36.723123419315982</c:v>
                </c:pt>
                <c:pt idx="201">
                  <c:v>36.737782478380161</c:v>
                </c:pt>
                <c:pt idx="202">
                  <c:v>36.708464360251796</c:v>
                </c:pt>
                <c:pt idx="203">
                  <c:v>36.639357367520638</c:v>
                </c:pt>
                <c:pt idx="204">
                  <c:v>36.637263216225769</c:v>
                </c:pt>
                <c:pt idx="205">
                  <c:v>36.687522847302958</c:v>
                </c:pt>
                <c:pt idx="206">
                  <c:v>36.708464360251796</c:v>
                </c:pt>
                <c:pt idx="207">
                  <c:v>36.750347386149464</c:v>
                </c:pt>
                <c:pt idx="208">
                  <c:v>36.84877249700898</c:v>
                </c:pt>
                <c:pt idx="209">
                  <c:v>36.96604496952245</c:v>
                </c:pt>
                <c:pt idx="210">
                  <c:v>37.030963659663833</c:v>
                </c:pt>
                <c:pt idx="211">
                  <c:v>37.072846685561494</c:v>
                </c:pt>
                <c:pt idx="212">
                  <c:v>37.064470080381959</c:v>
                </c:pt>
                <c:pt idx="213">
                  <c:v>37.097976501100099</c:v>
                </c:pt>
                <c:pt idx="214">
                  <c:v>37.148236132177303</c:v>
                </c:pt>
                <c:pt idx="215">
                  <c:v>37.160801039946598</c:v>
                </c:pt>
                <c:pt idx="216">
                  <c:v>37.206872368434034</c:v>
                </c:pt>
                <c:pt idx="217">
                  <c:v>37.35765126166563</c:v>
                </c:pt>
                <c:pt idx="218">
                  <c:v>37.491676944538163</c:v>
                </c:pt>
                <c:pt idx="219">
                  <c:v>37.479112036768861</c:v>
                </c:pt>
                <c:pt idx="220">
                  <c:v>37.573348845038616</c:v>
                </c:pt>
                <c:pt idx="221">
                  <c:v>37.684338863667435</c:v>
                </c:pt>
                <c:pt idx="222">
                  <c:v>37.713656981795801</c:v>
                </c:pt>
                <c:pt idx="223">
                  <c:v>37.581725450218144</c:v>
                </c:pt>
                <c:pt idx="224">
                  <c:v>37.407910892742827</c:v>
                </c:pt>
                <c:pt idx="225">
                  <c:v>37.345086353896328</c:v>
                </c:pt>
                <c:pt idx="226">
                  <c:v>37.3744044720247</c:v>
                </c:pt>
                <c:pt idx="227">
                  <c:v>37.430946556986548</c:v>
                </c:pt>
                <c:pt idx="228">
                  <c:v>37.445605616050734</c:v>
                </c:pt>
                <c:pt idx="229">
                  <c:v>37.428852405691657</c:v>
                </c:pt>
                <c:pt idx="230">
                  <c:v>37.35765126166563</c:v>
                </c:pt>
                <c:pt idx="231">
                  <c:v>37.284355966344712</c:v>
                </c:pt>
                <c:pt idx="232">
                  <c:v>37.242472940447044</c:v>
                </c:pt>
                <c:pt idx="233">
                  <c:v>37.242472940447044</c:v>
                </c:pt>
                <c:pt idx="234">
                  <c:v>37.319956538357729</c:v>
                </c:pt>
                <c:pt idx="235">
                  <c:v>37.428852405691657</c:v>
                </c:pt>
                <c:pt idx="236">
                  <c:v>37.546124878205127</c:v>
                </c:pt>
                <c:pt idx="237">
                  <c:v>37.663397350718597</c:v>
                </c:pt>
                <c:pt idx="238">
                  <c:v>37.766010764167881</c:v>
                </c:pt>
                <c:pt idx="239">
                  <c:v>37.824647000424612</c:v>
                </c:pt>
                <c:pt idx="240">
                  <c:v>37.837211908193908</c:v>
                </c:pt>
                <c:pt idx="241">
                  <c:v>37.843494362078566</c:v>
                </c:pt>
                <c:pt idx="242">
                  <c:v>37.824647000424612</c:v>
                </c:pt>
                <c:pt idx="243">
                  <c:v>37.904224749630188</c:v>
                </c:pt>
                <c:pt idx="244">
                  <c:v>38.170181964080371</c:v>
                </c:pt>
                <c:pt idx="245">
                  <c:v>38.199500082208736</c:v>
                </c:pt>
                <c:pt idx="246">
                  <c:v>38.170181964080371</c:v>
                </c:pt>
                <c:pt idx="247">
                  <c:v>37.885377387976234</c:v>
                </c:pt>
                <c:pt idx="248">
                  <c:v>37.722033586975328</c:v>
                </c:pt>
                <c:pt idx="249">
                  <c:v>37.715751133090677</c:v>
                </c:pt>
                <c:pt idx="250">
                  <c:v>37.847682664668334</c:v>
                </c:pt>
                <c:pt idx="251">
                  <c:v>37.971237591066448</c:v>
                </c:pt>
                <c:pt idx="252">
                  <c:v>38.057097794156675</c:v>
                </c:pt>
                <c:pt idx="253">
                  <c:v>38.013120616964123</c:v>
                </c:pt>
                <c:pt idx="254">
                  <c:v>37.952390229412501</c:v>
                </c:pt>
                <c:pt idx="255">
                  <c:v>37.933542867758554</c:v>
                </c:pt>
                <c:pt idx="256">
                  <c:v>38.000555709194813</c:v>
                </c:pt>
                <c:pt idx="257">
                  <c:v>38.096886668759453</c:v>
                </c:pt>
                <c:pt idx="258">
                  <c:v>38.1534287537213</c:v>
                </c:pt>
                <c:pt idx="259">
                  <c:v>38.134581392067354</c:v>
                </c:pt>
                <c:pt idx="260">
                  <c:v>38.092698366169678</c:v>
                </c:pt>
                <c:pt idx="261">
                  <c:v>38.023591373438535</c:v>
                </c:pt>
                <c:pt idx="262">
                  <c:v>37.979614196245983</c:v>
                </c:pt>
                <c:pt idx="263">
                  <c:v>37.923072111284135</c:v>
                </c:pt>
                <c:pt idx="264">
                  <c:v>37.893753993155762</c:v>
                </c:pt>
                <c:pt idx="265">
                  <c:v>37.883283236681351</c:v>
                </c:pt>
                <c:pt idx="266">
                  <c:v>37.856059269847862</c:v>
                </c:pt>
                <c:pt idx="267">
                  <c:v>37.849776815963217</c:v>
                </c:pt>
                <c:pt idx="268">
                  <c:v>37.822552849129735</c:v>
                </c:pt>
                <c:pt idx="269">
                  <c:v>37.759728310283229</c:v>
                </c:pt>
                <c:pt idx="270">
                  <c:v>37.650832442949294</c:v>
                </c:pt>
                <c:pt idx="271">
                  <c:v>37.527277516551187</c:v>
                </c:pt>
                <c:pt idx="272">
                  <c:v>37.458170523820037</c:v>
                </c:pt>
                <c:pt idx="273">
                  <c:v>37.456076372525146</c:v>
                </c:pt>
                <c:pt idx="274">
                  <c:v>37.487488641948396</c:v>
                </c:pt>
                <c:pt idx="275">
                  <c:v>37.53984242432049</c:v>
                </c:pt>
                <c:pt idx="276">
                  <c:v>37.564972239859081</c:v>
                </c:pt>
                <c:pt idx="277">
                  <c:v>37.548219029500018</c:v>
                </c:pt>
                <c:pt idx="278">
                  <c:v>37.489582793243279</c:v>
                </c:pt>
                <c:pt idx="279">
                  <c:v>37.363933715550274</c:v>
                </c:pt>
                <c:pt idx="280">
                  <c:v>37.232002183972632</c:v>
                </c:pt>
                <c:pt idx="281">
                  <c:v>37.074940836856385</c:v>
                </c:pt>
                <c:pt idx="282">
                  <c:v>36.976515725996862</c:v>
                </c:pt>
                <c:pt idx="283">
                  <c:v>37.077034988151262</c:v>
                </c:pt>
                <c:pt idx="284">
                  <c:v>36.991174785061055</c:v>
                </c:pt>
                <c:pt idx="285">
                  <c:v>36.911597035855472</c:v>
                </c:pt>
                <c:pt idx="286">
                  <c:v>36.626792459751343</c:v>
                </c:pt>
                <c:pt idx="287">
                  <c:v>36.354552791416509</c:v>
                </c:pt>
                <c:pt idx="288">
                  <c:v>36.2184329572491</c:v>
                </c:pt>
                <c:pt idx="289">
                  <c:v>36.159796720992361</c:v>
                </c:pt>
                <c:pt idx="290">
                  <c:v>36.138855208043523</c:v>
                </c:pt>
                <c:pt idx="291">
                  <c:v>36.107442938620281</c:v>
                </c:pt>
                <c:pt idx="292">
                  <c:v>36.032053492004479</c:v>
                </c:pt>
                <c:pt idx="293">
                  <c:v>35.885462901362644</c:v>
                </c:pt>
                <c:pt idx="294">
                  <c:v>35.688612679643612</c:v>
                </c:pt>
                <c:pt idx="295">
                  <c:v>35.428937919078074</c:v>
                </c:pt>
                <c:pt idx="296">
                  <c:v>35.192298822756257</c:v>
                </c:pt>
                <c:pt idx="297">
                  <c:v>34.987071995857697</c:v>
                </c:pt>
                <c:pt idx="298">
                  <c:v>34.809069135792605</c:v>
                </c:pt>
                <c:pt idx="299">
                  <c:v>34.999636903626993</c:v>
                </c:pt>
                <c:pt idx="300">
                  <c:v>38.375408790978938</c:v>
                </c:pt>
                <c:pt idx="301">
                  <c:v>40.915614311672428</c:v>
                </c:pt>
                <c:pt idx="302">
                  <c:v>41.587836877329984</c:v>
                </c:pt>
                <c:pt idx="303">
                  <c:v>40.831848259877091</c:v>
                </c:pt>
                <c:pt idx="304">
                  <c:v>36.656110577879709</c:v>
                </c:pt>
                <c:pt idx="305">
                  <c:v>34.448875113072667</c:v>
                </c:pt>
                <c:pt idx="306">
                  <c:v>33.477188912246802</c:v>
                </c:pt>
                <c:pt idx="307">
                  <c:v>33.047887896795714</c:v>
                </c:pt>
                <c:pt idx="308">
                  <c:v>32.649999150767883</c:v>
                </c:pt>
                <c:pt idx="309">
                  <c:v>32.216509832727034</c:v>
                </c:pt>
                <c:pt idx="310">
                  <c:v>31.774643909506651</c:v>
                </c:pt>
                <c:pt idx="311">
                  <c:v>31.320213078516961</c:v>
                </c:pt>
                <c:pt idx="312">
                  <c:v>30.886723760476112</c:v>
                </c:pt>
                <c:pt idx="313">
                  <c:v>30.509776527397108</c:v>
                </c:pt>
                <c:pt idx="314">
                  <c:v>30.185183076690191</c:v>
                </c:pt>
                <c:pt idx="315">
                  <c:v>29.933884921304191</c:v>
                </c:pt>
                <c:pt idx="316">
                  <c:v>29.619762227071693</c:v>
                </c:pt>
                <c:pt idx="317">
                  <c:v>29.203026119389907</c:v>
                </c:pt>
                <c:pt idx="318">
                  <c:v>28.700429808617901</c:v>
                </c:pt>
                <c:pt idx="319">
                  <c:v>28.193645195256138</c:v>
                </c:pt>
                <c:pt idx="320">
                  <c:v>27.877428349728753</c:v>
                </c:pt>
                <c:pt idx="321">
                  <c:v>27.418809216149299</c:v>
                </c:pt>
                <c:pt idx="322">
                  <c:v>27.020920470121467</c:v>
                </c:pt>
                <c:pt idx="323">
                  <c:v>26.430369804964364</c:v>
                </c:pt>
                <c:pt idx="324">
                  <c:v>25.772806298370995</c:v>
                </c:pt>
                <c:pt idx="325">
                  <c:v>25.138278456021343</c:v>
                </c:pt>
                <c:pt idx="326">
                  <c:v>24.486997403312625</c:v>
                </c:pt>
                <c:pt idx="327">
                  <c:v>23.720538029385324</c:v>
                </c:pt>
                <c:pt idx="328">
                  <c:v>22.905913175675703</c:v>
                </c:pt>
                <c:pt idx="329">
                  <c:v>22.007522270170753</c:v>
                </c:pt>
                <c:pt idx="330">
                  <c:v>21.109131364665799</c:v>
                </c:pt>
                <c:pt idx="331">
                  <c:v>20.208646307865962</c:v>
                </c:pt>
                <c:pt idx="332">
                  <c:v>19.268372376463343</c:v>
                </c:pt>
                <c:pt idx="333">
                  <c:v>18.275744662688641</c:v>
                </c:pt>
                <c:pt idx="334">
                  <c:v>17.255892982080454</c:v>
                </c:pt>
                <c:pt idx="335">
                  <c:v>16.23813545276715</c:v>
                </c:pt>
                <c:pt idx="336">
                  <c:v>15.230848679928261</c:v>
                </c:pt>
                <c:pt idx="337">
                  <c:v>14.275915689461458</c:v>
                </c:pt>
                <c:pt idx="338">
                  <c:v>13.381713086546274</c:v>
                </c:pt>
                <c:pt idx="339">
                  <c:v>12.535675963413404</c:v>
                </c:pt>
                <c:pt idx="340">
                  <c:v>11.959784357320485</c:v>
                </c:pt>
                <c:pt idx="341">
                  <c:v>11.737804320062851</c:v>
                </c:pt>
                <c:pt idx="342">
                  <c:v>11.080240813469484</c:v>
                </c:pt>
                <c:pt idx="343">
                  <c:v>9.9870938375403817</c:v>
                </c:pt>
                <c:pt idx="344">
                  <c:v>8.3704090378904414</c:v>
                </c:pt>
                <c:pt idx="345">
                  <c:v>7.358933962461788</c:v>
                </c:pt>
                <c:pt idx="346">
                  <c:v>6.7055587584581868</c:v>
                </c:pt>
                <c:pt idx="347">
                  <c:v>6.1066314881215522</c:v>
                </c:pt>
                <c:pt idx="348">
                  <c:v>5.4302206198742331</c:v>
                </c:pt>
                <c:pt idx="349">
                  <c:v>4.7391506925627311</c:v>
                </c:pt>
                <c:pt idx="350">
                  <c:v>4.1674473890595802</c:v>
                </c:pt>
                <c:pt idx="351">
                  <c:v>3.6732276834671103</c:v>
                </c:pt>
                <c:pt idx="352">
                  <c:v>3.1957611882337091</c:v>
                </c:pt>
                <c:pt idx="353">
                  <c:v>2.7685543240775061</c:v>
                </c:pt>
                <c:pt idx="354">
                  <c:v>2.4125486039473389</c:v>
                </c:pt>
                <c:pt idx="355">
                  <c:v>2.1863802640999408</c:v>
                </c:pt>
                <c:pt idx="356">
                  <c:v>2.0000007988553228</c:v>
                </c:pt>
              </c:numCache>
            </c:numRef>
          </c:yVal>
          <c:smooth val="1"/>
          <c:extLst>
            <c:ext xmlns:c16="http://schemas.microsoft.com/office/drawing/2014/chart" uri="{C3380CC4-5D6E-409C-BE32-E72D297353CC}">
              <c16:uniqueId val="{00000000-6C55-4540-A99B-AF279F0EE33F}"/>
            </c:ext>
          </c:extLst>
        </c:ser>
        <c:ser>
          <c:idx val="1"/>
          <c:order val="1"/>
          <c:tx>
            <c:strRef>
              <c:f>ChromatogramData!$C$1</c:f>
              <c:strCache>
                <c:ptCount val="1"/>
                <c:pt idx="0">
                  <c:v>254 nm</c:v>
                </c:pt>
              </c:strCache>
            </c:strRef>
          </c:tx>
          <c:spPr>
            <a:ln w="12700" cap="rnd">
              <a:solidFill>
                <a:srgbClr val="FF0000"/>
              </a:solidFill>
              <a:round/>
            </a:ln>
            <a:effectLst/>
          </c:spPr>
          <c:marker>
            <c:symbol val="none"/>
          </c:marker>
          <c:xVal>
            <c:numRef>
              <c:f>ChromatogramData!$A$2:$A$10001</c:f>
              <c:numCache>
                <c:formatCode>General</c:formatCode>
                <c:ptCount val="10000"/>
                <c:pt idx="0">
                  <c:v>0.51</c:v>
                </c:pt>
                <c:pt idx="1">
                  <c:v>0.53600000000000003</c:v>
                </c:pt>
                <c:pt idx="2">
                  <c:v>0.56299999999999994</c:v>
                </c:pt>
                <c:pt idx="3">
                  <c:v>0.59</c:v>
                </c:pt>
                <c:pt idx="4">
                  <c:v>0.61599999999999999</c:v>
                </c:pt>
                <c:pt idx="5">
                  <c:v>0.64300000000000002</c:v>
                </c:pt>
                <c:pt idx="6">
                  <c:v>0.67</c:v>
                </c:pt>
                <c:pt idx="7">
                  <c:v>0.69599999999999995</c:v>
                </c:pt>
                <c:pt idx="8">
                  <c:v>0.72299999999999998</c:v>
                </c:pt>
                <c:pt idx="9">
                  <c:v>0.75</c:v>
                </c:pt>
                <c:pt idx="10">
                  <c:v>0.77600000000000002</c:v>
                </c:pt>
                <c:pt idx="11">
                  <c:v>0.80300000000000005</c:v>
                </c:pt>
                <c:pt idx="12">
                  <c:v>0.83</c:v>
                </c:pt>
                <c:pt idx="13">
                  <c:v>0.85599999999999998</c:v>
                </c:pt>
                <c:pt idx="14">
                  <c:v>0.88300000000000001</c:v>
                </c:pt>
                <c:pt idx="15">
                  <c:v>0.91</c:v>
                </c:pt>
                <c:pt idx="16">
                  <c:v>0.93600000000000005</c:v>
                </c:pt>
                <c:pt idx="17">
                  <c:v>0.96299999999999997</c:v>
                </c:pt>
                <c:pt idx="18">
                  <c:v>0.99</c:v>
                </c:pt>
                <c:pt idx="19">
                  <c:v>1.016</c:v>
                </c:pt>
                <c:pt idx="20">
                  <c:v>1.0429999999999999</c:v>
                </c:pt>
                <c:pt idx="21">
                  <c:v>1.07</c:v>
                </c:pt>
                <c:pt idx="22">
                  <c:v>1.0960000000000001</c:v>
                </c:pt>
                <c:pt idx="23">
                  <c:v>1.123</c:v>
                </c:pt>
                <c:pt idx="24">
                  <c:v>1.1499999999999999</c:v>
                </c:pt>
                <c:pt idx="25">
                  <c:v>1.1759999999999999</c:v>
                </c:pt>
                <c:pt idx="26">
                  <c:v>1.2030000000000001</c:v>
                </c:pt>
                <c:pt idx="27">
                  <c:v>1.23</c:v>
                </c:pt>
                <c:pt idx="28">
                  <c:v>1.256</c:v>
                </c:pt>
                <c:pt idx="29">
                  <c:v>1.2829999999999999</c:v>
                </c:pt>
                <c:pt idx="30">
                  <c:v>1.31</c:v>
                </c:pt>
                <c:pt idx="31">
                  <c:v>1.3360000000000001</c:v>
                </c:pt>
                <c:pt idx="32">
                  <c:v>1.363</c:v>
                </c:pt>
                <c:pt idx="33">
                  <c:v>1.39</c:v>
                </c:pt>
                <c:pt idx="34">
                  <c:v>1.4159999999999999</c:v>
                </c:pt>
                <c:pt idx="35">
                  <c:v>1.4430000000000001</c:v>
                </c:pt>
                <c:pt idx="36">
                  <c:v>1.47</c:v>
                </c:pt>
                <c:pt idx="37">
                  <c:v>1.496</c:v>
                </c:pt>
                <c:pt idx="38">
                  <c:v>1.5229999999999999</c:v>
                </c:pt>
                <c:pt idx="39">
                  <c:v>1.55</c:v>
                </c:pt>
                <c:pt idx="40">
                  <c:v>1.5760000000000001</c:v>
                </c:pt>
                <c:pt idx="41">
                  <c:v>1.603</c:v>
                </c:pt>
                <c:pt idx="42">
                  <c:v>1.63</c:v>
                </c:pt>
                <c:pt idx="43">
                  <c:v>1.6559999999999999</c:v>
                </c:pt>
                <c:pt idx="44">
                  <c:v>1.6830000000000001</c:v>
                </c:pt>
                <c:pt idx="45">
                  <c:v>1.71</c:v>
                </c:pt>
                <c:pt idx="46">
                  <c:v>1.736</c:v>
                </c:pt>
                <c:pt idx="47">
                  <c:v>1.7629999999999999</c:v>
                </c:pt>
                <c:pt idx="48">
                  <c:v>1.79</c:v>
                </c:pt>
                <c:pt idx="49">
                  <c:v>1.8160000000000001</c:v>
                </c:pt>
                <c:pt idx="50">
                  <c:v>1.843</c:v>
                </c:pt>
                <c:pt idx="51">
                  <c:v>1.87</c:v>
                </c:pt>
                <c:pt idx="52">
                  <c:v>1.8959999999999999</c:v>
                </c:pt>
                <c:pt idx="53">
                  <c:v>1.923</c:v>
                </c:pt>
                <c:pt idx="54">
                  <c:v>1.95</c:v>
                </c:pt>
                <c:pt idx="55">
                  <c:v>1.976</c:v>
                </c:pt>
                <c:pt idx="56">
                  <c:v>2.0030000000000001</c:v>
                </c:pt>
                <c:pt idx="57">
                  <c:v>2.0299999999999998</c:v>
                </c:pt>
                <c:pt idx="58">
                  <c:v>2.056</c:v>
                </c:pt>
                <c:pt idx="59">
                  <c:v>2.0830000000000002</c:v>
                </c:pt>
                <c:pt idx="60">
                  <c:v>2.11</c:v>
                </c:pt>
                <c:pt idx="61">
                  <c:v>2.1360000000000001</c:v>
                </c:pt>
                <c:pt idx="62">
                  <c:v>2.1629999999999998</c:v>
                </c:pt>
                <c:pt idx="63">
                  <c:v>2.19</c:v>
                </c:pt>
                <c:pt idx="64">
                  <c:v>2.2160000000000002</c:v>
                </c:pt>
                <c:pt idx="65">
                  <c:v>2.2429999999999999</c:v>
                </c:pt>
                <c:pt idx="66">
                  <c:v>2.27</c:v>
                </c:pt>
                <c:pt idx="67">
                  <c:v>2.2959999999999998</c:v>
                </c:pt>
                <c:pt idx="68">
                  <c:v>2.323</c:v>
                </c:pt>
                <c:pt idx="69">
                  <c:v>2.35</c:v>
                </c:pt>
                <c:pt idx="70">
                  <c:v>2.3759999999999999</c:v>
                </c:pt>
                <c:pt idx="71">
                  <c:v>2.403</c:v>
                </c:pt>
                <c:pt idx="72">
                  <c:v>2.4300000000000002</c:v>
                </c:pt>
                <c:pt idx="73">
                  <c:v>2.456</c:v>
                </c:pt>
                <c:pt idx="74">
                  <c:v>2.4830000000000001</c:v>
                </c:pt>
                <c:pt idx="75">
                  <c:v>2.5099999999999998</c:v>
                </c:pt>
                <c:pt idx="76">
                  <c:v>2.536</c:v>
                </c:pt>
                <c:pt idx="77">
                  <c:v>2.5630000000000002</c:v>
                </c:pt>
                <c:pt idx="78">
                  <c:v>2.59</c:v>
                </c:pt>
                <c:pt idx="79">
                  <c:v>2.6160000000000001</c:v>
                </c:pt>
                <c:pt idx="80">
                  <c:v>2.6429999999999998</c:v>
                </c:pt>
                <c:pt idx="81">
                  <c:v>2.67</c:v>
                </c:pt>
                <c:pt idx="82">
                  <c:v>2.6960000000000002</c:v>
                </c:pt>
                <c:pt idx="83">
                  <c:v>2.7229999999999999</c:v>
                </c:pt>
                <c:pt idx="84">
                  <c:v>2.75</c:v>
                </c:pt>
                <c:pt idx="85">
                  <c:v>2.7759999999999998</c:v>
                </c:pt>
                <c:pt idx="86">
                  <c:v>2.8029999999999999</c:v>
                </c:pt>
                <c:pt idx="87">
                  <c:v>2.83</c:v>
                </c:pt>
                <c:pt idx="88">
                  <c:v>2.8559999999999999</c:v>
                </c:pt>
                <c:pt idx="89">
                  <c:v>2.883</c:v>
                </c:pt>
                <c:pt idx="90">
                  <c:v>2.91</c:v>
                </c:pt>
                <c:pt idx="91">
                  <c:v>2.9359999999999999</c:v>
                </c:pt>
                <c:pt idx="92">
                  <c:v>2.9630000000000001</c:v>
                </c:pt>
                <c:pt idx="93">
                  <c:v>2.99</c:v>
                </c:pt>
                <c:pt idx="94">
                  <c:v>3.016</c:v>
                </c:pt>
                <c:pt idx="95">
                  <c:v>3.0430000000000001</c:v>
                </c:pt>
                <c:pt idx="96">
                  <c:v>3.07</c:v>
                </c:pt>
                <c:pt idx="97">
                  <c:v>3.0960000000000001</c:v>
                </c:pt>
                <c:pt idx="98">
                  <c:v>3.1230000000000002</c:v>
                </c:pt>
                <c:pt idx="99">
                  <c:v>3.15</c:v>
                </c:pt>
                <c:pt idx="100">
                  <c:v>3.1760000000000002</c:v>
                </c:pt>
                <c:pt idx="101">
                  <c:v>3.2029999999999998</c:v>
                </c:pt>
                <c:pt idx="102">
                  <c:v>3.23</c:v>
                </c:pt>
                <c:pt idx="103">
                  <c:v>3.2559999999999998</c:v>
                </c:pt>
                <c:pt idx="104">
                  <c:v>3.2829999999999999</c:v>
                </c:pt>
                <c:pt idx="105">
                  <c:v>3.31</c:v>
                </c:pt>
                <c:pt idx="106">
                  <c:v>3.3359999999999999</c:v>
                </c:pt>
                <c:pt idx="107">
                  <c:v>3.363</c:v>
                </c:pt>
                <c:pt idx="108">
                  <c:v>3.39</c:v>
                </c:pt>
                <c:pt idx="109">
                  <c:v>3.4159999999999999</c:v>
                </c:pt>
                <c:pt idx="110">
                  <c:v>3.4430000000000001</c:v>
                </c:pt>
                <c:pt idx="111">
                  <c:v>3.47</c:v>
                </c:pt>
                <c:pt idx="112">
                  <c:v>3.496</c:v>
                </c:pt>
                <c:pt idx="113">
                  <c:v>3.5230000000000001</c:v>
                </c:pt>
                <c:pt idx="114">
                  <c:v>3.55</c:v>
                </c:pt>
                <c:pt idx="115">
                  <c:v>3.5760000000000001</c:v>
                </c:pt>
                <c:pt idx="116">
                  <c:v>3.6030000000000002</c:v>
                </c:pt>
                <c:pt idx="117">
                  <c:v>3.63</c:v>
                </c:pt>
                <c:pt idx="118">
                  <c:v>3.6560000000000001</c:v>
                </c:pt>
                <c:pt idx="119">
                  <c:v>3.6829999999999998</c:v>
                </c:pt>
                <c:pt idx="120">
                  <c:v>3.71</c:v>
                </c:pt>
                <c:pt idx="121">
                  <c:v>3.7360000000000002</c:v>
                </c:pt>
                <c:pt idx="122">
                  <c:v>3.7629999999999999</c:v>
                </c:pt>
                <c:pt idx="123">
                  <c:v>3.79</c:v>
                </c:pt>
                <c:pt idx="124">
                  <c:v>3.8159999999999998</c:v>
                </c:pt>
                <c:pt idx="125">
                  <c:v>3.843</c:v>
                </c:pt>
                <c:pt idx="126">
                  <c:v>3.87</c:v>
                </c:pt>
                <c:pt idx="127">
                  <c:v>3.8959999999999999</c:v>
                </c:pt>
                <c:pt idx="128">
                  <c:v>3.923</c:v>
                </c:pt>
                <c:pt idx="129">
                  <c:v>3.95</c:v>
                </c:pt>
                <c:pt idx="130">
                  <c:v>3.976</c:v>
                </c:pt>
                <c:pt idx="131">
                  <c:v>4.0030000000000001</c:v>
                </c:pt>
                <c:pt idx="132">
                  <c:v>4.03</c:v>
                </c:pt>
                <c:pt idx="133">
                  <c:v>4.056</c:v>
                </c:pt>
                <c:pt idx="134">
                  <c:v>4.0830000000000002</c:v>
                </c:pt>
                <c:pt idx="135">
                  <c:v>4.1100000000000003</c:v>
                </c:pt>
                <c:pt idx="136">
                  <c:v>4.1360000000000001</c:v>
                </c:pt>
                <c:pt idx="137">
                  <c:v>4.1630000000000003</c:v>
                </c:pt>
                <c:pt idx="138">
                  <c:v>4.1900000000000004</c:v>
                </c:pt>
                <c:pt idx="139">
                  <c:v>4.2160000000000002</c:v>
                </c:pt>
                <c:pt idx="140">
                  <c:v>4.2430000000000003</c:v>
                </c:pt>
                <c:pt idx="141">
                  <c:v>4.2699999999999996</c:v>
                </c:pt>
                <c:pt idx="142">
                  <c:v>4.2960000000000003</c:v>
                </c:pt>
                <c:pt idx="143">
                  <c:v>4.3230000000000004</c:v>
                </c:pt>
                <c:pt idx="144">
                  <c:v>4.3499999999999996</c:v>
                </c:pt>
                <c:pt idx="145">
                  <c:v>4.3760000000000003</c:v>
                </c:pt>
                <c:pt idx="146">
                  <c:v>4.4029999999999996</c:v>
                </c:pt>
                <c:pt idx="147">
                  <c:v>4.43</c:v>
                </c:pt>
                <c:pt idx="148">
                  <c:v>4.4560000000000004</c:v>
                </c:pt>
                <c:pt idx="149">
                  <c:v>4.4829999999999997</c:v>
                </c:pt>
                <c:pt idx="150">
                  <c:v>4.51</c:v>
                </c:pt>
                <c:pt idx="151">
                  <c:v>4.5359999999999996</c:v>
                </c:pt>
                <c:pt idx="152">
                  <c:v>4.5629999999999997</c:v>
                </c:pt>
                <c:pt idx="153">
                  <c:v>4.59</c:v>
                </c:pt>
                <c:pt idx="154">
                  <c:v>4.6159999999999997</c:v>
                </c:pt>
                <c:pt idx="155">
                  <c:v>4.6429999999999998</c:v>
                </c:pt>
                <c:pt idx="156">
                  <c:v>4.67</c:v>
                </c:pt>
                <c:pt idx="157">
                  <c:v>4.6959999999999997</c:v>
                </c:pt>
                <c:pt idx="158">
                  <c:v>4.7229999999999999</c:v>
                </c:pt>
                <c:pt idx="159">
                  <c:v>4.75</c:v>
                </c:pt>
                <c:pt idx="160">
                  <c:v>4.7759999999999998</c:v>
                </c:pt>
                <c:pt idx="161">
                  <c:v>4.8029999999999999</c:v>
                </c:pt>
                <c:pt idx="162">
                  <c:v>4.83</c:v>
                </c:pt>
                <c:pt idx="163">
                  <c:v>4.8559999999999999</c:v>
                </c:pt>
                <c:pt idx="164">
                  <c:v>4.883</c:v>
                </c:pt>
                <c:pt idx="165">
                  <c:v>4.91</c:v>
                </c:pt>
                <c:pt idx="166">
                  <c:v>4.9359999999999999</c:v>
                </c:pt>
                <c:pt idx="167">
                  <c:v>4.9630000000000001</c:v>
                </c:pt>
                <c:pt idx="168">
                  <c:v>4.99</c:v>
                </c:pt>
                <c:pt idx="169">
                  <c:v>5.016</c:v>
                </c:pt>
                <c:pt idx="170">
                  <c:v>5.0430000000000001</c:v>
                </c:pt>
                <c:pt idx="171">
                  <c:v>5.07</c:v>
                </c:pt>
                <c:pt idx="172">
                  <c:v>5.0960000000000001</c:v>
                </c:pt>
                <c:pt idx="173">
                  <c:v>5.1230000000000002</c:v>
                </c:pt>
                <c:pt idx="174">
                  <c:v>5.15</c:v>
                </c:pt>
                <c:pt idx="175">
                  <c:v>5.1760000000000002</c:v>
                </c:pt>
                <c:pt idx="176">
                  <c:v>5.2030000000000003</c:v>
                </c:pt>
                <c:pt idx="177">
                  <c:v>5.23</c:v>
                </c:pt>
                <c:pt idx="178">
                  <c:v>5.2560000000000002</c:v>
                </c:pt>
                <c:pt idx="179">
                  <c:v>5.2830000000000004</c:v>
                </c:pt>
                <c:pt idx="180">
                  <c:v>5.31</c:v>
                </c:pt>
                <c:pt idx="181">
                  <c:v>5.3360000000000003</c:v>
                </c:pt>
                <c:pt idx="182">
                  <c:v>5.3630000000000004</c:v>
                </c:pt>
                <c:pt idx="183">
                  <c:v>5.39</c:v>
                </c:pt>
                <c:pt idx="184">
                  <c:v>5.4160000000000004</c:v>
                </c:pt>
                <c:pt idx="185">
                  <c:v>5.4429999999999996</c:v>
                </c:pt>
                <c:pt idx="186">
                  <c:v>5.47</c:v>
                </c:pt>
                <c:pt idx="187">
                  <c:v>5.4960000000000004</c:v>
                </c:pt>
                <c:pt idx="188">
                  <c:v>5.5229999999999997</c:v>
                </c:pt>
                <c:pt idx="189">
                  <c:v>5.55</c:v>
                </c:pt>
                <c:pt idx="190">
                  <c:v>5.5759999999999996</c:v>
                </c:pt>
                <c:pt idx="191">
                  <c:v>5.6029999999999998</c:v>
                </c:pt>
                <c:pt idx="192">
                  <c:v>5.63</c:v>
                </c:pt>
                <c:pt idx="193">
                  <c:v>5.6559999999999997</c:v>
                </c:pt>
                <c:pt idx="194">
                  <c:v>5.6829999999999998</c:v>
                </c:pt>
                <c:pt idx="195">
                  <c:v>5.71</c:v>
                </c:pt>
                <c:pt idx="196">
                  <c:v>5.7359999999999998</c:v>
                </c:pt>
                <c:pt idx="197">
                  <c:v>5.7629999999999999</c:v>
                </c:pt>
                <c:pt idx="198">
                  <c:v>5.79</c:v>
                </c:pt>
                <c:pt idx="199">
                  <c:v>5.8159999999999998</c:v>
                </c:pt>
                <c:pt idx="200">
                  <c:v>5.843</c:v>
                </c:pt>
                <c:pt idx="201">
                  <c:v>5.87</c:v>
                </c:pt>
                <c:pt idx="202">
                  <c:v>5.8959999999999999</c:v>
                </c:pt>
                <c:pt idx="203">
                  <c:v>5.923</c:v>
                </c:pt>
                <c:pt idx="204">
                  <c:v>5.95</c:v>
                </c:pt>
                <c:pt idx="205">
                  <c:v>5.976</c:v>
                </c:pt>
                <c:pt idx="206">
                  <c:v>6.0030000000000001</c:v>
                </c:pt>
                <c:pt idx="207">
                  <c:v>6.03</c:v>
                </c:pt>
                <c:pt idx="208">
                  <c:v>6.056</c:v>
                </c:pt>
                <c:pt idx="209">
                  <c:v>6.0830000000000002</c:v>
                </c:pt>
                <c:pt idx="210">
                  <c:v>6.11</c:v>
                </c:pt>
                <c:pt idx="211">
                  <c:v>6.1360000000000001</c:v>
                </c:pt>
                <c:pt idx="212">
                  <c:v>6.1630000000000003</c:v>
                </c:pt>
                <c:pt idx="213">
                  <c:v>6.19</c:v>
                </c:pt>
                <c:pt idx="214">
                  <c:v>6.2160000000000002</c:v>
                </c:pt>
                <c:pt idx="215">
                  <c:v>6.2430000000000003</c:v>
                </c:pt>
                <c:pt idx="216">
                  <c:v>6.27</c:v>
                </c:pt>
                <c:pt idx="217">
                  <c:v>6.2960000000000003</c:v>
                </c:pt>
                <c:pt idx="218">
                  <c:v>6.3230000000000004</c:v>
                </c:pt>
                <c:pt idx="219">
                  <c:v>6.35</c:v>
                </c:pt>
                <c:pt idx="220">
                  <c:v>6.3760000000000003</c:v>
                </c:pt>
                <c:pt idx="221">
                  <c:v>6.4029999999999996</c:v>
                </c:pt>
                <c:pt idx="222">
                  <c:v>6.43</c:v>
                </c:pt>
                <c:pt idx="223">
                  <c:v>6.4560000000000004</c:v>
                </c:pt>
                <c:pt idx="224">
                  <c:v>6.4829999999999997</c:v>
                </c:pt>
                <c:pt idx="225">
                  <c:v>6.51</c:v>
                </c:pt>
                <c:pt idx="226">
                  <c:v>6.5359999999999996</c:v>
                </c:pt>
                <c:pt idx="227">
                  <c:v>6.5629999999999997</c:v>
                </c:pt>
                <c:pt idx="228">
                  <c:v>6.59</c:v>
                </c:pt>
                <c:pt idx="229">
                  <c:v>6.6159999999999997</c:v>
                </c:pt>
                <c:pt idx="230">
                  <c:v>6.6429999999999998</c:v>
                </c:pt>
                <c:pt idx="231">
                  <c:v>6.67</c:v>
                </c:pt>
                <c:pt idx="232">
                  <c:v>6.6959999999999997</c:v>
                </c:pt>
                <c:pt idx="233">
                  <c:v>6.7229999999999999</c:v>
                </c:pt>
                <c:pt idx="234">
                  <c:v>6.75</c:v>
                </c:pt>
                <c:pt idx="235">
                  <c:v>6.7759999999999998</c:v>
                </c:pt>
                <c:pt idx="236">
                  <c:v>6.8029999999999999</c:v>
                </c:pt>
                <c:pt idx="237">
                  <c:v>6.83</c:v>
                </c:pt>
                <c:pt idx="238">
                  <c:v>6.8559999999999999</c:v>
                </c:pt>
                <c:pt idx="239">
                  <c:v>6.883</c:v>
                </c:pt>
                <c:pt idx="240">
                  <c:v>6.91</c:v>
                </c:pt>
                <c:pt idx="241">
                  <c:v>6.9359999999999999</c:v>
                </c:pt>
                <c:pt idx="242">
                  <c:v>6.9630000000000001</c:v>
                </c:pt>
                <c:pt idx="243">
                  <c:v>6.99</c:v>
                </c:pt>
                <c:pt idx="244">
                  <c:v>7.016</c:v>
                </c:pt>
                <c:pt idx="245">
                  <c:v>7.0430000000000001</c:v>
                </c:pt>
                <c:pt idx="246">
                  <c:v>7.07</c:v>
                </c:pt>
                <c:pt idx="247">
                  <c:v>7.0960000000000001</c:v>
                </c:pt>
                <c:pt idx="248">
                  <c:v>7.1230000000000002</c:v>
                </c:pt>
                <c:pt idx="249">
                  <c:v>7.15</c:v>
                </c:pt>
                <c:pt idx="250">
                  <c:v>7.1760000000000002</c:v>
                </c:pt>
                <c:pt idx="251">
                  <c:v>7.2030000000000003</c:v>
                </c:pt>
                <c:pt idx="252">
                  <c:v>7.23</c:v>
                </c:pt>
                <c:pt idx="253">
                  <c:v>7.2560000000000002</c:v>
                </c:pt>
                <c:pt idx="254">
                  <c:v>7.2830000000000004</c:v>
                </c:pt>
                <c:pt idx="255">
                  <c:v>7.31</c:v>
                </c:pt>
                <c:pt idx="256">
                  <c:v>7.3360000000000003</c:v>
                </c:pt>
                <c:pt idx="257">
                  <c:v>7.3630000000000004</c:v>
                </c:pt>
                <c:pt idx="258">
                  <c:v>7.39</c:v>
                </c:pt>
                <c:pt idx="259">
                  <c:v>7.4160000000000004</c:v>
                </c:pt>
                <c:pt idx="260">
                  <c:v>7.4429999999999996</c:v>
                </c:pt>
                <c:pt idx="261">
                  <c:v>7.47</c:v>
                </c:pt>
                <c:pt idx="262">
                  <c:v>7.4960000000000004</c:v>
                </c:pt>
                <c:pt idx="263">
                  <c:v>7.5229999999999997</c:v>
                </c:pt>
                <c:pt idx="264">
                  <c:v>7.55</c:v>
                </c:pt>
                <c:pt idx="265">
                  <c:v>7.5759999999999996</c:v>
                </c:pt>
                <c:pt idx="266">
                  <c:v>7.6029999999999998</c:v>
                </c:pt>
                <c:pt idx="267">
                  <c:v>7.63</c:v>
                </c:pt>
                <c:pt idx="268">
                  <c:v>7.6559999999999997</c:v>
                </c:pt>
                <c:pt idx="269">
                  <c:v>7.6829999999999998</c:v>
                </c:pt>
                <c:pt idx="270">
                  <c:v>7.71</c:v>
                </c:pt>
                <c:pt idx="271">
                  <c:v>7.7359999999999998</c:v>
                </c:pt>
                <c:pt idx="272">
                  <c:v>7.7629999999999999</c:v>
                </c:pt>
                <c:pt idx="273">
                  <c:v>7.79</c:v>
                </c:pt>
                <c:pt idx="274">
                  <c:v>7.8159999999999998</c:v>
                </c:pt>
                <c:pt idx="275">
                  <c:v>7.843</c:v>
                </c:pt>
                <c:pt idx="276">
                  <c:v>7.87</c:v>
                </c:pt>
                <c:pt idx="277">
                  <c:v>7.8959999999999999</c:v>
                </c:pt>
                <c:pt idx="278">
                  <c:v>7.923</c:v>
                </c:pt>
                <c:pt idx="279">
                  <c:v>7.95</c:v>
                </c:pt>
                <c:pt idx="280">
                  <c:v>7.976</c:v>
                </c:pt>
                <c:pt idx="281">
                  <c:v>8.0030000000000001</c:v>
                </c:pt>
                <c:pt idx="282">
                  <c:v>8.0299999999999994</c:v>
                </c:pt>
                <c:pt idx="283">
                  <c:v>8.0559999999999992</c:v>
                </c:pt>
                <c:pt idx="284">
                  <c:v>8.0830000000000002</c:v>
                </c:pt>
                <c:pt idx="285">
                  <c:v>8.11</c:v>
                </c:pt>
                <c:pt idx="286">
                  <c:v>8.1359999999999992</c:v>
                </c:pt>
                <c:pt idx="287">
                  <c:v>8.1630000000000003</c:v>
                </c:pt>
                <c:pt idx="288">
                  <c:v>8.19</c:v>
                </c:pt>
                <c:pt idx="289">
                  <c:v>8.2159999999999993</c:v>
                </c:pt>
                <c:pt idx="290">
                  <c:v>8.2430000000000003</c:v>
                </c:pt>
                <c:pt idx="291">
                  <c:v>8.27</c:v>
                </c:pt>
                <c:pt idx="292">
                  <c:v>8.2959999999999994</c:v>
                </c:pt>
                <c:pt idx="293">
                  <c:v>8.3230000000000004</c:v>
                </c:pt>
                <c:pt idx="294">
                  <c:v>8.35</c:v>
                </c:pt>
                <c:pt idx="295">
                  <c:v>8.3759999999999994</c:v>
                </c:pt>
                <c:pt idx="296">
                  <c:v>8.4030000000000005</c:v>
                </c:pt>
                <c:pt idx="297">
                  <c:v>8.43</c:v>
                </c:pt>
                <c:pt idx="298">
                  <c:v>8.4559999999999995</c:v>
                </c:pt>
                <c:pt idx="299">
                  <c:v>8.4830000000000005</c:v>
                </c:pt>
                <c:pt idx="300">
                  <c:v>8.51</c:v>
                </c:pt>
                <c:pt idx="301">
                  <c:v>8.5359999999999996</c:v>
                </c:pt>
                <c:pt idx="302">
                  <c:v>8.5630000000000006</c:v>
                </c:pt>
                <c:pt idx="303">
                  <c:v>8.59</c:v>
                </c:pt>
                <c:pt idx="304">
                  <c:v>8.6159999999999997</c:v>
                </c:pt>
                <c:pt idx="305">
                  <c:v>8.6430000000000007</c:v>
                </c:pt>
                <c:pt idx="306">
                  <c:v>8.67</c:v>
                </c:pt>
                <c:pt idx="307">
                  <c:v>8.6959999999999997</c:v>
                </c:pt>
                <c:pt idx="308">
                  <c:v>8.7230000000000008</c:v>
                </c:pt>
                <c:pt idx="309">
                  <c:v>8.75</c:v>
                </c:pt>
                <c:pt idx="310">
                  <c:v>8.7759999999999998</c:v>
                </c:pt>
                <c:pt idx="311">
                  <c:v>8.8030000000000008</c:v>
                </c:pt>
                <c:pt idx="312">
                  <c:v>8.83</c:v>
                </c:pt>
                <c:pt idx="313">
                  <c:v>8.8559999999999999</c:v>
                </c:pt>
                <c:pt idx="314">
                  <c:v>8.8829999999999991</c:v>
                </c:pt>
                <c:pt idx="315">
                  <c:v>8.91</c:v>
                </c:pt>
                <c:pt idx="316">
                  <c:v>8.9359999999999999</c:v>
                </c:pt>
                <c:pt idx="317">
                  <c:v>8.9629999999999992</c:v>
                </c:pt>
                <c:pt idx="318">
                  <c:v>8.99</c:v>
                </c:pt>
                <c:pt idx="319">
                  <c:v>9.016</c:v>
                </c:pt>
                <c:pt idx="320">
                  <c:v>9.0429999999999993</c:v>
                </c:pt>
                <c:pt idx="321">
                  <c:v>9.07</c:v>
                </c:pt>
                <c:pt idx="322">
                  <c:v>9.0960000000000001</c:v>
                </c:pt>
                <c:pt idx="323">
                  <c:v>9.1229999999999993</c:v>
                </c:pt>
                <c:pt idx="324">
                  <c:v>9.15</c:v>
                </c:pt>
                <c:pt idx="325">
                  <c:v>9.1760000000000002</c:v>
                </c:pt>
                <c:pt idx="326">
                  <c:v>9.2029999999999994</c:v>
                </c:pt>
                <c:pt idx="327">
                  <c:v>9.23</c:v>
                </c:pt>
                <c:pt idx="328">
                  <c:v>9.2560000000000002</c:v>
                </c:pt>
                <c:pt idx="329">
                  <c:v>9.2829999999999995</c:v>
                </c:pt>
                <c:pt idx="330">
                  <c:v>9.31</c:v>
                </c:pt>
                <c:pt idx="331">
                  <c:v>9.3360000000000003</c:v>
                </c:pt>
                <c:pt idx="332">
                  <c:v>9.3629999999999995</c:v>
                </c:pt>
                <c:pt idx="333">
                  <c:v>9.39</c:v>
                </c:pt>
                <c:pt idx="334">
                  <c:v>9.4160000000000004</c:v>
                </c:pt>
                <c:pt idx="335">
                  <c:v>9.4429999999999996</c:v>
                </c:pt>
                <c:pt idx="336">
                  <c:v>9.4700000000000006</c:v>
                </c:pt>
                <c:pt idx="337">
                  <c:v>9.4960000000000004</c:v>
                </c:pt>
                <c:pt idx="338">
                  <c:v>9.5229999999999997</c:v>
                </c:pt>
                <c:pt idx="339">
                  <c:v>9.5500000000000007</c:v>
                </c:pt>
                <c:pt idx="340">
                  <c:v>9.5760000000000005</c:v>
                </c:pt>
                <c:pt idx="341">
                  <c:v>9.6029999999999998</c:v>
                </c:pt>
                <c:pt idx="342">
                  <c:v>9.6300000000000008</c:v>
                </c:pt>
                <c:pt idx="343">
                  <c:v>9.6560000000000006</c:v>
                </c:pt>
                <c:pt idx="344">
                  <c:v>9.6829999999999998</c:v>
                </c:pt>
                <c:pt idx="345">
                  <c:v>9.7100000000000009</c:v>
                </c:pt>
                <c:pt idx="346">
                  <c:v>9.7360000000000007</c:v>
                </c:pt>
                <c:pt idx="347">
                  <c:v>9.7629999999999999</c:v>
                </c:pt>
                <c:pt idx="348">
                  <c:v>9.7899999999999991</c:v>
                </c:pt>
                <c:pt idx="349">
                  <c:v>9.8160000000000007</c:v>
                </c:pt>
                <c:pt idx="350">
                  <c:v>9.843</c:v>
                </c:pt>
                <c:pt idx="351">
                  <c:v>9.8699999999999992</c:v>
                </c:pt>
                <c:pt idx="352">
                  <c:v>9.8960000000000008</c:v>
                </c:pt>
                <c:pt idx="353">
                  <c:v>9.923</c:v>
                </c:pt>
                <c:pt idx="354">
                  <c:v>9.9499999999999993</c:v>
                </c:pt>
                <c:pt idx="355">
                  <c:v>9.9760000000000009</c:v>
                </c:pt>
                <c:pt idx="356">
                  <c:v>10.003</c:v>
                </c:pt>
              </c:numCache>
            </c:numRef>
          </c:xVal>
          <c:yVal>
            <c:numRef>
              <c:f>ChromatogramData!$C$2:$C$10001</c:f>
              <c:numCache>
                <c:formatCode>General</c:formatCode>
                <c:ptCount val="10000"/>
                <c:pt idx="0">
                  <c:v>8.5295637379455371</c:v>
                </c:pt>
                <c:pt idx="1">
                  <c:v>6.7558175911793494</c:v>
                </c:pt>
                <c:pt idx="2">
                  <c:v>5.3757718878512293</c:v>
                </c:pt>
                <c:pt idx="3">
                  <c:v>5.2940999873507781</c:v>
                </c:pt>
                <c:pt idx="4">
                  <c:v>5.9139687706362469</c:v>
                </c:pt>
                <c:pt idx="5">
                  <c:v>6.6029445466528651</c:v>
                </c:pt>
                <c:pt idx="6">
                  <c:v>6.7641941963588827</c:v>
                </c:pt>
                <c:pt idx="7">
                  <c:v>6.6448275725505326</c:v>
                </c:pt>
                <c:pt idx="8">
                  <c:v>6.6741456906788983</c:v>
                </c:pt>
                <c:pt idx="9">
                  <c:v>6.5170843435626482</c:v>
                </c:pt>
                <c:pt idx="10">
                  <c:v>5.7150243976223294</c:v>
                </c:pt>
                <c:pt idx="11">
                  <c:v>4.5841826983853258</c:v>
                </c:pt>
                <c:pt idx="12">
                  <c:v>3.9685022176896236</c:v>
                </c:pt>
                <c:pt idx="13">
                  <c:v>4.3810500227816416</c:v>
                </c:pt>
                <c:pt idx="14">
                  <c:v>6.096159933291097</c:v>
                </c:pt>
                <c:pt idx="15">
                  <c:v>9.2813640528086587</c:v>
                </c:pt>
                <c:pt idx="16">
                  <c:v>13.17020300740702</c:v>
                </c:pt>
                <c:pt idx="17">
                  <c:v>16.384725245052948</c:v>
                </c:pt>
                <c:pt idx="18">
                  <c:v>18.516571263244185</c:v>
                </c:pt>
                <c:pt idx="19">
                  <c:v>19.909181874341606</c:v>
                </c:pt>
                <c:pt idx="20">
                  <c:v>20.681923702153561</c:v>
                </c:pt>
                <c:pt idx="21">
                  <c:v>20.321729679433624</c:v>
                </c:pt>
                <c:pt idx="22">
                  <c:v>18.294591225986551</c:v>
                </c:pt>
                <c:pt idx="23">
                  <c:v>14.849712345903457</c:v>
                </c:pt>
                <c:pt idx="24">
                  <c:v>10.682351269085613</c:v>
                </c:pt>
                <c:pt idx="25">
                  <c:v>6.9275379973597824</c:v>
                </c:pt>
                <c:pt idx="26">
                  <c:v>4.5234523108337097</c:v>
                </c:pt>
                <c:pt idx="27">
                  <c:v>3.4156462758404222</c:v>
                </c:pt>
                <c:pt idx="28">
                  <c:v>2.994721865568871</c:v>
                </c:pt>
                <c:pt idx="29">
                  <c:v>2.8250956106833205</c:v>
                </c:pt>
                <c:pt idx="30">
                  <c:v>2.7182938946442703</c:v>
                </c:pt>
                <c:pt idx="31">
                  <c:v>2.619868783784753</c:v>
                </c:pt>
                <c:pt idx="32">
                  <c:v>2.5256319755150027</c:v>
                </c:pt>
                <c:pt idx="33">
                  <c:v>2.4376776211299025</c:v>
                </c:pt>
                <c:pt idx="34">
                  <c:v>2.3539115693345689</c:v>
                </c:pt>
                <c:pt idx="35">
                  <c:v>2.2659572149494687</c:v>
                </c:pt>
                <c:pt idx="36">
                  <c:v>2.1968502222183184</c:v>
                </c:pt>
                <c:pt idx="37">
                  <c:v>2.1424022885513518</c:v>
                </c:pt>
                <c:pt idx="38">
                  <c:v>2.0837660522946182</c:v>
                </c:pt>
                <c:pt idx="39">
                  <c:v>2.0460713289867178</c:v>
                </c:pt>
                <c:pt idx="40">
                  <c:v>2.0188473621532346</c:v>
                </c:pt>
                <c:pt idx="41">
                  <c:v>2.0000000004992846</c:v>
                </c:pt>
                <c:pt idx="42">
                  <c:v>2.0000000004992846</c:v>
                </c:pt>
                <c:pt idx="43">
                  <c:v>2.0062824543839346</c:v>
                </c:pt>
                <c:pt idx="44">
                  <c:v>2.0167532108583512</c:v>
                </c:pt>
                <c:pt idx="45">
                  <c:v>2.0376947238071845</c:v>
                </c:pt>
                <c:pt idx="46">
                  <c:v>2.0628245393457849</c:v>
                </c:pt>
                <c:pt idx="47">
                  <c:v>2.0795777497048515</c:v>
                </c:pt>
                <c:pt idx="48">
                  <c:v>2.1047075652434515</c:v>
                </c:pt>
                <c:pt idx="49">
                  <c:v>2.1444964398462352</c:v>
                </c:pt>
                <c:pt idx="50">
                  <c:v>2.1842853144490184</c:v>
                </c:pt>
                <c:pt idx="51">
                  <c:v>2.2429215507057521</c:v>
                </c:pt>
                <c:pt idx="52">
                  <c:v>2.3057460895522519</c:v>
                </c:pt>
                <c:pt idx="53">
                  <c:v>2.3769472335782855</c:v>
                </c:pt>
                <c:pt idx="54">
                  <c:v>2.4649015879633862</c:v>
                </c:pt>
                <c:pt idx="55">
                  <c:v>2.5800799091819697</c:v>
                </c:pt>
                <c:pt idx="56">
                  <c:v>2.6973523816954366</c:v>
                </c:pt>
                <c:pt idx="57">
                  <c:v>2.8209073080935538</c:v>
                </c:pt>
                <c:pt idx="58">
                  <c:v>2.9842511090944543</c:v>
                </c:pt>
                <c:pt idx="59">
                  <c:v>3.1538773639800048</c:v>
                </c:pt>
                <c:pt idx="60">
                  <c:v>3.2669615339037055</c:v>
                </c:pt>
                <c:pt idx="61">
                  <c:v>3.3381626779297386</c:v>
                </c:pt>
                <c:pt idx="62">
                  <c:v>3.382139855122289</c:v>
                </c:pt>
                <c:pt idx="63">
                  <c:v>3.3674807960581052</c:v>
                </c:pt>
                <c:pt idx="64">
                  <c:v>3.357010039583689</c:v>
                </c:pt>
                <c:pt idx="65">
                  <c:v>3.4009872167762394</c:v>
                </c:pt>
                <c:pt idx="66">
                  <c:v>3.4784708146869225</c:v>
                </c:pt>
                <c:pt idx="67">
                  <c:v>3.5538602613027228</c:v>
                </c:pt>
                <c:pt idx="68">
                  <c:v>3.6208731027389893</c:v>
                </c:pt>
                <c:pt idx="69">
                  <c:v>3.7109216084189729</c:v>
                </c:pt>
                <c:pt idx="70">
                  <c:v>3.7988759628040736</c:v>
                </c:pt>
                <c:pt idx="71">
                  <c:v>3.9014893762533571</c:v>
                </c:pt>
                <c:pt idx="72">
                  <c:v>4.012479394882174</c:v>
                </c:pt>
                <c:pt idx="73">
                  <c:v>4.1234694135109908</c:v>
                </c:pt>
                <c:pt idx="74">
                  <c:v>4.5674294880262591</c:v>
                </c:pt>
                <c:pt idx="75">
                  <c:v>5.4365022754028445</c:v>
                </c:pt>
                <c:pt idx="76">
                  <c:v>5.9349102835850802</c:v>
                </c:pt>
                <c:pt idx="77">
                  <c:v>5.6145051354679296</c:v>
                </c:pt>
                <c:pt idx="78">
                  <c:v>4.9360001159257276</c:v>
                </c:pt>
                <c:pt idx="79">
                  <c:v>4.6323481781676428</c:v>
                </c:pt>
                <c:pt idx="80">
                  <c:v>4.5674294880262591</c:v>
                </c:pt>
                <c:pt idx="81">
                  <c:v>4.5255464621285917</c:v>
                </c:pt>
                <c:pt idx="82">
                  <c:v>4.4522511668076756</c:v>
                </c:pt>
                <c:pt idx="83">
                  <c:v>4.4166505947946586</c:v>
                </c:pt>
                <c:pt idx="84">
                  <c:v>4.435497956448609</c:v>
                </c:pt>
                <c:pt idx="85">
                  <c:v>4.4773809823462756</c:v>
                </c:pt>
                <c:pt idx="86">
                  <c:v>4.6365364807574085</c:v>
                </c:pt>
                <c:pt idx="87">
                  <c:v>4.8480457615406269</c:v>
                </c:pt>
                <c:pt idx="88">
                  <c:v>4.9485650236950267</c:v>
                </c:pt>
                <c:pt idx="89">
                  <c:v>4.8941170900280602</c:v>
                </c:pt>
                <c:pt idx="90">
                  <c:v>4.822915946002027</c:v>
                </c:pt>
                <c:pt idx="91">
                  <c:v>4.8040685843480766</c:v>
                </c:pt>
                <c:pt idx="92">
                  <c:v>4.8627048206048098</c:v>
                </c:pt>
                <c:pt idx="93">
                  <c:v>4.7935978278736595</c:v>
                </c:pt>
                <c:pt idx="94">
                  <c:v>4.6407247833471761</c:v>
                </c:pt>
                <c:pt idx="95">
                  <c:v>4.5339230673081259</c:v>
                </c:pt>
                <c:pt idx="96">
                  <c:v>4.5506762776671925</c:v>
                </c:pt>
                <c:pt idx="97">
                  <c:v>4.6888902631294931</c:v>
                </c:pt>
                <c:pt idx="98">
                  <c:v>4.9485650236950267</c:v>
                </c:pt>
                <c:pt idx="99">
                  <c:v>5.210333935555445</c:v>
                </c:pt>
                <c:pt idx="100">
                  <c:v>5.501420965544229</c:v>
                </c:pt>
                <c:pt idx="101">
                  <c:v>5.7464366670455798</c:v>
                </c:pt>
                <c:pt idx="102">
                  <c:v>5.8616149882641633</c:v>
                </c:pt>
                <c:pt idx="103">
                  <c:v>5.7171185489172132</c:v>
                </c:pt>
                <c:pt idx="104">
                  <c:v>5.4009017033898292</c:v>
                </c:pt>
                <c:pt idx="105">
                  <c:v>5.0700257987982607</c:v>
                </c:pt>
                <c:pt idx="106">
                  <c:v>4.8564223667201603</c:v>
                </c:pt>
                <c:pt idx="107">
                  <c:v>4.9695065366438609</c:v>
                </c:pt>
                <c:pt idx="108">
                  <c:v>5.3841484930307626</c:v>
                </c:pt>
                <c:pt idx="109">
                  <c:v>5.8762740473283461</c:v>
                </c:pt>
                <c:pt idx="110">
                  <c:v>6.3788703581003476</c:v>
                </c:pt>
                <c:pt idx="111">
                  <c:v>7.0699402854118496</c:v>
                </c:pt>
                <c:pt idx="112">
                  <c:v>7.6479260427996518</c:v>
                </c:pt>
                <c:pt idx="113">
                  <c:v>7.754727758838702</c:v>
                </c:pt>
                <c:pt idx="114">
                  <c:v>7.2667905071308843</c:v>
                </c:pt>
                <c:pt idx="115">
                  <c:v>6.3893411145747647</c:v>
                </c:pt>
                <c:pt idx="116">
                  <c:v>5.6124109841730458</c:v>
                </c:pt>
                <c:pt idx="117">
                  <c:v>5.1789216661321946</c:v>
                </c:pt>
                <c:pt idx="118">
                  <c:v>5.0679316475033769</c:v>
                </c:pt>
                <c:pt idx="119">
                  <c:v>5.1454152454140614</c:v>
                </c:pt>
                <c:pt idx="120">
                  <c:v>5.2794409282865953</c:v>
                </c:pt>
                <c:pt idx="121">
                  <c:v>6.3223282731384982</c:v>
                </c:pt>
                <c:pt idx="122">
                  <c:v>7.1830244553355502</c:v>
                </c:pt>
                <c:pt idx="123">
                  <c:v>7.3589331641057516</c:v>
                </c:pt>
                <c:pt idx="124">
                  <c:v>6.6846164471533163</c:v>
                </c:pt>
                <c:pt idx="125">
                  <c:v>6.0396178483292466</c:v>
                </c:pt>
                <c:pt idx="126">
                  <c:v>5.9432868887646144</c:v>
                </c:pt>
                <c:pt idx="127">
                  <c:v>5.767378179994413</c:v>
                </c:pt>
                <c:pt idx="128">
                  <c:v>5.501420965544229</c:v>
                </c:pt>
                <c:pt idx="129">
                  <c:v>5.3883367956205284</c:v>
                </c:pt>
                <c:pt idx="130">
                  <c:v>5.6898945820837294</c:v>
                </c:pt>
                <c:pt idx="131">
                  <c:v>6.542214159101249</c:v>
                </c:pt>
                <c:pt idx="132">
                  <c:v>7.1327648242583503</c:v>
                </c:pt>
                <c:pt idx="133">
                  <c:v>7.1641770936815998</c:v>
                </c:pt>
                <c:pt idx="134">
                  <c:v>6.4961428306138149</c:v>
                </c:pt>
                <c:pt idx="135">
                  <c:v>5.7275893053916294</c:v>
                </c:pt>
                <c:pt idx="136">
                  <c:v>5.501420965544229</c:v>
                </c:pt>
                <c:pt idx="137">
                  <c:v>5.5265507810828289</c:v>
                </c:pt>
                <c:pt idx="138">
                  <c:v>5.4700086961209795</c:v>
                </c:pt>
                <c:pt idx="139">
                  <c:v>5.4741969987107453</c:v>
                </c:pt>
                <c:pt idx="140">
                  <c:v>5.4218432163386616</c:v>
                </c:pt>
                <c:pt idx="141">
                  <c:v>5.3673952826716951</c:v>
                </c:pt>
                <c:pt idx="142">
                  <c:v>5.7401542131609293</c:v>
                </c:pt>
                <c:pt idx="143">
                  <c:v>12.125221511260232</c:v>
                </c:pt>
                <c:pt idx="144">
                  <c:v>22.445199092445332</c:v>
                </c:pt>
                <c:pt idx="145">
                  <c:v>31.803961229278976</c:v>
                </c:pt>
                <c:pt idx="146">
                  <c:v>40.140777534209555</c:v>
                </c:pt>
                <c:pt idx="147">
                  <c:v>36.444600498740456</c:v>
                </c:pt>
                <c:pt idx="148">
                  <c:v>23.289142064283318</c:v>
                </c:pt>
                <c:pt idx="149">
                  <c:v>12.851892010584752</c:v>
                </c:pt>
                <c:pt idx="150">
                  <c:v>9.0133126870635891</c:v>
                </c:pt>
                <c:pt idx="151">
                  <c:v>8.0144025194042356</c:v>
                </c:pt>
                <c:pt idx="152">
                  <c:v>7.4908646956834009</c:v>
                </c:pt>
                <c:pt idx="153">
                  <c:v>6.9945508387960498</c:v>
                </c:pt>
                <c:pt idx="154">
                  <c:v>6.6490158751402983</c:v>
                </c:pt>
                <c:pt idx="155">
                  <c:v>6.3830586606901143</c:v>
                </c:pt>
                <c:pt idx="156">
                  <c:v>6.4437890482417322</c:v>
                </c:pt>
                <c:pt idx="157">
                  <c:v>6.5443083103961319</c:v>
                </c:pt>
                <c:pt idx="158">
                  <c:v>6.4249416865877818</c:v>
                </c:pt>
                <c:pt idx="159">
                  <c:v>6.0375236970343638</c:v>
                </c:pt>
                <c:pt idx="160">
                  <c:v>5.5705279582753793</c:v>
                </c:pt>
                <c:pt idx="161">
                  <c:v>5.321323954184261</c:v>
                </c:pt>
                <c:pt idx="162">
                  <c:v>5.2731584744019449</c:v>
                </c:pt>
                <c:pt idx="163">
                  <c:v>5.5244566297879452</c:v>
                </c:pt>
                <c:pt idx="164">
                  <c:v>5.8385793240204453</c:v>
                </c:pt>
                <c:pt idx="165">
                  <c:v>5.9118746193413632</c:v>
                </c:pt>
                <c:pt idx="166">
                  <c:v>5.729683456686514</c:v>
                </c:pt>
                <c:pt idx="167">
                  <c:v>5.5035151168391128</c:v>
                </c:pt>
                <c:pt idx="168">
                  <c:v>5.379960190440995</c:v>
                </c:pt>
                <c:pt idx="169">
                  <c:v>5.4218432163386616</c:v>
                </c:pt>
                <c:pt idx="170">
                  <c:v>5.4679145448260957</c:v>
                </c:pt>
                <c:pt idx="171">
                  <c:v>5.5265507810828289</c:v>
                </c:pt>
                <c:pt idx="172">
                  <c:v>5.9998289737264638</c:v>
                </c:pt>
                <c:pt idx="173">
                  <c:v>6.88146666887235</c:v>
                </c:pt>
                <c:pt idx="174">
                  <c:v>6.9987391413858164</c:v>
                </c:pt>
                <c:pt idx="175">
                  <c:v>7.4280401568369019</c:v>
                </c:pt>
                <c:pt idx="176">
                  <c:v>7.3735922231699345</c:v>
                </c:pt>
                <c:pt idx="177">
                  <c:v>6.6008503953579822</c:v>
                </c:pt>
                <c:pt idx="178">
                  <c:v>5.9935465198418143</c:v>
                </c:pt>
                <c:pt idx="179">
                  <c:v>5.81554365977673</c:v>
                </c:pt>
                <c:pt idx="180">
                  <c:v>5.6019402276986288</c:v>
                </c:pt>
                <c:pt idx="181">
                  <c:v>5.2794409282865953</c:v>
                </c:pt>
                <c:pt idx="182">
                  <c:v>5.369489433966578</c:v>
                </c:pt>
                <c:pt idx="183">
                  <c:v>5.7548132722251131</c:v>
                </c:pt>
                <c:pt idx="184">
                  <c:v>15.283201663944309</c:v>
                </c:pt>
                <c:pt idx="185">
                  <c:v>30.564223662708038</c:v>
                </c:pt>
                <c:pt idx="186">
                  <c:v>33.125370696350359</c:v>
                </c:pt>
                <c:pt idx="187">
                  <c:v>23.192811104718682</c:v>
                </c:pt>
                <c:pt idx="188">
                  <c:v>11.210077395396214</c:v>
                </c:pt>
                <c:pt idx="189">
                  <c:v>6.2176207083943309</c:v>
                </c:pt>
                <c:pt idx="190">
                  <c:v>4.9988246547722266</c:v>
                </c:pt>
                <c:pt idx="191">
                  <c:v>4.9632240827592105</c:v>
                </c:pt>
                <c:pt idx="192">
                  <c:v>4.9988246547722266</c:v>
                </c:pt>
                <c:pt idx="193">
                  <c:v>4.9883538982978104</c:v>
                </c:pt>
                <c:pt idx="194">
                  <c:v>4.9590357801694438</c:v>
                </c:pt>
                <c:pt idx="195">
                  <c:v>4.9066819977973601</c:v>
                </c:pt>
                <c:pt idx="196">
                  <c:v>4.9255293594513105</c:v>
                </c:pt>
                <c:pt idx="197">
                  <c:v>5.0134837138364112</c:v>
                </c:pt>
                <c:pt idx="198">
                  <c:v>5.0260486216057103</c:v>
                </c:pt>
                <c:pt idx="199">
                  <c:v>4.9632240827592105</c:v>
                </c:pt>
                <c:pt idx="200">
                  <c:v>4.8689872744894593</c:v>
                </c:pt>
                <c:pt idx="201">
                  <c:v>4.8271042485917928</c:v>
                </c:pt>
                <c:pt idx="202">
                  <c:v>4.8019744330531928</c:v>
                </c:pt>
                <c:pt idx="203">
                  <c:v>4.7768446175145929</c:v>
                </c:pt>
                <c:pt idx="204">
                  <c:v>4.8312925511815603</c:v>
                </c:pt>
                <c:pt idx="205">
                  <c:v>4.9255293594513105</c:v>
                </c:pt>
                <c:pt idx="206">
                  <c:v>4.9171527542717772</c:v>
                </c:pt>
                <c:pt idx="207">
                  <c:v>4.8312925511815603</c:v>
                </c:pt>
                <c:pt idx="208">
                  <c:v>4.7831270713992424</c:v>
                </c:pt>
                <c:pt idx="209">
                  <c:v>4.7998802817583099</c:v>
                </c:pt>
                <c:pt idx="210">
                  <c:v>4.822915946002027</c:v>
                </c:pt>
                <c:pt idx="211">
                  <c:v>4.8354808537713261</c:v>
                </c:pt>
                <c:pt idx="212">
                  <c:v>4.8082568869378433</c:v>
                </c:pt>
                <c:pt idx="213">
                  <c:v>4.7831270713992424</c:v>
                </c:pt>
                <c:pt idx="214">
                  <c:v>4.7831270713992424</c:v>
                </c:pt>
                <c:pt idx="215">
                  <c:v>4.78731537398901</c:v>
                </c:pt>
                <c:pt idx="216">
                  <c:v>4.8208217947071432</c:v>
                </c:pt>
                <c:pt idx="217">
                  <c:v>4.8354808537713261</c:v>
                </c:pt>
                <c:pt idx="218">
                  <c:v>4.8417633076559765</c:v>
                </c:pt>
                <c:pt idx="219">
                  <c:v>4.8375750050662099</c:v>
                </c:pt>
                <c:pt idx="220">
                  <c:v>4.8647989718996936</c:v>
                </c:pt>
                <c:pt idx="221">
                  <c:v>4.8857404848485269</c:v>
                </c:pt>
                <c:pt idx="222">
                  <c:v>4.8794580309638764</c:v>
                </c:pt>
                <c:pt idx="223">
                  <c:v>4.8480457615406269</c:v>
                </c:pt>
                <c:pt idx="224">
                  <c:v>4.8312925511815603</c:v>
                </c:pt>
                <c:pt idx="225">
                  <c:v>4.8480457615406269</c:v>
                </c:pt>
                <c:pt idx="226">
                  <c:v>4.9045878465024773</c:v>
                </c:pt>
                <c:pt idx="227">
                  <c:v>4.9695065366438609</c:v>
                </c:pt>
                <c:pt idx="228">
                  <c:v>4.9841655957080437</c:v>
                </c:pt>
                <c:pt idx="229">
                  <c:v>4.9213410568615439</c:v>
                </c:pt>
                <c:pt idx="230">
                  <c:v>4.8689872744894593</c:v>
                </c:pt>
                <c:pt idx="231">
                  <c:v>4.8522340641303927</c:v>
                </c:pt>
                <c:pt idx="232">
                  <c:v>4.8396691563610936</c:v>
                </c:pt>
                <c:pt idx="233">
                  <c:v>4.8396691563610936</c:v>
                </c:pt>
                <c:pt idx="234">
                  <c:v>4.8417633076559765</c:v>
                </c:pt>
                <c:pt idx="235">
                  <c:v>4.8480457615406269</c:v>
                </c:pt>
                <c:pt idx="236">
                  <c:v>4.8585165180150431</c:v>
                </c:pt>
                <c:pt idx="237">
                  <c:v>4.8543282154252765</c:v>
                </c:pt>
                <c:pt idx="238">
                  <c:v>4.8857404848485269</c:v>
                </c:pt>
                <c:pt idx="239">
                  <c:v>4.9150586029768935</c:v>
                </c:pt>
                <c:pt idx="240">
                  <c:v>4.9255293594513105</c:v>
                </c:pt>
                <c:pt idx="241">
                  <c:v>4.9506591749899105</c:v>
                </c:pt>
                <c:pt idx="242">
                  <c:v>4.9527533262847943</c:v>
                </c:pt>
                <c:pt idx="243">
                  <c:v>4.9967305034773446</c:v>
                </c:pt>
                <c:pt idx="244">
                  <c:v>5.0867790091573273</c:v>
                </c:pt>
                <c:pt idx="245">
                  <c:v>5.1035322195163939</c:v>
                </c:pt>
                <c:pt idx="246">
                  <c:v>5.0909673117470948</c:v>
                </c:pt>
                <c:pt idx="247">
                  <c:v>4.9904480495926933</c:v>
                </c:pt>
                <c:pt idx="248">
                  <c:v>4.9464708724001438</c:v>
                </c:pt>
                <c:pt idx="249">
                  <c:v>4.9297176620410772</c:v>
                </c:pt>
                <c:pt idx="250">
                  <c:v>4.9464708724001438</c:v>
                </c:pt>
                <c:pt idx="251">
                  <c:v>4.9674123853489771</c:v>
                </c:pt>
                <c:pt idx="252">
                  <c:v>4.9716006879387438</c:v>
                </c:pt>
                <c:pt idx="253">
                  <c:v>4.9674123853489771</c:v>
                </c:pt>
                <c:pt idx="254">
                  <c:v>4.9632240827592105</c:v>
                </c:pt>
                <c:pt idx="255">
                  <c:v>4.9757889905285104</c:v>
                </c:pt>
                <c:pt idx="256">
                  <c:v>5.0281427729005941</c:v>
                </c:pt>
                <c:pt idx="257">
                  <c:v>5.0742141013880273</c:v>
                </c:pt>
                <c:pt idx="258">
                  <c:v>5.0888731604522102</c:v>
                </c:pt>
                <c:pt idx="259">
                  <c:v>5.0721199500931444</c:v>
                </c:pt>
                <c:pt idx="260">
                  <c:v>5.0637433449136111</c:v>
                </c:pt>
                <c:pt idx="261">
                  <c:v>5.0595550423238436</c:v>
                </c:pt>
                <c:pt idx="262">
                  <c:v>5.114002975990811</c:v>
                </c:pt>
                <c:pt idx="263">
                  <c:v>5.1349444889396434</c:v>
                </c:pt>
                <c:pt idx="264">
                  <c:v>5.1516976992987109</c:v>
                </c:pt>
                <c:pt idx="265">
                  <c:v>5.1726392122475442</c:v>
                </c:pt>
                <c:pt idx="266">
                  <c:v>5.1328503376447614</c:v>
                </c:pt>
                <c:pt idx="267">
                  <c:v>5.1244737324652281</c:v>
                </c:pt>
                <c:pt idx="268">
                  <c:v>5.1014380682215101</c:v>
                </c:pt>
                <c:pt idx="269">
                  <c:v>5.0825907065675615</c:v>
                </c:pt>
                <c:pt idx="270">
                  <c:v>5.0616491936187273</c:v>
                </c:pt>
                <c:pt idx="271">
                  <c:v>5.0407076806698941</c:v>
                </c:pt>
                <c:pt idx="272">
                  <c:v>5.0407076806698941</c:v>
                </c:pt>
                <c:pt idx="273">
                  <c:v>5.0595550423238436</c:v>
                </c:pt>
                <c:pt idx="274">
                  <c:v>5.0763082526829102</c:v>
                </c:pt>
                <c:pt idx="275">
                  <c:v>5.1035322195163939</c:v>
                </c:pt>
                <c:pt idx="276">
                  <c:v>5.1119088246959272</c:v>
                </c:pt>
                <c:pt idx="277">
                  <c:v>5.1056263708112777</c:v>
                </c:pt>
                <c:pt idx="278">
                  <c:v>5.1223795811703443</c:v>
                </c:pt>
                <c:pt idx="279">
                  <c:v>5.1475093967089443</c:v>
                </c:pt>
                <c:pt idx="280">
                  <c:v>5.1977690277861441</c:v>
                </c:pt>
                <c:pt idx="281">
                  <c:v>5.2208046920298612</c:v>
                </c:pt>
                <c:pt idx="282">
                  <c:v>5.2208046920298612</c:v>
                </c:pt>
                <c:pt idx="283">
                  <c:v>5.2082397842605612</c:v>
                </c:pt>
                <c:pt idx="284">
                  <c:v>5.1810158174270775</c:v>
                </c:pt>
                <c:pt idx="285">
                  <c:v>5.1579801531833613</c:v>
                </c:pt>
                <c:pt idx="286">
                  <c:v>5.1579801531833613</c:v>
                </c:pt>
                <c:pt idx="287">
                  <c:v>5.1579801531833613</c:v>
                </c:pt>
                <c:pt idx="288">
                  <c:v>5.1642626070680109</c:v>
                </c:pt>
                <c:pt idx="289">
                  <c:v>5.1852041200168442</c:v>
                </c:pt>
                <c:pt idx="290">
                  <c:v>5.2124280868503279</c:v>
                </c:pt>
                <c:pt idx="291">
                  <c:v>5.2312754485042783</c:v>
                </c:pt>
                <c:pt idx="292">
                  <c:v>5.248028658863344</c:v>
                </c:pt>
                <c:pt idx="293">
                  <c:v>5.2689701718121782</c:v>
                </c:pt>
                <c:pt idx="294">
                  <c:v>5.3129473490047285</c:v>
                </c:pt>
                <c:pt idx="295">
                  <c:v>5.3276064080689114</c:v>
                </c:pt>
                <c:pt idx="296">
                  <c:v>5.344359618427978</c:v>
                </c:pt>
                <c:pt idx="297">
                  <c:v>5.3548303749023951</c:v>
                </c:pt>
                <c:pt idx="298">
                  <c:v>5.3276064080689114</c:v>
                </c:pt>
                <c:pt idx="299">
                  <c:v>5.3255122567740285</c:v>
                </c:pt>
                <c:pt idx="300">
                  <c:v>5.3380771645433285</c:v>
                </c:pt>
                <c:pt idx="301">
                  <c:v>5.3632069800819284</c:v>
                </c:pt>
                <c:pt idx="302">
                  <c:v>5.3757718878512293</c:v>
                </c:pt>
                <c:pt idx="303">
                  <c:v>5.3925250982102959</c:v>
                </c:pt>
                <c:pt idx="304">
                  <c:v>5.4176549137488959</c:v>
                </c:pt>
                <c:pt idx="305">
                  <c:v>5.4260315189284292</c:v>
                </c:pt>
                <c:pt idx="306">
                  <c:v>5.4344081241079625</c:v>
                </c:pt>
                <c:pt idx="307">
                  <c:v>5.4490671831721453</c:v>
                </c:pt>
                <c:pt idx="308">
                  <c:v>5.4574437883516786</c:v>
                </c:pt>
                <c:pt idx="309">
                  <c:v>5.4490671831721453</c:v>
                </c:pt>
                <c:pt idx="310">
                  <c:v>5.4427847292874958</c:v>
                </c:pt>
                <c:pt idx="311">
                  <c:v>5.4553496370567949</c:v>
                </c:pt>
                <c:pt idx="312">
                  <c:v>5.476291150005629</c:v>
                </c:pt>
                <c:pt idx="313">
                  <c:v>5.5097975707237623</c:v>
                </c:pt>
                <c:pt idx="314">
                  <c:v>5.5474922940316622</c:v>
                </c:pt>
                <c:pt idx="315">
                  <c:v>5.5830928660446784</c:v>
                </c:pt>
                <c:pt idx="316">
                  <c:v>5.6040343789935125</c:v>
                </c:pt>
                <c:pt idx="317">
                  <c:v>5.6249758919423458</c:v>
                </c:pt>
                <c:pt idx="318">
                  <c:v>5.6333524971218791</c:v>
                </c:pt>
                <c:pt idx="319">
                  <c:v>5.6521998587758286</c:v>
                </c:pt>
                <c:pt idx="320">
                  <c:v>5.6773296743144286</c:v>
                </c:pt>
                <c:pt idx="321">
                  <c:v>5.708741943737679</c:v>
                </c:pt>
                <c:pt idx="322">
                  <c:v>5.7631898774046473</c:v>
                </c:pt>
                <c:pt idx="323">
                  <c:v>5.7966962981227805</c:v>
                </c:pt>
                <c:pt idx="324">
                  <c:v>5.82810856754603</c:v>
                </c:pt>
                <c:pt idx="325">
                  <c:v>5.8595208369692795</c:v>
                </c:pt>
                <c:pt idx="326">
                  <c:v>5.8658032908539308</c:v>
                </c:pt>
                <c:pt idx="327">
                  <c:v>5.8783681986232299</c:v>
                </c:pt>
                <c:pt idx="328">
                  <c:v>5.8972155602771803</c:v>
                </c:pt>
                <c:pt idx="329">
                  <c:v>5.9202512245208965</c:v>
                </c:pt>
                <c:pt idx="330">
                  <c:v>5.9474751913543802</c:v>
                </c:pt>
                <c:pt idx="331">
                  <c:v>5.9726050068929801</c:v>
                </c:pt>
                <c:pt idx="332">
                  <c:v>5.9998289737264638</c:v>
                </c:pt>
                <c:pt idx="333">
                  <c:v>6.0270529405599476</c:v>
                </c:pt>
                <c:pt idx="334">
                  <c:v>6.0647476638678475</c:v>
                </c:pt>
                <c:pt idx="335">
                  <c:v>6.1024423871757474</c:v>
                </c:pt>
                <c:pt idx="336">
                  <c:v>6.1443254130734148</c:v>
                </c:pt>
                <c:pt idx="337">
                  <c:v>6.2008674980352634</c:v>
                </c:pt>
                <c:pt idx="338">
                  <c:v>6.2657861881766479</c:v>
                </c:pt>
                <c:pt idx="339">
                  <c:v>6.3516463912668639</c:v>
                </c:pt>
                <c:pt idx="340">
                  <c:v>6.4081884762287151</c:v>
                </c:pt>
                <c:pt idx="341">
                  <c:v>6.458448107305915</c:v>
                </c:pt>
                <c:pt idx="342">
                  <c:v>6.494048679318932</c:v>
                </c:pt>
                <c:pt idx="343">
                  <c:v>6.5087077383831158</c:v>
                </c:pt>
                <c:pt idx="344">
                  <c:v>6.5484966129858986</c:v>
                </c:pt>
                <c:pt idx="345">
                  <c:v>6.6050386979477489</c:v>
                </c:pt>
                <c:pt idx="346">
                  <c:v>6.6762398419737821</c:v>
                </c:pt>
                <c:pt idx="347">
                  <c:v>6.7369702295253999</c:v>
                </c:pt>
                <c:pt idx="348">
                  <c:v>6.7767591041281827</c:v>
                </c:pt>
                <c:pt idx="349">
                  <c:v>6.8207362813207331</c:v>
                </c:pt>
                <c:pt idx="350">
                  <c:v>6.8898432740518825</c:v>
                </c:pt>
                <c:pt idx="351">
                  <c:v>6.9966449900909344</c:v>
                </c:pt>
                <c:pt idx="352">
                  <c:v>7.0552812263476667</c:v>
                </c:pt>
                <c:pt idx="353">
                  <c:v>7.0657519828220838</c:v>
                </c:pt>
                <c:pt idx="354">
                  <c:v>7.0552812263476667</c:v>
                </c:pt>
                <c:pt idx="355">
                  <c:v>7.0825051931811505</c:v>
                </c:pt>
                <c:pt idx="356">
                  <c:v>7.1139174626044008</c:v>
                </c:pt>
              </c:numCache>
            </c:numRef>
          </c:yVal>
          <c:smooth val="1"/>
          <c:extLst>
            <c:ext xmlns:c16="http://schemas.microsoft.com/office/drawing/2014/chart" uri="{C3380CC4-5D6E-409C-BE32-E72D297353CC}">
              <c16:uniqueId val="{00000001-6C55-4540-A99B-AF279F0EE33F}"/>
            </c:ext>
          </c:extLst>
        </c:ser>
        <c:ser>
          <c:idx val="4"/>
          <c:order val="4"/>
          <c:tx>
            <c:v>Labels</c:v>
          </c:tx>
          <c:spPr>
            <a:ln w="19050" cap="rnd">
              <a:noFill/>
              <a:round/>
            </a:ln>
            <a:effectLst/>
          </c:spPr>
          <c:marker>
            <c:symbol val="none"/>
          </c:marker>
          <c:dLbls>
            <c:dLbl>
              <c:idx val="0"/>
              <c:tx>
                <c:rich>
                  <a:bodyPr/>
                  <a:lstStyle/>
                  <a:p>
                    <a:fld id="{6A44E514-7BBD-4D9C-BA83-6A230807F48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587F-4A42-9A02-2819E0AB0995}"/>
                </c:ext>
              </c:extLst>
            </c:dLbl>
            <c:dLbl>
              <c:idx val="1"/>
              <c:tx>
                <c:rich>
                  <a:bodyPr/>
                  <a:lstStyle/>
                  <a:p>
                    <a:fld id="{192E9A9F-D85E-4BF7-9040-DB131FED559C}"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587F-4A42-9A02-2819E0AB0995}"/>
                </c:ext>
              </c:extLst>
            </c:dLbl>
            <c:dLbl>
              <c:idx val="2"/>
              <c:tx>
                <c:rich>
                  <a:bodyPr/>
                  <a:lstStyle/>
                  <a:p>
                    <a:fld id="{2698FFC3-ED99-4E18-B15D-6501DEADC77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587F-4A42-9A02-2819E0AB0995}"/>
                </c:ext>
              </c:extLst>
            </c:dLbl>
            <c:dLbl>
              <c:idx val="3"/>
              <c:tx>
                <c:rich>
                  <a:bodyPr/>
                  <a:lstStyle/>
                  <a:p>
                    <a:fld id="{63CD1B48-1F06-4C7A-8F05-3F773FABEBDB}"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587F-4A42-9A02-2819E0AB0995}"/>
                </c:ext>
              </c:extLst>
            </c:dLbl>
            <c:dLbl>
              <c:idx val="4"/>
              <c:tx>
                <c:rich>
                  <a:bodyPr/>
                  <a:lstStyle/>
                  <a:p>
                    <a:fld id="{68FD2916-711B-4260-B61A-8FA8D468186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587F-4A42-9A02-2819E0AB0995}"/>
                </c:ext>
              </c:extLst>
            </c:dLbl>
            <c:dLbl>
              <c:idx val="5"/>
              <c:tx>
                <c:rich>
                  <a:bodyPr/>
                  <a:lstStyle/>
                  <a:p>
                    <a:fld id="{F8140BFE-3C20-404D-BE5F-C410F831B9F4}"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587F-4A42-9A02-2819E0AB0995}"/>
                </c:ext>
              </c:extLst>
            </c:dLbl>
            <c:dLbl>
              <c:idx val="6"/>
              <c:tx>
                <c:rich>
                  <a:bodyPr/>
                  <a:lstStyle/>
                  <a:p>
                    <a:fld id="{6586C93E-B192-4151-93F2-EB4F8430204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587F-4A42-9A02-2819E0AB0995}"/>
                </c:ext>
              </c:extLst>
            </c:dLbl>
            <c:dLbl>
              <c:idx val="7"/>
              <c:tx>
                <c:rich>
                  <a:bodyPr/>
                  <a:lstStyle/>
                  <a:p>
                    <a:fld id="{0515734F-75FF-4999-BA53-49F05C186870}"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587F-4A42-9A02-2819E0AB0995}"/>
                </c:ext>
              </c:extLst>
            </c:dLbl>
            <c:dLbl>
              <c:idx val="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8-587F-4A42-9A02-2819E0AB0995}"/>
                </c:ext>
              </c:extLst>
            </c:dLbl>
            <c:dLbl>
              <c:idx val="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9-587F-4A42-9A02-2819E0AB0995}"/>
                </c:ext>
              </c:extLst>
            </c:dLbl>
            <c:dLbl>
              <c:idx val="1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A-587F-4A42-9A02-2819E0AB0995}"/>
                </c:ext>
              </c:extLst>
            </c:dLbl>
            <c:dLbl>
              <c:idx val="1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B-587F-4A42-9A02-2819E0AB0995}"/>
                </c:ext>
              </c:extLst>
            </c:dLbl>
            <c:dLbl>
              <c:idx val="1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C-587F-4A42-9A02-2819E0AB0995}"/>
                </c:ext>
              </c:extLst>
            </c:dLbl>
            <c:dLbl>
              <c:idx val="1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D-587F-4A42-9A02-2819E0AB0995}"/>
                </c:ext>
              </c:extLst>
            </c:dLbl>
            <c:dLbl>
              <c:idx val="1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E-587F-4A42-9A02-2819E0AB0995}"/>
                </c:ext>
              </c:extLst>
            </c:dLbl>
            <c:dLbl>
              <c:idx val="1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F-587F-4A42-9A02-2819E0AB0995}"/>
                </c:ext>
              </c:extLst>
            </c:dLbl>
            <c:dLbl>
              <c:idx val="1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0-587F-4A42-9A02-2819E0AB0995}"/>
                </c:ext>
              </c:extLst>
            </c:dLbl>
            <c:dLbl>
              <c:idx val="1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1-587F-4A42-9A02-2819E0AB0995}"/>
                </c:ext>
              </c:extLst>
            </c:dLbl>
            <c:dLbl>
              <c:idx val="1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2-587F-4A42-9A02-2819E0AB0995}"/>
                </c:ext>
              </c:extLst>
            </c:dLbl>
            <c:dLbl>
              <c:idx val="1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3-587F-4A42-9A02-2819E0AB0995}"/>
                </c:ext>
              </c:extLst>
            </c:dLbl>
            <c:dLbl>
              <c:idx val="2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4-587F-4A42-9A02-2819E0AB0995}"/>
                </c:ext>
              </c:extLst>
            </c:dLbl>
            <c:dLbl>
              <c:idx val="2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5-587F-4A42-9A02-2819E0AB0995}"/>
                </c:ext>
              </c:extLst>
            </c:dLbl>
            <c:dLbl>
              <c:idx val="2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6-587F-4A42-9A02-2819E0AB0995}"/>
                </c:ext>
              </c:extLst>
            </c:dLbl>
            <c:dLbl>
              <c:idx val="2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7-587F-4A42-9A02-2819E0AB0995}"/>
                </c:ext>
              </c:extLst>
            </c:dLbl>
            <c:dLbl>
              <c:idx val="2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8-587F-4A42-9A02-2819E0AB0995}"/>
                </c:ext>
              </c:extLst>
            </c:dLbl>
            <c:dLbl>
              <c:idx val="2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9-587F-4A42-9A02-2819E0AB0995}"/>
                </c:ext>
              </c:extLst>
            </c:dLbl>
            <c:dLbl>
              <c:idx val="2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A-587F-4A42-9A02-2819E0AB0995}"/>
                </c:ext>
              </c:extLst>
            </c:dLbl>
            <c:dLbl>
              <c:idx val="2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B-587F-4A42-9A02-2819E0AB0995}"/>
                </c:ext>
              </c:extLst>
            </c:dLbl>
            <c:dLbl>
              <c:idx val="2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C-587F-4A42-9A02-2819E0AB0995}"/>
                </c:ext>
              </c:extLst>
            </c:dLbl>
            <c:dLbl>
              <c:idx val="2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D-587F-4A42-9A02-2819E0AB0995}"/>
                </c:ext>
              </c:extLst>
            </c:dLbl>
            <c:dLbl>
              <c:idx val="3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E-587F-4A42-9A02-2819E0AB0995}"/>
                </c:ext>
              </c:extLst>
            </c:dLbl>
            <c:dLbl>
              <c:idx val="3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F-587F-4A42-9A02-2819E0AB0995}"/>
                </c:ext>
              </c:extLst>
            </c:dLbl>
            <c:dLbl>
              <c:idx val="3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0-587F-4A42-9A02-2819E0AB0995}"/>
                </c:ext>
              </c:extLst>
            </c:dLbl>
            <c:dLbl>
              <c:idx val="3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1-587F-4A42-9A02-2819E0AB0995}"/>
                </c:ext>
              </c:extLst>
            </c:dLbl>
            <c:dLbl>
              <c:idx val="3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2-587F-4A42-9A02-2819E0AB0995}"/>
                </c:ext>
              </c:extLst>
            </c:dLbl>
            <c:dLbl>
              <c:idx val="3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3-587F-4A42-9A02-2819E0AB0995}"/>
                </c:ext>
              </c:extLst>
            </c:dLbl>
            <c:dLbl>
              <c:idx val="3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4-587F-4A42-9A02-2819E0AB0995}"/>
                </c:ext>
              </c:extLst>
            </c:dLbl>
            <c:dLbl>
              <c:idx val="3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5-587F-4A42-9A02-2819E0AB0995}"/>
                </c:ext>
              </c:extLst>
            </c:dLbl>
            <c:dLbl>
              <c:idx val="3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6-587F-4A42-9A02-2819E0AB0995}"/>
                </c:ext>
              </c:extLst>
            </c:dLbl>
            <c:dLbl>
              <c:idx val="3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7-587F-4A42-9A02-2819E0AB0995}"/>
                </c:ext>
              </c:extLst>
            </c:dLbl>
            <c:dLbl>
              <c:idx val="4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8-587F-4A42-9A02-2819E0AB0995}"/>
                </c:ext>
              </c:extLst>
            </c:dLbl>
            <c:dLbl>
              <c:idx val="4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9-587F-4A42-9A02-2819E0AB0995}"/>
                </c:ext>
              </c:extLst>
            </c:dLbl>
            <c:dLbl>
              <c:idx val="4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A-587F-4A42-9A02-2819E0AB0995}"/>
                </c:ext>
              </c:extLst>
            </c:dLbl>
            <c:dLbl>
              <c:idx val="4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B-587F-4A42-9A02-2819E0AB0995}"/>
                </c:ext>
              </c:extLst>
            </c:dLbl>
            <c:dLbl>
              <c:idx val="4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C-587F-4A42-9A02-2819E0AB0995}"/>
                </c:ext>
              </c:extLst>
            </c:dLbl>
            <c:dLbl>
              <c:idx val="4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D-587F-4A42-9A02-2819E0AB0995}"/>
                </c:ext>
              </c:extLst>
            </c:dLbl>
            <c:dLbl>
              <c:idx val="4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E-587F-4A42-9A02-2819E0AB0995}"/>
                </c:ext>
              </c:extLst>
            </c:dLbl>
            <c:dLbl>
              <c:idx val="4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F-587F-4A42-9A02-2819E0AB0995}"/>
                </c:ext>
              </c:extLst>
            </c:dLbl>
            <c:dLbl>
              <c:idx val="4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0-587F-4A42-9A02-2819E0AB0995}"/>
                </c:ext>
              </c:extLst>
            </c:dLbl>
            <c:dLbl>
              <c:idx val="4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1-587F-4A42-9A02-2819E0AB0995}"/>
                </c:ext>
              </c:extLst>
            </c:dLbl>
            <c:dLbl>
              <c:idx val="5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2-587F-4A42-9A02-2819E0AB0995}"/>
                </c:ext>
              </c:extLst>
            </c:dLbl>
            <c:dLbl>
              <c:idx val="5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3-587F-4A42-9A02-2819E0AB0995}"/>
                </c:ext>
              </c:extLst>
            </c:dLbl>
            <c:dLbl>
              <c:idx val="5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4-587F-4A42-9A02-2819E0AB0995}"/>
                </c:ext>
              </c:extLst>
            </c:dLbl>
            <c:dLbl>
              <c:idx val="5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5-587F-4A42-9A02-2819E0AB0995}"/>
                </c:ext>
              </c:extLst>
            </c:dLbl>
            <c:dLbl>
              <c:idx val="5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6-587F-4A42-9A02-2819E0AB0995}"/>
                </c:ext>
              </c:extLst>
            </c:dLbl>
            <c:dLbl>
              <c:idx val="5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7-587F-4A42-9A02-2819E0AB0995}"/>
                </c:ext>
              </c:extLst>
            </c:dLbl>
            <c:dLbl>
              <c:idx val="5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8-587F-4A42-9A02-2819E0AB0995}"/>
                </c:ext>
              </c:extLst>
            </c:dLbl>
            <c:dLbl>
              <c:idx val="5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9-587F-4A42-9A02-2819E0AB0995}"/>
                </c:ext>
              </c:extLst>
            </c:dLbl>
            <c:dLbl>
              <c:idx val="5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A-587F-4A42-9A02-2819E0AB0995}"/>
                </c:ext>
              </c:extLst>
            </c:dLbl>
            <c:dLbl>
              <c:idx val="5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B-587F-4A42-9A02-2819E0AB0995}"/>
                </c:ext>
              </c:extLst>
            </c:dLbl>
            <c:dLbl>
              <c:idx val="6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C-587F-4A42-9A02-2819E0AB0995}"/>
                </c:ext>
              </c:extLst>
            </c:dLbl>
            <c:dLbl>
              <c:idx val="6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D-587F-4A42-9A02-2819E0AB0995}"/>
                </c:ext>
              </c:extLst>
            </c:dLbl>
            <c:dLbl>
              <c:idx val="6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E-587F-4A42-9A02-2819E0AB0995}"/>
                </c:ext>
              </c:extLst>
            </c:dLbl>
            <c:dLbl>
              <c:idx val="6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F-587F-4A42-9A02-2819E0AB0995}"/>
                </c:ext>
              </c:extLst>
            </c:dLbl>
            <c:dLbl>
              <c:idx val="6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0-587F-4A42-9A02-2819E0AB0995}"/>
                </c:ext>
              </c:extLst>
            </c:dLbl>
            <c:dLbl>
              <c:idx val="6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1-587F-4A42-9A02-2819E0AB0995}"/>
                </c:ext>
              </c:extLst>
            </c:dLbl>
            <c:dLbl>
              <c:idx val="6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2-587F-4A42-9A02-2819E0AB0995}"/>
                </c:ext>
              </c:extLst>
            </c:dLbl>
            <c:dLbl>
              <c:idx val="6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3-587F-4A42-9A02-2819E0AB0995}"/>
                </c:ext>
              </c:extLst>
            </c:dLbl>
            <c:dLbl>
              <c:idx val="6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4-587F-4A42-9A02-2819E0AB0995}"/>
                </c:ext>
              </c:extLst>
            </c:dLbl>
            <c:dLbl>
              <c:idx val="6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5-587F-4A42-9A02-2819E0AB0995}"/>
                </c:ext>
              </c:extLst>
            </c:dLbl>
            <c:dLbl>
              <c:idx val="7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6-587F-4A42-9A02-2819E0AB0995}"/>
                </c:ext>
              </c:extLst>
            </c:dLbl>
            <c:dLbl>
              <c:idx val="7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7-587F-4A42-9A02-2819E0AB0995}"/>
                </c:ext>
              </c:extLst>
            </c:dLbl>
            <c:dLbl>
              <c:idx val="7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8-587F-4A42-9A02-2819E0AB0995}"/>
                </c:ext>
              </c:extLst>
            </c:dLbl>
            <c:dLbl>
              <c:idx val="7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9-587F-4A42-9A02-2819E0AB0995}"/>
                </c:ext>
              </c:extLst>
            </c:dLbl>
            <c:dLbl>
              <c:idx val="7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A-587F-4A42-9A02-2819E0AB0995}"/>
                </c:ext>
              </c:extLst>
            </c:dLbl>
            <c:dLbl>
              <c:idx val="7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B-587F-4A42-9A02-2819E0AB0995}"/>
                </c:ext>
              </c:extLst>
            </c:dLbl>
            <c:dLbl>
              <c:idx val="7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C-587F-4A42-9A02-2819E0AB0995}"/>
                </c:ext>
              </c:extLst>
            </c:dLbl>
            <c:dLbl>
              <c:idx val="7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D-587F-4A42-9A02-2819E0AB0995}"/>
                </c:ext>
              </c:extLst>
            </c:dLbl>
            <c:dLbl>
              <c:idx val="7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E-587F-4A42-9A02-2819E0AB0995}"/>
                </c:ext>
              </c:extLst>
            </c:dLbl>
            <c:dLbl>
              <c:idx val="7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F-587F-4A42-9A02-2819E0AB0995}"/>
                </c:ext>
              </c:extLst>
            </c:dLbl>
            <c:dLbl>
              <c:idx val="8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0-587F-4A42-9A02-2819E0AB0995}"/>
                </c:ext>
              </c:extLst>
            </c:dLbl>
            <c:dLbl>
              <c:idx val="8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1-587F-4A42-9A02-2819E0AB0995}"/>
                </c:ext>
              </c:extLst>
            </c:dLbl>
            <c:dLbl>
              <c:idx val="8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2-587F-4A42-9A02-2819E0AB0995}"/>
                </c:ext>
              </c:extLst>
            </c:dLbl>
            <c:dLbl>
              <c:idx val="8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3-587F-4A42-9A02-2819E0AB0995}"/>
                </c:ext>
              </c:extLst>
            </c:dLbl>
            <c:dLbl>
              <c:idx val="8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4-587F-4A42-9A02-2819E0AB0995}"/>
                </c:ext>
              </c:extLst>
            </c:dLbl>
            <c:dLbl>
              <c:idx val="8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5-587F-4A42-9A02-2819E0AB0995}"/>
                </c:ext>
              </c:extLst>
            </c:dLbl>
            <c:dLbl>
              <c:idx val="8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6-587F-4A42-9A02-2819E0AB0995}"/>
                </c:ext>
              </c:extLst>
            </c:dLbl>
            <c:dLbl>
              <c:idx val="8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7-587F-4A42-9A02-2819E0AB0995}"/>
                </c:ext>
              </c:extLst>
            </c:dLbl>
            <c:dLbl>
              <c:idx val="8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8-587F-4A42-9A02-2819E0AB0995}"/>
                </c:ext>
              </c:extLst>
            </c:dLbl>
            <c:dLbl>
              <c:idx val="8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9-587F-4A42-9A02-2819E0AB0995}"/>
                </c:ext>
              </c:extLst>
            </c:dLbl>
            <c:dLbl>
              <c:idx val="9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A-587F-4A42-9A02-2819E0AB0995}"/>
                </c:ext>
              </c:extLst>
            </c:dLbl>
            <c:dLbl>
              <c:idx val="9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B-587F-4A42-9A02-2819E0AB0995}"/>
                </c:ext>
              </c:extLst>
            </c:dLbl>
            <c:dLbl>
              <c:idx val="9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C-587F-4A42-9A02-2819E0AB0995}"/>
                </c:ext>
              </c:extLst>
            </c:dLbl>
            <c:dLbl>
              <c:idx val="9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D-587F-4A42-9A02-2819E0AB0995}"/>
                </c:ext>
              </c:extLst>
            </c:dLbl>
            <c:dLbl>
              <c:idx val="9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E-587F-4A42-9A02-2819E0AB0995}"/>
                </c:ext>
              </c:extLst>
            </c:dLbl>
            <c:dLbl>
              <c:idx val="9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F-587F-4A42-9A02-2819E0AB0995}"/>
                </c:ext>
              </c:extLst>
            </c:dLbl>
            <c:dLbl>
              <c:idx val="9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0-587F-4A42-9A02-2819E0AB0995}"/>
                </c:ext>
              </c:extLst>
            </c:dLbl>
            <c:dLbl>
              <c:idx val="9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1-587F-4A42-9A02-2819E0AB0995}"/>
                </c:ext>
              </c:extLst>
            </c:dLbl>
            <c:dLbl>
              <c:idx val="9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2-587F-4A42-9A02-2819E0AB0995}"/>
                </c:ext>
              </c:extLst>
            </c:dLbl>
            <c:dLbl>
              <c:idx val="9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3-587F-4A42-9A02-2819E0AB0995}"/>
                </c:ext>
              </c:extLst>
            </c:dLbl>
            <c:spPr>
              <a:noFill/>
              <a:ln>
                <a:noFill/>
              </a:ln>
              <a:effectLst/>
            </c:spPr>
            <c:txPr>
              <a:bodyPr rot="-5400000" spcFirstLastPara="1" vertOverflow="ellipsis" vert="horz" wrap="square" lIns="127000" tIns="19050" rIns="38100" bIns="19050" anchor="ctr" anchorCtr="1">
                <a:spAutoFit/>
              </a:bodyPr>
              <a:lstStyle/>
              <a:p>
                <a:pPr>
                  <a:defRPr sz="1200" b="0" i="0" u="none" strike="noStrike" kern="1200" baseline="0">
                    <a:solidFill>
                      <a:schemeClr val="tx1">
                        <a:lumMod val="100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ysClr val="windowText" lastClr="000000">
                          <a:lumMod val="100000"/>
                        </a:sysClr>
                      </a:solidFill>
                      <a:prstDash val="solid"/>
                      <a:round/>
                      <a:headEnd type="none" w="med" len="med"/>
                      <a:tailEnd type="none" w="med" len="med"/>
                    </a:ln>
                    <a:effectLst/>
                  </c:spPr>
                </c15:leaderLines>
              </c:ext>
            </c:extLst>
          </c:dLbls>
          <c:xVal>
            <c:numRef>
              <c:f>Peaks!$B$5:$B$104</c:f>
              <c:numCache>
                <c:formatCode>0.00</c:formatCode>
                <c:ptCount val="100"/>
                <c:pt idx="0">
                  <c:v>1.044778</c:v>
                </c:pt>
                <c:pt idx="1">
                  <c:v>2.5419619999999998</c:v>
                </c:pt>
                <c:pt idx="2">
                  <c:v>3.5052150000000002</c:v>
                </c:pt>
                <c:pt idx="3">
                  <c:v>3.7896000000000001</c:v>
                </c:pt>
                <c:pt idx="4">
                  <c:v>4.0323710000000004</c:v>
                </c:pt>
                <c:pt idx="5">
                  <c:v>4.3879419999999998</c:v>
                </c:pt>
                <c:pt idx="6">
                  <c:v>5.45871</c:v>
                </c:pt>
                <c:pt idx="7">
                  <c:v>8.5737089999999991</c:v>
                </c:pt>
              </c:numCache>
            </c:numRef>
          </c:xVal>
          <c:yVal>
            <c:numRef>
              <c:f>Peaks!$R$5:$R$104</c:f>
              <c:numCache>
                <c:formatCode>0.0</c:formatCode>
                <c:ptCount val="100"/>
                <c:pt idx="0">
                  <c:v>23.547682424329228</c:v>
                </c:pt>
                <c:pt idx="1">
                  <c:v>13.896637570378019</c:v>
                </c:pt>
                <c:pt idx="2">
                  <c:v>10.177382307065967</c:v>
                </c:pt>
                <c:pt idx="3">
                  <c:v>9.0360100309835971</c:v>
                </c:pt>
                <c:pt idx="4">
                  <c:v>11.000245893510192</c:v>
                </c:pt>
                <c:pt idx="5">
                  <c:v>100</c:v>
                </c:pt>
                <c:pt idx="6">
                  <c:v>24.762677684861064</c:v>
                </c:pt>
                <c:pt idx="7">
                  <c:v>16.14390558501136</c:v>
                </c:pt>
              </c:numCache>
            </c:numRef>
          </c:yVal>
          <c:smooth val="1"/>
          <c:extLst>
            <c:ext xmlns:c15="http://schemas.microsoft.com/office/drawing/2012/chart" uri="{02D57815-91ED-43cb-92C2-25804820EDAC}">
              <c15:datalabelsRange>
                <c15:f>Peaks!$S$5:$S$104</c15:f>
                <c15:dlblRangeCache>
                  <c:ptCount val="100"/>
                  <c:pt idx="0">
                    <c:v>1</c:v>
                  </c:pt>
                  <c:pt idx="1">
                    <c:v>2</c:v>
                  </c:pt>
                  <c:pt idx="2">
                    <c:v>3</c:v>
                  </c:pt>
                  <c:pt idx="3">
                    <c:v>4</c:v>
                  </c:pt>
                  <c:pt idx="4">
                    <c:v>5</c:v>
                  </c:pt>
                  <c:pt idx="5">
                    <c:v>6</c:v>
                  </c:pt>
                  <c:pt idx="6">
                    <c:v>7</c:v>
                  </c:pt>
                  <c:pt idx="7">
                    <c:v>8</c:v>
                  </c:pt>
                </c15:dlblRangeCache>
              </c15:datalabelsRange>
            </c:ext>
            <c:ext xmlns:c16="http://schemas.microsoft.com/office/drawing/2014/chart" uri="{C3380CC4-5D6E-409C-BE32-E72D297353CC}">
              <c16:uniqueId val="{00000002-6C55-4540-A99B-AF279F0EE33F}"/>
            </c:ext>
          </c:extLst>
        </c:ser>
        <c:dLbls>
          <c:showLegendKey val="0"/>
          <c:showVal val="0"/>
          <c:showCatName val="0"/>
          <c:showSerName val="0"/>
          <c:showPercent val="0"/>
          <c:showBubbleSize val="0"/>
        </c:dLbls>
        <c:axId val="1816217984"/>
        <c:axId val="1816223424"/>
      </c:scatterChart>
      <c:scatterChart>
        <c:scatterStyle val="smoothMarker"/>
        <c:varyColors val="0"/>
        <c:ser>
          <c:idx val="2"/>
          <c:order val="2"/>
          <c:tx>
            <c:strRef>
              <c:f>ChromatogramData!$E$1</c:f>
              <c:strCache>
                <c:ptCount val="1"/>
                <c:pt idx="0">
                  <c:v>MS Pos</c:v>
                </c:pt>
              </c:strCache>
            </c:strRef>
          </c:tx>
          <c:spPr>
            <a:ln w="12700" cap="rnd">
              <a:noFill/>
              <a:round/>
            </a:ln>
            <a:effectLst/>
            <a:extLst>
              <a:ext uri="{91240B29-F687-4F45-9708-019B960494DF}">
                <a14:hiddenLine xmlns:a14="http://schemas.microsoft.com/office/drawing/2010/main" w="12700" cap="rnd">
                  <a:solidFill>
                    <a:srgbClr val="ED7D31">
                      <a:lumMod val="75000"/>
                    </a:srgbClr>
                  </a:solidFill>
                  <a:round/>
                </a14:hiddenLine>
              </a:ext>
            </a:extLst>
          </c:spPr>
          <c:marker>
            <c:symbol val="none"/>
          </c:marker>
          <c:xVal>
            <c:numRef>
              <c:f>ChromatogramData!$D$2:$D$2000</c:f>
              <c:numCache>
                <c:formatCode>General</c:formatCode>
                <c:ptCount val="1999"/>
              </c:numCache>
            </c:numRef>
          </c:xVal>
          <c:yVal>
            <c:numRef>
              <c:f>ChromatogramData!$E$2:$E$2000</c:f>
              <c:numCache>
                <c:formatCode>General</c:formatCode>
                <c:ptCount val="1999"/>
              </c:numCache>
            </c:numRef>
          </c:yVal>
          <c:smooth val="1"/>
          <c:extLst>
            <c:ext xmlns:c16="http://schemas.microsoft.com/office/drawing/2014/chart" uri="{C3380CC4-5D6E-409C-BE32-E72D297353CC}">
              <c16:uniqueId val="{00000003-6C55-4540-A99B-AF279F0EE33F}"/>
            </c:ext>
          </c:extLst>
        </c:ser>
        <c:ser>
          <c:idx val="3"/>
          <c:order val="3"/>
          <c:tx>
            <c:strRef>
              <c:f>ChromatogramData!$F$1</c:f>
              <c:strCache>
                <c:ptCount val="1"/>
                <c:pt idx="0">
                  <c:v>MS Neg</c:v>
                </c:pt>
              </c:strCache>
            </c:strRef>
          </c:tx>
          <c:spPr>
            <a:ln w="12700" cap="rnd">
              <a:noFill/>
              <a:round/>
            </a:ln>
            <a:effectLst/>
            <a:extLst>
              <a:ext uri="{91240B29-F687-4F45-9708-019B960494DF}">
                <a14:hiddenLine xmlns:a14="http://schemas.microsoft.com/office/drawing/2010/main" w="12700" cap="rnd">
                  <a:solidFill>
                    <a:srgbClr val="00B050"/>
                  </a:solidFill>
                  <a:round/>
                </a14:hiddenLine>
              </a:ext>
            </a:extLst>
          </c:spPr>
          <c:marker>
            <c:symbol val="none"/>
          </c:marker>
          <c:xVal>
            <c:numRef>
              <c:f>ChromatogramData!$D$2:$D$2000</c:f>
              <c:numCache>
                <c:formatCode>General</c:formatCode>
                <c:ptCount val="1999"/>
              </c:numCache>
            </c:numRef>
          </c:xVal>
          <c:yVal>
            <c:numRef>
              <c:f>ChromatogramData!$F$2:$F$2000</c:f>
              <c:numCache>
                <c:formatCode>General</c:formatCode>
                <c:ptCount val="1999"/>
              </c:numCache>
            </c:numRef>
          </c:yVal>
          <c:smooth val="1"/>
          <c:extLst>
            <c:ext xmlns:c16="http://schemas.microsoft.com/office/drawing/2014/chart" uri="{C3380CC4-5D6E-409C-BE32-E72D297353CC}">
              <c16:uniqueId val="{00000004-6C55-4540-A99B-AF279F0EE33F}"/>
            </c:ext>
          </c:extLst>
        </c:ser>
        <c:dLbls>
          <c:showLegendKey val="0"/>
          <c:showVal val="0"/>
          <c:showCatName val="0"/>
          <c:showSerName val="0"/>
          <c:showPercent val="0"/>
          <c:showBubbleSize val="0"/>
        </c:dLbls>
        <c:axId val="1816214176"/>
        <c:axId val="1816223968"/>
      </c:scatterChart>
      <c:valAx>
        <c:axId val="1816217984"/>
        <c:scaling>
          <c:orientation val="minMax"/>
          <c:max val="10"/>
          <c:min val="0.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solidFill>
                    <a:latin typeface="Arial" panose="020B0604020202020204" pitchFamily="34" charset="0"/>
                    <a:ea typeface="+mn-ea"/>
                    <a:cs typeface="Arial" panose="020B0604020202020204" pitchFamily="34" charset="0"/>
                  </a:defRPr>
                </a:pPr>
                <a:r>
                  <a:rPr lang="en-AU" sz="1000">
                    <a:solidFill>
                      <a:schemeClr val="tx1"/>
                    </a:solidFill>
                    <a:latin typeface="Arial" panose="020B0604020202020204" pitchFamily="34" charset="0"/>
                    <a:cs typeface="Arial" panose="020B0604020202020204" pitchFamily="34" charset="0"/>
                  </a:rPr>
                  <a:t>Retention</a:t>
                </a:r>
                <a:r>
                  <a:rPr lang="en-AU" sz="1000" baseline="0">
                    <a:solidFill>
                      <a:schemeClr val="tx1"/>
                    </a:solidFill>
                    <a:latin typeface="Arial" panose="020B0604020202020204" pitchFamily="34" charset="0"/>
                    <a:cs typeface="Arial" panose="020B0604020202020204" pitchFamily="34" charset="0"/>
                  </a:rPr>
                  <a:t> Time (min)</a:t>
                </a:r>
                <a:endParaRPr lang="en-AU" sz="1000">
                  <a:solidFill>
                    <a:schemeClr val="tx1"/>
                  </a:solidFill>
                  <a:latin typeface="Arial" panose="020B0604020202020204" pitchFamily="34" charset="0"/>
                  <a:cs typeface="Arial" panose="020B0604020202020204" pitchFamily="34" charset="0"/>
                </a:endParaRPr>
              </a:p>
            </c:rich>
          </c:tx>
          <c:layout>
            <c:manualLayout>
              <c:xMode val="edge"/>
              <c:yMode val="edge"/>
              <c:x val="0.42837352576358767"/>
              <c:y val="0.96208768544209855"/>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title>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1816223424"/>
        <c:crosses val="autoZero"/>
        <c:crossBetween val="midCat"/>
        <c:majorUnit val="0.5"/>
      </c:valAx>
      <c:valAx>
        <c:axId val="1816223424"/>
        <c:scaling>
          <c:orientation val="minMax"/>
          <c:max val="105"/>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1816217984"/>
        <c:crosses val="autoZero"/>
        <c:crossBetween val="midCat"/>
        <c:majorUnit val="20"/>
        <c:minorUnit val="5"/>
      </c:valAx>
      <c:valAx>
        <c:axId val="1816223968"/>
        <c:scaling>
          <c:orientation val="minMax"/>
          <c:max val="105"/>
          <c:min val="0"/>
        </c:scaling>
        <c:delete val="0"/>
        <c:axPos val="r"/>
        <c:numFmt formatCode="General" sourceLinked="1"/>
        <c:majorTickMark val="none"/>
        <c:minorTickMark val="none"/>
        <c:tickLblPos val="none"/>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6214176"/>
        <c:crosses val="max"/>
        <c:crossBetween val="midCat"/>
        <c:minorUnit val="5"/>
      </c:valAx>
      <c:valAx>
        <c:axId val="1816214176"/>
        <c:scaling>
          <c:orientation val="minMax"/>
        </c:scaling>
        <c:delete val="1"/>
        <c:axPos val="b"/>
        <c:numFmt formatCode="General" sourceLinked="1"/>
        <c:majorTickMark val="out"/>
        <c:minorTickMark val="none"/>
        <c:tickLblPos val="nextTo"/>
        <c:crossAx val="1816223968"/>
        <c:crosses val="autoZero"/>
        <c:crossBetween val="midCat"/>
      </c:valAx>
      <c:spPr>
        <a:noFill/>
        <a:ln>
          <a:noFill/>
        </a:ln>
        <a:effectLst/>
      </c:spPr>
    </c:plotArea>
    <c:legend>
      <c:legendPos val="r"/>
      <c:legendEntry>
        <c:idx val="0"/>
        <c:txPr>
          <a:bodyPr rot="0" spcFirstLastPara="1" vertOverflow="ellipsis" vert="horz" wrap="square" anchor="ctr" anchorCtr="1"/>
          <a:lstStyle/>
          <a:p>
            <a:pPr>
              <a:defRPr sz="1000" b="0" i="0" u="none" strike="noStrike" kern="1200" baseline="0">
                <a:solidFill>
                  <a:schemeClr val="tx1">
                    <a:lumMod val="100000"/>
                  </a:schemeClr>
                </a:solidFill>
                <a:latin typeface="Arial" panose="020B0604020202020204" pitchFamily="34" charset="0"/>
                <a:ea typeface="+mn-ea"/>
                <a:cs typeface="Arial" panose="020B0604020202020204" pitchFamily="34" charset="0"/>
              </a:defRPr>
            </a:pPr>
            <a:endParaRPr lang="en-US"/>
          </a:p>
        </c:txPr>
      </c:legendEntry>
      <c:legendEntry>
        <c:idx val="1"/>
        <c:txPr>
          <a:bodyPr rot="0" spcFirstLastPara="1" vertOverflow="ellipsis" vert="horz" wrap="square" anchor="ctr" anchorCtr="1"/>
          <a:lstStyle/>
          <a:p>
            <a:pPr>
              <a:defRPr sz="1000" b="0" i="0" u="none" strike="noStrike" kern="1200" baseline="0">
                <a:solidFill>
                  <a:schemeClr val="tx1">
                    <a:lumMod val="100000"/>
                  </a:schemeClr>
                </a:solidFill>
                <a:latin typeface="Arial" panose="020B0604020202020204" pitchFamily="34" charset="0"/>
                <a:ea typeface="+mn-ea"/>
                <a:cs typeface="Arial" panose="020B0604020202020204" pitchFamily="34" charset="0"/>
              </a:defRPr>
            </a:pPr>
            <a:endParaRPr lang="en-US"/>
          </a:p>
        </c:txPr>
      </c:legendEntry>
      <c:legendEntry>
        <c:idx val="2"/>
        <c:delete val="1"/>
      </c:legendEntry>
      <c:legendEntry>
        <c:idx val="3"/>
        <c:txPr>
          <a:bodyPr rot="0" spcFirstLastPara="1" vertOverflow="ellipsis" vert="horz" wrap="square" anchor="ctr" anchorCtr="1"/>
          <a:lstStyle/>
          <a:p>
            <a:pPr>
              <a:defRPr sz="1000" b="0" i="0" u="none" strike="noStrike" kern="1200" baseline="0">
                <a:noFill/>
                <a:latin typeface="Arial" panose="020B0604020202020204" pitchFamily="34" charset="0"/>
                <a:ea typeface="+mn-ea"/>
                <a:cs typeface="Arial" panose="020B0604020202020204" pitchFamily="34" charset="0"/>
              </a:defRPr>
            </a:pPr>
            <a:endParaRPr lang="en-US"/>
          </a:p>
        </c:txPr>
      </c:legendEntry>
      <c:legendEntry>
        <c:idx val="4"/>
        <c:txPr>
          <a:bodyPr rot="0" spcFirstLastPara="1" vertOverflow="ellipsis" vert="horz" wrap="square" anchor="ctr" anchorCtr="1"/>
          <a:lstStyle/>
          <a:p>
            <a:pPr>
              <a:defRPr sz="1000" b="0" i="0" u="none" strike="noStrike" kern="1200" baseline="0">
                <a:noFill/>
                <a:latin typeface="Arial" panose="020B0604020202020204" pitchFamily="34" charset="0"/>
                <a:ea typeface="+mn-ea"/>
                <a:cs typeface="Arial" panose="020B0604020202020204" pitchFamily="34" charset="0"/>
              </a:defRPr>
            </a:pPr>
            <a:endParaRPr lang="en-US"/>
          </a:p>
        </c:txPr>
      </c:legendEntry>
      <c:layout>
        <c:manualLayout>
          <c:xMode val="edge"/>
          <c:yMode val="edge"/>
          <c:x val="0.93181006421194734"/>
          <c:y val="0.43600100238726441"/>
          <c:w val="6.3838325692317177E-2"/>
          <c:h val="0.51660718289610785"/>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873769042577249E-2"/>
          <c:y val="7.4673103048048639E-2"/>
          <c:w val="0.8806190105088566"/>
          <c:h val="0.72290323006106649"/>
        </c:manualLayout>
      </c:layout>
      <c:scatterChart>
        <c:scatterStyle val="smoothMarker"/>
        <c:varyColors val="0"/>
        <c:ser>
          <c:idx val="0"/>
          <c:order val="0"/>
          <c:tx>
            <c:strRef>
              <c:f>ChromatogramData!$B$1</c:f>
              <c:strCache>
                <c:ptCount val="1"/>
                <c:pt idx="0">
                  <c:v>210 nm</c:v>
                </c:pt>
              </c:strCache>
            </c:strRef>
          </c:tx>
          <c:spPr>
            <a:ln w="12700" cap="rnd">
              <a:solidFill>
                <a:srgbClr val="0000FF"/>
              </a:solidFill>
              <a:round/>
            </a:ln>
            <a:effectLst/>
          </c:spPr>
          <c:marker>
            <c:symbol val="none"/>
          </c:marker>
          <c:xVal>
            <c:numRef>
              <c:f>ChromatogramData!$A$2:$A$10001</c:f>
              <c:numCache>
                <c:formatCode>General</c:formatCode>
                <c:ptCount val="10000"/>
                <c:pt idx="0">
                  <c:v>0.51</c:v>
                </c:pt>
                <c:pt idx="1">
                  <c:v>0.53600000000000003</c:v>
                </c:pt>
                <c:pt idx="2">
                  <c:v>0.56299999999999994</c:v>
                </c:pt>
                <c:pt idx="3">
                  <c:v>0.59</c:v>
                </c:pt>
                <c:pt idx="4">
                  <c:v>0.61599999999999999</c:v>
                </c:pt>
                <c:pt idx="5">
                  <c:v>0.64300000000000002</c:v>
                </c:pt>
                <c:pt idx="6">
                  <c:v>0.67</c:v>
                </c:pt>
                <c:pt idx="7">
                  <c:v>0.69599999999999995</c:v>
                </c:pt>
                <c:pt idx="8">
                  <c:v>0.72299999999999998</c:v>
                </c:pt>
                <c:pt idx="9">
                  <c:v>0.75</c:v>
                </c:pt>
                <c:pt idx="10">
                  <c:v>0.77600000000000002</c:v>
                </c:pt>
                <c:pt idx="11">
                  <c:v>0.80300000000000005</c:v>
                </c:pt>
                <c:pt idx="12">
                  <c:v>0.83</c:v>
                </c:pt>
                <c:pt idx="13">
                  <c:v>0.85599999999999998</c:v>
                </c:pt>
                <c:pt idx="14">
                  <c:v>0.88300000000000001</c:v>
                </c:pt>
                <c:pt idx="15">
                  <c:v>0.91</c:v>
                </c:pt>
                <c:pt idx="16">
                  <c:v>0.93600000000000005</c:v>
                </c:pt>
                <c:pt idx="17">
                  <c:v>0.96299999999999997</c:v>
                </c:pt>
                <c:pt idx="18">
                  <c:v>0.99</c:v>
                </c:pt>
                <c:pt idx="19">
                  <c:v>1.016</c:v>
                </c:pt>
                <c:pt idx="20">
                  <c:v>1.0429999999999999</c:v>
                </c:pt>
                <c:pt idx="21">
                  <c:v>1.07</c:v>
                </c:pt>
                <c:pt idx="22">
                  <c:v>1.0960000000000001</c:v>
                </c:pt>
                <c:pt idx="23">
                  <c:v>1.123</c:v>
                </c:pt>
                <c:pt idx="24">
                  <c:v>1.1499999999999999</c:v>
                </c:pt>
                <c:pt idx="25">
                  <c:v>1.1759999999999999</c:v>
                </c:pt>
                <c:pt idx="26">
                  <c:v>1.2030000000000001</c:v>
                </c:pt>
                <c:pt idx="27">
                  <c:v>1.23</c:v>
                </c:pt>
                <c:pt idx="28">
                  <c:v>1.256</c:v>
                </c:pt>
                <c:pt idx="29">
                  <c:v>1.2829999999999999</c:v>
                </c:pt>
                <c:pt idx="30">
                  <c:v>1.31</c:v>
                </c:pt>
                <c:pt idx="31">
                  <c:v>1.3360000000000001</c:v>
                </c:pt>
                <c:pt idx="32">
                  <c:v>1.363</c:v>
                </c:pt>
                <c:pt idx="33">
                  <c:v>1.39</c:v>
                </c:pt>
                <c:pt idx="34">
                  <c:v>1.4159999999999999</c:v>
                </c:pt>
                <c:pt idx="35">
                  <c:v>1.4430000000000001</c:v>
                </c:pt>
                <c:pt idx="36">
                  <c:v>1.47</c:v>
                </c:pt>
                <c:pt idx="37">
                  <c:v>1.496</c:v>
                </c:pt>
                <c:pt idx="38">
                  <c:v>1.5229999999999999</c:v>
                </c:pt>
                <c:pt idx="39">
                  <c:v>1.55</c:v>
                </c:pt>
                <c:pt idx="40">
                  <c:v>1.5760000000000001</c:v>
                </c:pt>
                <c:pt idx="41">
                  <c:v>1.603</c:v>
                </c:pt>
                <c:pt idx="42">
                  <c:v>1.63</c:v>
                </c:pt>
                <c:pt idx="43">
                  <c:v>1.6559999999999999</c:v>
                </c:pt>
                <c:pt idx="44">
                  <c:v>1.6830000000000001</c:v>
                </c:pt>
                <c:pt idx="45">
                  <c:v>1.71</c:v>
                </c:pt>
                <c:pt idx="46">
                  <c:v>1.736</c:v>
                </c:pt>
                <c:pt idx="47">
                  <c:v>1.7629999999999999</c:v>
                </c:pt>
                <c:pt idx="48">
                  <c:v>1.79</c:v>
                </c:pt>
                <c:pt idx="49">
                  <c:v>1.8160000000000001</c:v>
                </c:pt>
                <c:pt idx="50">
                  <c:v>1.843</c:v>
                </c:pt>
                <c:pt idx="51">
                  <c:v>1.87</c:v>
                </c:pt>
                <c:pt idx="52">
                  <c:v>1.8959999999999999</c:v>
                </c:pt>
                <c:pt idx="53">
                  <c:v>1.923</c:v>
                </c:pt>
                <c:pt idx="54">
                  <c:v>1.95</c:v>
                </c:pt>
                <c:pt idx="55">
                  <c:v>1.976</c:v>
                </c:pt>
                <c:pt idx="56">
                  <c:v>2.0030000000000001</c:v>
                </c:pt>
                <c:pt idx="57">
                  <c:v>2.0299999999999998</c:v>
                </c:pt>
                <c:pt idx="58">
                  <c:v>2.056</c:v>
                </c:pt>
                <c:pt idx="59">
                  <c:v>2.0830000000000002</c:v>
                </c:pt>
                <c:pt idx="60">
                  <c:v>2.11</c:v>
                </c:pt>
                <c:pt idx="61">
                  <c:v>2.1360000000000001</c:v>
                </c:pt>
                <c:pt idx="62">
                  <c:v>2.1629999999999998</c:v>
                </c:pt>
                <c:pt idx="63">
                  <c:v>2.19</c:v>
                </c:pt>
                <c:pt idx="64">
                  <c:v>2.2160000000000002</c:v>
                </c:pt>
                <c:pt idx="65">
                  <c:v>2.2429999999999999</c:v>
                </c:pt>
                <c:pt idx="66">
                  <c:v>2.27</c:v>
                </c:pt>
                <c:pt idx="67">
                  <c:v>2.2959999999999998</c:v>
                </c:pt>
                <c:pt idx="68">
                  <c:v>2.323</c:v>
                </c:pt>
                <c:pt idx="69">
                  <c:v>2.35</c:v>
                </c:pt>
                <c:pt idx="70">
                  <c:v>2.3759999999999999</c:v>
                </c:pt>
                <c:pt idx="71">
                  <c:v>2.403</c:v>
                </c:pt>
                <c:pt idx="72">
                  <c:v>2.4300000000000002</c:v>
                </c:pt>
                <c:pt idx="73">
                  <c:v>2.456</c:v>
                </c:pt>
                <c:pt idx="74">
                  <c:v>2.4830000000000001</c:v>
                </c:pt>
                <c:pt idx="75">
                  <c:v>2.5099999999999998</c:v>
                </c:pt>
                <c:pt idx="76">
                  <c:v>2.536</c:v>
                </c:pt>
                <c:pt idx="77">
                  <c:v>2.5630000000000002</c:v>
                </c:pt>
                <c:pt idx="78">
                  <c:v>2.59</c:v>
                </c:pt>
                <c:pt idx="79">
                  <c:v>2.6160000000000001</c:v>
                </c:pt>
                <c:pt idx="80">
                  <c:v>2.6429999999999998</c:v>
                </c:pt>
                <c:pt idx="81">
                  <c:v>2.67</c:v>
                </c:pt>
                <c:pt idx="82">
                  <c:v>2.6960000000000002</c:v>
                </c:pt>
                <c:pt idx="83">
                  <c:v>2.7229999999999999</c:v>
                </c:pt>
                <c:pt idx="84">
                  <c:v>2.75</c:v>
                </c:pt>
                <c:pt idx="85">
                  <c:v>2.7759999999999998</c:v>
                </c:pt>
                <c:pt idx="86">
                  <c:v>2.8029999999999999</c:v>
                </c:pt>
                <c:pt idx="87">
                  <c:v>2.83</c:v>
                </c:pt>
                <c:pt idx="88">
                  <c:v>2.8559999999999999</c:v>
                </c:pt>
                <c:pt idx="89">
                  <c:v>2.883</c:v>
                </c:pt>
                <c:pt idx="90">
                  <c:v>2.91</c:v>
                </c:pt>
                <c:pt idx="91">
                  <c:v>2.9359999999999999</c:v>
                </c:pt>
                <c:pt idx="92">
                  <c:v>2.9630000000000001</c:v>
                </c:pt>
                <c:pt idx="93">
                  <c:v>2.99</c:v>
                </c:pt>
                <c:pt idx="94">
                  <c:v>3.016</c:v>
                </c:pt>
                <c:pt idx="95">
                  <c:v>3.0430000000000001</c:v>
                </c:pt>
                <c:pt idx="96">
                  <c:v>3.07</c:v>
                </c:pt>
                <c:pt idx="97">
                  <c:v>3.0960000000000001</c:v>
                </c:pt>
                <c:pt idx="98">
                  <c:v>3.1230000000000002</c:v>
                </c:pt>
                <c:pt idx="99">
                  <c:v>3.15</c:v>
                </c:pt>
                <c:pt idx="100">
                  <c:v>3.1760000000000002</c:v>
                </c:pt>
                <c:pt idx="101">
                  <c:v>3.2029999999999998</c:v>
                </c:pt>
                <c:pt idx="102">
                  <c:v>3.23</c:v>
                </c:pt>
                <c:pt idx="103">
                  <c:v>3.2559999999999998</c:v>
                </c:pt>
                <c:pt idx="104">
                  <c:v>3.2829999999999999</c:v>
                </c:pt>
                <c:pt idx="105">
                  <c:v>3.31</c:v>
                </c:pt>
                <c:pt idx="106">
                  <c:v>3.3359999999999999</c:v>
                </c:pt>
                <c:pt idx="107">
                  <c:v>3.363</c:v>
                </c:pt>
                <c:pt idx="108">
                  <c:v>3.39</c:v>
                </c:pt>
                <c:pt idx="109">
                  <c:v>3.4159999999999999</c:v>
                </c:pt>
                <c:pt idx="110">
                  <c:v>3.4430000000000001</c:v>
                </c:pt>
                <c:pt idx="111">
                  <c:v>3.47</c:v>
                </c:pt>
                <c:pt idx="112">
                  <c:v>3.496</c:v>
                </c:pt>
                <c:pt idx="113">
                  <c:v>3.5230000000000001</c:v>
                </c:pt>
                <c:pt idx="114">
                  <c:v>3.55</c:v>
                </c:pt>
                <c:pt idx="115">
                  <c:v>3.5760000000000001</c:v>
                </c:pt>
                <c:pt idx="116">
                  <c:v>3.6030000000000002</c:v>
                </c:pt>
                <c:pt idx="117">
                  <c:v>3.63</c:v>
                </c:pt>
                <c:pt idx="118">
                  <c:v>3.6560000000000001</c:v>
                </c:pt>
                <c:pt idx="119">
                  <c:v>3.6829999999999998</c:v>
                </c:pt>
                <c:pt idx="120">
                  <c:v>3.71</c:v>
                </c:pt>
                <c:pt idx="121">
                  <c:v>3.7360000000000002</c:v>
                </c:pt>
                <c:pt idx="122">
                  <c:v>3.7629999999999999</c:v>
                </c:pt>
                <c:pt idx="123">
                  <c:v>3.79</c:v>
                </c:pt>
                <c:pt idx="124">
                  <c:v>3.8159999999999998</c:v>
                </c:pt>
                <c:pt idx="125">
                  <c:v>3.843</c:v>
                </c:pt>
                <c:pt idx="126">
                  <c:v>3.87</c:v>
                </c:pt>
                <c:pt idx="127">
                  <c:v>3.8959999999999999</c:v>
                </c:pt>
                <c:pt idx="128">
                  <c:v>3.923</c:v>
                </c:pt>
                <c:pt idx="129">
                  <c:v>3.95</c:v>
                </c:pt>
                <c:pt idx="130">
                  <c:v>3.976</c:v>
                </c:pt>
                <c:pt idx="131">
                  <c:v>4.0030000000000001</c:v>
                </c:pt>
                <c:pt idx="132">
                  <c:v>4.03</c:v>
                </c:pt>
                <c:pt idx="133">
                  <c:v>4.056</c:v>
                </c:pt>
                <c:pt idx="134">
                  <c:v>4.0830000000000002</c:v>
                </c:pt>
                <c:pt idx="135">
                  <c:v>4.1100000000000003</c:v>
                </c:pt>
                <c:pt idx="136">
                  <c:v>4.1360000000000001</c:v>
                </c:pt>
                <c:pt idx="137">
                  <c:v>4.1630000000000003</c:v>
                </c:pt>
                <c:pt idx="138">
                  <c:v>4.1900000000000004</c:v>
                </c:pt>
                <c:pt idx="139">
                  <c:v>4.2160000000000002</c:v>
                </c:pt>
                <c:pt idx="140">
                  <c:v>4.2430000000000003</c:v>
                </c:pt>
                <c:pt idx="141">
                  <c:v>4.2699999999999996</c:v>
                </c:pt>
                <c:pt idx="142">
                  <c:v>4.2960000000000003</c:v>
                </c:pt>
                <c:pt idx="143">
                  <c:v>4.3230000000000004</c:v>
                </c:pt>
                <c:pt idx="144">
                  <c:v>4.3499999999999996</c:v>
                </c:pt>
                <c:pt idx="145">
                  <c:v>4.3760000000000003</c:v>
                </c:pt>
                <c:pt idx="146">
                  <c:v>4.4029999999999996</c:v>
                </c:pt>
                <c:pt idx="147">
                  <c:v>4.43</c:v>
                </c:pt>
                <c:pt idx="148">
                  <c:v>4.4560000000000004</c:v>
                </c:pt>
                <c:pt idx="149">
                  <c:v>4.4829999999999997</c:v>
                </c:pt>
                <c:pt idx="150">
                  <c:v>4.51</c:v>
                </c:pt>
                <c:pt idx="151">
                  <c:v>4.5359999999999996</c:v>
                </c:pt>
                <c:pt idx="152">
                  <c:v>4.5629999999999997</c:v>
                </c:pt>
                <c:pt idx="153">
                  <c:v>4.59</c:v>
                </c:pt>
                <c:pt idx="154">
                  <c:v>4.6159999999999997</c:v>
                </c:pt>
                <c:pt idx="155">
                  <c:v>4.6429999999999998</c:v>
                </c:pt>
                <c:pt idx="156">
                  <c:v>4.67</c:v>
                </c:pt>
                <c:pt idx="157">
                  <c:v>4.6959999999999997</c:v>
                </c:pt>
                <c:pt idx="158">
                  <c:v>4.7229999999999999</c:v>
                </c:pt>
                <c:pt idx="159">
                  <c:v>4.75</c:v>
                </c:pt>
                <c:pt idx="160">
                  <c:v>4.7759999999999998</c:v>
                </c:pt>
                <c:pt idx="161">
                  <c:v>4.8029999999999999</c:v>
                </c:pt>
                <c:pt idx="162">
                  <c:v>4.83</c:v>
                </c:pt>
                <c:pt idx="163">
                  <c:v>4.8559999999999999</c:v>
                </c:pt>
                <c:pt idx="164">
                  <c:v>4.883</c:v>
                </c:pt>
                <c:pt idx="165">
                  <c:v>4.91</c:v>
                </c:pt>
                <c:pt idx="166">
                  <c:v>4.9359999999999999</c:v>
                </c:pt>
                <c:pt idx="167">
                  <c:v>4.9630000000000001</c:v>
                </c:pt>
                <c:pt idx="168">
                  <c:v>4.99</c:v>
                </c:pt>
                <c:pt idx="169">
                  <c:v>5.016</c:v>
                </c:pt>
                <c:pt idx="170">
                  <c:v>5.0430000000000001</c:v>
                </c:pt>
                <c:pt idx="171">
                  <c:v>5.07</c:v>
                </c:pt>
                <c:pt idx="172">
                  <c:v>5.0960000000000001</c:v>
                </c:pt>
                <c:pt idx="173">
                  <c:v>5.1230000000000002</c:v>
                </c:pt>
                <c:pt idx="174">
                  <c:v>5.15</c:v>
                </c:pt>
                <c:pt idx="175">
                  <c:v>5.1760000000000002</c:v>
                </c:pt>
                <c:pt idx="176">
                  <c:v>5.2030000000000003</c:v>
                </c:pt>
                <c:pt idx="177">
                  <c:v>5.23</c:v>
                </c:pt>
                <c:pt idx="178">
                  <c:v>5.2560000000000002</c:v>
                </c:pt>
                <c:pt idx="179">
                  <c:v>5.2830000000000004</c:v>
                </c:pt>
                <c:pt idx="180">
                  <c:v>5.31</c:v>
                </c:pt>
                <c:pt idx="181">
                  <c:v>5.3360000000000003</c:v>
                </c:pt>
                <c:pt idx="182">
                  <c:v>5.3630000000000004</c:v>
                </c:pt>
                <c:pt idx="183">
                  <c:v>5.39</c:v>
                </c:pt>
                <c:pt idx="184">
                  <c:v>5.4160000000000004</c:v>
                </c:pt>
                <c:pt idx="185">
                  <c:v>5.4429999999999996</c:v>
                </c:pt>
                <c:pt idx="186">
                  <c:v>5.47</c:v>
                </c:pt>
                <c:pt idx="187">
                  <c:v>5.4960000000000004</c:v>
                </c:pt>
                <c:pt idx="188">
                  <c:v>5.5229999999999997</c:v>
                </c:pt>
                <c:pt idx="189">
                  <c:v>5.55</c:v>
                </c:pt>
                <c:pt idx="190">
                  <c:v>5.5759999999999996</c:v>
                </c:pt>
                <c:pt idx="191">
                  <c:v>5.6029999999999998</c:v>
                </c:pt>
                <c:pt idx="192">
                  <c:v>5.63</c:v>
                </c:pt>
                <c:pt idx="193">
                  <c:v>5.6559999999999997</c:v>
                </c:pt>
                <c:pt idx="194">
                  <c:v>5.6829999999999998</c:v>
                </c:pt>
                <c:pt idx="195">
                  <c:v>5.71</c:v>
                </c:pt>
                <c:pt idx="196">
                  <c:v>5.7359999999999998</c:v>
                </c:pt>
                <c:pt idx="197">
                  <c:v>5.7629999999999999</c:v>
                </c:pt>
                <c:pt idx="198">
                  <c:v>5.79</c:v>
                </c:pt>
                <c:pt idx="199">
                  <c:v>5.8159999999999998</c:v>
                </c:pt>
                <c:pt idx="200">
                  <c:v>5.843</c:v>
                </c:pt>
                <c:pt idx="201">
                  <c:v>5.87</c:v>
                </c:pt>
                <c:pt idx="202">
                  <c:v>5.8959999999999999</c:v>
                </c:pt>
                <c:pt idx="203">
                  <c:v>5.923</c:v>
                </c:pt>
                <c:pt idx="204">
                  <c:v>5.95</c:v>
                </c:pt>
                <c:pt idx="205">
                  <c:v>5.976</c:v>
                </c:pt>
                <c:pt idx="206">
                  <c:v>6.0030000000000001</c:v>
                </c:pt>
                <c:pt idx="207">
                  <c:v>6.03</c:v>
                </c:pt>
                <c:pt idx="208">
                  <c:v>6.056</c:v>
                </c:pt>
                <c:pt idx="209">
                  <c:v>6.0830000000000002</c:v>
                </c:pt>
                <c:pt idx="210">
                  <c:v>6.11</c:v>
                </c:pt>
                <c:pt idx="211">
                  <c:v>6.1360000000000001</c:v>
                </c:pt>
                <c:pt idx="212">
                  <c:v>6.1630000000000003</c:v>
                </c:pt>
                <c:pt idx="213">
                  <c:v>6.19</c:v>
                </c:pt>
                <c:pt idx="214">
                  <c:v>6.2160000000000002</c:v>
                </c:pt>
                <c:pt idx="215">
                  <c:v>6.2430000000000003</c:v>
                </c:pt>
                <c:pt idx="216">
                  <c:v>6.27</c:v>
                </c:pt>
                <c:pt idx="217">
                  <c:v>6.2960000000000003</c:v>
                </c:pt>
                <c:pt idx="218">
                  <c:v>6.3230000000000004</c:v>
                </c:pt>
                <c:pt idx="219">
                  <c:v>6.35</c:v>
                </c:pt>
                <c:pt idx="220">
                  <c:v>6.3760000000000003</c:v>
                </c:pt>
                <c:pt idx="221">
                  <c:v>6.4029999999999996</c:v>
                </c:pt>
                <c:pt idx="222">
                  <c:v>6.43</c:v>
                </c:pt>
                <c:pt idx="223">
                  <c:v>6.4560000000000004</c:v>
                </c:pt>
                <c:pt idx="224">
                  <c:v>6.4829999999999997</c:v>
                </c:pt>
                <c:pt idx="225">
                  <c:v>6.51</c:v>
                </c:pt>
                <c:pt idx="226">
                  <c:v>6.5359999999999996</c:v>
                </c:pt>
                <c:pt idx="227">
                  <c:v>6.5629999999999997</c:v>
                </c:pt>
                <c:pt idx="228">
                  <c:v>6.59</c:v>
                </c:pt>
                <c:pt idx="229">
                  <c:v>6.6159999999999997</c:v>
                </c:pt>
                <c:pt idx="230">
                  <c:v>6.6429999999999998</c:v>
                </c:pt>
                <c:pt idx="231">
                  <c:v>6.67</c:v>
                </c:pt>
                <c:pt idx="232">
                  <c:v>6.6959999999999997</c:v>
                </c:pt>
                <c:pt idx="233">
                  <c:v>6.7229999999999999</c:v>
                </c:pt>
                <c:pt idx="234">
                  <c:v>6.75</c:v>
                </c:pt>
                <c:pt idx="235">
                  <c:v>6.7759999999999998</c:v>
                </c:pt>
                <c:pt idx="236">
                  <c:v>6.8029999999999999</c:v>
                </c:pt>
                <c:pt idx="237">
                  <c:v>6.83</c:v>
                </c:pt>
                <c:pt idx="238">
                  <c:v>6.8559999999999999</c:v>
                </c:pt>
                <c:pt idx="239">
                  <c:v>6.883</c:v>
                </c:pt>
                <c:pt idx="240">
                  <c:v>6.91</c:v>
                </c:pt>
                <c:pt idx="241">
                  <c:v>6.9359999999999999</c:v>
                </c:pt>
                <c:pt idx="242">
                  <c:v>6.9630000000000001</c:v>
                </c:pt>
                <c:pt idx="243">
                  <c:v>6.99</c:v>
                </c:pt>
                <c:pt idx="244">
                  <c:v>7.016</c:v>
                </c:pt>
                <c:pt idx="245">
                  <c:v>7.0430000000000001</c:v>
                </c:pt>
                <c:pt idx="246">
                  <c:v>7.07</c:v>
                </c:pt>
                <c:pt idx="247">
                  <c:v>7.0960000000000001</c:v>
                </c:pt>
                <c:pt idx="248">
                  <c:v>7.1230000000000002</c:v>
                </c:pt>
                <c:pt idx="249">
                  <c:v>7.15</c:v>
                </c:pt>
                <c:pt idx="250">
                  <c:v>7.1760000000000002</c:v>
                </c:pt>
                <c:pt idx="251">
                  <c:v>7.2030000000000003</c:v>
                </c:pt>
                <c:pt idx="252">
                  <c:v>7.23</c:v>
                </c:pt>
                <c:pt idx="253">
                  <c:v>7.2560000000000002</c:v>
                </c:pt>
                <c:pt idx="254">
                  <c:v>7.2830000000000004</c:v>
                </c:pt>
                <c:pt idx="255">
                  <c:v>7.31</c:v>
                </c:pt>
                <c:pt idx="256">
                  <c:v>7.3360000000000003</c:v>
                </c:pt>
                <c:pt idx="257">
                  <c:v>7.3630000000000004</c:v>
                </c:pt>
                <c:pt idx="258">
                  <c:v>7.39</c:v>
                </c:pt>
                <c:pt idx="259">
                  <c:v>7.4160000000000004</c:v>
                </c:pt>
                <c:pt idx="260">
                  <c:v>7.4429999999999996</c:v>
                </c:pt>
                <c:pt idx="261">
                  <c:v>7.47</c:v>
                </c:pt>
                <c:pt idx="262">
                  <c:v>7.4960000000000004</c:v>
                </c:pt>
                <c:pt idx="263">
                  <c:v>7.5229999999999997</c:v>
                </c:pt>
                <c:pt idx="264">
                  <c:v>7.55</c:v>
                </c:pt>
                <c:pt idx="265">
                  <c:v>7.5759999999999996</c:v>
                </c:pt>
                <c:pt idx="266">
                  <c:v>7.6029999999999998</c:v>
                </c:pt>
                <c:pt idx="267">
                  <c:v>7.63</c:v>
                </c:pt>
                <c:pt idx="268">
                  <c:v>7.6559999999999997</c:v>
                </c:pt>
                <c:pt idx="269">
                  <c:v>7.6829999999999998</c:v>
                </c:pt>
                <c:pt idx="270">
                  <c:v>7.71</c:v>
                </c:pt>
                <c:pt idx="271">
                  <c:v>7.7359999999999998</c:v>
                </c:pt>
                <c:pt idx="272">
                  <c:v>7.7629999999999999</c:v>
                </c:pt>
                <c:pt idx="273">
                  <c:v>7.79</c:v>
                </c:pt>
                <c:pt idx="274">
                  <c:v>7.8159999999999998</c:v>
                </c:pt>
                <c:pt idx="275">
                  <c:v>7.843</c:v>
                </c:pt>
                <c:pt idx="276">
                  <c:v>7.87</c:v>
                </c:pt>
                <c:pt idx="277">
                  <c:v>7.8959999999999999</c:v>
                </c:pt>
                <c:pt idx="278">
                  <c:v>7.923</c:v>
                </c:pt>
                <c:pt idx="279">
                  <c:v>7.95</c:v>
                </c:pt>
                <c:pt idx="280">
                  <c:v>7.976</c:v>
                </c:pt>
                <c:pt idx="281">
                  <c:v>8.0030000000000001</c:v>
                </c:pt>
                <c:pt idx="282">
                  <c:v>8.0299999999999994</c:v>
                </c:pt>
                <c:pt idx="283">
                  <c:v>8.0559999999999992</c:v>
                </c:pt>
                <c:pt idx="284">
                  <c:v>8.0830000000000002</c:v>
                </c:pt>
                <c:pt idx="285">
                  <c:v>8.11</c:v>
                </c:pt>
                <c:pt idx="286">
                  <c:v>8.1359999999999992</c:v>
                </c:pt>
                <c:pt idx="287">
                  <c:v>8.1630000000000003</c:v>
                </c:pt>
                <c:pt idx="288">
                  <c:v>8.19</c:v>
                </c:pt>
                <c:pt idx="289">
                  <c:v>8.2159999999999993</c:v>
                </c:pt>
                <c:pt idx="290">
                  <c:v>8.2430000000000003</c:v>
                </c:pt>
                <c:pt idx="291">
                  <c:v>8.27</c:v>
                </c:pt>
                <c:pt idx="292">
                  <c:v>8.2959999999999994</c:v>
                </c:pt>
                <c:pt idx="293">
                  <c:v>8.3230000000000004</c:v>
                </c:pt>
                <c:pt idx="294">
                  <c:v>8.35</c:v>
                </c:pt>
                <c:pt idx="295">
                  <c:v>8.3759999999999994</c:v>
                </c:pt>
                <c:pt idx="296">
                  <c:v>8.4030000000000005</c:v>
                </c:pt>
                <c:pt idx="297">
                  <c:v>8.43</c:v>
                </c:pt>
                <c:pt idx="298">
                  <c:v>8.4559999999999995</c:v>
                </c:pt>
                <c:pt idx="299">
                  <c:v>8.4830000000000005</c:v>
                </c:pt>
                <c:pt idx="300">
                  <c:v>8.51</c:v>
                </c:pt>
                <c:pt idx="301">
                  <c:v>8.5359999999999996</c:v>
                </c:pt>
                <c:pt idx="302">
                  <c:v>8.5630000000000006</c:v>
                </c:pt>
                <c:pt idx="303">
                  <c:v>8.59</c:v>
                </c:pt>
                <c:pt idx="304">
                  <c:v>8.6159999999999997</c:v>
                </c:pt>
                <c:pt idx="305">
                  <c:v>8.6430000000000007</c:v>
                </c:pt>
                <c:pt idx="306">
                  <c:v>8.67</c:v>
                </c:pt>
                <c:pt idx="307">
                  <c:v>8.6959999999999997</c:v>
                </c:pt>
                <c:pt idx="308">
                  <c:v>8.7230000000000008</c:v>
                </c:pt>
                <c:pt idx="309">
                  <c:v>8.75</c:v>
                </c:pt>
                <c:pt idx="310">
                  <c:v>8.7759999999999998</c:v>
                </c:pt>
                <c:pt idx="311">
                  <c:v>8.8030000000000008</c:v>
                </c:pt>
                <c:pt idx="312">
                  <c:v>8.83</c:v>
                </c:pt>
                <c:pt idx="313">
                  <c:v>8.8559999999999999</c:v>
                </c:pt>
                <c:pt idx="314">
                  <c:v>8.8829999999999991</c:v>
                </c:pt>
                <c:pt idx="315">
                  <c:v>8.91</c:v>
                </c:pt>
                <c:pt idx="316">
                  <c:v>8.9359999999999999</c:v>
                </c:pt>
                <c:pt idx="317">
                  <c:v>8.9629999999999992</c:v>
                </c:pt>
                <c:pt idx="318">
                  <c:v>8.99</c:v>
                </c:pt>
                <c:pt idx="319">
                  <c:v>9.016</c:v>
                </c:pt>
                <c:pt idx="320">
                  <c:v>9.0429999999999993</c:v>
                </c:pt>
                <c:pt idx="321">
                  <c:v>9.07</c:v>
                </c:pt>
                <c:pt idx="322">
                  <c:v>9.0960000000000001</c:v>
                </c:pt>
                <c:pt idx="323">
                  <c:v>9.1229999999999993</c:v>
                </c:pt>
                <c:pt idx="324">
                  <c:v>9.15</c:v>
                </c:pt>
                <c:pt idx="325">
                  <c:v>9.1760000000000002</c:v>
                </c:pt>
                <c:pt idx="326">
                  <c:v>9.2029999999999994</c:v>
                </c:pt>
                <c:pt idx="327">
                  <c:v>9.23</c:v>
                </c:pt>
                <c:pt idx="328">
                  <c:v>9.2560000000000002</c:v>
                </c:pt>
                <c:pt idx="329">
                  <c:v>9.2829999999999995</c:v>
                </c:pt>
                <c:pt idx="330">
                  <c:v>9.31</c:v>
                </c:pt>
                <c:pt idx="331">
                  <c:v>9.3360000000000003</c:v>
                </c:pt>
                <c:pt idx="332">
                  <c:v>9.3629999999999995</c:v>
                </c:pt>
                <c:pt idx="333">
                  <c:v>9.39</c:v>
                </c:pt>
                <c:pt idx="334">
                  <c:v>9.4160000000000004</c:v>
                </c:pt>
                <c:pt idx="335">
                  <c:v>9.4429999999999996</c:v>
                </c:pt>
                <c:pt idx="336">
                  <c:v>9.4700000000000006</c:v>
                </c:pt>
                <c:pt idx="337">
                  <c:v>9.4960000000000004</c:v>
                </c:pt>
                <c:pt idx="338">
                  <c:v>9.5229999999999997</c:v>
                </c:pt>
                <c:pt idx="339">
                  <c:v>9.5500000000000007</c:v>
                </c:pt>
                <c:pt idx="340">
                  <c:v>9.5760000000000005</c:v>
                </c:pt>
                <c:pt idx="341">
                  <c:v>9.6029999999999998</c:v>
                </c:pt>
                <c:pt idx="342">
                  <c:v>9.6300000000000008</c:v>
                </c:pt>
                <c:pt idx="343">
                  <c:v>9.6560000000000006</c:v>
                </c:pt>
                <c:pt idx="344">
                  <c:v>9.6829999999999998</c:v>
                </c:pt>
                <c:pt idx="345">
                  <c:v>9.7100000000000009</c:v>
                </c:pt>
                <c:pt idx="346">
                  <c:v>9.7360000000000007</c:v>
                </c:pt>
                <c:pt idx="347">
                  <c:v>9.7629999999999999</c:v>
                </c:pt>
                <c:pt idx="348">
                  <c:v>9.7899999999999991</c:v>
                </c:pt>
                <c:pt idx="349">
                  <c:v>9.8160000000000007</c:v>
                </c:pt>
                <c:pt idx="350">
                  <c:v>9.843</c:v>
                </c:pt>
                <c:pt idx="351">
                  <c:v>9.8699999999999992</c:v>
                </c:pt>
                <c:pt idx="352">
                  <c:v>9.8960000000000008</c:v>
                </c:pt>
                <c:pt idx="353">
                  <c:v>9.923</c:v>
                </c:pt>
                <c:pt idx="354">
                  <c:v>9.9499999999999993</c:v>
                </c:pt>
                <c:pt idx="355">
                  <c:v>9.9760000000000009</c:v>
                </c:pt>
                <c:pt idx="356">
                  <c:v>10.003</c:v>
                </c:pt>
              </c:numCache>
            </c:numRef>
          </c:xVal>
          <c:yVal>
            <c:numRef>
              <c:f>ChromatogramData!$B$2:$B$10001</c:f>
              <c:numCache>
                <c:formatCode>General</c:formatCode>
                <c:ptCount val="10000"/>
                <c:pt idx="0">
                  <c:v>40.961685640159864</c:v>
                </c:pt>
                <c:pt idx="1">
                  <c:v>40.880013739659411</c:v>
                </c:pt>
                <c:pt idx="2">
                  <c:v>39.409919530651301</c:v>
                </c:pt>
                <c:pt idx="3">
                  <c:v>38.004744011784588</c:v>
                </c:pt>
                <c:pt idx="4">
                  <c:v>36.993268936355932</c:v>
                </c:pt>
                <c:pt idx="5">
                  <c:v>36.013206130350525</c:v>
                </c:pt>
                <c:pt idx="6">
                  <c:v>34.685514209394491</c:v>
                </c:pt>
                <c:pt idx="7">
                  <c:v>33.577708174401195</c:v>
                </c:pt>
                <c:pt idx="8">
                  <c:v>33.156783764129649</c:v>
                </c:pt>
                <c:pt idx="9">
                  <c:v>32.832190313422743</c:v>
                </c:pt>
                <c:pt idx="10">
                  <c:v>32.208133227547499</c:v>
                </c:pt>
                <c:pt idx="11">
                  <c:v>31.412355735491833</c:v>
                </c:pt>
                <c:pt idx="12">
                  <c:v>30.991431325220276</c:v>
                </c:pt>
                <c:pt idx="13">
                  <c:v>31.154775126221178</c:v>
                </c:pt>
                <c:pt idx="14">
                  <c:v>32.15996774776518</c:v>
                </c:pt>
                <c:pt idx="15">
                  <c:v>34.363014909982454</c:v>
                </c:pt>
                <c:pt idx="16">
                  <c:v>37.414193346627478</c:v>
                </c:pt>
                <c:pt idx="17">
                  <c:v>40.06329473465491</c:v>
                </c:pt>
                <c:pt idx="18">
                  <c:v>41.85588824307505</c:v>
                </c:pt>
                <c:pt idx="19">
                  <c:v>43.02651881691483</c:v>
                </c:pt>
                <c:pt idx="20">
                  <c:v>43.550056640635667</c:v>
                </c:pt>
                <c:pt idx="21">
                  <c:v>42.988824093606929</c:v>
                </c:pt>
                <c:pt idx="22">
                  <c:v>40.957497337570096</c:v>
                </c:pt>
                <c:pt idx="23">
                  <c:v>37.732504343449754</c:v>
                </c:pt>
                <c:pt idx="24">
                  <c:v>33.96931446654439</c:v>
                </c:pt>
                <c:pt idx="25">
                  <c:v>30.658461269333827</c:v>
                </c:pt>
                <c:pt idx="26">
                  <c:v>28.524521099847703</c:v>
                </c:pt>
                <c:pt idx="27">
                  <c:v>27.498386965354864</c:v>
                </c:pt>
                <c:pt idx="28">
                  <c:v>27.073274252493547</c:v>
                </c:pt>
                <c:pt idx="29">
                  <c:v>26.828258550992199</c:v>
                </c:pt>
                <c:pt idx="30">
                  <c:v>26.610466816324326</c:v>
                </c:pt>
                <c:pt idx="31">
                  <c:v>26.407334140720646</c:v>
                </c:pt>
                <c:pt idx="32">
                  <c:v>26.214672221591382</c:v>
                </c:pt>
                <c:pt idx="33">
                  <c:v>26.05342257188536</c:v>
                </c:pt>
                <c:pt idx="34">
                  <c:v>25.904737829948644</c:v>
                </c:pt>
                <c:pt idx="35">
                  <c:v>25.78118290355053</c:v>
                </c:pt>
                <c:pt idx="36">
                  <c:v>25.689040246575662</c:v>
                </c:pt>
                <c:pt idx="37">
                  <c:v>25.605274194780328</c:v>
                </c:pt>
                <c:pt idx="38">
                  <c:v>25.550826261113365</c:v>
                </c:pt>
                <c:pt idx="39">
                  <c:v>25.519413991690111</c:v>
                </c:pt>
                <c:pt idx="40">
                  <c:v>25.515225689100344</c:v>
                </c:pt>
                <c:pt idx="41">
                  <c:v>25.542449655933826</c:v>
                </c:pt>
                <c:pt idx="42">
                  <c:v>25.590615135716142</c:v>
                </c:pt>
                <c:pt idx="43">
                  <c:v>25.666004582331944</c:v>
                </c:pt>
                <c:pt idx="44">
                  <c:v>25.743488180242629</c:v>
                </c:pt>
                <c:pt idx="45">
                  <c:v>25.841913291102145</c:v>
                </c:pt>
                <c:pt idx="46">
                  <c:v>25.940338401961665</c:v>
                </c:pt>
                <c:pt idx="47">
                  <c:v>26.05132842059048</c:v>
                </c:pt>
                <c:pt idx="48">
                  <c:v>26.179071649578365</c:v>
                </c:pt>
                <c:pt idx="49">
                  <c:v>26.350792055758799</c:v>
                </c:pt>
                <c:pt idx="50">
                  <c:v>26.566489639131781</c:v>
                </c:pt>
                <c:pt idx="51">
                  <c:v>26.824070248402432</c:v>
                </c:pt>
                <c:pt idx="52">
                  <c:v>27.121439732275867</c:v>
                </c:pt>
                <c:pt idx="53">
                  <c:v>27.446033182982784</c:v>
                </c:pt>
                <c:pt idx="54">
                  <c:v>27.818792113472014</c:v>
                </c:pt>
                <c:pt idx="55">
                  <c:v>28.243904826333338</c:v>
                </c:pt>
                <c:pt idx="56">
                  <c:v>28.635511118476522</c:v>
                </c:pt>
                <c:pt idx="57">
                  <c:v>29.006175897670872</c:v>
                </c:pt>
                <c:pt idx="58">
                  <c:v>29.485736544199156</c:v>
                </c:pt>
                <c:pt idx="59">
                  <c:v>29.99461530885581</c:v>
                </c:pt>
                <c:pt idx="60">
                  <c:v>30.409257265242712</c:v>
                </c:pt>
                <c:pt idx="61">
                  <c:v>30.727568262064977</c:v>
                </c:pt>
                <c:pt idx="62">
                  <c:v>31.008184535579343</c:v>
                </c:pt>
                <c:pt idx="63">
                  <c:v>31.106609646438862</c:v>
                </c:pt>
                <c:pt idx="64">
                  <c:v>31.288800809093711</c:v>
                </c:pt>
                <c:pt idx="65">
                  <c:v>31.571511233902964</c:v>
                </c:pt>
                <c:pt idx="66">
                  <c:v>31.891916382020113</c:v>
                </c:pt>
                <c:pt idx="67">
                  <c:v>32.172532655534482</c:v>
                </c:pt>
                <c:pt idx="68">
                  <c:v>32.451054777753967</c:v>
                </c:pt>
                <c:pt idx="69">
                  <c:v>32.861508431551101</c:v>
                </c:pt>
                <c:pt idx="70">
                  <c:v>33.355728137143572</c:v>
                </c:pt>
                <c:pt idx="71">
                  <c:v>33.847853691441159</c:v>
                </c:pt>
                <c:pt idx="72">
                  <c:v>34.279248858187117</c:v>
                </c:pt>
                <c:pt idx="73">
                  <c:v>34.71692647881774</c:v>
                </c:pt>
                <c:pt idx="74">
                  <c:v>36.210056352069557</c:v>
                </c:pt>
                <c:pt idx="75">
                  <c:v>39.206786855047625</c:v>
                </c:pt>
                <c:pt idx="76">
                  <c:v>41.074769810083552</c:v>
                </c:pt>
                <c:pt idx="77">
                  <c:v>40.314592890040899</c:v>
                </c:pt>
                <c:pt idx="78">
                  <c:v>38.149240451131533</c:v>
                </c:pt>
                <c:pt idx="79">
                  <c:v>37.085411593330797</c:v>
                </c:pt>
                <c:pt idx="80">
                  <c:v>36.857149102188515</c:v>
                </c:pt>
                <c:pt idx="81">
                  <c:v>36.57862697996903</c:v>
                </c:pt>
                <c:pt idx="82">
                  <c:v>35.977605558337508</c:v>
                </c:pt>
                <c:pt idx="83">
                  <c:v>35.424749616488313</c:v>
                </c:pt>
                <c:pt idx="84">
                  <c:v>35.198581276640908</c:v>
                </c:pt>
                <c:pt idx="85">
                  <c:v>35.223711092179506</c:v>
                </c:pt>
                <c:pt idx="86">
                  <c:v>35.554586996771079</c:v>
                </c:pt>
                <c:pt idx="87">
                  <c:v>35.981793860927276</c:v>
                </c:pt>
                <c:pt idx="88">
                  <c:v>36.182832385236075</c:v>
                </c:pt>
                <c:pt idx="89">
                  <c:v>36.076030669197031</c:v>
                </c:pt>
                <c:pt idx="90">
                  <c:v>35.895933657837055</c:v>
                </c:pt>
                <c:pt idx="91">
                  <c:v>35.655106258925478</c:v>
                </c:pt>
                <c:pt idx="92">
                  <c:v>35.454067734616679</c:v>
                </c:pt>
                <c:pt idx="93">
                  <c:v>35.248840907718112</c:v>
                </c:pt>
                <c:pt idx="94">
                  <c:v>35.129474283909758</c:v>
                </c:pt>
                <c:pt idx="95">
                  <c:v>35.005919357511644</c:v>
                </c:pt>
                <c:pt idx="96">
                  <c:v>34.844669707805622</c:v>
                </c:pt>
                <c:pt idx="97">
                  <c:v>34.827916497446559</c:v>
                </c:pt>
                <c:pt idx="98">
                  <c:v>35.169263158512543</c:v>
                </c:pt>
                <c:pt idx="99">
                  <c:v>35.621599838207338</c:v>
                </c:pt>
                <c:pt idx="100">
                  <c:v>36.015300281645409</c:v>
                </c:pt>
                <c:pt idx="101">
                  <c:v>36.362929396596044</c:v>
                </c:pt>
                <c:pt idx="102">
                  <c:v>36.593286039033217</c:v>
                </c:pt>
                <c:pt idx="103">
                  <c:v>36.505331684648112</c:v>
                </c:pt>
                <c:pt idx="104">
                  <c:v>36.143043510633291</c:v>
                </c:pt>
                <c:pt idx="105">
                  <c:v>35.671859469284541</c:v>
                </c:pt>
                <c:pt idx="106">
                  <c:v>35.74934306719522</c:v>
                </c:pt>
                <c:pt idx="107">
                  <c:v>36.19120899041561</c:v>
                </c:pt>
                <c:pt idx="108">
                  <c:v>36.825736832765266</c:v>
                </c:pt>
                <c:pt idx="109">
                  <c:v>37.648738291654425</c:v>
                </c:pt>
                <c:pt idx="110">
                  <c:v>38.735602813698868</c:v>
                </c:pt>
                <c:pt idx="111">
                  <c:v>40.235015140835344</c:v>
                </c:pt>
                <c:pt idx="112">
                  <c:v>41.18157152612261</c:v>
                </c:pt>
                <c:pt idx="113">
                  <c:v>41.028698481596123</c:v>
                </c:pt>
                <c:pt idx="114">
                  <c:v>39.82456148703821</c:v>
                </c:pt>
                <c:pt idx="115">
                  <c:v>38.082227609695266</c:v>
                </c:pt>
                <c:pt idx="116">
                  <c:v>36.716840965431331</c:v>
                </c:pt>
                <c:pt idx="117">
                  <c:v>36.019488584235177</c:v>
                </c:pt>
                <c:pt idx="118">
                  <c:v>35.820544211221261</c:v>
                </c:pt>
                <c:pt idx="119">
                  <c:v>35.893839506542179</c:v>
                </c:pt>
                <c:pt idx="120">
                  <c:v>36.128384451569104</c:v>
                </c:pt>
                <c:pt idx="121">
                  <c:v>38.348184824145441</c:v>
                </c:pt>
                <c:pt idx="122">
                  <c:v>40.322969495220434</c:v>
                </c:pt>
                <c:pt idx="123">
                  <c:v>40.892578647428714</c:v>
                </c:pt>
                <c:pt idx="124">
                  <c:v>39.598393147190798</c:v>
                </c:pt>
                <c:pt idx="125">
                  <c:v>38.055003642861784</c:v>
                </c:pt>
                <c:pt idx="126">
                  <c:v>37.602666963166982</c:v>
                </c:pt>
                <c:pt idx="127">
                  <c:v>37.232002183972632</c:v>
                </c:pt>
                <c:pt idx="128">
                  <c:v>36.714746814136447</c:v>
                </c:pt>
                <c:pt idx="129">
                  <c:v>36.620510005866699</c:v>
                </c:pt>
                <c:pt idx="130">
                  <c:v>37.747163402513934</c:v>
                </c:pt>
                <c:pt idx="131">
                  <c:v>40.764835418440825</c:v>
                </c:pt>
                <c:pt idx="132">
                  <c:v>42.371049461616344</c:v>
                </c:pt>
                <c:pt idx="133">
                  <c:v>41.906147874152246</c:v>
                </c:pt>
                <c:pt idx="134">
                  <c:v>39.412013681946185</c:v>
                </c:pt>
                <c:pt idx="135">
                  <c:v>36.905314581970828</c:v>
                </c:pt>
                <c:pt idx="136">
                  <c:v>36.147231813223058</c:v>
                </c:pt>
                <c:pt idx="137">
                  <c:v>36.151420115812826</c:v>
                </c:pt>
                <c:pt idx="138">
                  <c:v>36.002735373876114</c:v>
                </c:pt>
                <c:pt idx="139">
                  <c:v>35.935722532439847</c:v>
                </c:pt>
                <c:pt idx="140">
                  <c:v>35.902216111721707</c:v>
                </c:pt>
                <c:pt idx="141">
                  <c:v>35.766096277554297</c:v>
                </c:pt>
                <c:pt idx="142">
                  <c:v>36.580721131263914</c:v>
                </c:pt>
                <c:pt idx="143">
                  <c:v>54.313994296336034</c:v>
                </c:pt>
                <c:pt idx="144">
                  <c:v>83.667712996715792</c:v>
                </c:pt>
                <c:pt idx="145">
                  <c:v>99.999998945510981</c:v>
                </c:pt>
                <c:pt idx="146">
                  <c:v>98.642988906426567</c:v>
                </c:pt>
                <c:pt idx="147">
                  <c:v>81.594503214781298</c:v>
                </c:pt>
                <c:pt idx="148">
                  <c:v>61.875974622159774</c:v>
                </c:pt>
                <c:pt idx="149">
                  <c:v>49.445092535732265</c:v>
                </c:pt>
                <c:pt idx="150">
                  <c:v>44.605508893256868</c:v>
                </c:pt>
                <c:pt idx="151">
                  <c:v>42.649571583835829</c:v>
                </c:pt>
                <c:pt idx="152">
                  <c:v>41.244396064969109</c:v>
                </c:pt>
                <c:pt idx="153">
                  <c:v>40.046541524295833</c:v>
                </c:pt>
                <c:pt idx="154">
                  <c:v>39.384789715112703</c:v>
                </c:pt>
                <c:pt idx="155">
                  <c:v>38.995277574264399</c:v>
                </c:pt>
                <c:pt idx="156">
                  <c:v>38.917793976353721</c:v>
                </c:pt>
                <c:pt idx="157">
                  <c:v>38.77957999089142</c:v>
                </c:pt>
                <c:pt idx="158">
                  <c:v>38.369126337094286</c:v>
                </c:pt>
                <c:pt idx="159">
                  <c:v>37.738786797334399</c:v>
                </c:pt>
                <c:pt idx="160">
                  <c:v>37.095882349805208</c:v>
                </c:pt>
                <c:pt idx="161">
                  <c:v>36.739876629675045</c:v>
                </c:pt>
                <c:pt idx="162">
                  <c:v>36.626792459751343</c:v>
                </c:pt>
                <c:pt idx="163">
                  <c:v>36.765006445213643</c:v>
                </c:pt>
                <c:pt idx="164">
                  <c:v>37.135671224408</c:v>
                </c:pt>
                <c:pt idx="165">
                  <c:v>37.541936575615367</c:v>
                </c:pt>
                <c:pt idx="166">
                  <c:v>37.613137719641394</c:v>
                </c:pt>
                <c:pt idx="167">
                  <c:v>37.319956538357729</c:v>
                </c:pt>
                <c:pt idx="168">
                  <c:v>37.010022146715002</c:v>
                </c:pt>
                <c:pt idx="169">
                  <c:v>37.160801039946598</c:v>
                </c:pt>
                <c:pt idx="170">
                  <c:v>37.311579933178201</c:v>
                </c:pt>
                <c:pt idx="171">
                  <c:v>37.349274656486095</c:v>
                </c:pt>
                <c:pt idx="172">
                  <c:v>37.621514324820929</c:v>
                </c:pt>
                <c:pt idx="173">
                  <c:v>38.197405930913845</c:v>
                </c:pt>
                <c:pt idx="174">
                  <c:v>38.151334602426417</c:v>
                </c:pt>
                <c:pt idx="175">
                  <c:v>38.159711207605959</c:v>
                </c:pt>
                <c:pt idx="176">
                  <c:v>37.883283236681351</c:v>
                </c:pt>
                <c:pt idx="177">
                  <c:v>37.278073512460068</c:v>
                </c:pt>
                <c:pt idx="178">
                  <c:v>36.829925135355026</c:v>
                </c:pt>
                <c:pt idx="179">
                  <c:v>36.66239303176436</c:v>
                </c:pt>
                <c:pt idx="180">
                  <c:v>36.517896592417408</c:v>
                </c:pt>
                <c:pt idx="181">
                  <c:v>36.455072053570916</c:v>
                </c:pt>
                <c:pt idx="182">
                  <c:v>37.198495763254492</c:v>
                </c:pt>
                <c:pt idx="183">
                  <c:v>38.080133458400375</c:v>
                </c:pt>
                <c:pt idx="184">
                  <c:v>43.139602986838533</c:v>
                </c:pt>
                <c:pt idx="185">
                  <c:v>50.647135378995308</c:v>
                </c:pt>
                <c:pt idx="186">
                  <c:v>51.451289476230507</c:v>
                </c:pt>
                <c:pt idx="187">
                  <c:v>46.20753463384262</c:v>
                </c:pt>
                <c:pt idx="188">
                  <c:v>40.048635675590724</c:v>
                </c:pt>
                <c:pt idx="189">
                  <c:v>37.386969379794003</c:v>
                </c:pt>
                <c:pt idx="190">
                  <c:v>36.607945098097403</c:v>
                </c:pt>
                <c:pt idx="191">
                  <c:v>36.547214710545774</c:v>
                </c:pt>
                <c:pt idx="192">
                  <c:v>36.721029268021098</c:v>
                </c:pt>
                <c:pt idx="193">
                  <c:v>36.859243253483392</c:v>
                </c:pt>
                <c:pt idx="194">
                  <c:v>36.938821002688961</c:v>
                </c:pt>
                <c:pt idx="195">
                  <c:v>36.808983622406195</c:v>
                </c:pt>
                <c:pt idx="196">
                  <c:v>36.687522847302958</c:v>
                </c:pt>
                <c:pt idx="197">
                  <c:v>36.651922275289948</c:v>
                </c:pt>
                <c:pt idx="198">
                  <c:v>36.656110577879709</c:v>
                </c:pt>
                <c:pt idx="199">
                  <c:v>36.700087755072261</c:v>
                </c:pt>
                <c:pt idx="200">
                  <c:v>36.723123419315982</c:v>
                </c:pt>
                <c:pt idx="201">
                  <c:v>36.737782478380161</c:v>
                </c:pt>
                <c:pt idx="202">
                  <c:v>36.708464360251796</c:v>
                </c:pt>
                <c:pt idx="203">
                  <c:v>36.639357367520638</c:v>
                </c:pt>
                <c:pt idx="204">
                  <c:v>36.637263216225769</c:v>
                </c:pt>
                <c:pt idx="205">
                  <c:v>36.687522847302958</c:v>
                </c:pt>
                <c:pt idx="206">
                  <c:v>36.708464360251796</c:v>
                </c:pt>
                <c:pt idx="207">
                  <c:v>36.750347386149464</c:v>
                </c:pt>
                <c:pt idx="208">
                  <c:v>36.84877249700898</c:v>
                </c:pt>
                <c:pt idx="209">
                  <c:v>36.96604496952245</c:v>
                </c:pt>
                <c:pt idx="210">
                  <c:v>37.030963659663833</c:v>
                </c:pt>
                <c:pt idx="211">
                  <c:v>37.072846685561494</c:v>
                </c:pt>
                <c:pt idx="212">
                  <c:v>37.064470080381959</c:v>
                </c:pt>
                <c:pt idx="213">
                  <c:v>37.097976501100099</c:v>
                </c:pt>
                <c:pt idx="214">
                  <c:v>37.148236132177303</c:v>
                </c:pt>
                <c:pt idx="215">
                  <c:v>37.160801039946598</c:v>
                </c:pt>
                <c:pt idx="216">
                  <c:v>37.206872368434034</c:v>
                </c:pt>
                <c:pt idx="217">
                  <c:v>37.35765126166563</c:v>
                </c:pt>
                <c:pt idx="218">
                  <c:v>37.491676944538163</c:v>
                </c:pt>
                <c:pt idx="219">
                  <c:v>37.479112036768861</c:v>
                </c:pt>
                <c:pt idx="220">
                  <c:v>37.573348845038616</c:v>
                </c:pt>
                <c:pt idx="221">
                  <c:v>37.684338863667435</c:v>
                </c:pt>
                <c:pt idx="222">
                  <c:v>37.713656981795801</c:v>
                </c:pt>
                <c:pt idx="223">
                  <c:v>37.581725450218144</c:v>
                </c:pt>
                <c:pt idx="224">
                  <c:v>37.407910892742827</c:v>
                </c:pt>
                <c:pt idx="225">
                  <c:v>37.345086353896328</c:v>
                </c:pt>
                <c:pt idx="226">
                  <c:v>37.3744044720247</c:v>
                </c:pt>
                <c:pt idx="227">
                  <c:v>37.430946556986548</c:v>
                </c:pt>
                <c:pt idx="228">
                  <c:v>37.445605616050734</c:v>
                </c:pt>
                <c:pt idx="229">
                  <c:v>37.428852405691657</c:v>
                </c:pt>
                <c:pt idx="230">
                  <c:v>37.35765126166563</c:v>
                </c:pt>
                <c:pt idx="231">
                  <c:v>37.284355966344712</c:v>
                </c:pt>
                <c:pt idx="232">
                  <c:v>37.242472940447044</c:v>
                </c:pt>
                <c:pt idx="233">
                  <c:v>37.242472940447044</c:v>
                </c:pt>
                <c:pt idx="234">
                  <c:v>37.319956538357729</c:v>
                </c:pt>
                <c:pt idx="235">
                  <c:v>37.428852405691657</c:v>
                </c:pt>
                <c:pt idx="236">
                  <c:v>37.546124878205127</c:v>
                </c:pt>
                <c:pt idx="237">
                  <c:v>37.663397350718597</c:v>
                </c:pt>
                <c:pt idx="238">
                  <c:v>37.766010764167881</c:v>
                </c:pt>
                <c:pt idx="239">
                  <c:v>37.824647000424612</c:v>
                </c:pt>
                <c:pt idx="240">
                  <c:v>37.837211908193908</c:v>
                </c:pt>
                <c:pt idx="241">
                  <c:v>37.843494362078566</c:v>
                </c:pt>
                <c:pt idx="242">
                  <c:v>37.824647000424612</c:v>
                </c:pt>
                <c:pt idx="243">
                  <c:v>37.904224749630188</c:v>
                </c:pt>
                <c:pt idx="244">
                  <c:v>38.170181964080371</c:v>
                </c:pt>
                <c:pt idx="245">
                  <c:v>38.199500082208736</c:v>
                </c:pt>
                <c:pt idx="246">
                  <c:v>38.170181964080371</c:v>
                </c:pt>
                <c:pt idx="247">
                  <c:v>37.885377387976234</c:v>
                </c:pt>
                <c:pt idx="248">
                  <c:v>37.722033586975328</c:v>
                </c:pt>
                <c:pt idx="249">
                  <c:v>37.715751133090677</c:v>
                </c:pt>
                <c:pt idx="250">
                  <c:v>37.847682664668334</c:v>
                </c:pt>
                <c:pt idx="251">
                  <c:v>37.971237591066448</c:v>
                </c:pt>
                <c:pt idx="252">
                  <c:v>38.057097794156675</c:v>
                </c:pt>
                <c:pt idx="253">
                  <c:v>38.013120616964123</c:v>
                </c:pt>
                <c:pt idx="254">
                  <c:v>37.952390229412501</c:v>
                </c:pt>
                <c:pt idx="255">
                  <c:v>37.933542867758554</c:v>
                </c:pt>
                <c:pt idx="256">
                  <c:v>38.000555709194813</c:v>
                </c:pt>
                <c:pt idx="257">
                  <c:v>38.096886668759453</c:v>
                </c:pt>
                <c:pt idx="258">
                  <c:v>38.1534287537213</c:v>
                </c:pt>
                <c:pt idx="259">
                  <c:v>38.134581392067354</c:v>
                </c:pt>
                <c:pt idx="260">
                  <c:v>38.092698366169678</c:v>
                </c:pt>
                <c:pt idx="261">
                  <c:v>38.023591373438535</c:v>
                </c:pt>
                <c:pt idx="262">
                  <c:v>37.979614196245983</c:v>
                </c:pt>
                <c:pt idx="263">
                  <c:v>37.923072111284135</c:v>
                </c:pt>
                <c:pt idx="264">
                  <c:v>37.893753993155762</c:v>
                </c:pt>
                <c:pt idx="265">
                  <c:v>37.883283236681351</c:v>
                </c:pt>
                <c:pt idx="266">
                  <c:v>37.856059269847862</c:v>
                </c:pt>
                <c:pt idx="267">
                  <c:v>37.849776815963217</c:v>
                </c:pt>
                <c:pt idx="268">
                  <c:v>37.822552849129735</c:v>
                </c:pt>
                <c:pt idx="269">
                  <c:v>37.759728310283229</c:v>
                </c:pt>
                <c:pt idx="270">
                  <c:v>37.650832442949294</c:v>
                </c:pt>
                <c:pt idx="271">
                  <c:v>37.527277516551187</c:v>
                </c:pt>
                <c:pt idx="272">
                  <c:v>37.458170523820037</c:v>
                </c:pt>
                <c:pt idx="273">
                  <c:v>37.456076372525146</c:v>
                </c:pt>
                <c:pt idx="274">
                  <c:v>37.487488641948396</c:v>
                </c:pt>
                <c:pt idx="275">
                  <c:v>37.53984242432049</c:v>
                </c:pt>
                <c:pt idx="276">
                  <c:v>37.564972239859081</c:v>
                </c:pt>
                <c:pt idx="277">
                  <c:v>37.548219029500018</c:v>
                </c:pt>
                <c:pt idx="278">
                  <c:v>37.489582793243279</c:v>
                </c:pt>
                <c:pt idx="279">
                  <c:v>37.363933715550274</c:v>
                </c:pt>
                <c:pt idx="280">
                  <c:v>37.232002183972632</c:v>
                </c:pt>
                <c:pt idx="281">
                  <c:v>37.074940836856385</c:v>
                </c:pt>
                <c:pt idx="282">
                  <c:v>36.976515725996862</c:v>
                </c:pt>
                <c:pt idx="283">
                  <c:v>37.077034988151262</c:v>
                </c:pt>
                <c:pt idx="284">
                  <c:v>36.991174785061055</c:v>
                </c:pt>
                <c:pt idx="285">
                  <c:v>36.911597035855472</c:v>
                </c:pt>
                <c:pt idx="286">
                  <c:v>36.626792459751343</c:v>
                </c:pt>
                <c:pt idx="287">
                  <c:v>36.354552791416509</c:v>
                </c:pt>
                <c:pt idx="288">
                  <c:v>36.2184329572491</c:v>
                </c:pt>
                <c:pt idx="289">
                  <c:v>36.159796720992361</c:v>
                </c:pt>
                <c:pt idx="290">
                  <c:v>36.138855208043523</c:v>
                </c:pt>
                <c:pt idx="291">
                  <c:v>36.107442938620281</c:v>
                </c:pt>
                <c:pt idx="292">
                  <c:v>36.032053492004479</c:v>
                </c:pt>
                <c:pt idx="293">
                  <c:v>35.885462901362644</c:v>
                </c:pt>
                <c:pt idx="294">
                  <c:v>35.688612679643612</c:v>
                </c:pt>
                <c:pt idx="295">
                  <c:v>35.428937919078074</c:v>
                </c:pt>
                <c:pt idx="296">
                  <c:v>35.192298822756257</c:v>
                </c:pt>
                <c:pt idx="297">
                  <c:v>34.987071995857697</c:v>
                </c:pt>
                <c:pt idx="298">
                  <c:v>34.809069135792605</c:v>
                </c:pt>
                <c:pt idx="299">
                  <c:v>34.999636903626993</c:v>
                </c:pt>
                <c:pt idx="300">
                  <c:v>38.375408790978938</c:v>
                </c:pt>
                <c:pt idx="301">
                  <c:v>40.915614311672428</c:v>
                </c:pt>
                <c:pt idx="302">
                  <c:v>41.587836877329984</c:v>
                </c:pt>
                <c:pt idx="303">
                  <c:v>40.831848259877091</c:v>
                </c:pt>
                <c:pt idx="304">
                  <c:v>36.656110577879709</c:v>
                </c:pt>
                <c:pt idx="305">
                  <c:v>34.448875113072667</c:v>
                </c:pt>
                <c:pt idx="306">
                  <c:v>33.477188912246802</c:v>
                </c:pt>
                <c:pt idx="307">
                  <c:v>33.047887896795714</c:v>
                </c:pt>
                <c:pt idx="308">
                  <c:v>32.649999150767883</c:v>
                </c:pt>
                <c:pt idx="309">
                  <c:v>32.216509832727034</c:v>
                </c:pt>
                <c:pt idx="310">
                  <c:v>31.774643909506651</c:v>
                </c:pt>
                <c:pt idx="311">
                  <c:v>31.320213078516961</c:v>
                </c:pt>
                <c:pt idx="312">
                  <c:v>30.886723760476112</c:v>
                </c:pt>
                <c:pt idx="313">
                  <c:v>30.509776527397108</c:v>
                </c:pt>
                <c:pt idx="314">
                  <c:v>30.185183076690191</c:v>
                </c:pt>
                <c:pt idx="315">
                  <c:v>29.933884921304191</c:v>
                </c:pt>
                <c:pt idx="316">
                  <c:v>29.619762227071693</c:v>
                </c:pt>
                <c:pt idx="317">
                  <c:v>29.203026119389907</c:v>
                </c:pt>
                <c:pt idx="318">
                  <c:v>28.700429808617901</c:v>
                </c:pt>
                <c:pt idx="319">
                  <c:v>28.193645195256138</c:v>
                </c:pt>
                <c:pt idx="320">
                  <c:v>27.877428349728753</c:v>
                </c:pt>
                <c:pt idx="321">
                  <c:v>27.418809216149299</c:v>
                </c:pt>
                <c:pt idx="322">
                  <c:v>27.020920470121467</c:v>
                </c:pt>
                <c:pt idx="323">
                  <c:v>26.430369804964364</c:v>
                </c:pt>
                <c:pt idx="324">
                  <c:v>25.772806298370995</c:v>
                </c:pt>
                <c:pt idx="325">
                  <c:v>25.138278456021343</c:v>
                </c:pt>
                <c:pt idx="326">
                  <c:v>24.486997403312625</c:v>
                </c:pt>
                <c:pt idx="327">
                  <c:v>23.720538029385324</c:v>
                </c:pt>
                <c:pt idx="328">
                  <c:v>22.905913175675703</c:v>
                </c:pt>
                <c:pt idx="329">
                  <c:v>22.007522270170753</c:v>
                </c:pt>
                <c:pt idx="330">
                  <c:v>21.109131364665799</c:v>
                </c:pt>
                <c:pt idx="331">
                  <c:v>20.208646307865962</c:v>
                </c:pt>
                <c:pt idx="332">
                  <c:v>19.268372376463343</c:v>
                </c:pt>
                <c:pt idx="333">
                  <c:v>18.275744662688641</c:v>
                </c:pt>
                <c:pt idx="334">
                  <c:v>17.255892982080454</c:v>
                </c:pt>
                <c:pt idx="335">
                  <c:v>16.23813545276715</c:v>
                </c:pt>
                <c:pt idx="336">
                  <c:v>15.230848679928261</c:v>
                </c:pt>
                <c:pt idx="337">
                  <c:v>14.275915689461458</c:v>
                </c:pt>
                <c:pt idx="338">
                  <c:v>13.381713086546274</c:v>
                </c:pt>
                <c:pt idx="339">
                  <c:v>12.535675963413404</c:v>
                </c:pt>
                <c:pt idx="340">
                  <c:v>11.959784357320485</c:v>
                </c:pt>
                <c:pt idx="341">
                  <c:v>11.737804320062851</c:v>
                </c:pt>
                <c:pt idx="342">
                  <c:v>11.080240813469484</c:v>
                </c:pt>
                <c:pt idx="343">
                  <c:v>9.9870938375403817</c:v>
                </c:pt>
                <c:pt idx="344">
                  <c:v>8.3704090378904414</c:v>
                </c:pt>
                <c:pt idx="345">
                  <c:v>7.358933962461788</c:v>
                </c:pt>
                <c:pt idx="346">
                  <c:v>6.7055587584581868</c:v>
                </c:pt>
                <c:pt idx="347">
                  <c:v>6.1066314881215522</c:v>
                </c:pt>
                <c:pt idx="348">
                  <c:v>5.4302206198742331</c:v>
                </c:pt>
                <c:pt idx="349">
                  <c:v>4.7391506925627311</c:v>
                </c:pt>
                <c:pt idx="350">
                  <c:v>4.1674473890595802</c:v>
                </c:pt>
                <c:pt idx="351">
                  <c:v>3.6732276834671103</c:v>
                </c:pt>
                <c:pt idx="352">
                  <c:v>3.1957611882337091</c:v>
                </c:pt>
                <c:pt idx="353">
                  <c:v>2.7685543240775061</c:v>
                </c:pt>
                <c:pt idx="354">
                  <c:v>2.4125486039473389</c:v>
                </c:pt>
                <c:pt idx="355">
                  <c:v>2.1863802640999408</c:v>
                </c:pt>
                <c:pt idx="356">
                  <c:v>2.0000007988553228</c:v>
                </c:pt>
              </c:numCache>
            </c:numRef>
          </c:yVal>
          <c:smooth val="1"/>
          <c:extLst>
            <c:ext xmlns:c16="http://schemas.microsoft.com/office/drawing/2014/chart" uri="{C3380CC4-5D6E-409C-BE32-E72D297353CC}">
              <c16:uniqueId val="{00000000-E192-4130-B7D2-7905CBA103B5}"/>
            </c:ext>
          </c:extLst>
        </c:ser>
        <c:ser>
          <c:idx val="1"/>
          <c:order val="1"/>
          <c:tx>
            <c:strRef>
              <c:f>ChromatogramData!$C$1</c:f>
              <c:strCache>
                <c:ptCount val="1"/>
                <c:pt idx="0">
                  <c:v>254 nm</c:v>
                </c:pt>
              </c:strCache>
            </c:strRef>
          </c:tx>
          <c:spPr>
            <a:ln w="12700" cap="rnd">
              <a:solidFill>
                <a:srgbClr val="FF0000"/>
              </a:solidFill>
              <a:round/>
            </a:ln>
            <a:effectLst/>
          </c:spPr>
          <c:marker>
            <c:symbol val="none"/>
          </c:marker>
          <c:xVal>
            <c:numRef>
              <c:f>ChromatogramData!$A$2:$A$10001</c:f>
              <c:numCache>
                <c:formatCode>General</c:formatCode>
                <c:ptCount val="10000"/>
                <c:pt idx="0">
                  <c:v>0.51</c:v>
                </c:pt>
                <c:pt idx="1">
                  <c:v>0.53600000000000003</c:v>
                </c:pt>
                <c:pt idx="2">
                  <c:v>0.56299999999999994</c:v>
                </c:pt>
                <c:pt idx="3">
                  <c:v>0.59</c:v>
                </c:pt>
                <c:pt idx="4">
                  <c:v>0.61599999999999999</c:v>
                </c:pt>
                <c:pt idx="5">
                  <c:v>0.64300000000000002</c:v>
                </c:pt>
                <c:pt idx="6">
                  <c:v>0.67</c:v>
                </c:pt>
                <c:pt idx="7">
                  <c:v>0.69599999999999995</c:v>
                </c:pt>
                <c:pt idx="8">
                  <c:v>0.72299999999999998</c:v>
                </c:pt>
                <c:pt idx="9">
                  <c:v>0.75</c:v>
                </c:pt>
                <c:pt idx="10">
                  <c:v>0.77600000000000002</c:v>
                </c:pt>
                <c:pt idx="11">
                  <c:v>0.80300000000000005</c:v>
                </c:pt>
                <c:pt idx="12">
                  <c:v>0.83</c:v>
                </c:pt>
                <c:pt idx="13">
                  <c:v>0.85599999999999998</c:v>
                </c:pt>
                <c:pt idx="14">
                  <c:v>0.88300000000000001</c:v>
                </c:pt>
                <c:pt idx="15">
                  <c:v>0.91</c:v>
                </c:pt>
                <c:pt idx="16">
                  <c:v>0.93600000000000005</c:v>
                </c:pt>
                <c:pt idx="17">
                  <c:v>0.96299999999999997</c:v>
                </c:pt>
                <c:pt idx="18">
                  <c:v>0.99</c:v>
                </c:pt>
                <c:pt idx="19">
                  <c:v>1.016</c:v>
                </c:pt>
                <c:pt idx="20">
                  <c:v>1.0429999999999999</c:v>
                </c:pt>
                <c:pt idx="21">
                  <c:v>1.07</c:v>
                </c:pt>
                <c:pt idx="22">
                  <c:v>1.0960000000000001</c:v>
                </c:pt>
                <c:pt idx="23">
                  <c:v>1.123</c:v>
                </c:pt>
                <c:pt idx="24">
                  <c:v>1.1499999999999999</c:v>
                </c:pt>
                <c:pt idx="25">
                  <c:v>1.1759999999999999</c:v>
                </c:pt>
                <c:pt idx="26">
                  <c:v>1.2030000000000001</c:v>
                </c:pt>
                <c:pt idx="27">
                  <c:v>1.23</c:v>
                </c:pt>
                <c:pt idx="28">
                  <c:v>1.256</c:v>
                </c:pt>
                <c:pt idx="29">
                  <c:v>1.2829999999999999</c:v>
                </c:pt>
                <c:pt idx="30">
                  <c:v>1.31</c:v>
                </c:pt>
                <c:pt idx="31">
                  <c:v>1.3360000000000001</c:v>
                </c:pt>
                <c:pt idx="32">
                  <c:v>1.363</c:v>
                </c:pt>
                <c:pt idx="33">
                  <c:v>1.39</c:v>
                </c:pt>
                <c:pt idx="34">
                  <c:v>1.4159999999999999</c:v>
                </c:pt>
                <c:pt idx="35">
                  <c:v>1.4430000000000001</c:v>
                </c:pt>
                <c:pt idx="36">
                  <c:v>1.47</c:v>
                </c:pt>
                <c:pt idx="37">
                  <c:v>1.496</c:v>
                </c:pt>
                <c:pt idx="38">
                  <c:v>1.5229999999999999</c:v>
                </c:pt>
                <c:pt idx="39">
                  <c:v>1.55</c:v>
                </c:pt>
                <c:pt idx="40">
                  <c:v>1.5760000000000001</c:v>
                </c:pt>
                <c:pt idx="41">
                  <c:v>1.603</c:v>
                </c:pt>
                <c:pt idx="42">
                  <c:v>1.63</c:v>
                </c:pt>
                <c:pt idx="43">
                  <c:v>1.6559999999999999</c:v>
                </c:pt>
                <c:pt idx="44">
                  <c:v>1.6830000000000001</c:v>
                </c:pt>
                <c:pt idx="45">
                  <c:v>1.71</c:v>
                </c:pt>
                <c:pt idx="46">
                  <c:v>1.736</c:v>
                </c:pt>
                <c:pt idx="47">
                  <c:v>1.7629999999999999</c:v>
                </c:pt>
                <c:pt idx="48">
                  <c:v>1.79</c:v>
                </c:pt>
                <c:pt idx="49">
                  <c:v>1.8160000000000001</c:v>
                </c:pt>
                <c:pt idx="50">
                  <c:v>1.843</c:v>
                </c:pt>
                <c:pt idx="51">
                  <c:v>1.87</c:v>
                </c:pt>
                <c:pt idx="52">
                  <c:v>1.8959999999999999</c:v>
                </c:pt>
                <c:pt idx="53">
                  <c:v>1.923</c:v>
                </c:pt>
                <c:pt idx="54">
                  <c:v>1.95</c:v>
                </c:pt>
                <c:pt idx="55">
                  <c:v>1.976</c:v>
                </c:pt>
                <c:pt idx="56">
                  <c:v>2.0030000000000001</c:v>
                </c:pt>
                <c:pt idx="57">
                  <c:v>2.0299999999999998</c:v>
                </c:pt>
                <c:pt idx="58">
                  <c:v>2.056</c:v>
                </c:pt>
                <c:pt idx="59">
                  <c:v>2.0830000000000002</c:v>
                </c:pt>
                <c:pt idx="60">
                  <c:v>2.11</c:v>
                </c:pt>
                <c:pt idx="61">
                  <c:v>2.1360000000000001</c:v>
                </c:pt>
                <c:pt idx="62">
                  <c:v>2.1629999999999998</c:v>
                </c:pt>
                <c:pt idx="63">
                  <c:v>2.19</c:v>
                </c:pt>
                <c:pt idx="64">
                  <c:v>2.2160000000000002</c:v>
                </c:pt>
                <c:pt idx="65">
                  <c:v>2.2429999999999999</c:v>
                </c:pt>
                <c:pt idx="66">
                  <c:v>2.27</c:v>
                </c:pt>
                <c:pt idx="67">
                  <c:v>2.2959999999999998</c:v>
                </c:pt>
                <c:pt idx="68">
                  <c:v>2.323</c:v>
                </c:pt>
                <c:pt idx="69">
                  <c:v>2.35</c:v>
                </c:pt>
                <c:pt idx="70">
                  <c:v>2.3759999999999999</c:v>
                </c:pt>
                <c:pt idx="71">
                  <c:v>2.403</c:v>
                </c:pt>
                <c:pt idx="72">
                  <c:v>2.4300000000000002</c:v>
                </c:pt>
                <c:pt idx="73">
                  <c:v>2.456</c:v>
                </c:pt>
                <c:pt idx="74">
                  <c:v>2.4830000000000001</c:v>
                </c:pt>
                <c:pt idx="75">
                  <c:v>2.5099999999999998</c:v>
                </c:pt>
                <c:pt idx="76">
                  <c:v>2.536</c:v>
                </c:pt>
                <c:pt idx="77">
                  <c:v>2.5630000000000002</c:v>
                </c:pt>
                <c:pt idx="78">
                  <c:v>2.59</c:v>
                </c:pt>
                <c:pt idx="79">
                  <c:v>2.6160000000000001</c:v>
                </c:pt>
                <c:pt idx="80">
                  <c:v>2.6429999999999998</c:v>
                </c:pt>
                <c:pt idx="81">
                  <c:v>2.67</c:v>
                </c:pt>
                <c:pt idx="82">
                  <c:v>2.6960000000000002</c:v>
                </c:pt>
                <c:pt idx="83">
                  <c:v>2.7229999999999999</c:v>
                </c:pt>
                <c:pt idx="84">
                  <c:v>2.75</c:v>
                </c:pt>
                <c:pt idx="85">
                  <c:v>2.7759999999999998</c:v>
                </c:pt>
                <c:pt idx="86">
                  <c:v>2.8029999999999999</c:v>
                </c:pt>
                <c:pt idx="87">
                  <c:v>2.83</c:v>
                </c:pt>
                <c:pt idx="88">
                  <c:v>2.8559999999999999</c:v>
                </c:pt>
                <c:pt idx="89">
                  <c:v>2.883</c:v>
                </c:pt>
                <c:pt idx="90">
                  <c:v>2.91</c:v>
                </c:pt>
                <c:pt idx="91">
                  <c:v>2.9359999999999999</c:v>
                </c:pt>
                <c:pt idx="92">
                  <c:v>2.9630000000000001</c:v>
                </c:pt>
                <c:pt idx="93">
                  <c:v>2.99</c:v>
                </c:pt>
                <c:pt idx="94">
                  <c:v>3.016</c:v>
                </c:pt>
                <c:pt idx="95">
                  <c:v>3.0430000000000001</c:v>
                </c:pt>
                <c:pt idx="96">
                  <c:v>3.07</c:v>
                </c:pt>
                <c:pt idx="97">
                  <c:v>3.0960000000000001</c:v>
                </c:pt>
                <c:pt idx="98">
                  <c:v>3.1230000000000002</c:v>
                </c:pt>
                <c:pt idx="99">
                  <c:v>3.15</c:v>
                </c:pt>
                <c:pt idx="100">
                  <c:v>3.1760000000000002</c:v>
                </c:pt>
                <c:pt idx="101">
                  <c:v>3.2029999999999998</c:v>
                </c:pt>
                <c:pt idx="102">
                  <c:v>3.23</c:v>
                </c:pt>
                <c:pt idx="103">
                  <c:v>3.2559999999999998</c:v>
                </c:pt>
                <c:pt idx="104">
                  <c:v>3.2829999999999999</c:v>
                </c:pt>
                <c:pt idx="105">
                  <c:v>3.31</c:v>
                </c:pt>
                <c:pt idx="106">
                  <c:v>3.3359999999999999</c:v>
                </c:pt>
                <c:pt idx="107">
                  <c:v>3.363</c:v>
                </c:pt>
                <c:pt idx="108">
                  <c:v>3.39</c:v>
                </c:pt>
                <c:pt idx="109">
                  <c:v>3.4159999999999999</c:v>
                </c:pt>
                <c:pt idx="110">
                  <c:v>3.4430000000000001</c:v>
                </c:pt>
                <c:pt idx="111">
                  <c:v>3.47</c:v>
                </c:pt>
                <c:pt idx="112">
                  <c:v>3.496</c:v>
                </c:pt>
                <c:pt idx="113">
                  <c:v>3.5230000000000001</c:v>
                </c:pt>
                <c:pt idx="114">
                  <c:v>3.55</c:v>
                </c:pt>
                <c:pt idx="115">
                  <c:v>3.5760000000000001</c:v>
                </c:pt>
                <c:pt idx="116">
                  <c:v>3.6030000000000002</c:v>
                </c:pt>
                <c:pt idx="117">
                  <c:v>3.63</c:v>
                </c:pt>
                <c:pt idx="118">
                  <c:v>3.6560000000000001</c:v>
                </c:pt>
                <c:pt idx="119">
                  <c:v>3.6829999999999998</c:v>
                </c:pt>
                <c:pt idx="120">
                  <c:v>3.71</c:v>
                </c:pt>
                <c:pt idx="121">
                  <c:v>3.7360000000000002</c:v>
                </c:pt>
                <c:pt idx="122">
                  <c:v>3.7629999999999999</c:v>
                </c:pt>
                <c:pt idx="123">
                  <c:v>3.79</c:v>
                </c:pt>
                <c:pt idx="124">
                  <c:v>3.8159999999999998</c:v>
                </c:pt>
                <c:pt idx="125">
                  <c:v>3.843</c:v>
                </c:pt>
                <c:pt idx="126">
                  <c:v>3.87</c:v>
                </c:pt>
                <c:pt idx="127">
                  <c:v>3.8959999999999999</c:v>
                </c:pt>
                <c:pt idx="128">
                  <c:v>3.923</c:v>
                </c:pt>
                <c:pt idx="129">
                  <c:v>3.95</c:v>
                </c:pt>
                <c:pt idx="130">
                  <c:v>3.976</c:v>
                </c:pt>
                <c:pt idx="131">
                  <c:v>4.0030000000000001</c:v>
                </c:pt>
                <c:pt idx="132">
                  <c:v>4.03</c:v>
                </c:pt>
                <c:pt idx="133">
                  <c:v>4.056</c:v>
                </c:pt>
                <c:pt idx="134">
                  <c:v>4.0830000000000002</c:v>
                </c:pt>
                <c:pt idx="135">
                  <c:v>4.1100000000000003</c:v>
                </c:pt>
                <c:pt idx="136">
                  <c:v>4.1360000000000001</c:v>
                </c:pt>
                <c:pt idx="137">
                  <c:v>4.1630000000000003</c:v>
                </c:pt>
                <c:pt idx="138">
                  <c:v>4.1900000000000004</c:v>
                </c:pt>
                <c:pt idx="139">
                  <c:v>4.2160000000000002</c:v>
                </c:pt>
                <c:pt idx="140">
                  <c:v>4.2430000000000003</c:v>
                </c:pt>
                <c:pt idx="141">
                  <c:v>4.2699999999999996</c:v>
                </c:pt>
                <c:pt idx="142">
                  <c:v>4.2960000000000003</c:v>
                </c:pt>
                <c:pt idx="143">
                  <c:v>4.3230000000000004</c:v>
                </c:pt>
                <c:pt idx="144">
                  <c:v>4.3499999999999996</c:v>
                </c:pt>
                <c:pt idx="145">
                  <c:v>4.3760000000000003</c:v>
                </c:pt>
                <c:pt idx="146">
                  <c:v>4.4029999999999996</c:v>
                </c:pt>
                <c:pt idx="147">
                  <c:v>4.43</c:v>
                </c:pt>
                <c:pt idx="148">
                  <c:v>4.4560000000000004</c:v>
                </c:pt>
                <c:pt idx="149">
                  <c:v>4.4829999999999997</c:v>
                </c:pt>
                <c:pt idx="150">
                  <c:v>4.51</c:v>
                </c:pt>
                <c:pt idx="151">
                  <c:v>4.5359999999999996</c:v>
                </c:pt>
                <c:pt idx="152">
                  <c:v>4.5629999999999997</c:v>
                </c:pt>
                <c:pt idx="153">
                  <c:v>4.59</c:v>
                </c:pt>
                <c:pt idx="154">
                  <c:v>4.6159999999999997</c:v>
                </c:pt>
                <c:pt idx="155">
                  <c:v>4.6429999999999998</c:v>
                </c:pt>
                <c:pt idx="156">
                  <c:v>4.67</c:v>
                </c:pt>
                <c:pt idx="157">
                  <c:v>4.6959999999999997</c:v>
                </c:pt>
                <c:pt idx="158">
                  <c:v>4.7229999999999999</c:v>
                </c:pt>
                <c:pt idx="159">
                  <c:v>4.75</c:v>
                </c:pt>
                <c:pt idx="160">
                  <c:v>4.7759999999999998</c:v>
                </c:pt>
                <c:pt idx="161">
                  <c:v>4.8029999999999999</c:v>
                </c:pt>
                <c:pt idx="162">
                  <c:v>4.83</c:v>
                </c:pt>
                <c:pt idx="163">
                  <c:v>4.8559999999999999</c:v>
                </c:pt>
                <c:pt idx="164">
                  <c:v>4.883</c:v>
                </c:pt>
                <c:pt idx="165">
                  <c:v>4.91</c:v>
                </c:pt>
                <c:pt idx="166">
                  <c:v>4.9359999999999999</c:v>
                </c:pt>
                <c:pt idx="167">
                  <c:v>4.9630000000000001</c:v>
                </c:pt>
                <c:pt idx="168">
                  <c:v>4.99</c:v>
                </c:pt>
                <c:pt idx="169">
                  <c:v>5.016</c:v>
                </c:pt>
                <c:pt idx="170">
                  <c:v>5.0430000000000001</c:v>
                </c:pt>
                <c:pt idx="171">
                  <c:v>5.07</c:v>
                </c:pt>
                <c:pt idx="172">
                  <c:v>5.0960000000000001</c:v>
                </c:pt>
                <c:pt idx="173">
                  <c:v>5.1230000000000002</c:v>
                </c:pt>
                <c:pt idx="174">
                  <c:v>5.15</c:v>
                </c:pt>
                <c:pt idx="175">
                  <c:v>5.1760000000000002</c:v>
                </c:pt>
                <c:pt idx="176">
                  <c:v>5.2030000000000003</c:v>
                </c:pt>
                <c:pt idx="177">
                  <c:v>5.23</c:v>
                </c:pt>
                <c:pt idx="178">
                  <c:v>5.2560000000000002</c:v>
                </c:pt>
                <c:pt idx="179">
                  <c:v>5.2830000000000004</c:v>
                </c:pt>
                <c:pt idx="180">
                  <c:v>5.31</c:v>
                </c:pt>
                <c:pt idx="181">
                  <c:v>5.3360000000000003</c:v>
                </c:pt>
                <c:pt idx="182">
                  <c:v>5.3630000000000004</c:v>
                </c:pt>
                <c:pt idx="183">
                  <c:v>5.39</c:v>
                </c:pt>
                <c:pt idx="184">
                  <c:v>5.4160000000000004</c:v>
                </c:pt>
                <c:pt idx="185">
                  <c:v>5.4429999999999996</c:v>
                </c:pt>
                <c:pt idx="186">
                  <c:v>5.47</c:v>
                </c:pt>
                <c:pt idx="187">
                  <c:v>5.4960000000000004</c:v>
                </c:pt>
                <c:pt idx="188">
                  <c:v>5.5229999999999997</c:v>
                </c:pt>
                <c:pt idx="189">
                  <c:v>5.55</c:v>
                </c:pt>
                <c:pt idx="190">
                  <c:v>5.5759999999999996</c:v>
                </c:pt>
                <c:pt idx="191">
                  <c:v>5.6029999999999998</c:v>
                </c:pt>
                <c:pt idx="192">
                  <c:v>5.63</c:v>
                </c:pt>
                <c:pt idx="193">
                  <c:v>5.6559999999999997</c:v>
                </c:pt>
                <c:pt idx="194">
                  <c:v>5.6829999999999998</c:v>
                </c:pt>
                <c:pt idx="195">
                  <c:v>5.71</c:v>
                </c:pt>
                <c:pt idx="196">
                  <c:v>5.7359999999999998</c:v>
                </c:pt>
                <c:pt idx="197">
                  <c:v>5.7629999999999999</c:v>
                </c:pt>
                <c:pt idx="198">
                  <c:v>5.79</c:v>
                </c:pt>
                <c:pt idx="199">
                  <c:v>5.8159999999999998</c:v>
                </c:pt>
                <c:pt idx="200">
                  <c:v>5.843</c:v>
                </c:pt>
                <c:pt idx="201">
                  <c:v>5.87</c:v>
                </c:pt>
                <c:pt idx="202">
                  <c:v>5.8959999999999999</c:v>
                </c:pt>
                <c:pt idx="203">
                  <c:v>5.923</c:v>
                </c:pt>
                <c:pt idx="204">
                  <c:v>5.95</c:v>
                </c:pt>
                <c:pt idx="205">
                  <c:v>5.976</c:v>
                </c:pt>
                <c:pt idx="206">
                  <c:v>6.0030000000000001</c:v>
                </c:pt>
                <c:pt idx="207">
                  <c:v>6.03</c:v>
                </c:pt>
                <c:pt idx="208">
                  <c:v>6.056</c:v>
                </c:pt>
                <c:pt idx="209">
                  <c:v>6.0830000000000002</c:v>
                </c:pt>
                <c:pt idx="210">
                  <c:v>6.11</c:v>
                </c:pt>
                <c:pt idx="211">
                  <c:v>6.1360000000000001</c:v>
                </c:pt>
                <c:pt idx="212">
                  <c:v>6.1630000000000003</c:v>
                </c:pt>
                <c:pt idx="213">
                  <c:v>6.19</c:v>
                </c:pt>
                <c:pt idx="214">
                  <c:v>6.2160000000000002</c:v>
                </c:pt>
                <c:pt idx="215">
                  <c:v>6.2430000000000003</c:v>
                </c:pt>
                <c:pt idx="216">
                  <c:v>6.27</c:v>
                </c:pt>
                <c:pt idx="217">
                  <c:v>6.2960000000000003</c:v>
                </c:pt>
                <c:pt idx="218">
                  <c:v>6.3230000000000004</c:v>
                </c:pt>
                <c:pt idx="219">
                  <c:v>6.35</c:v>
                </c:pt>
                <c:pt idx="220">
                  <c:v>6.3760000000000003</c:v>
                </c:pt>
                <c:pt idx="221">
                  <c:v>6.4029999999999996</c:v>
                </c:pt>
                <c:pt idx="222">
                  <c:v>6.43</c:v>
                </c:pt>
                <c:pt idx="223">
                  <c:v>6.4560000000000004</c:v>
                </c:pt>
                <c:pt idx="224">
                  <c:v>6.4829999999999997</c:v>
                </c:pt>
                <c:pt idx="225">
                  <c:v>6.51</c:v>
                </c:pt>
                <c:pt idx="226">
                  <c:v>6.5359999999999996</c:v>
                </c:pt>
                <c:pt idx="227">
                  <c:v>6.5629999999999997</c:v>
                </c:pt>
                <c:pt idx="228">
                  <c:v>6.59</c:v>
                </c:pt>
                <c:pt idx="229">
                  <c:v>6.6159999999999997</c:v>
                </c:pt>
                <c:pt idx="230">
                  <c:v>6.6429999999999998</c:v>
                </c:pt>
                <c:pt idx="231">
                  <c:v>6.67</c:v>
                </c:pt>
                <c:pt idx="232">
                  <c:v>6.6959999999999997</c:v>
                </c:pt>
                <c:pt idx="233">
                  <c:v>6.7229999999999999</c:v>
                </c:pt>
                <c:pt idx="234">
                  <c:v>6.75</c:v>
                </c:pt>
                <c:pt idx="235">
                  <c:v>6.7759999999999998</c:v>
                </c:pt>
                <c:pt idx="236">
                  <c:v>6.8029999999999999</c:v>
                </c:pt>
                <c:pt idx="237">
                  <c:v>6.83</c:v>
                </c:pt>
                <c:pt idx="238">
                  <c:v>6.8559999999999999</c:v>
                </c:pt>
                <c:pt idx="239">
                  <c:v>6.883</c:v>
                </c:pt>
                <c:pt idx="240">
                  <c:v>6.91</c:v>
                </c:pt>
                <c:pt idx="241">
                  <c:v>6.9359999999999999</c:v>
                </c:pt>
                <c:pt idx="242">
                  <c:v>6.9630000000000001</c:v>
                </c:pt>
                <c:pt idx="243">
                  <c:v>6.99</c:v>
                </c:pt>
                <c:pt idx="244">
                  <c:v>7.016</c:v>
                </c:pt>
                <c:pt idx="245">
                  <c:v>7.0430000000000001</c:v>
                </c:pt>
                <c:pt idx="246">
                  <c:v>7.07</c:v>
                </c:pt>
                <c:pt idx="247">
                  <c:v>7.0960000000000001</c:v>
                </c:pt>
                <c:pt idx="248">
                  <c:v>7.1230000000000002</c:v>
                </c:pt>
                <c:pt idx="249">
                  <c:v>7.15</c:v>
                </c:pt>
                <c:pt idx="250">
                  <c:v>7.1760000000000002</c:v>
                </c:pt>
                <c:pt idx="251">
                  <c:v>7.2030000000000003</c:v>
                </c:pt>
                <c:pt idx="252">
                  <c:v>7.23</c:v>
                </c:pt>
                <c:pt idx="253">
                  <c:v>7.2560000000000002</c:v>
                </c:pt>
                <c:pt idx="254">
                  <c:v>7.2830000000000004</c:v>
                </c:pt>
                <c:pt idx="255">
                  <c:v>7.31</c:v>
                </c:pt>
                <c:pt idx="256">
                  <c:v>7.3360000000000003</c:v>
                </c:pt>
                <c:pt idx="257">
                  <c:v>7.3630000000000004</c:v>
                </c:pt>
                <c:pt idx="258">
                  <c:v>7.39</c:v>
                </c:pt>
                <c:pt idx="259">
                  <c:v>7.4160000000000004</c:v>
                </c:pt>
                <c:pt idx="260">
                  <c:v>7.4429999999999996</c:v>
                </c:pt>
                <c:pt idx="261">
                  <c:v>7.47</c:v>
                </c:pt>
                <c:pt idx="262">
                  <c:v>7.4960000000000004</c:v>
                </c:pt>
                <c:pt idx="263">
                  <c:v>7.5229999999999997</c:v>
                </c:pt>
                <c:pt idx="264">
                  <c:v>7.55</c:v>
                </c:pt>
                <c:pt idx="265">
                  <c:v>7.5759999999999996</c:v>
                </c:pt>
                <c:pt idx="266">
                  <c:v>7.6029999999999998</c:v>
                </c:pt>
                <c:pt idx="267">
                  <c:v>7.63</c:v>
                </c:pt>
                <c:pt idx="268">
                  <c:v>7.6559999999999997</c:v>
                </c:pt>
                <c:pt idx="269">
                  <c:v>7.6829999999999998</c:v>
                </c:pt>
                <c:pt idx="270">
                  <c:v>7.71</c:v>
                </c:pt>
                <c:pt idx="271">
                  <c:v>7.7359999999999998</c:v>
                </c:pt>
                <c:pt idx="272">
                  <c:v>7.7629999999999999</c:v>
                </c:pt>
                <c:pt idx="273">
                  <c:v>7.79</c:v>
                </c:pt>
                <c:pt idx="274">
                  <c:v>7.8159999999999998</c:v>
                </c:pt>
                <c:pt idx="275">
                  <c:v>7.843</c:v>
                </c:pt>
                <c:pt idx="276">
                  <c:v>7.87</c:v>
                </c:pt>
                <c:pt idx="277">
                  <c:v>7.8959999999999999</c:v>
                </c:pt>
                <c:pt idx="278">
                  <c:v>7.923</c:v>
                </c:pt>
                <c:pt idx="279">
                  <c:v>7.95</c:v>
                </c:pt>
                <c:pt idx="280">
                  <c:v>7.976</c:v>
                </c:pt>
                <c:pt idx="281">
                  <c:v>8.0030000000000001</c:v>
                </c:pt>
                <c:pt idx="282">
                  <c:v>8.0299999999999994</c:v>
                </c:pt>
                <c:pt idx="283">
                  <c:v>8.0559999999999992</c:v>
                </c:pt>
                <c:pt idx="284">
                  <c:v>8.0830000000000002</c:v>
                </c:pt>
                <c:pt idx="285">
                  <c:v>8.11</c:v>
                </c:pt>
                <c:pt idx="286">
                  <c:v>8.1359999999999992</c:v>
                </c:pt>
                <c:pt idx="287">
                  <c:v>8.1630000000000003</c:v>
                </c:pt>
                <c:pt idx="288">
                  <c:v>8.19</c:v>
                </c:pt>
                <c:pt idx="289">
                  <c:v>8.2159999999999993</c:v>
                </c:pt>
                <c:pt idx="290">
                  <c:v>8.2430000000000003</c:v>
                </c:pt>
                <c:pt idx="291">
                  <c:v>8.27</c:v>
                </c:pt>
                <c:pt idx="292">
                  <c:v>8.2959999999999994</c:v>
                </c:pt>
                <c:pt idx="293">
                  <c:v>8.3230000000000004</c:v>
                </c:pt>
                <c:pt idx="294">
                  <c:v>8.35</c:v>
                </c:pt>
                <c:pt idx="295">
                  <c:v>8.3759999999999994</c:v>
                </c:pt>
                <c:pt idx="296">
                  <c:v>8.4030000000000005</c:v>
                </c:pt>
                <c:pt idx="297">
                  <c:v>8.43</c:v>
                </c:pt>
                <c:pt idx="298">
                  <c:v>8.4559999999999995</c:v>
                </c:pt>
                <c:pt idx="299">
                  <c:v>8.4830000000000005</c:v>
                </c:pt>
                <c:pt idx="300">
                  <c:v>8.51</c:v>
                </c:pt>
                <c:pt idx="301">
                  <c:v>8.5359999999999996</c:v>
                </c:pt>
                <c:pt idx="302">
                  <c:v>8.5630000000000006</c:v>
                </c:pt>
                <c:pt idx="303">
                  <c:v>8.59</c:v>
                </c:pt>
                <c:pt idx="304">
                  <c:v>8.6159999999999997</c:v>
                </c:pt>
                <c:pt idx="305">
                  <c:v>8.6430000000000007</c:v>
                </c:pt>
                <c:pt idx="306">
                  <c:v>8.67</c:v>
                </c:pt>
                <c:pt idx="307">
                  <c:v>8.6959999999999997</c:v>
                </c:pt>
                <c:pt idx="308">
                  <c:v>8.7230000000000008</c:v>
                </c:pt>
                <c:pt idx="309">
                  <c:v>8.75</c:v>
                </c:pt>
                <c:pt idx="310">
                  <c:v>8.7759999999999998</c:v>
                </c:pt>
                <c:pt idx="311">
                  <c:v>8.8030000000000008</c:v>
                </c:pt>
                <c:pt idx="312">
                  <c:v>8.83</c:v>
                </c:pt>
                <c:pt idx="313">
                  <c:v>8.8559999999999999</c:v>
                </c:pt>
                <c:pt idx="314">
                  <c:v>8.8829999999999991</c:v>
                </c:pt>
                <c:pt idx="315">
                  <c:v>8.91</c:v>
                </c:pt>
                <c:pt idx="316">
                  <c:v>8.9359999999999999</c:v>
                </c:pt>
                <c:pt idx="317">
                  <c:v>8.9629999999999992</c:v>
                </c:pt>
                <c:pt idx="318">
                  <c:v>8.99</c:v>
                </c:pt>
                <c:pt idx="319">
                  <c:v>9.016</c:v>
                </c:pt>
                <c:pt idx="320">
                  <c:v>9.0429999999999993</c:v>
                </c:pt>
                <c:pt idx="321">
                  <c:v>9.07</c:v>
                </c:pt>
                <c:pt idx="322">
                  <c:v>9.0960000000000001</c:v>
                </c:pt>
                <c:pt idx="323">
                  <c:v>9.1229999999999993</c:v>
                </c:pt>
                <c:pt idx="324">
                  <c:v>9.15</c:v>
                </c:pt>
                <c:pt idx="325">
                  <c:v>9.1760000000000002</c:v>
                </c:pt>
                <c:pt idx="326">
                  <c:v>9.2029999999999994</c:v>
                </c:pt>
                <c:pt idx="327">
                  <c:v>9.23</c:v>
                </c:pt>
                <c:pt idx="328">
                  <c:v>9.2560000000000002</c:v>
                </c:pt>
                <c:pt idx="329">
                  <c:v>9.2829999999999995</c:v>
                </c:pt>
                <c:pt idx="330">
                  <c:v>9.31</c:v>
                </c:pt>
                <c:pt idx="331">
                  <c:v>9.3360000000000003</c:v>
                </c:pt>
                <c:pt idx="332">
                  <c:v>9.3629999999999995</c:v>
                </c:pt>
                <c:pt idx="333">
                  <c:v>9.39</c:v>
                </c:pt>
                <c:pt idx="334">
                  <c:v>9.4160000000000004</c:v>
                </c:pt>
                <c:pt idx="335">
                  <c:v>9.4429999999999996</c:v>
                </c:pt>
                <c:pt idx="336">
                  <c:v>9.4700000000000006</c:v>
                </c:pt>
                <c:pt idx="337">
                  <c:v>9.4960000000000004</c:v>
                </c:pt>
                <c:pt idx="338">
                  <c:v>9.5229999999999997</c:v>
                </c:pt>
                <c:pt idx="339">
                  <c:v>9.5500000000000007</c:v>
                </c:pt>
                <c:pt idx="340">
                  <c:v>9.5760000000000005</c:v>
                </c:pt>
                <c:pt idx="341">
                  <c:v>9.6029999999999998</c:v>
                </c:pt>
                <c:pt idx="342">
                  <c:v>9.6300000000000008</c:v>
                </c:pt>
                <c:pt idx="343">
                  <c:v>9.6560000000000006</c:v>
                </c:pt>
                <c:pt idx="344">
                  <c:v>9.6829999999999998</c:v>
                </c:pt>
                <c:pt idx="345">
                  <c:v>9.7100000000000009</c:v>
                </c:pt>
                <c:pt idx="346">
                  <c:v>9.7360000000000007</c:v>
                </c:pt>
                <c:pt idx="347">
                  <c:v>9.7629999999999999</c:v>
                </c:pt>
                <c:pt idx="348">
                  <c:v>9.7899999999999991</c:v>
                </c:pt>
                <c:pt idx="349">
                  <c:v>9.8160000000000007</c:v>
                </c:pt>
                <c:pt idx="350">
                  <c:v>9.843</c:v>
                </c:pt>
                <c:pt idx="351">
                  <c:v>9.8699999999999992</c:v>
                </c:pt>
                <c:pt idx="352">
                  <c:v>9.8960000000000008</c:v>
                </c:pt>
                <c:pt idx="353">
                  <c:v>9.923</c:v>
                </c:pt>
                <c:pt idx="354">
                  <c:v>9.9499999999999993</c:v>
                </c:pt>
                <c:pt idx="355">
                  <c:v>9.9760000000000009</c:v>
                </c:pt>
                <c:pt idx="356">
                  <c:v>10.003</c:v>
                </c:pt>
              </c:numCache>
            </c:numRef>
          </c:xVal>
          <c:yVal>
            <c:numRef>
              <c:f>ChromatogramData!$C$2:$C$10001</c:f>
              <c:numCache>
                <c:formatCode>General</c:formatCode>
                <c:ptCount val="10000"/>
                <c:pt idx="0">
                  <c:v>8.5295637379455371</c:v>
                </c:pt>
                <c:pt idx="1">
                  <c:v>6.7558175911793494</c:v>
                </c:pt>
                <c:pt idx="2">
                  <c:v>5.3757718878512293</c:v>
                </c:pt>
                <c:pt idx="3">
                  <c:v>5.2940999873507781</c:v>
                </c:pt>
                <c:pt idx="4">
                  <c:v>5.9139687706362469</c:v>
                </c:pt>
                <c:pt idx="5">
                  <c:v>6.6029445466528651</c:v>
                </c:pt>
                <c:pt idx="6">
                  <c:v>6.7641941963588827</c:v>
                </c:pt>
                <c:pt idx="7">
                  <c:v>6.6448275725505326</c:v>
                </c:pt>
                <c:pt idx="8">
                  <c:v>6.6741456906788983</c:v>
                </c:pt>
                <c:pt idx="9">
                  <c:v>6.5170843435626482</c:v>
                </c:pt>
                <c:pt idx="10">
                  <c:v>5.7150243976223294</c:v>
                </c:pt>
                <c:pt idx="11">
                  <c:v>4.5841826983853258</c:v>
                </c:pt>
                <c:pt idx="12">
                  <c:v>3.9685022176896236</c:v>
                </c:pt>
                <c:pt idx="13">
                  <c:v>4.3810500227816416</c:v>
                </c:pt>
                <c:pt idx="14">
                  <c:v>6.096159933291097</c:v>
                </c:pt>
                <c:pt idx="15">
                  <c:v>9.2813640528086587</c:v>
                </c:pt>
                <c:pt idx="16">
                  <c:v>13.17020300740702</c:v>
                </c:pt>
                <c:pt idx="17">
                  <c:v>16.384725245052948</c:v>
                </c:pt>
                <c:pt idx="18">
                  <c:v>18.516571263244185</c:v>
                </c:pt>
                <c:pt idx="19">
                  <c:v>19.909181874341606</c:v>
                </c:pt>
                <c:pt idx="20">
                  <c:v>20.681923702153561</c:v>
                </c:pt>
                <c:pt idx="21">
                  <c:v>20.321729679433624</c:v>
                </c:pt>
                <c:pt idx="22">
                  <c:v>18.294591225986551</c:v>
                </c:pt>
                <c:pt idx="23">
                  <c:v>14.849712345903457</c:v>
                </c:pt>
                <c:pt idx="24">
                  <c:v>10.682351269085613</c:v>
                </c:pt>
                <c:pt idx="25">
                  <c:v>6.9275379973597824</c:v>
                </c:pt>
                <c:pt idx="26">
                  <c:v>4.5234523108337097</c:v>
                </c:pt>
                <c:pt idx="27">
                  <c:v>3.4156462758404222</c:v>
                </c:pt>
                <c:pt idx="28">
                  <c:v>2.994721865568871</c:v>
                </c:pt>
                <c:pt idx="29">
                  <c:v>2.8250956106833205</c:v>
                </c:pt>
                <c:pt idx="30">
                  <c:v>2.7182938946442703</c:v>
                </c:pt>
                <c:pt idx="31">
                  <c:v>2.619868783784753</c:v>
                </c:pt>
                <c:pt idx="32">
                  <c:v>2.5256319755150027</c:v>
                </c:pt>
                <c:pt idx="33">
                  <c:v>2.4376776211299025</c:v>
                </c:pt>
                <c:pt idx="34">
                  <c:v>2.3539115693345689</c:v>
                </c:pt>
                <c:pt idx="35">
                  <c:v>2.2659572149494687</c:v>
                </c:pt>
                <c:pt idx="36">
                  <c:v>2.1968502222183184</c:v>
                </c:pt>
                <c:pt idx="37">
                  <c:v>2.1424022885513518</c:v>
                </c:pt>
                <c:pt idx="38">
                  <c:v>2.0837660522946182</c:v>
                </c:pt>
                <c:pt idx="39">
                  <c:v>2.0460713289867178</c:v>
                </c:pt>
                <c:pt idx="40">
                  <c:v>2.0188473621532346</c:v>
                </c:pt>
                <c:pt idx="41">
                  <c:v>2.0000000004992846</c:v>
                </c:pt>
                <c:pt idx="42">
                  <c:v>2.0000000004992846</c:v>
                </c:pt>
                <c:pt idx="43">
                  <c:v>2.0062824543839346</c:v>
                </c:pt>
                <c:pt idx="44">
                  <c:v>2.0167532108583512</c:v>
                </c:pt>
                <c:pt idx="45">
                  <c:v>2.0376947238071845</c:v>
                </c:pt>
                <c:pt idx="46">
                  <c:v>2.0628245393457849</c:v>
                </c:pt>
                <c:pt idx="47">
                  <c:v>2.0795777497048515</c:v>
                </c:pt>
                <c:pt idx="48">
                  <c:v>2.1047075652434515</c:v>
                </c:pt>
                <c:pt idx="49">
                  <c:v>2.1444964398462352</c:v>
                </c:pt>
                <c:pt idx="50">
                  <c:v>2.1842853144490184</c:v>
                </c:pt>
                <c:pt idx="51">
                  <c:v>2.2429215507057521</c:v>
                </c:pt>
                <c:pt idx="52">
                  <c:v>2.3057460895522519</c:v>
                </c:pt>
                <c:pt idx="53">
                  <c:v>2.3769472335782855</c:v>
                </c:pt>
                <c:pt idx="54">
                  <c:v>2.4649015879633862</c:v>
                </c:pt>
                <c:pt idx="55">
                  <c:v>2.5800799091819697</c:v>
                </c:pt>
                <c:pt idx="56">
                  <c:v>2.6973523816954366</c:v>
                </c:pt>
                <c:pt idx="57">
                  <c:v>2.8209073080935538</c:v>
                </c:pt>
                <c:pt idx="58">
                  <c:v>2.9842511090944543</c:v>
                </c:pt>
                <c:pt idx="59">
                  <c:v>3.1538773639800048</c:v>
                </c:pt>
                <c:pt idx="60">
                  <c:v>3.2669615339037055</c:v>
                </c:pt>
                <c:pt idx="61">
                  <c:v>3.3381626779297386</c:v>
                </c:pt>
                <c:pt idx="62">
                  <c:v>3.382139855122289</c:v>
                </c:pt>
                <c:pt idx="63">
                  <c:v>3.3674807960581052</c:v>
                </c:pt>
                <c:pt idx="64">
                  <c:v>3.357010039583689</c:v>
                </c:pt>
                <c:pt idx="65">
                  <c:v>3.4009872167762394</c:v>
                </c:pt>
                <c:pt idx="66">
                  <c:v>3.4784708146869225</c:v>
                </c:pt>
                <c:pt idx="67">
                  <c:v>3.5538602613027228</c:v>
                </c:pt>
                <c:pt idx="68">
                  <c:v>3.6208731027389893</c:v>
                </c:pt>
                <c:pt idx="69">
                  <c:v>3.7109216084189729</c:v>
                </c:pt>
                <c:pt idx="70">
                  <c:v>3.7988759628040736</c:v>
                </c:pt>
                <c:pt idx="71">
                  <c:v>3.9014893762533571</c:v>
                </c:pt>
                <c:pt idx="72">
                  <c:v>4.012479394882174</c:v>
                </c:pt>
                <c:pt idx="73">
                  <c:v>4.1234694135109908</c:v>
                </c:pt>
                <c:pt idx="74">
                  <c:v>4.5674294880262591</c:v>
                </c:pt>
                <c:pt idx="75">
                  <c:v>5.4365022754028445</c:v>
                </c:pt>
                <c:pt idx="76">
                  <c:v>5.9349102835850802</c:v>
                </c:pt>
                <c:pt idx="77">
                  <c:v>5.6145051354679296</c:v>
                </c:pt>
                <c:pt idx="78">
                  <c:v>4.9360001159257276</c:v>
                </c:pt>
                <c:pt idx="79">
                  <c:v>4.6323481781676428</c:v>
                </c:pt>
                <c:pt idx="80">
                  <c:v>4.5674294880262591</c:v>
                </c:pt>
                <c:pt idx="81">
                  <c:v>4.5255464621285917</c:v>
                </c:pt>
                <c:pt idx="82">
                  <c:v>4.4522511668076756</c:v>
                </c:pt>
                <c:pt idx="83">
                  <c:v>4.4166505947946586</c:v>
                </c:pt>
                <c:pt idx="84">
                  <c:v>4.435497956448609</c:v>
                </c:pt>
                <c:pt idx="85">
                  <c:v>4.4773809823462756</c:v>
                </c:pt>
                <c:pt idx="86">
                  <c:v>4.6365364807574085</c:v>
                </c:pt>
                <c:pt idx="87">
                  <c:v>4.8480457615406269</c:v>
                </c:pt>
                <c:pt idx="88">
                  <c:v>4.9485650236950267</c:v>
                </c:pt>
                <c:pt idx="89">
                  <c:v>4.8941170900280602</c:v>
                </c:pt>
                <c:pt idx="90">
                  <c:v>4.822915946002027</c:v>
                </c:pt>
                <c:pt idx="91">
                  <c:v>4.8040685843480766</c:v>
                </c:pt>
                <c:pt idx="92">
                  <c:v>4.8627048206048098</c:v>
                </c:pt>
                <c:pt idx="93">
                  <c:v>4.7935978278736595</c:v>
                </c:pt>
                <c:pt idx="94">
                  <c:v>4.6407247833471761</c:v>
                </c:pt>
                <c:pt idx="95">
                  <c:v>4.5339230673081259</c:v>
                </c:pt>
                <c:pt idx="96">
                  <c:v>4.5506762776671925</c:v>
                </c:pt>
                <c:pt idx="97">
                  <c:v>4.6888902631294931</c:v>
                </c:pt>
                <c:pt idx="98">
                  <c:v>4.9485650236950267</c:v>
                </c:pt>
                <c:pt idx="99">
                  <c:v>5.210333935555445</c:v>
                </c:pt>
                <c:pt idx="100">
                  <c:v>5.501420965544229</c:v>
                </c:pt>
                <c:pt idx="101">
                  <c:v>5.7464366670455798</c:v>
                </c:pt>
                <c:pt idx="102">
                  <c:v>5.8616149882641633</c:v>
                </c:pt>
                <c:pt idx="103">
                  <c:v>5.7171185489172132</c:v>
                </c:pt>
                <c:pt idx="104">
                  <c:v>5.4009017033898292</c:v>
                </c:pt>
                <c:pt idx="105">
                  <c:v>5.0700257987982607</c:v>
                </c:pt>
                <c:pt idx="106">
                  <c:v>4.8564223667201603</c:v>
                </c:pt>
                <c:pt idx="107">
                  <c:v>4.9695065366438609</c:v>
                </c:pt>
                <c:pt idx="108">
                  <c:v>5.3841484930307626</c:v>
                </c:pt>
                <c:pt idx="109">
                  <c:v>5.8762740473283461</c:v>
                </c:pt>
                <c:pt idx="110">
                  <c:v>6.3788703581003476</c:v>
                </c:pt>
                <c:pt idx="111">
                  <c:v>7.0699402854118496</c:v>
                </c:pt>
                <c:pt idx="112">
                  <c:v>7.6479260427996518</c:v>
                </c:pt>
                <c:pt idx="113">
                  <c:v>7.754727758838702</c:v>
                </c:pt>
                <c:pt idx="114">
                  <c:v>7.2667905071308843</c:v>
                </c:pt>
                <c:pt idx="115">
                  <c:v>6.3893411145747647</c:v>
                </c:pt>
                <c:pt idx="116">
                  <c:v>5.6124109841730458</c:v>
                </c:pt>
                <c:pt idx="117">
                  <c:v>5.1789216661321946</c:v>
                </c:pt>
                <c:pt idx="118">
                  <c:v>5.0679316475033769</c:v>
                </c:pt>
                <c:pt idx="119">
                  <c:v>5.1454152454140614</c:v>
                </c:pt>
                <c:pt idx="120">
                  <c:v>5.2794409282865953</c:v>
                </c:pt>
                <c:pt idx="121">
                  <c:v>6.3223282731384982</c:v>
                </c:pt>
                <c:pt idx="122">
                  <c:v>7.1830244553355502</c:v>
                </c:pt>
                <c:pt idx="123">
                  <c:v>7.3589331641057516</c:v>
                </c:pt>
                <c:pt idx="124">
                  <c:v>6.6846164471533163</c:v>
                </c:pt>
                <c:pt idx="125">
                  <c:v>6.0396178483292466</c:v>
                </c:pt>
                <c:pt idx="126">
                  <c:v>5.9432868887646144</c:v>
                </c:pt>
                <c:pt idx="127">
                  <c:v>5.767378179994413</c:v>
                </c:pt>
                <c:pt idx="128">
                  <c:v>5.501420965544229</c:v>
                </c:pt>
                <c:pt idx="129">
                  <c:v>5.3883367956205284</c:v>
                </c:pt>
                <c:pt idx="130">
                  <c:v>5.6898945820837294</c:v>
                </c:pt>
                <c:pt idx="131">
                  <c:v>6.542214159101249</c:v>
                </c:pt>
                <c:pt idx="132">
                  <c:v>7.1327648242583503</c:v>
                </c:pt>
                <c:pt idx="133">
                  <c:v>7.1641770936815998</c:v>
                </c:pt>
                <c:pt idx="134">
                  <c:v>6.4961428306138149</c:v>
                </c:pt>
                <c:pt idx="135">
                  <c:v>5.7275893053916294</c:v>
                </c:pt>
                <c:pt idx="136">
                  <c:v>5.501420965544229</c:v>
                </c:pt>
                <c:pt idx="137">
                  <c:v>5.5265507810828289</c:v>
                </c:pt>
                <c:pt idx="138">
                  <c:v>5.4700086961209795</c:v>
                </c:pt>
                <c:pt idx="139">
                  <c:v>5.4741969987107453</c:v>
                </c:pt>
                <c:pt idx="140">
                  <c:v>5.4218432163386616</c:v>
                </c:pt>
                <c:pt idx="141">
                  <c:v>5.3673952826716951</c:v>
                </c:pt>
                <c:pt idx="142">
                  <c:v>5.7401542131609293</c:v>
                </c:pt>
                <c:pt idx="143">
                  <c:v>12.125221511260232</c:v>
                </c:pt>
                <c:pt idx="144">
                  <c:v>22.445199092445332</c:v>
                </c:pt>
                <c:pt idx="145">
                  <c:v>31.803961229278976</c:v>
                </c:pt>
                <c:pt idx="146">
                  <c:v>40.140777534209555</c:v>
                </c:pt>
                <c:pt idx="147">
                  <c:v>36.444600498740456</c:v>
                </c:pt>
                <c:pt idx="148">
                  <c:v>23.289142064283318</c:v>
                </c:pt>
                <c:pt idx="149">
                  <c:v>12.851892010584752</c:v>
                </c:pt>
                <c:pt idx="150">
                  <c:v>9.0133126870635891</c:v>
                </c:pt>
                <c:pt idx="151">
                  <c:v>8.0144025194042356</c:v>
                </c:pt>
                <c:pt idx="152">
                  <c:v>7.4908646956834009</c:v>
                </c:pt>
                <c:pt idx="153">
                  <c:v>6.9945508387960498</c:v>
                </c:pt>
                <c:pt idx="154">
                  <c:v>6.6490158751402983</c:v>
                </c:pt>
                <c:pt idx="155">
                  <c:v>6.3830586606901143</c:v>
                </c:pt>
                <c:pt idx="156">
                  <c:v>6.4437890482417322</c:v>
                </c:pt>
                <c:pt idx="157">
                  <c:v>6.5443083103961319</c:v>
                </c:pt>
                <c:pt idx="158">
                  <c:v>6.4249416865877818</c:v>
                </c:pt>
                <c:pt idx="159">
                  <c:v>6.0375236970343638</c:v>
                </c:pt>
                <c:pt idx="160">
                  <c:v>5.5705279582753793</c:v>
                </c:pt>
                <c:pt idx="161">
                  <c:v>5.321323954184261</c:v>
                </c:pt>
                <c:pt idx="162">
                  <c:v>5.2731584744019449</c:v>
                </c:pt>
                <c:pt idx="163">
                  <c:v>5.5244566297879452</c:v>
                </c:pt>
                <c:pt idx="164">
                  <c:v>5.8385793240204453</c:v>
                </c:pt>
                <c:pt idx="165">
                  <c:v>5.9118746193413632</c:v>
                </c:pt>
                <c:pt idx="166">
                  <c:v>5.729683456686514</c:v>
                </c:pt>
                <c:pt idx="167">
                  <c:v>5.5035151168391128</c:v>
                </c:pt>
                <c:pt idx="168">
                  <c:v>5.379960190440995</c:v>
                </c:pt>
                <c:pt idx="169">
                  <c:v>5.4218432163386616</c:v>
                </c:pt>
                <c:pt idx="170">
                  <c:v>5.4679145448260957</c:v>
                </c:pt>
                <c:pt idx="171">
                  <c:v>5.5265507810828289</c:v>
                </c:pt>
                <c:pt idx="172">
                  <c:v>5.9998289737264638</c:v>
                </c:pt>
                <c:pt idx="173">
                  <c:v>6.88146666887235</c:v>
                </c:pt>
                <c:pt idx="174">
                  <c:v>6.9987391413858164</c:v>
                </c:pt>
                <c:pt idx="175">
                  <c:v>7.4280401568369019</c:v>
                </c:pt>
                <c:pt idx="176">
                  <c:v>7.3735922231699345</c:v>
                </c:pt>
                <c:pt idx="177">
                  <c:v>6.6008503953579822</c:v>
                </c:pt>
                <c:pt idx="178">
                  <c:v>5.9935465198418143</c:v>
                </c:pt>
                <c:pt idx="179">
                  <c:v>5.81554365977673</c:v>
                </c:pt>
                <c:pt idx="180">
                  <c:v>5.6019402276986288</c:v>
                </c:pt>
                <c:pt idx="181">
                  <c:v>5.2794409282865953</c:v>
                </c:pt>
                <c:pt idx="182">
                  <c:v>5.369489433966578</c:v>
                </c:pt>
                <c:pt idx="183">
                  <c:v>5.7548132722251131</c:v>
                </c:pt>
                <c:pt idx="184">
                  <c:v>15.283201663944309</c:v>
                </c:pt>
                <c:pt idx="185">
                  <c:v>30.564223662708038</c:v>
                </c:pt>
                <c:pt idx="186">
                  <c:v>33.125370696350359</c:v>
                </c:pt>
                <c:pt idx="187">
                  <c:v>23.192811104718682</c:v>
                </c:pt>
                <c:pt idx="188">
                  <c:v>11.210077395396214</c:v>
                </c:pt>
                <c:pt idx="189">
                  <c:v>6.2176207083943309</c:v>
                </c:pt>
                <c:pt idx="190">
                  <c:v>4.9988246547722266</c:v>
                </c:pt>
                <c:pt idx="191">
                  <c:v>4.9632240827592105</c:v>
                </c:pt>
                <c:pt idx="192">
                  <c:v>4.9988246547722266</c:v>
                </c:pt>
                <c:pt idx="193">
                  <c:v>4.9883538982978104</c:v>
                </c:pt>
                <c:pt idx="194">
                  <c:v>4.9590357801694438</c:v>
                </c:pt>
                <c:pt idx="195">
                  <c:v>4.9066819977973601</c:v>
                </c:pt>
                <c:pt idx="196">
                  <c:v>4.9255293594513105</c:v>
                </c:pt>
                <c:pt idx="197">
                  <c:v>5.0134837138364112</c:v>
                </c:pt>
                <c:pt idx="198">
                  <c:v>5.0260486216057103</c:v>
                </c:pt>
                <c:pt idx="199">
                  <c:v>4.9632240827592105</c:v>
                </c:pt>
                <c:pt idx="200">
                  <c:v>4.8689872744894593</c:v>
                </c:pt>
                <c:pt idx="201">
                  <c:v>4.8271042485917928</c:v>
                </c:pt>
                <c:pt idx="202">
                  <c:v>4.8019744330531928</c:v>
                </c:pt>
                <c:pt idx="203">
                  <c:v>4.7768446175145929</c:v>
                </c:pt>
                <c:pt idx="204">
                  <c:v>4.8312925511815603</c:v>
                </c:pt>
                <c:pt idx="205">
                  <c:v>4.9255293594513105</c:v>
                </c:pt>
                <c:pt idx="206">
                  <c:v>4.9171527542717772</c:v>
                </c:pt>
                <c:pt idx="207">
                  <c:v>4.8312925511815603</c:v>
                </c:pt>
                <c:pt idx="208">
                  <c:v>4.7831270713992424</c:v>
                </c:pt>
                <c:pt idx="209">
                  <c:v>4.7998802817583099</c:v>
                </c:pt>
                <c:pt idx="210">
                  <c:v>4.822915946002027</c:v>
                </c:pt>
                <c:pt idx="211">
                  <c:v>4.8354808537713261</c:v>
                </c:pt>
                <c:pt idx="212">
                  <c:v>4.8082568869378433</c:v>
                </c:pt>
                <c:pt idx="213">
                  <c:v>4.7831270713992424</c:v>
                </c:pt>
                <c:pt idx="214">
                  <c:v>4.7831270713992424</c:v>
                </c:pt>
                <c:pt idx="215">
                  <c:v>4.78731537398901</c:v>
                </c:pt>
                <c:pt idx="216">
                  <c:v>4.8208217947071432</c:v>
                </c:pt>
                <c:pt idx="217">
                  <c:v>4.8354808537713261</c:v>
                </c:pt>
                <c:pt idx="218">
                  <c:v>4.8417633076559765</c:v>
                </c:pt>
                <c:pt idx="219">
                  <c:v>4.8375750050662099</c:v>
                </c:pt>
                <c:pt idx="220">
                  <c:v>4.8647989718996936</c:v>
                </c:pt>
                <c:pt idx="221">
                  <c:v>4.8857404848485269</c:v>
                </c:pt>
                <c:pt idx="222">
                  <c:v>4.8794580309638764</c:v>
                </c:pt>
                <c:pt idx="223">
                  <c:v>4.8480457615406269</c:v>
                </c:pt>
                <c:pt idx="224">
                  <c:v>4.8312925511815603</c:v>
                </c:pt>
                <c:pt idx="225">
                  <c:v>4.8480457615406269</c:v>
                </c:pt>
                <c:pt idx="226">
                  <c:v>4.9045878465024773</c:v>
                </c:pt>
                <c:pt idx="227">
                  <c:v>4.9695065366438609</c:v>
                </c:pt>
                <c:pt idx="228">
                  <c:v>4.9841655957080437</c:v>
                </c:pt>
                <c:pt idx="229">
                  <c:v>4.9213410568615439</c:v>
                </c:pt>
                <c:pt idx="230">
                  <c:v>4.8689872744894593</c:v>
                </c:pt>
                <c:pt idx="231">
                  <c:v>4.8522340641303927</c:v>
                </c:pt>
                <c:pt idx="232">
                  <c:v>4.8396691563610936</c:v>
                </c:pt>
                <c:pt idx="233">
                  <c:v>4.8396691563610936</c:v>
                </c:pt>
                <c:pt idx="234">
                  <c:v>4.8417633076559765</c:v>
                </c:pt>
                <c:pt idx="235">
                  <c:v>4.8480457615406269</c:v>
                </c:pt>
                <c:pt idx="236">
                  <c:v>4.8585165180150431</c:v>
                </c:pt>
                <c:pt idx="237">
                  <c:v>4.8543282154252765</c:v>
                </c:pt>
                <c:pt idx="238">
                  <c:v>4.8857404848485269</c:v>
                </c:pt>
                <c:pt idx="239">
                  <c:v>4.9150586029768935</c:v>
                </c:pt>
                <c:pt idx="240">
                  <c:v>4.9255293594513105</c:v>
                </c:pt>
                <c:pt idx="241">
                  <c:v>4.9506591749899105</c:v>
                </c:pt>
                <c:pt idx="242">
                  <c:v>4.9527533262847943</c:v>
                </c:pt>
                <c:pt idx="243">
                  <c:v>4.9967305034773446</c:v>
                </c:pt>
                <c:pt idx="244">
                  <c:v>5.0867790091573273</c:v>
                </c:pt>
                <c:pt idx="245">
                  <c:v>5.1035322195163939</c:v>
                </c:pt>
                <c:pt idx="246">
                  <c:v>5.0909673117470948</c:v>
                </c:pt>
                <c:pt idx="247">
                  <c:v>4.9904480495926933</c:v>
                </c:pt>
                <c:pt idx="248">
                  <c:v>4.9464708724001438</c:v>
                </c:pt>
                <c:pt idx="249">
                  <c:v>4.9297176620410772</c:v>
                </c:pt>
                <c:pt idx="250">
                  <c:v>4.9464708724001438</c:v>
                </c:pt>
                <c:pt idx="251">
                  <c:v>4.9674123853489771</c:v>
                </c:pt>
                <c:pt idx="252">
                  <c:v>4.9716006879387438</c:v>
                </c:pt>
                <c:pt idx="253">
                  <c:v>4.9674123853489771</c:v>
                </c:pt>
                <c:pt idx="254">
                  <c:v>4.9632240827592105</c:v>
                </c:pt>
                <c:pt idx="255">
                  <c:v>4.9757889905285104</c:v>
                </c:pt>
                <c:pt idx="256">
                  <c:v>5.0281427729005941</c:v>
                </c:pt>
                <c:pt idx="257">
                  <c:v>5.0742141013880273</c:v>
                </c:pt>
                <c:pt idx="258">
                  <c:v>5.0888731604522102</c:v>
                </c:pt>
                <c:pt idx="259">
                  <c:v>5.0721199500931444</c:v>
                </c:pt>
                <c:pt idx="260">
                  <c:v>5.0637433449136111</c:v>
                </c:pt>
                <c:pt idx="261">
                  <c:v>5.0595550423238436</c:v>
                </c:pt>
                <c:pt idx="262">
                  <c:v>5.114002975990811</c:v>
                </c:pt>
                <c:pt idx="263">
                  <c:v>5.1349444889396434</c:v>
                </c:pt>
                <c:pt idx="264">
                  <c:v>5.1516976992987109</c:v>
                </c:pt>
                <c:pt idx="265">
                  <c:v>5.1726392122475442</c:v>
                </c:pt>
                <c:pt idx="266">
                  <c:v>5.1328503376447614</c:v>
                </c:pt>
                <c:pt idx="267">
                  <c:v>5.1244737324652281</c:v>
                </c:pt>
                <c:pt idx="268">
                  <c:v>5.1014380682215101</c:v>
                </c:pt>
                <c:pt idx="269">
                  <c:v>5.0825907065675615</c:v>
                </c:pt>
                <c:pt idx="270">
                  <c:v>5.0616491936187273</c:v>
                </c:pt>
                <c:pt idx="271">
                  <c:v>5.0407076806698941</c:v>
                </c:pt>
                <c:pt idx="272">
                  <c:v>5.0407076806698941</c:v>
                </c:pt>
                <c:pt idx="273">
                  <c:v>5.0595550423238436</c:v>
                </c:pt>
                <c:pt idx="274">
                  <c:v>5.0763082526829102</c:v>
                </c:pt>
                <c:pt idx="275">
                  <c:v>5.1035322195163939</c:v>
                </c:pt>
                <c:pt idx="276">
                  <c:v>5.1119088246959272</c:v>
                </c:pt>
                <c:pt idx="277">
                  <c:v>5.1056263708112777</c:v>
                </c:pt>
                <c:pt idx="278">
                  <c:v>5.1223795811703443</c:v>
                </c:pt>
                <c:pt idx="279">
                  <c:v>5.1475093967089443</c:v>
                </c:pt>
                <c:pt idx="280">
                  <c:v>5.1977690277861441</c:v>
                </c:pt>
                <c:pt idx="281">
                  <c:v>5.2208046920298612</c:v>
                </c:pt>
                <c:pt idx="282">
                  <c:v>5.2208046920298612</c:v>
                </c:pt>
                <c:pt idx="283">
                  <c:v>5.2082397842605612</c:v>
                </c:pt>
                <c:pt idx="284">
                  <c:v>5.1810158174270775</c:v>
                </c:pt>
                <c:pt idx="285">
                  <c:v>5.1579801531833613</c:v>
                </c:pt>
                <c:pt idx="286">
                  <c:v>5.1579801531833613</c:v>
                </c:pt>
                <c:pt idx="287">
                  <c:v>5.1579801531833613</c:v>
                </c:pt>
                <c:pt idx="288">
                  <c:v>5.1642626070680109</c:v>
                </c:pt>
                <c:pt idx="289">
                  <c:v>5.1852041200168442</c:v>
                </c:pt>
                <c:pt idx="290">
                  <c:v>5.2124280868503279</c:v>
                </c:pt>
                <c:pt idx="291">
                  <c:v>5.2312754485042783</c:v>
                </c:pt>
                <c:pt idx="292">
                  <c:v>5.248028658863344</c:v>
                </c:pt>
                <c:pt idx="293">
                  <c:v>5.2689701718121782</c:v>
                </c:pt>
                <c:pt idx="294">
                  <c:v>5.3129473490047285</c:v>
                </c:pt>
                <c:pt idx="295">
                  <c:v>5.3276064080689114</c:v>
                </c:pt>
                <c:pt idx="296">
                  <c:v>5.344359618427978</c:v>
                </c:pt>
                <c:pt idx="297">
                  <c:v>5.3548303749023951</c:v>
                </c:pt>
                <c:pt idx="298">
                  <c:v>5.3276064080689114</c:v>
                </c:pt>
                <c:pt idx="299">
                  <c:v>5.3255122567740285</c:v>
                </c:pt>
                <c:pt idx="300">
                  <c:v>5.3380771645433285</c:v>
                </c:pt>
                <c:pt idx="301">
                  <c:v>5.3632069800819284</c:v>
                </c:pt>
                <c:pt idx="302">
                  <c:v>5.3757718878512293</c:v>
                </c:pt>
                <c:pt idx="303">
                  <c:v>5.3925250982102959</c:v>
                </c:pt>
                <c:pt idx="304">
                  <c:v>5.4176549137488959</c:v>
                </c:pt>
                <c:pt idx="305">
                  <c:v>5.4260315189284292</c:v>
                </c:pt>
                <c:pt idx="306">
                  <c:v>5.4344081241079625</c:v>
                </c:pt>
                <c:pt idx="307">
                  <c:v>5.4490671831721453</c:v>
                </c:pt>
                <c:pt idx="308">
                  <c:v>5.4574437883516786</c:v>
                </c:pt>
                <c:pt idx="309">
                  <c:v>5.4490671831721453</c:v>
                </c:pt>
                <c:pt idx="310">
                  <c:v>5.4427847292874958</c:v>
                </c:pt>
                <c:pt idx="311">
                  <c:v>5.4553496370567949</c:v>
                </c:pt>
                <c:pt idx="312">
                  <c:v>5.476291150005629</c:v>
                </c:pt>
                <c:pt idx="313">
                  <c:v>5.5097975707237623</c:v>
                </c:pt>
                <c:pt idx="314">
                  <c:v>5.5474922940316622</c:v>
                </c:pt>
                <c:pt idx="315">
                  <c:v>5.5830928660446784</c:v>
                </c:pt>
                <c:pt idx="316">
                  <c:v>5.6040343789935125</c:v>
                </c:pt>
                <c:pt idx="317">
                  <c:v>5.6249758919423458</c:v>
                </c:pt>
                <c:pt idx="318">
                  <c:v>5.6333524971218791</c:v>
                </c:pt>
                <c:pt idx="319">
                  <c:v>5.6521998587758286</c:v>
                </c:pt>
                <c:pt idx="320">
                  <c:v>5.6773296743144286</c:v>
                </c:pt>
                <c:pt idx="321">
                  <c:v>5.708741943737679</c:v>
                </c:pt>
                <c:pt idx="322">
                  <c:v>5.7631898774046473</c:v>
                </c:pt>
                <c:pt idx="323">
                  <c:v>5.7966962981227805</c:v>
                </c:pt>
                <c:pt idx="324">
                  <c:v>5.82810856754603</c:v>
                </c:pt>
                <c:pt idx="325">
                  <c:v>5.8595208369692795</c:v>
                </c:pt>
                <c:pt idx="326">
                  <c:v>5.8658032908539308</c:v>
                </c:pt>
                <c:pt idx="327">
                  <c:v>5.8783681986232299</c:v>
                </c:pt>
                <c:pt idx="328">
                  <c:v>5.8972155602771803</c:v>
                </c:pt>
                <c:pt idx="329">
                  <c:v>5.9202512245208965</c:v>
                </c:pt>
                <c:pt idx="330">
                  <c:v>5.9474751913543802</c:v>
                </c:pt>
                <c:pt idx="331">
                  <c:v>5.9726050068929801</c:v>
                </c:pt>
                <c:pt idx="332">
                  <c:v>5.9998289737264638</c:v>
                </c:pt>
                <c:pt idx="333">
                  <c:v>6.0270529405599476</c:v>
                </c:pt>
                <c:pt idx="334">
                  <c:v>6.0647476638678475</c:v>
                </c:pt>
                <c:pt idx="335">
                  <c:v>6.1024423871757474</c:v>
                </c:pt>
                <c:pt idx="336">
                  <c:v>6.1443254130734148</c:v>
                </c:pt>
                <c:pt idx="337">
                  <c:v>6.2008674980352634</c:v>
                </c:pt>
                <c:pt idx="338">
                  <c:v>6.2657861881766479</c:v>
                </c:pt>
                <c:pt idx="339">
                  <c:v>6.3516463912668639</c:v>
                </c:pt>
                <c:pt idx="340">
                  <c:v>6.4081884762287151</c:v>
                </c:pt>
                <c:pt idx="341">
                  <c:v>6.458448107305915</c:v>
                </c:pt>
                <c:pt idx="342">
                  <c:v>6.494048679318932</c:v>
                </c:pt>
                <c:pt idx="343">
                  <c:v>6.5087077383831158</c:v>
                </c:pt>
                <c:pt idx="344">
                  <c:v>6.5484966129858986</c:v>
                </c:pt>
                <c:pt idx="345">
                  <c:v>6.6050386979477489</c:v>
                </c:pt>
                <c:pt idx="346">
                  <c:v>6.6762398419737821</c:v>
                </c:pt>
                <c:pt idx="347">
                  <c:v>6.7369702295253999</c:v>
                </c:pt>
                <c:pt idx="348">
                  <c:v>6.7767591041281827</c:v>
                </c:pt>
                <c:pt idx="349">
                  <c:v>6.8207362813207331</c:v>
                </c:pt>
                <c:pt idx="350">
                  <c:v>6.8898432740518825</c:v>
                </c:pt>
                <c:pt idx="351">
                  <c:v>6.9966449900909344</c:v>
                </c:pt>
                <c:pt idx="352">
                  <c:v>7.0552812263476667</c:v>
                </c:pt>
                <c:pt idx="353">
                  <c:v>7.0657519828220838</c:v>
                </c:pt>
                <c:pt idx="354">
                  <c:v>7.0552812263476667</c:v>
                </c:pt>
                <c:pt idx="355">
                  <c:v>7.0825051931811505</c:v>
                </c:pt>
                <c:pt idx="356">
                  <c:v>7.1139174626044008</c:v>
                </c:pt>
              </c:numCache>
            </c:numRef>
          </c:yVal>
          <c:smooth val="1"/>
          <c:extLst>
            <c:ext xmlns:c16="http://schemas.microsoft.com/office/drawing/2014/chart" uri="{C3380CC4-5D6E-409C-BE32-E72D297353CC}">
              <c16:uniqueId val="{00000001-E192-4130-B7D2-7905CBA103B5}"/>
            </c:ext>
          </c:extLst>
        </c:ser>
        <c:ser>
          <c:idx val="4"/>
          <c:order val="4"/>
          <c:tx>
            <c:v>Labels</c:v>
          </c:tx>
          <c:spPr>
            <a:ln w="19050" cap="rnd">
              <a:noFill/>
              <a:round/>
            </a:ln>
            <a:effectLst/>
          </c:spPr>
          <c:marker>
            <c:symbol val="none"/>
          </c:marker>
          <c:dLbls>
            <c:dLbl>
              <c:idx val="0"/>
              <c:tx>
                <c:rich>
                  <a:bodyPr/>
                  <a:lstStyle/>
                  <a:p>
                    <a:fld id="{E9F23165-D502-43FB-A1B8-FE1F7FC7944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E696-41D5-AD12-D1E57AB86141}"/>
                </c:ext>
              </c:extLst>
            </c:dLbl>
            <c:dLbl>
              <c:idx val="1"/>
              <c:tx>
                <c:rich>
                  <a:bodyPr/>
                  <a:lstStyle/>
                  <a:p>
                    <a:fld id="{58DD585E-BB3D-4A6C-B63D-80ECF9B93AB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E696-41D5-AD12-D1E57AB86141}"/>
                </c:ext>
              </c:extLst>
            </c:dLbl>
            <c:dLbl>
              <c:idx val="2"/>
              <c:tx>
                <c:rich>
                  <a:bodyPr/>
                  <a:lstStyle/>
                  <a:p>
                    <a:fld id="{8F237E8D-22C4-47F0-A31B-11762D795031}"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E696-41D5-AD12-D1E57AB86141}"/>
                </c:ext>
              </c:extLst>
            </c:dLbl>
            <c:dLbl>
              <c:idx val="3"/>
              <c:tx>
                <c:rich>
                  <a:bodyPr/>
                  <a:lstStyle/>
                  <a:p>
                    <a:fld id="{577DA3C3-E925-4855-BBD9-668E33581C4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E696-41D5-AD12-D1E57AB86141}"/>
                </c:ext>
              </c:extLst>
            </c:dLbl>
            <c:dLbl>
              <c:idx val="4"/>
              <c:tx>
                <c:rich>
                  <a:bodyPr/>
                  <a:lstStyle/>
                  <a:p>
                    <a:fld id="{A5D2B2CB-F87A-4B0E-82D1-8C9494760C2D}"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E696-41D5-AD12-D1E57AB86141}"/>
                </c:ext>
              </c:extLst>
            </c:dLbl>
            <c:dLbl>
              <c:idx val="5"/>
              <c:tx>
                <c:rich>
                  <a:bodyPr/>
                  <a:lstStyle/>
                  <a:p>
                    <a:fld id="{3842A78C-88F2-4165-9125-3838EBC028E5}"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E696-41D5-AD12-D1E57AB86141}"/>
                </c:ext>
              </c:extLst>
            </c:dLbl>
            <c:dLbl>
              <c:idx val="6"/>
              <c:tx>
                <c:rich>
                  <a:bodyPr/>
                  <a:lstStyle/>
                  <a:p>
                    <a:fld id="{2242EB6A-B799-4161-BF55-FB5DBED59EA8}"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E696-41D5-AD12-D1E57AB86141}"/>
                </c:ext>
              </c:extLst>
            </c:dLbl>
            <c:dLbl>
              <c:idx val="7"/>
              <c:tx>
                <c:rich>
                  <a:bodyPr/>
                  <a:lstStyle/>
                  <a:p>
                    <a:fld id="{F6EB3334-E58E-4BC8-AF28-78426197C7C2}" type="CELLRANGE">
                      <a:rPr lang="en-AU"/>
                      <a:pPr/>
                      <a:t>[CELLRANGE]</a:t>
                    </a:fld>
                    <a:endParaRPr lang="en-AU"/>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E696-41D5-AD12-D1E57AB86141}"/>
                </c:ext>
              </c:extLst>
            </c:dLbl>
            <c:dLbl>
              <c:idx val="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8-E696-41D5-AD12-D1E57AB86141}"/>
                </c:ext>
              </c:extLst>
            </c:dLbl>
            <c:dLbl>
              <c:idx val="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9-E696-41D5-AD12-D1E57AB86141}"/>
                </c:ext>
              </c:extLst>
            </c:dLbl>
            <c:dLbl>
              <c:idx val="1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A-E696-41D5-AD12-D1E57AB86141}"/>
                </c:ext>
              </c:extLst>
            </c:dLbl>
            <c:dLbl>
              <c:idx val="1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B-E696-41D5-AD12-D1E57AB86141}"/>
                </c:ext>
              </c:extLst>
            </c:dLbl>
            <c:dLbl>
              <c:idx val="1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C-E696-41D5-AD12-D1E57AB86141}"/>
                </c:ext>
              </c:extLst>
            </c:dLbl>
            <c:dLbl>
              <c:idx val="1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D-E696-41D5-AD12-D1E57AB86141}"/>
                </c:ext>
              </c:extLst>
            </c:dLbl>
            <c:dLbl>
              <c:idx val="1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E-E696-41D5-AD12-D1E57AB86141}"/>
                </c:ext>
              </c:extLst>
            </c:dLbl>
            <c:dLbl>
              <c:idx val="1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F-E696-41D5-AD12-D1E57AB86141}"/>
                </c:ext>
              </c:extLst>
            </c:dLbl>
            <c:dLbl>
              <c:idx val="1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0-E696-41D5-AD12-D1E57AB86141}"/>
                </c:ext>
              </c:extLst>
            </c:dLbl>
            <c:dLbl>
              <c:idx val="1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1-E696-41D5-AD12-D1E57AB86141}"/>
                </c:ext>
              </c:extLst>
            </c:dLbl>
            <c:dLbl>
              <c:idx val="1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2-E696-41D5-AD12-D1E57AB86141}"/>
                </c:ext>
              </c:extLst>
            </c:dLbl>
            <c:dLbl>
              <c:idx val="1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3-E696-41D5-AD12-D1E57AB86141}"/>
                </c:ext>
              </c:extLst>
            </c:dLbl>
            <c:dLbl>
              <c:idx val="2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4-E696-41D5-AD12-D1E57AB86141}"/>
                </c:ext>
              </c:extLst>
            </c:dLbl>
            <c:dLbl>
              <c:idx val="2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5-E696-41D5-AD12-D1E57AB86141}"/>
                </c:ext>
              </c:extLst>
            </c:dLbl>
            <c:dLbl>
              <c:idx val="2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6-E696-41D5-AD12-D1E57AB86141}"/>
                </c:ext>
              </c:extLst>
            </c:dLbl>
            <c:dLbl>
              <c:idx val="2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7-E696-41D5-AD12-D1E57AB86141}"/>
                </c:ext>
              </c:extLst>
            </c:dLbl>
            <c:dLbl>
              <c:idx val="2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8-E696-41D5-AD12-D1E57AB86141}"/>
                </c:ext>
              </c:extLst>
            </c:dLbl>
            <c:dLbl>
              <c:idx val="2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9-E696-41D5-AD12-D1E57AB86141}"/>
                </c:ext>
              </c:extLst>
            </c:dLbl>
            <c:dLbl>
              <c:idx val="2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A-E696-41D5-AD12-D1E57AB86141}"/>
                </c:ext>
              </c:extLst>
            </c:dLbl>
            <c:dLbl>
              <c:idx val="2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B-E696-41D5-AD12-D1E57AB86141}"/>
                </c:ext>
              </c:extLst>
            </c:dLbl>
            <c:dLbl>
              <c:idx val="2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C-E696-41D5-AD12-D1E57AB86141}"/>
                </c:ext>
              </c:extLst>
            </c:dLbl>
            <c:dLbl>
              <c:idx val="2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D-E696-41D5-AD12-D1E57AB86141}"/>
                </c:ext>
              </c:extLst>
            </c:dLbl>
            <c:dLbl>
              <c:idx val="3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E-E696-41D5-AD12-D1E57AB86141}"/>
                </c:ext>
              </c:extLst>
            </c:dLbl>
            <c:dLbl>
              <c:idx val="3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F-E696-41D5-AD12-D1E57AB86141}"/>
                </c:ext>
              </c:extLst>
            </c:dLbl>
            <c:dLbl>
              <c:idx val="3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0-E696-41D5-AD12-D1E57AB86141}"/>
                </c:ext>
              </c:extLst>
            </c:dLbl>
            <c:dLbl>
              <c:idx val="3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1-E696-41D5-AD12-D1E57AB86141}"/>
                </c:ext>
              </c:extLst>
            </c:dLbl>
            <c:dLbl>
              <c:idx val="3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2-E696-41D5-AD12-D1E57AB86141}"/>
                </c:ext>
              </c:extLst>
            </c:dLbl>
            <c:dLbl>
              <c:idx val="3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3-E696-41D5-AD12-D1E57AB86141}"/>
                </c:ext>
              </c:extLst>
            </c:dLbl>
            <c:dLbl>
              <c:idx val="3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4-E696-41D5-AD12-D1E57AB86141}"/>
                </c:ext>
              </c:extLst>
            </c:dLbl>
            <c:dLbl>
              <c:idx val="3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5-E696-41D5-AD12-D1E57AB86141}"/>
                </c:ext>
              </c:extLst>
            </c:dLbl>
            <c:dLbl>
              <c:idx val="3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6-E696-41D5-AD12-D1E57AB86141}"/>
                </c:ext>
              </c:extLst>
            </c:dLbl>
            <c:dLbl>
              <c:idx val="3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7-E696-41D5-AD12-D1E57AB86141}"/>
                </c:ext>
              </c:extLst>
            </c:dLbl>
            <c:dLbl>
              <c:idx val="4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8-E696-41D5-AD12-D1E57AB86141}"/>
                </c:ext>
              </c:extLst>
            </c:dLbl>
            <c:dLbl>
              <c:idx val="4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9-E696-41D5-AD12-D1E57AB86141}"/>
                </c:ext>
              </c:extLst>
            </c:dLbl>
            <c:dLbl>
              <c:idx val="4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A-E696-41D5-AD12-D1E57AB86141}"/>
                </c:ext>
              </c:extLst>
            </c:dLbl>
            <c:dLbl>
              <c:idx val="4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B-E696-41D5-AD12-D1E57AB86141}"/>
                </c:ext>
              </c:extLst>
            </c:dLbl>
            <c:dLbl>
              <c:idx val="4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C-E696-41D5-AD12-D1E57AB86141}"/>
                </c:ext>
              </c:extLst>
            </c:dLbl>
            <c:dLbl>
              <c:idx val="4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D-E696-41D5-AD12-D1E57AB86141}"/>
                </c:ext>
              </c:extLst>
            </c:dLbl>
            <c:dLbl>
              <c:idx val="4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E-E696-41D5-AD12-D1E57AB86141}"/>
                </c:ext>
              </c:extLst>
            </c:dLbl>
            <c:dLbl>
              <c:idx val="4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F-E696-41D5-AD12-D1E57AB86141}"/>
                </c:ext>
              </c:extLst>
            </c:dLbl>
            <c:dLbl>
              <c:idx val="4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0-E696-41D5-AD12-D1E57AB86141}"/>
                </c:ext>
              </c:extLst>
            </c:dLbl>
            <c:dLbl>
              <c:idx val="4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1-E696-41D5-AD12-D1E57AB86141}"/>
                </c:ext>
              </c:extLst>
            </c:dLbl>
            <c:dLbl>
              <c:idx val="5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2-E696-41D5-AD12-D1E57AB86141}"/>
                </c:ext>
              </c:extLst>
            </c:dLbl>
            <c:dLbl>
              <c:idx val="5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3-E696-41D5-AD12-D1E57AB86141}"/>
                </c:ext>
              </c:extLst>
            </c:dLbl>
            <c:dLbl>
              <c:idx val="5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4-E696-41D5-AD12-D1E57AB86141}"/>
                </c:ext>
              </c:extLst>
            </c:dLbl>
            <c:dLbl>
              <c:idx val="5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5-E696-41D5-AD12-D1E57AB86141}"/>
                </c:ext>
              </c:extLst>
            </c:dLbl>
            <c:dLbl>
              <c:idx val="5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6-E696-41D5-AD12-D1E57AB86141}"/>
                </c:ext>
              </c:extLst>
            </c:dLbl>
            <c:dLbl>
              <c:idx val="5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7-E696-41D5-AD12-D1E57AB86141}"/>
                </c:ext>
              </c:extLst>
            </c:dLbl>
            <c:dLbl>
              <c:idx val="5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8-E696-41D5-AD12-D1E57AB86141}"/>
                </c:ext>
              </c:extLst>
            </c:dLbl>
            <c:dLbl>
              <c:idx val="5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9-E696-41D5-AD12-D1E57AB86141}"/>
                </c:ext>
              </c:extLst>
            </c:dLbl>
            <c:dLbl>
              <c:idx val="5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A-E696-41D5-AD12-D1E57AB86141}"/>
                </c:ext>
              </c:extLst>
            </c:dLbl>
            <c:dLbl>
              <c:idx val="5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B-E696-41D5-AD12-D1E57AB86141}"/>
                </c:ext>
              </c:extLst>
            </c:dLbl>
            <c:dLbl>
              <c:idx val="6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C-E696-41D5-AD12-D1E57AB86141}"/>
                </c:ext>
              </c:extLst>
            </c:dLbl>
            <c:dLbl>
              <c:idx val="6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D-E696-41D5-AD12-D1E57AB86141}"/>
                </c:ext>
              </c:extLst>
            </c:dLbl>
            <c:dLbl>
              <c:idx val="6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E-E696-41D5-AD12-D1E57AB86141}"/>
                </c:ext>
              </c:extLst>
            </c:dLbl>
            <c:dLbl>
              <c:idx val="6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F-E696-41D5-AD12-D1E57AB86141}"/>
                </c:ext>
              </c:extLst>
            </c:dLbl>
            <c:dLbl>
              <c:idx val="6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0-E696-41D5-AD12-D1E57AB86141}"/>
                </c:ext>
              </c:extLst>
            </c:dLbl>
            <c:dLbl>
              <c:idx val="6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1-E696-41D5-AD12-D1E57AB86141}"/>
                </c:ext>
              </c:extLst>
            </c:dLbl>
            <c:dLbl>
              <c:idx val="6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2-E696-41D5-AD12-D1E57AB86141}"/>
                </c:ext>
              </c:extLst>
            </c:dLbl>
            <c:dLbl>
              <c:idx val="6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3-E696-41D5-AD12-D1E57AB86141}"/>
                </c:ext>
              </c:extLst>
            </c:dLbl>
            <c:dLbl>
              <c:idx val="6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4-E696-41D5-AD12-D1E57AB86141}"/>
                </c:ext>
              </c:extLst>
            </c:dLbl>
            <c:dLbl>
              <c:idx val="6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5-E696-41D5-AD12-D1E57AB86141}"/>
                </c:ext>
              </c:extLst>
            </c:dLbl>
            <c:dLbl>
              <c:idx val="7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6-E696-41D5-AD12-D1E57AB86141}"/>
                </c:ext>
              </c:extLst>
            </c:dLbl>
            <c:dLbl>
              <c:idx val="7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7-E696-41D5-AD12-D1E57AB86141}"/>
                </c:ext>
              </c:extLst>
            </c:dLbl>
            <c:dLbl>
              <c:idx val="7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8-E696-41D5-AD12-D1E57AB86141}"/>
                </c:ext>
              </c:extLst>
            </c:dLbl>
            <c:dLbl>
              <c:idx val="7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9-E696-41D5-AD12-D1E57AB86141}"/>
                </c:ext>
              </c:extLst>
            </c:dLbl>
            <c:dLbl>
              <c:idx val="7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A-E696-41D5-AD12-D1E57AB86141}"/>
                </c:ext>
              </c:extLst>
            </c:dLbl>
            <c:dLbl>
              <c:idx val="7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B-E696-41D5-AD12-D1E57AB86141}"/>
                </c:ext>
              </c:extLst>
            </c:dLbl>
            <c:dLbl>
              <c:idx val="7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C-E696-41D5-AD12-D1E57AB86141}"/>
                </c:ext>
              </c:extLst>
            </c:dLbl>
            <c:dLbl>
              <c:idx val="7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D-E696-41D5-AD12-D1E57AB86141}"/>
                </c:ext>
              </c:extLst>
            </c:dLbl>
            <c:dLbl>
              <c:idx val="7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E-E696-41D5-AD12-D1E57AB86141}"/>
                </c:ext>
              </c:extLst>
            </c:dLbl>
            <c:dLbl>
              <c:idx val="7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F-E696-41D5-AD12-D1E57AB86141}"/>
                </c:ext>
              </c:extLst>
            </c:dLbl>
            <c:dLbl>
              <c:idx val="8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0-E696-41D5-AD12-D1E57AB86141}"/>
                </c:ext>
              </c:extLst>
            </c:dLbl>
            <c:dLbl>
              <c:idx val="8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1-E696-41D5-AD12-D1E57AB86141}"/>
                </c:ext>
              </c:extLst>
            </c:dLbl>
            <c:dLbl>
              <c:idx val="8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2-E696-41D5-AD12-D1E57AB86141}"/>
                </c:ext>
              </c:extLst>
            </c:dLbl>
            <c:dLbl>
              <c:idx val="8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3-E696-41D5-AD12-D1E57AB86141}"/>
                </c:ext>
              </c:extLst>
            </c:dLbl>
            <c:dLbl>
              <c:idx val="8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4-E696-41D5-AD12-D1E57AB86141}"/>
                </c:ext>
              </c:extLst>
            </c:dLbl>
            <c:dLbl>
              <c:idx val="8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5-E696-41D5-AD12-D1E57AB86141}"/>
                </c:ext>
              </c:extLst>
            </c:dLbl>
            <c:dLbl>
              <c:idx val="8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6-E696-41D5-AD12-D1E57AB86141}"/>
                </c:ext>
              </c:extLst>
            </c:dLbl>
            <c:dLbl>
              <c:idx val="8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7-E696-41D5-AD12-D1E57AB86141}"/>
                </c:ext>
              </c:extLst>
            </c:dLbl>
            <c:dLbl>
              <c:idx val="8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8-E696-41D5-AD12-D1E57AB86141}"/>
                </c:ext>
              </c:extLst>
            </c:dLbl>
            <c:dLbl>
              <c:idx val="8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9-E696-41D5-AD12-D1E57AB86141}"/>
                </c:ext>
              </c:extLst>
            </c:dLbl>
            <c:dLbl>
              <c:idx val="90"/>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A-E696-41D5-AD12-D1E57AB86141}"/>
                </c:ext>
              </c:extLst>
            </c:dLbl>
            <c:dLbl>
              <c:idx val="91"/>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B-E696-41D5-AD12-D1E57AB86141}"/>
                </c:ext>
              </c:extLst>
            </c:dLbl>
            <c:dLbl>
              <c:idx val="92"/>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C-E696-41D5-AD12-D1E57AB86141}"/>
                </c:ext>
              </c:extLst>
            </c:dLbl>
            <c:dLbl>
              <c:idx val="93"/>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D-E696-41D5-AD12-D1E57AB86141}"/>
                </c:ext>
              </c:extLst>
            </c:dLbl>
            <c:dLbl>
              <c:idx val="94"/>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E-E696-41D5-AD12-D1E57AB86141}"/>
                </c:ext>
              </c:extLst>
            </c:dLbl>
            <c:dLbl>
              <c:idx val="95"/>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F-E696-41D5-AD12-D1E57AB86141}"/>
                </c:ext>
              </c:extLst>
            </c:dLbl>
            <c:dLbl>
              <c:idx val="96"/>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0-E696-41D5-AD12-D1E57AB86141}"/>
                </c:ext>
              </c:extLst>
            </c:dLbl>
            <c:dLbl>
              <c:idx val="97"/>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1-E696-41D5-AD12-D1E57AB86141}"/>
                </c:ext>
              </c:extLst>
            </c:dLbl>
            <c:dLbl>
              <c:idx val="98"/>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2-E696-41D5-AD12-D1E57AB86141}"/>
                </c:ext>
              </c:extLst>
            </c:dLbl>
            <c:dLbl>
              <c:idx val="99"/>
              <c:tx>
                <c:rich>
                  <a:bodyPr/>
                  <a:lstStyle/>
                  <a:p>
                    <a:endParaRPr lang="en-AU"/>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3-E696-41D5-AD12-D1E57AB86141}"/>
                </c:ext>
              </c:extLst>
            </c:dLbl>
            <c:spPr>
              <a:noFill/>
              <a:ln>
                <a:noFill/>
              </a:ln>
              <a:effectLst/>
            </c:spPr>
            <c:txPr>
              <a:bodyPr rot="-5400000" spcFirstLastPara="1" vertOverflow="ellipsis" vert="horz" wrap="square" lIns="127000" tIns="19050" rIns="38100" bIns="19050" anchor="ctr" anchorCtr="1">
                <a:spAutoFit/>
              </a:bodyPr>
              <a:lstStyle/>
              <a:p>
                <a:pPr>
                  <a:defRPr sz="1200" b="0" i="0" u="none" strike="noStrike" kern="1200" baseline="0">
                    <a:solidFill>
                      <a:schemeClr val="tx1">
                        <a:lumMod val="100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ysClr val="windowText" lastClr="000000">
                          <a:lumMod val="100000"/>
                        </a:sysClr>
                      </a:solidFill>
                      <a:prstDash val="solid"/>
                      <a:round/>
                      <a:headEnd type="none" w="med" len="med"/>
                      <a:tailEnd type="none" w="med" len="med"/>
                    </a:ln>
                    <a:effectLst/>
                  </c:spPr>
                </c15:leaderLines>
              </c:ext>
            </c:extLst>
          </c:dLbls>
          <c:xVal>
            <c:numRef>
              <c:f>Peaks!$B$5:$B$104</c:f>
              <c:numCache>
                <c:formatCode>0.00</c:formatCode>
                <c:ptCount val="100"/>
                <c:pt idx="0">
                  <c:v>1.044778</c:v>
                </c:pt>
                <c:pt idx="1">
                  <c:v>2.5419619999999998</c:v>
                </c:pt>
                <c:pt idx="2">
                  <c:v>3.5052150000000002</c:v>
                </c:pt>
                <c:pt idx="3">
                  <c:v>3.7896000000000001</c:v>
                </c:pt>
                <c:pt idx="4">
                  <c:v>4.0323710000000004</c:v>
                </c:pt>
                <c:pt idx="5">
                  <c:v>4.3879419999999998</c:v>
                </c:pt>
                <c:pt idx="6">
                  <c:v>5.45871</c:v>
                </c:pt>
                <c:pt idx="7">
                  <c:v>8.5737089999999991</c:v>
                </c:pt>
              </c:numCache>
            </c:numRef>
          </c:xVal>
          <c:yVal>
            <c:numRef>
              <c:f>Peaks!$R$5:$R$104</c:f>
              <c:numCache>
                <c:formatCode>0.0</c:formatCode>
                <c:ptCount val="100"/>
                <c:pt idx="0">
                  <c:v>23.547682424329228</c:v>
                </c:pt>
                <c:pt idx="1">
                  <c:v>13.896637570378019</c:v>
                </c:pt>
                <c:pt idx="2">
                  <c:v>10.177382307065967</c:v>
                </c:pt>
                <c:pt idx="3">
                  <c:v>9.0360100309835971</c:v>
                </c:pt>
                <c:pt idx="4">
                  <c:v>11.000245893510192</c:v>
                </c:pt>
                <c:pt idx="5">
                  <c:v>100</c:v>
                </c:pt>
                <c:pt idx="6">
                  <c:v>24.762677684861064</c:v>
                </c:pt>
                <c:pt idx="7">
                  <c:v>16.14390558501136</c:v>
                </c:pt>
              </c:numCache>
            </c:numRef>
          </c:yVal>
          <c:smooth val="1"/>
          <c:extLst>
            <c:ext xmlns:c15="http://schemas.microsoft.com/office/drawing/2012/chart" uri="{02D57815-91ED-43cb-92C2-25804820EDAC}">
              <c15:datalabelsRange>
                <c15:f>Peaks!$S$5:$S$104</c15:f>
                <c15:dlblRangeCache>
                  <c:ptCount val="100"/>
                  <c:pt idx="0">
                    <c:v>1</c:v>
                  </c:pt>
                  <c:pt idx="1">
                    <c:v>2</c:v>
                  </c:pt>
                  <c:pt idx="2">
                    <c:v>3</c:v>
                  </c:pt>
                  <c:pt idx="3">
                    <c:v>4</c:v>
                  </c:pt>
                  <c:pt idx="4">
                    <c:v>5</c:v>
                  </c:pt>
                  <c:pt idx="5">
                    <c:v>6</c:v>
                  </c:pt>
                  <c:pt idx="6">
                    <c:v>7</c:v>
                  </c:pt>
                  <c:pt idx="7">
                    <c:v>8</c:v>
                  </c:pt>
                </c15:dlblRangeCache>
              </c15:datalabelsRange>
            </c:ext>
            <c:ext xmlns:c16="http://schemas.microsoft.com/office/drawing/2014/chart" uri="{C3380CC4-5D6E-409C-BE32-E72D297353CC}">
              <c16:uniqueId val="{00000002-E192-4130-B7D2-7905CBA103B5}"/>
            </c:ext>
          </c:extLst>
        </c:ser>
        <c:dLbls>
          <c:showLegendKey val="0"/>
          <c:showVal val="0"/>
          <c:showCatName val="0"/>
          <c:showSerName val="0"/>
          <c:showPercent val="0"/>
          <c:showBubbleSize val="0"/>
        </c:dLbls>
        <c:axId val="1816219616"/>
        <c:axId val="1816224512"/>
      </c:scatterChart>
      <c:scatterChart>
        <c:scatterStyle val="smoothMarker"/>
        <c:varyColors val="0"/>
        <c:ser>
          <c:idx val="2"/>
          <c:order val="2"/>
          <c:tx>
            <c:strRef>
              <c:f>ChromatogramData!$E$1</c:f>
              <c:strCache>
                <c:ptCount val="1"/>
                <c:pt idx="0">
                  <c:v>MS Pos</c:v>
                </c:pt>
              </c:strCache>
            </c:strRef>
          </c:tx>
          <c:spPr>
            <a:ln w="12700" cap="rnd">
              <a:noFill/>
              <a:round/>
            </a:ln>
            <a:effectLst/>
            <a:extLst>
              <a:ext uri="{91240B29-F687-4F45-9708-019B960494DF}">
                <a14:hiddenLine xmlns:a14="http://schemas.microsoft.com/office/drawing/2010/main" w="12700" cap="rnd">
                  <a:solidFill>
                    <a:srgbClr val="ED7D31">
                      <a:lumMod val="75000"/>
                    </a:srgbClr>
                  </a:solidFill>
                  <a:round/>
                </a14:hiddenLine>
              </a:ext>
            </a:extLst>
          </c:spPr>
          <c:marker>
            <c:symbol val="none"/>
          </c:marker>
          <c:xVal>
            <c:numRef>
              <c:f>ChromatogramData!$D$2:$D$2000</c:f>
              <c:numCache>
                <c:formatCode>General</c:formatCode>
                <c:ptCount val="1999"/>
              </c:numCache>
            </c:numRef>
          </c:xVal>
          <c:yVal>
            <c:numRef>
              <c:f>ChromatogramData!$E$2:$E$2000</c:f>
              <c:numCache>
                <c:formatCode>General</c:formatCode>
                <c:ptCount val="1999"/>
              </c:numCache>
            </c:numRef>
          </c:yVal>
          <c:smooth val="1"/>
          <c:extLst>
            <c:ext xmlns:c16="http://schemas.microsoft.com/office/drawing/2014/chart" uri="{C3380CC4-5D6E-409C-BE32-E72D297353CC}">
              <c16:uniqueId val="{00000003-E192-4130-B7D2-7905CBA103B5}"/>
            </c:ext>
          </c:extLst>
        </c:ser>
        <c:ser>
          <c:idx val="3"/>
          <c:order val="3"/>
          <c:tx>
            <c:strRef>
              <c:f>ChromatogramData!$F$1</c:f>
              <c:strCache>
                <c:ptCount val="1"/>
                <c:pt idx="0">
                  <c:v>MS Neg</c:v>
                </c:pt>
              </c:strCache>
            </c:strRef>
          </c:tx>
          <c:spPr>
            <a:ln w="12700" cap="rnd">
              <a:noFill/>
              <a:round/>
            </a:ln>
            <a:effectLst/>
            <a:extLst>
              <a:ext uri="{91240B29-F687-4F45-9708-019B960494DF}">
                <a14:hiddenLine xmlns:a14="http://schemas.microsoft.com/office/drawing/2010/main" w="12700" cap="rnd">
                  <a:solidFill>
                    <a:srgbClr val="00B050"/>
                  </a:solidFill>
                  <a:round/>
                </a14:hiddenLine>
              </a:ext>
            </a:extLst>
          </c:spPr>
          <c:marker>
            <c:symbol val="none"/>
          </c:marker>
          <c:xVal>
            <c:numRef>
              <c:f>ChromatogramData!$D$2:$D$2000</c:f>
              <c:numCache>
                <c:formatCode>General</c:formatCode>
                <c:ptCount val="1999"/>
              </c:numCache>
            </c:numRef>
          </c:xVal>
          <c:yVal>
            <c:numRef>
              <c:f>ChromatogramData!$F$2:$F$2000</c:f>
              <c:numCache>
                <c:formatCode>General</c:formatCode>
                <c:ptCount val="1999"/>
              </c:numCache>
            </c:numRef>
          </c:yVal>
          <c:smooth val="1"/>
          <c:extLst>
            <c:ext xmlns:c16="http://schemas.microsoft.com/office/drawing/2014/chart" uri="{C3380CC4-5D6E-409C-BE32-E72D297353CC}">
              <c16:uniqueId val="{00000004-E192-4130-B7D2-7905CBA103B5}"/>
            </c:ext>
          </c:extLst>
        </c:ser>
        <c:dLbls>
          <c:showLegendKey val="0"/>
          <c:showVal val="0"/>
          <c:showCatName val="0"/>
          <c:showSerName val="0"/>
          <c:showPercent val="0"/>
          <c:showBubbleSize val="0"/>
        </c:dLbls>
        <c:axId val="1816225600"/>
        <c:axId val="1816217440"/>
      </c:scatterChart>
      <c:valAx>
        <c:axId val="1816219616"/>
        <c:scaling>
          <c:orientation val="minMax"/>
          <c:max val="10"/>
          <c:min val="0.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solidFill>
                    <a:latin typeface="Arial" panose="020B0604020202020204" pitchFamily="34" charset="0"/>
                    <a:ea typeface="+mn-ea"/>
                    <a:cs typeface="Arial" panose="020B0604020202020204" pitchFamily="34" charset="0"/>
                  </a:defRPr>
                </a:pPr>
                <a:r>
                  <a:rPr lang="en-AU" sz="1000">
                    <a:solidFill>
                      <a:schemeClr val="tx1"/>
                    </a:solidFill>
                    <a:latin typeface="Arial" panose="020B0604020202020204" pitchFamily="34" charset="0"/>
                    <a:cs typeface="Arial" panose="020B0604020202020204" pitchFamily="34" charset="0"/>
                  </a:rPr>
                  <a:t>Retention</a:t>
                </a:r>
                <a:r>
                  <a:rPr lang="en-AU" sz="1000" baseline="0">
                    <a:solidFill>
                      <a:schemeClr val="tx1"/>
                    </a:solidFill>
                    <a:latin typeface="Arial" panose="020B0604020202020204" pitchFamily="34" charset="0"/>
                    <a:cs typeface="Arial" panose="020B0604020202020204" pitchFamily="34" charset="0"/>
                  </a:rPr>
                  <a:t> Time (min)</a:t>
                </a:r>
                <a:endParaRPr lang="en-AU" sz="1000">
                  <a:solidFill>
                    <a:schemeClr val="tx1"/>
                  </a:solidFill>
                  <a:latin typeface="Arial" panose="020B0604020202020204" pitchFamily="34" charset="0"/>
                  <a:cs typeface="Arial" panose="020B0604020202020204" pitchFamily="34" charset="0"/>
                </a:endParaRPr>
              </a:p>
            </c:rich>
          </c:tx>
          <c:layout>
            <c:manualLayout>
              <c:xMode val="edge"/>
              <c:yMode val="edge"/>
              <c:x val="0.42837352576358767"/>
              <c:y val="0.96208768544209855"/>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title>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1816224512"/>
        <c:crosses val="autoZero"/>
        <c:crossBetween val="midCat"/>
        <c:majorUnit val="0.5"/>
      </c:valAx>
      <c:valAx>
        <c:axId val="1816224512"/>
        <c:scaling>
          <c:orientation val="minMax"/>
          <c:max val="105"/>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1816219616"/>
        <c:crosses val="autoZero"/>
        <c:crossBetween val="midCat"/>
        <c:majorUnit val="20"/>
        <c:minorUnit val="5"/>
      </c:valAx>
      <c:valAx>
        <c:axId val="1816217440"/>
        <c:scaling>
          <c:orientation val="minMax"/>
          <c:max val="105"/>
          <c:min val="0"/>
        </c:scaling>
        <c:delete val="0"/>
        <c:axPos val="r"/>
        <c:numFmt formatCode="General" sourceLinked="1"/>
        <c:majorTickMark val="none"/>
        <c:minorTickMark val="none"/>
        <c:tickLblPos val="none"/>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6225600"/>
        <c:crosses val="max"/>
        <c:crossBetween val="midCat"/>
        <c:minorUnit val="5"/>
      </c:valAx>
      <c:valAx>
        <c:axId val="1816225600"/>
        <c:scaling>
          <c:orientation val="minMax"/>
        </c:scaling>
        <c:delete val="1"/>
        <c:axPos val="b"/>
        <c:numFmt formatCode="General" sourceLinked="1"/>
        <c:majorTickMark val="out"/>
        <c:minorTickMark val="none"/>
        <c:tickLblPos val="nextTo"/>
        <c:crossAx val="1816217440"/>
        <c:crosses val="autoZero"/>
        <c:crossBetween val="midCat"/>
      </c:valAx>
      <c:spPr>
        <a:noFill/>
        <a:ln>
          <a:noFill/>
        </a:ln>
        <a:effectLst/>
      </c:spPr>
    </c:plotArea>
    <c:legend>
      <c:legendPos val="r"/>
      <c:legendEntry>
        <c:idx val="0"/>
        <c:txPr>
          <a:bodyPr rot="0" spcFirstLastPara="1" vertOverflow="ellipsis" vert="horz" wrap="square" anchor="ctr" anchorCtr="1"/>
          <a:lstStyle/>
          <a:p>
            <a:pPr>
              <a:defRPr sz="1000" b="0" i="0" u="none" strike="noStrike" kern="1200" baseline="0">
                <a:solidFill>
                  <a:schemeClr val="tx1">
                    <a:lumMod val="100000"/>
                  </a:schemeClr>
                </a:solidFill>
                <a:latin typeface="Arial" panose="020B0604020202020204" pitchFamily="34" charset="0"/>
                <a:ea typeface="+mn-ea"/>
                <a:cs typeface="Arial" panose="020B0604020202020204" pitchFamily="34" charset="0"/>
              </a:defRPr>
            </a:pPr>
            <a:endParaRPr lang="en-US"/>
          </a:p>
        </c:txPr>
      </c:legendEntry>
      <c:legendEntry>
        <c:idx val="1"/>
        <c:txPr>
          <a:bodyPr rot="0" spcFirstLastPara="1" vertOverflow="ellipsis" vert="horz" wrap="square" anchor="ctr" anchorCtr="1"/>
          <a:lstStyle/>
          <a:p>
            <a:pPr>
              <a:defRPr sz="1000" b="0" i="0" u="none" strike="noStrike" kern="1200" baseline="0">
                <a:solidFill>
                  <a:schemeClr val="tx1">
                    <a:lumMod val="100000"/>
                  </a:schemeClr>
                </a:solidFill>
                <a:latin typeface="Arial" panose="020B0604020202020204" pitchFamily="34" charset="0"/>
                <a:ea typeface="+mn-ea"/>
                <a:cs typeface="Arial" panose="020B0604020202020204" pitchFamily="34" charset="0"/>
              </a:defRPr>
            </a:pPr>
            <a:endParaRPr lang="en-US"/>
          </a:p>
        </c:txPr>
      </c:legendEntry>
      <c:legendEntry>
        <c:idx val="2"/>
        <c:delete val="1"/>
      </c:legendEntry>
      <c:legendEntry>
        <c:idx val="3"/>
        <c:txPr>
          <a:bodyPr rot="0" spcFirstLastPara="1" vertOverflow="ellipsis" vert="horz" wrap="square" anchor="ctr" anchorCtr="1"/>
          <a:lstStyle/>
          <a:p>
            <a:pPr>
              <a:defRPr sz="1000" b="0" i="0" u="none" strike="noStrike" kern="1200" baseline="0">
                <a:noFill/>
                <a:latin typeface="Arial" panose="020B0604020202020204" pitchFamily="34" charset="0"/>
                <a:ea typeface="+mn-ea"/>
                <a:cs typeface="Arial" panose="020B0604020202020204" pitchFamily="34" charset="0"/>
              </a:defRPr>
            </a:pPr>
            <a:endParaRPr lang="en-US"/>
          </a:p>
        </c:txPr>
      </c:legendEntry>
      <c:legendEntry>
        <c:idx val="4"/>
        <c:txPr>
          <a:bodyPr rot="0" spcFirstLastPara="1" vertOverflow="ellipsis" vert="horz" wrap="square" anchor="ctr" anchorCtr="1"/>
          <a:lstStyle/>
          <a:p>
            <a:pPr>
              <a:defRPr sz="1000" b="0" i="0" u="none" strike="noStrike" kern="1200" baseline="0">
                <a:noFill/>
                <a:latin typeface="Arial" panose="020B0604020202020204" pitchFamily="34" charset="0"/>
                <a:ea typeface="+mn-ea"/>
                <a:cs typeface="Arial" panose="020B0604020202020204" pitchFamily="34" charset="0"/>
              </a:defRPr>
            </a:pPr>
            <a:endParaRPr lang="en-US"/>
          </a:p>
        </c:txPr>
      </c:legendEntry>
      <c:layout>
        <c:manualLayout>
          <c:xMode val="edge"/>
          <c:yMode val="edge"/>
          <c:x val="0.93181006421194734"/>
          <c:y val="0.43600100238726441"/>
          <c:w val="6.3838325692317177E-2"/>
          <c:h val="0.51660718289610785"/>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9240725553496058E-2"/>
          <c:y val="2.038452480418745E-2"/>
          <c:w val="0.7786186853225624"/>
          <c:h val="0.8918530894554404"/>
        </c:manualLayout>
      </c:layout>
      <c:scatterChart>
        <c:scatterStyle val="smoothMarker"/>
        <c:varyColors val="0"/>
        <c:ser>
          <c:idx val="0"/>
          <c:order val="0"/>
          <c:tx>
            <c:v>1</c:v>
          </c:tx>
          <c:spPr>
            <a:ln w="19050" cap="rnd">
              <a:noFill/>
              <a:round/>
            </a:ln>
            <a:effectLst/>
            <a:extLst>
              <a:ext uri="{91240B29-F687-4F45-9708-019B960494DF}">
                <a14:hiddenLine xmlns:a14="http://schemas.microsoft.com/office/drawing/2010/main" w="19050" cap="rnd">
                  <a:solidFill>
                    <a:srgbClr val="5B9BD5"/>
                  </a:solidFill>
                  <a:round/>
                </a14:hiddenLine>
              </a:ext>
            </a:extLst>
          </c:spPr>
          <c:marker>
            <c:symbol val="none"/>
          </c:marker>
          <c:xVal>
            <c:numRef>
              <c:f>NormalisedUVVisData!$A$2:$A$300</c:f>
              <c:numCache>
                <c:formatCode>General</c:formatCode>
                <c:ptCount val="299"/>
                <c:pt idx="0">
                  <c:v>190</c:v>
                </c:pt>
                <c:pt idx="1">
                  <c:v>192</c:v>
                </c:pt>
                <c:pt idx="2">
                  <c:v>194</c:v>
                </c:pt>
                <c:pt idx="3">
                  <c:v>196</c:v>
                </c:pt>
                <c:pt idx="4">
                  <c:v>198</c:v>
                </c:pt>
                <c:pt idx="5">
                  <c:v>200</c:v>
                </c:pt>
                <c:pt idx="6">
                  <c:v>202</c:v>
                </c:pt>
                <c:pt idx="7">
                  <c:v>204</c:v>
                </c:pt>
                <c:pt idx="8">
                  <c:v>206</c:v>
                </c:pt>
                <c:pt idx="9">
                  <c:v>208</c:v>
                </c:pt>
                <c:pt idx="10">
                  <c:v>210</c:v>
                </c:pt>
                <c:pt idx="11">
                  <c:v>212</c:v>
                </c:pt>
                <c:pt idx="12">
                  <c:v>214</c:v>
                </c:pt>
                <c:pt idx="13">
                  <c:v>216</c:v>
                </c:pt>
                <c:pt idx="14">
                  <c:v>218</c:v>
                </c:pt>
                <c:pt idx="15">
                  <c:v>220</c:v>
                </c:pt>
                <c:pt idx="16">
                  <c:v>222</c:v>
                </c:pt>
                <c:pt idx="17">
                  <c:v>224</c:v>
                </c:pt>
                <c:pt idx="18">
                  <c:v>226</c:v>
                </c:pt>
                <c:pt idx="19">
                  <c:v>228</c:v>
                </c:pt>
                <c:pt idx="20">
                  <c:v>230</c:v>
                </c:pt>
                <c:pt idx="21">
                  <c:v>232</c:v>
                </c:pt>
                <c:pt idx="22">
                  <c:v>234</c:v>
                </c:pt>
                <c:pt idx="23">
                  <c:v>236</c:v>
                </c:pt>
                <c:pt idx="24">
                  <c:v>238</c:v>
                </c:pt>
                <c:pt idx="25">
                  <c:v>240</c:v>
                </c:pt>
                <c:pt idx="26">
                  <c:v>242</c:v>
                </c:pt>
                <c:pt idx="27">
                  <c:v>244</c:v>
                </c:pt>
                <c:pt idx="28">
                  <c:v>246</c:v>
                </c:pt>
                <c:pt idx="29">
                  <c:v>248</c:v>
                </c:pt>
                <c:pt idx="30">
                  <c:v>250</c:v>
                </c:pt>
                <c:pt idx="31">
                  <c:v>252</c:v>
                </c:pt>
                <c:pt idx="32">
                  <c:v>254</c:v>
                </c:pt>
                <c:pt idx="33">
                  <c:v>256</c:v>
                </c:pt>
                <c:pt idx="34">
                  <c:v>258</c:v>
                </c:pt>
                <c:pt idx="35">
                  <c:v>260</c:v>
                </c:pt>
                <c:pt idx="36">
                  <c:v>262</c:v>
                </c:pt>
                <c:pt idx="37">
                  <c:v>264</c:v>
                </c:pt>
                <c:pt idx="38">
                  <c:v>266</c:v>
                </c:pt>
                <c:pt idx="39">
                  <c:v>268</c:v>
                </c:pt>
                <c:pt idx="40">
                  <c:v>270</c:v>
                </c:pt>
                <c:pt idx="41">
                  <c:v>272</c:v>
                </c:pt>
                <c:pt idx="42">
                  <c:v>274</c:v>
                </c:pt>
                <c:pt idx="43">
                  <c:v>276</c:v>
                </c:pt>
                <c:pt idx="44">
                  <c:v>278</c:v>
                </c:pt>
                <c:pt idx="45">
                  <c:v>280</c:v>
                </c:pt>
                <c:pt idx="46">
                  <c:v>282</c:v>
                </c:pt>
                <c:pt idx="47">
                  <c:v>284</c:v>
                </c:pt>
                <c:pt idx="48">
                  <c:v>286</c:v>
                </c:pt>
                <c:pt idx="49">
                  <c:v>288</c:v>
                </c:pt>
                <c:pt idx="50">
                  <c:v>290</c:v>
                </c:pt>
                <c:pt idx="51">
                  <c:v>292</c:v>
                </c:pt>
                <c:pt idx="52">
                  <c:v>294</c:v>
                </c:pt>
                <c:pt idx="53">
                  <c:v>296</c:v>
                </c:pt>
                <c:pt idx="54">
                  <c:v>298</c:v>
                </c:pt>
                <c:pt idx="55">
                  <c:v>300</c:v>
                </c:pt>
                <c:pt idx="56">
                  <c:v>302</c:v>
                </c:pt>
                <c:pt idx="57">
                  <c:v>304</c:v>
                </c:pt>
                <c:pt idx="58">
                  <c:v>306</c:v>
                </c:pt>
                <c:pt idx="59">
                  <c:v>308</c:v>
                </c:pt>
                <c:pt idx="60">
                  <c:v>310</c:v>
                </c:pt>
                <c:pt idx="61">
                  <c:v>312</c:v>
                </c:pt>
                <c:pt idx="62">
                  <c:v>314</c:v>
                </c:pt>
                <c:pt idx="63">
                  <c:v>316</c:v>
                </c:pt>
                <c:pt idx="64">
                  <c:v>318</c:v>
                </c:pt>
                <c:pt idx="65">
                  <c:v>320</c:v>
                </c:pt>
                <c:pt idx="66">
                  <c:v>322</c:v>
                </c:pt>
                <c:pt idx="67">
                  <c:v>324</c:v>
                </c:pt>
                <c:pt idx="68">
                  <c:v>326</c:v>
                </c:pt>
                <c:pt idx="69">
                  <c:v>328</c:v>
                </c:pt>
                <c:pt idx="70">
                  <c:v>330</c:v>
                </c:pt>
                <c:pt idx="71">
                  <c:v>332</c:v>
                </c:pt>
                <c:pt idx="72">
                  <c:v>334</c:v>
                </c:pt>
                <c:pt idx="73">
                  <c:v>336</c:v>
                </c:pt>
                <c:pt idx="74">
                  <c:v>338</c:v>
                </c:pt>
                <c:pt idx="75">
                  <c:v>340</c:v>
                </c:pt>
                <c:pt idx="76">
                  <c:v>342</c:v>
                </c:pt>
                <c:pt idx="77">
                  <c:v>344</c:v>
                </c:pt>
                <c:pt idx="78">
                  <c:v>346</c:v>
                </c:pt>
                <c:pt idx="79">
                  <c:v>348</c:v>
                </c:pt>
                <c:pt idx="80">
                  <c:v>350</c:v>
                </c:pt>
                <c:pt idx="81">
                  <c:v>352</c:v>
                </c:pt>
                <c:pt idx="82">
                  <c:v>354</c:v>
                </c:pt>
                <c:pt idx="83">
                  <c:v>356</c:v>
                </c:pt>
                <c:pt idx="84">
                  <c:v>358</c:v>
                </c:pt>
                <c:pt idx="85">
                  <c:v>360</c:v>
                </c:pt>
                <c:pt idx="86">
                  <c:v>362</c:v>
                </c:pt>
                <c:pt idx="87">
                  <c:v>364</c:v>
                </c:pt>
                <c:pt idx="88">
                  <c:v>366</c:v>
                </c:pt>
                <c:pt idx="89">
                  <c:v>368</c:v>
                </c:pt>
                <c:pt idx="90">
                  <c:v>370</c:v>
                </c:pt>
                <c:pt idx="91">
                  <c:v>372</c:v>
                </c:pt>
                <c:pt idx="92">
                  <c:v>374</c:v>
                </c:pt>
                <c:pt idx="93">
                  <c:v>376</c:v>
                </c:pt>
                <c:pt idx="94">
                  <c:v>378</c:v>
                </c:pt>
                <c:pt idx="95">
                  <c:v>380</c:v>
                </c:pt>
                <c:pt idx="96">
                  <c:v>382</c:v>
                </c:pt>
                <c:pt idx="97">
                  <c:v>384</c:v>
                </c:pt>
                <c:pt idx="98">
                  <c:v>386</c:v>
                </c:pt>
                <c:pt idx="99">
                  <c:v>388</c:v>
                </c:pt>
                <c:pt idx="100">
                  <c:v>390</c:v>
                </c:pt>
                <c:pt idx="101">
                  <c:v>392</c:v>
                </c:pt>
                <c:pt idx="102">
                  <c:v>394</c:v>
                </c:pt>
                <c:pt idx="103">
                  <c:v>396</c:v>
                </c:pt>
                <c:pt idx="104">
                  <c:v>398</c:v>
                </c:pt>
                <c:pt idx="105">
                  <c:v>400</c:v>
                </c:pt>
                <c:pt idx="106">
                  <c:v>402</c:v>
                </c:pt>
                <c:pt idx="107">
                  <c:v>404</c:v>
                </c:pt>
                <c:pt idx="108">
                  <c:v>406</c:v>
                </c:pt>
                <c:pt idx="109">
                  <c:v>408</c:v>
                </c:pt>
                <c:pt idx="110">
                  <c:v>410</c:v>
                </c:pt>
                <c:pt idx="111">
                  <c:v>412</c:v>
                </c:pt>
                <c:pt idx="112">
                  <c:v>414</c:v>
                </c:pt>
                <c:pt idx="113">
                  <c:v>416</c:v>
                </c:pt>
                <c:pt idx="114">
                  <c:v>418</c:v>
                </c:pt>
                <c:pt idx="115">
                  <c:v>420</c:v>
                </c:pt>
                <c:pt idx="116">
                  <c:v>422</c:v>
                </c:pt>
                <c:pt idx="117">
                  <c:v>424</c:v>
                </c:pt>
                <c:pt idx="118">
                  <c:v>426</c:v>
                </c:pt>
                <c:pt idx="119">
                  <c:v>428</c:v>
                </c:pt>
                <c:pt idx="120">
                  <c:v>430</c:v>
                </c:pt>
                <c:pt idx="121">
                  <c:v>432</c:v>
                </c:pt>
                <c:pt idx="122">
                  <c:v>434</c:v>
                </c:pt>
                <c:pt idx="123">
                  <c:v>436</c:v>
                </c:pt>
                <c:pt idx="124">
                  <c:v>438</c:v>
                </c:pt>
                <c:pt idx="125">
                  <c:v>440</c:v>
                </c:pt>
                <c:pt idx="126">
                  <c:v>442</c:v>
                </c:pt>
                <c:pt idx="127">
                  <c:v>444</c:v>
                </c:pt>
                <c:pt idx="128">
                  <c:v>446</c:v>
                </c:pt>
                <c:pt idx="129">
                  <c:v>448</c:v>
                </c:pt>
                <c:pt idx="130">
                  <c:v>450</c:v>
                </c:pt>
                <c:pt idx="131">
                  <c:v>452</c:v>
                </c:pt>
                <c:pt idx="132">
                  <c:v>454</c:v>
                </c:pt>
                <c:pt idx="133">
                  <c:v>456</c:v>
                </c:pt>
                <c:pt idx="134">
                  <c:v>458</c:v>
                </c:pt>
                <c:pt idx="135">
                  <c:v>460</c:v>
                </c:pt>
                <c:pt idx="136">
                  <c:v>462</c:v>
                </c:pt>
                <c:pt idx="137">
                  <c:v>464</c:v>
                </c:pt>
                <c:pt idx="138">
                  <c:v>466</c:v>
                </c:pt>
                <c:pt idx="139">
                  <c:v>468</c:v>
                </c:pt>
                <c:pt idx="140">
                  <c:v>470</c:v>
                </c:pt>
                <c:pt idx="141">
                  <c:v>472</c:v>
                </c:pt>
                <c:pt idx="142">
                  <c:v>474</c:v>
                </c:pt>
                <c:pt idx="143">
                  <c:v>476</c:v>
                </c:pt>
                <c:pt idx="144">
                  <c:v>478</c:v>
                </c:pt>
                <c:pt idx="145">
                  <c:v>480</c:v>
                </c:pt>
                <c:pt idx="146">
                  <c:v>482</c:v>
                </c:pt>
                <c:pt idx="147">
                  <c:v>484</c:v>
                </c:pt>
                <c:pt idx="148">
                  <c:v>486</c:v>
                </c:pt>
                <c:pt idx="149">
                  <c:v>488</c:v>
                </c:pt>
                <c:pt idx="150">
                  <c:v>490</c:v>
                </c:pt>
                <c:pt idx="151">
                  <c:v>492</c:v>
                </c:pt>
                <c:pt idx="152">
                  <c:v>494</c:v>
                </c:pt>
                <c:pt idx="153">
                  <c:v>496</c:v>
                </c:pt>
                <c:pt idx="154">
                  <c:v>498</c:v>
                </c:pt>
                <c:pt idx="155">
                  <c:v>500</c:v>
                </c:pt>
                <c:pt idx="156">
                  <c:v>502</c:v>
                </c:pt>
                <c:pt idx="157">
                  <c:v>504</c:v>
                </c:pt>
                <c:pt idx="158">
                  <c:v>506</c:v>
                </c:pt>
                <c:pt idx="159">
                  <c:v>508</c:v>
                </c:pt>
                <c:pt idx="160">
                  <c:v>510</c:v>
                </c:pt>
                <c:pt idx="161">
                  <c:v>512</c:v>
                </c:pt>
                <c:pt idx="162">
                  <c:v>514</c:v>
                </c:pt>
                <c:pt idx="163">
                  <c:v>516</c:v>
                </c:pt>
                <c:pt idx="164">
                  <c:v>518</c:v>
                </c:pt>
                <c:pt idx="165">
                  <c:v>520</c:v>
                </c:pt>
                <c:pt idx="166">
                  <c:v>522</c:v>
                </c:pt>
                <c:pt idx="167">
                  <c:v>524</c:v>
                </c:pt>
                <c:pt idx="168">
                  <c:v>526</c:v>
                </c:pt>
                <c:pt idx="169">
                  <c:v>528</c:v>
                </c:pt>
                <c:pt idx="170">
                  <c:v>530</c:v>
                </c:pt>
                <c:pt idx="171">
                  <c:v>532</c:v>
                </c:pt>
                <c:pt idx="172">
                  <c:v>534</c:v>
                </c:pt>
                <c:pt idx="173">
                  <c:v>536</c:v>
                </c:pt>
                <c:pt idx="174">
                  <c:v>538</c:v>
                </c:pt>
                <c:pt idx="175">
                  <c:v>540</c:v>
                </c:pt>
                <c:pt idx="176">
                  <c:v>542</c:v>
                </c:pt>
                <c:pt idx="177">
                  <c:v>544</c:v>
                </c:pt>
                <c:pt idx="178">
                  <c:v>546</c:v>
                </c:pt>
                <c:pt idx="179">
                  <c:v>548</c:v>
                </c:pt>
                <c:pt idx="180">
                  <c:v>550</c:v>
                </c:pt>
                <c:pt idx="181">
                  <c:v>552</c:v>
                </c:pt>
                <c:pt idx="182">
                  <c:v>554</c:v>
                </c:pt>
                <c:pt idx="183">
                  <c:v>556</c:v>
                </c:pt>
                <c:pt idx="184">
                  <c:v>558</c:v>
                </c:pt>
                <c:pt idx="185">
                  <c:v>560</c:v>
                </c:pt>
                <c:pt idx="186">
                  <c:v>562</c:v>
                </c:pt>
                <c:pt idx="187">
                  <c:v>564</c:v>
                </c:pt>
                <c:pt idx="188">
                  <c:v>566</c:v>
                </c:pt>
                <c:pt idx="189">
                  <c:v>568</c:v>
                </c:pt>
                <c:pt idx="190">
                  <c:v>570</c:v>
                </c:pt>
                <c:pt idx="191">
                  <c:v>572</c:v>
                </c:pt>
                <c:pt idx="192">
                  <c:v>574</c:v>
                </c:pt>
                <c:pt idx="193">
                  <c:v>576</c:v>
                </c:pt>
                <c:pt idx="194">
                  <c:v>578</c:v>
                </c:pt>
                <c:pt idx="195">
                  <c:v>580</c:v>
                </c:pt>
                <c:pt idx="196">
                  <c:v>582</c:v>
                </c:pt>
                <c:pt idx="197">
                  <c:v>584</c:v>
                </c:pt>
                <c:pt idx="198">
                  <c:v>586</c:v>
                </c:pt>
                <c:pt idx="199">
                  <c:v>588</c:v>
                </c:pt>
                <c:pt idx="200">
                  <c:v>590</c:v>
                </c:pt>
                <c:pt idx="201">
                  <c:v>592</c:v>
                </c:pt>
                <c:pt idx="202">
                  <c:v>594</c:v>
                </c:pt>
                <c:pt idx="203">
                  <c:v>596</c:v>
                </c:pt>
                <c:pt idx="204">
                  <c:v>598</c:v>
                </c:pt>
                <c:pt idx="205">
                  <c:v>600</c:v>
                </c:pt>
                <c:pt idx="206">
                  <c:v>602</c:v>
                </c:pt>
                <c:pt idx="207">
                  <c:v>604</c:v>
                </c:pt>
                <c:pt idx="208">
                  <c:v>606</c:v>
                </c:pt>
                <c:pt idx="209">
                  <c:v>608</c:v>
                </c:pt>
                <c:pt idx="210">
                  <c:v>610</c:v>
                </c:pt>
                <c:pt idx="211">
                  <c:v>612</c:v>
                </c:pt>
                <c:pt idx="212">
                  <c:v>614</c:v>
                </c:pt>
                <c:pt idx="213">
                  <c:v>616</c:v>
                </c:pt>
                <c:pt idx="214">
                  <c:v>618</c:v>
                </c:pt>
                <c:pt idx="215">
                  <c:v>620</c:v>
                </c:pt>
                <c:pt idx="216">
                  <c:v>622</c:v>
                </c:pt>
                <c:pt idx="217">
                  <c:v>624</c:v>
                </c:pt>
                <c:pt idx="218">
                  <c:v>626</c:v>
                </c:pt>
                <c:pt idx="219">
                  <c:v>628</c:v>
                </c:pt>
                <c:pt idx="220">
                  <c:v>630</c:v>
                </c:pt>
                <c:pt idx="221">
                  <c:v>632</c:v>
                </c:pt>
                <c:pt idx="222">
                  <c:v>634</c:v>
                </c:pt>
                <c:pt idx="223">
                  <c:v>636</c:v>
                </c:pt>
                <c:pt idx="224">
                  <c:v>638</c:v>
                </c:pt>
                <c:pt idx="225">
                  <c:v>640</c:v>
                </c:pt>
              </c:numCache>
            </c:numRef>
          </c:xVal>
          <c:yVal>
            <c:numRef>
              <c:f>NormalisedUVVisData!$B$2:$B$300</c:f>
              <c:numCache>
                <c:formatCode>General</c:formatCode>
                <c:ptCount val="299"/>
                <c:pt idx="0">
                  <c:v>49.995948791503906</c:v>
                </c:pt>
                <c:pt idx="1">
                  <c:v>51.197731018066406</c:v>
                </c:pt>
                <c:pt idx="2">
                  <c:v>52.685466766357422</c:v>
                </c:pt>
                <c:pt idx="3">
                  <c:v>54.454357147216797</c:v>
                </c:pt>
                <c:pt idx="4">
                  <c:v>56.408950805664063</c:v>
                </c:pt>
                <c:pt idx="5">
                  <c:v>58.509708404541016</c:v>
                </c:pt>
                <c:pt idx="6">
                  <c:v>60.669681549072266</c:v>
                </c:pt>
                <c:pt idx="7">
                  <c:v>62.330951690673828</c:v>
                </c:pt>
                <c:pt idx="8">
                  <c:v>63.035209655761719</c:v>
                </c:pt>
                <c:pt idx="9">
                  <c:v>62.603805541992188</c:v>
                </c:pt>
                <c:pt idx="10">
                  <c:v>60.937458038330078</c:v>
                </c:pt>
                <c:pt idx="11">
                  <c:v>58.023994445800781</c:v>
                </c:pt>
                <c:pt idx="12">
                  <c:v>54.092147827148438</c:v>
                </c:pt>
                <c:pt idx="13">
                  <c:v>49.421573638916016</c:v>
                </c:pt>
                <c:pt idx="14">
                  <c:v>44.726978302001953</c:v>
                </c:pt>
                <c:pt idx="15">
                  <c:v>41.136070251464844</c:v>
                </c:pt>
                <c:pt idx="16">
                  <c:v>39.676124572753906</c:v>
                </c:pt>
                <c:pt idx="17">
                  <c:v>40.525470733642578</c:v>
                </c:pt>
                <c:pt idx="18">
                  <c:v>43.790531158447266</c:v>
                </c:pt>
                <c:pt idx="19">
                  <c:v>49.356376647949219</c:v>
                </c:pt>
                <c:pt idx="20">
                  <c:v>56.466224670410156</c:v>
                </c:pt>
                <c:pt idx="21">
                  <c:v>64.757926940917969</c:v>
                </c:pt>
                <c:pt idx="22">
                  <c:v>73.919776916503906</c:v>
                </c:pt>
                <c:pt idx="23">
                  <c:v>82.703781127929688</c:v>
                </c:pt>
                <c:pt idx="24">
                  <c:v>90.78814697265625</c:v>
                </c:pt>
                <c:pt idx="25">
                  <c:v>96.892677307128906</c:v>
                </c:pt>
                <c:pt idx="26">
                  <c:v>99.999992370605469</c:v>
                </c:pt>
                <c:pt idx="27">
                  <c:v>99.054580688476563</c:v>
                </c:pt>
                <c:pt idx="28">
                  <c:v>94.238136291503906</c:v>
                </c:pt>
                <c:pt idx="29">
                  <c:v>87.308197021484375</c:v>
                </c:pt>
                <c:pt idx="30">
                  <c:v>80.10394287109375</c:v>
                </c:pt>
                <c:pt idx="31">
                  <c:v>74.613975524902344</c:v>
                </c:pt>
                <c:pt idx="32">
                  <c:v>70.887580871582031</c:v>
                </c:pt>
                <c:pt idx="33">
                  <c:v>68.533699035644531</c:v>
                </c:pt>
                <c:pt idx="34">
                  <c:v>66.681121826171875</c:v>
                </c:pt>
                <c:pt idx="35">
                  <c:v>64.452835083007813</c:v>
                </c:pt>
                <c:pt idx="36">
                  <c:v>61.346591949462891</c:v>
                </c:pt>
                <c:pt idx="37">
                  <c:v>57.145668029785156</c:v>
                </c:pt>
                <c:pt idx="38">
                  <c:v>52.158771514892578</c:v>
                </c:pt>
                <c:pt idx="39">
                  <c:v>46.575481414794922</c:v>
                </c:pt>
                <c:pt idx="40">
                  <c:v>41.187259674072266</c:v>
                </c:pt>
                <c:pt idx="41">
                  <c:v>36.693603515625</c:v>
                </c:pt>
                <c:pt idx="42">
                  <c:v>33.426021575927734</c:v>
                </c:pt>
                <c:pt idx="43">
                  <c:v>31.331571578979492</c:v>
                </c:pt>
                <c:pt idx="44">
                  <c:v>30.24261474609375</c:v>
                </c:pt>
                <c:pt idx="45">
                  <c:v>29.837001800537109</c:v>
                </c:pt>
                <c:pt idx="46">
                  <c:v>29.802043914794922</c:v>
                </c:pt>
                <c:pt idx="47">
                  <c:v>29.834489822387695</c:v>
                </c:pt>
                <c:pt idx="48">
                  <c:v>29.741342544555664</c:v>
                </c:pt>
                <c:pt idx="49">
                  <c:v>29.390016555786133</c:v>
                </c:pt>
                <c:pt idx="50">
                  <c:v>28.762887954711914</c:v>
                </c:pt>
                <c:pt idx="51">
                  <c:v>27.760770797729492</c:v>
                </c:pt>
                <c:pt idx="52">
                  <c:v>26.369327545166016</c:v>
                </c:pt>
                <c:pt idx="53">
                  <c:v>24.593545913696289</c:v>
                </c:pt>
                <c:pt idx="54">
                  <c:v>22.599353790283203</c:v>
                </c:pt>
                <c:pt idx="55">
                  <c:v>20.573047637939453</c:v>
                </c:pt>
                <c:pt idx="56">
                  <c:v>18.609165191650391</c:v>
                </c:pt>
                <c:pt idx="57">
                  <c:v>16.843379974365234</c:v>
                </c:pt>
                <c:pt idx="58">
                  <c:v>15.294055938720703</c:v>
                </c:pt>
                <c:pt idx="59">
                  <c:v>14.102557182312012</c:v>
                </c:pt>
                <c:pt idx="60">
                  <c:v>13.286131858825684</c:v>
                </c:pt>
                <c:pt idx="61">
                  <c:v>12.88902759552002</c:v>
                </c:pt>
                <c:pt idx="62">
                  <c:v>12.872271537780762</c:v>
                </c:pt>
                <c:pt idx="63">
                  <c:v>13.16230583190918</c:v>
                </c:pt>
                <c:pt idx="64">
                  <c:v>13.784439086914063</c:v>
                </c:pt>
                <c:pt idx="65">
                  <c:v>14.706076622009277</c:v>
                </c:pt>
                <c:pt idx="66">
                  <c:v>15.644208908081055</c:v>
                </c:pt>
                <c:pt idx="67">
                  <c:v>16.736114501953125</c:v>
                </c:pt>
                <c:pt idx="68">
                  <c:v>17.934324264526367</c:v>
                </c:pt>
                <c:pt idx="69">
                  <c:v>19.252473831176758</c:v>
                </c:pt>
                <c:pt idx="70">
                  <c:v>20.711812973022461</c:v>
                </c:pt>
                <c:pt idx="71">
                  <c:v>22.091739654541016</c:v>
                </c:pt>
                <c:pt idx="72">
                  <c:v>23.475191116333008</c:v>
                </c:pt>
                <c:pt idx="73">
                  <c:v>24.906841278076172</c:v>
                </c:pt>
                <c:pt idx="74">
                  <c:v>26.293315887451172</c:v>
                </c:pt>
                <c:pt idx="75">
                  <c:v>27.556547164916992</c:v>
                </c:pt>
                <c:pt idx="76">
                  <c:v>28.76228141784668</c:v>
                </c:pt>
                <c:pt idx="77">
                  <c:v>29.821224212646484</c:v>
                </c:pt>
                <c:pt idx="78">
                  <c:v>30.763740539550781</c:v>
                </c:pt>
                <c:pt idx="79">
                  <c:v>31.633968353271484</c:v>
                </c:pt>
                <c:pt idx="80">
                  <c:v>32.325607299804688</c:v>
                </c:pt>
                <c:pt idx="81">
                  <c:v>32.820827484130859</c:v>
                </c:pt>
                <c:pt idx="82">
                  <c:v>33.162460327148438</c:v>
                </c:pt>
                <c:pt idx="83">
                  <c:v>33.112686157226563</c:v>
                </c:pt>
                <c:pt idx="84">
                  <c:v>32.8577880859375</c:v>
                </c:pt>
                <c:pt idx="85">
                  <c:v>32.512336730957031</c:v>
                </c:pt>
                <c:pt idx="86">
                  <c:v>31.948637008666992</c:v>
                </c:pt>
                <c:pt idx="87">
                  <c:v>31.126008987426758</c:v>
                </c:pt>
                <c:pt idx="88">
                  <c:v>30.095897674560547</c:v>
                </c:pt>
                <c:pt idx="89">
                  <c:v>29.028627395629883</c:v>
                </c:pt>
                <c:pt idx="90">
                  <c:v>27.845037460327148</c:v>
                </c:pt>
                <c:pt idx="91">
                  <c:v>26.353580474853516</c:v>
                </c:pt>
                <c:pt idx="92">
                  <c:v>24.820201873779297</c:v>
                </c:pt>
                <c:pt idx="93">
                  <c:v>23.258893966674805</c:v>
                </c:pt>
                <c:pt idx="94">
                  <c:v>21.647005081176758</c:v>
                </c:pt>
                <c:pt idx="95">
                  <c:v>20.066156387329102</c:v>
                </c:pt>
                <c:pt idx="96">
                  <c:v>18.347665786743164</c:v>
                </c:pt>
                <c:pt idx="97">
                  <c:v>16.8597412109375</c:v>
                </c:pt>
                <c:pt idx="98">
                  <c:v>15.396976470947266</c:v>
                </c:pt>
                <c:pt idx="99">
                  <c:v>13.97023868560791</c:v>
                </c:pt>
                <c:pt idx="100">
                  <c:v>12.535508155822754</c:v>
                </c:pt>
                <c:pt idx="101">
                  <c:v>11.234574317932129</c:v>
                </c:pt>
                <c:pt idx="102">
                  <c:v>10.132328033447266</c:v>
                </c:pt>
                <c:pt idx="103">
                  <c:v>9.0198383331298828</c:v>
                </c:pt>
                <c:pt idx="104">
                  <c:v>8.0537223815917969</c:v>
                </c:pt>
                <c:pt idx="105">
                  <c:v>7.2283434867858887</c:v>
                </c:pt>
                <c:pt idx="106">
                  <c:v>6.4771528244018555</c:v>
                </c:pt>
                <c:pt idx="107">
                  <c:v>5.8789968490600586</c:v>
                </c:pt>
                <c:pt idx="108">
                  <c:v>5.3575015068054199</c:v>
                </c:pt>
                <c:pt idx="109">
                  <c:v>4.9361257553100586</c:v>
                </c:pt>
                <c:pt idx="110">
                  <c:v>4.6515121459960938</c:v>
                </c:pt>
                <c:pt idx="111">
                  <c:v>4.342503547668457</c:v>
                </c:pt>
                <c:pt idx="112">
                  <c:v>4.1015143394470215</c:v>
                </c:pt>
                <c:pt idx="113">
                  <c:v>3.9109835624694824</c:v>
                </c:pt>
                <c:pt idx="114">
                  <c:v>3.7934994697570801</c:v>
                </c:pt>
                <c:pt idx="115">
                  <c:v>3.748971700668335</c:v>
                </c:pt>
                <c:pt idx="116">
                  <c:v>3.699425220489502</c:v>
                </c:pt>
                <c:pt idx="117">
                  <c:v>3.6392333507537842</c:v>
                </c:pt>
                <c:pt idx="118">
                  <c:v>3.5926685333251953</c:v>
                </c:pt>
                <c:pt idx="119">
                  <c:v>3.5783760547637939</c:v>
                </c:pt>
                <c:pt idx="120">
                  <c:v>3.6042253971099854</c:v>
                </c:pt>
                <c:pt idx="121">
                  <c:v>3.628021240234375</c:v>
                </c:pt>
                <c:pt idx="122">
                  <c:v>3.6285140514373779</c:v>
                </c:pt>
                <c:pt idx="123">
                  <c:v>3.6448516845703125</c:v>
                </c:pt>
                <c:pt idx="124">
                  <c:v>3.5478613376617432</c:v>
                </c:pt>
                <c:pt idx="125">
                  <c:v>3.5135271549224854</c:v>
                </c:pt>
                <c:pt idx="126">
                  <c:v>3.669813871383667</c:v>
                </c:pt>
                <c:pt idx="127">
                  <c:v>3.6649265289306641</c:v>
                </c:pt>
                <c:pt idx="128">
                  <c:v>3.4720301628112793</c:v>
                </c:pt>
                <c:pt idx="129">
                  <c:v>3.4803261756896973</c:v>
                </c:pt>
                <c:pt idx="130">
                  <c:v>3.5476806163787842</c:v>
                </c:pt>
                <c:pt idx="131">
                  <c:v>3.4671182632446289</c:v>
                </c:pt>
                <c:pt idx="132">
                  <c:v>3.4944541454315186</c:v>
                </c:pt>
                <c:pt idx="133">
                  <c:v>3.6167681217193604</c:v>
                </c:pt>
                <c:pt idx="134">
                  <c:v>3.5783185958862305</c:v>
                </c:pt>
                <c:pt idx="135">
                  <c:v>3.5085246562957764</c:v>
                </c:pt>
                <c:pt idx="136">
                  <c:v>2.5822622776031494</c:v>
                </c:pt>
                <c:pt idx="137">
                  <c:v>2</c:v>
                </c:pt>
                <c:pt idx="138">
                  <c:v>2.909752368927002</c:v>
                </c:pt>
                <c:pt idx="139">
                  <c:v>3.5017235279083252</c:v>
                </c:pt>
                <c:pt idx="140">
                  <c:v>3.4009220600128174</c:v>
                </c:pt>
                <c:pt idx="141">
                  <c:v>3.5476148128509521</c:v>
                </c:pt>
                <c:pt idx="142">
                  <c:v>3.5990588665008545</c:v>
                </c:pt>
                <c:pt idx="143">
                  <c:v>3.4844415187835693</c:v>
                </c:pt>
                <c:pt idx="144">
                  <c:v>3.4843592643737793</c:v>
                </c:pt>
                <c:pt idx="145">
                  <c:v>3.5332815647125244</c:v>
                </c:pt>
                <c:pt idx="146">
                  <c:v>3.5688726902008057</c:v>
                </c:pt>
                <c:pt idx="147">
                  <c:v>3.5886929035186768</c:v>
                </c:pt>
                <c:pt idx="148">
                  <c:v>3.5631721019744873</c:v>
                </c:pt>
                <c:pt idx="149">
                  <c:v>3.5528390407562256</c:v>
                </c:pt>
                <c:pt idx="150">
                  <c:v>3.5854401588439941</c:v>
                </c:pt>
                <c:pt idx="151">
                  <c:v>3.5607655048370361</c:v>
                </c:pt>
                <c:pt idx="152">
                  <c:v>3.5343329906463623</c:v>
                </c:pt>
                <c:pt idx="153">
                  <c:v>3.5087957382202148</c:v>
                </c:pt>
                <c:pt idx="154">
                  <c:v>3.6058683395385742</c:v>
                </c:pt>
                <c:pt idx="155">
                  <c:v>3.6081929206848145</c:v>
                </c:pt>
                <c:pt idx="156">
                  <c:v>3.4921624660491943</c:v>
                </c:pt>
                <c:pt idx="157">
                  <c:v>3.4141628742218018</c:v>
                </c:pt>
                <c:pt idx="158">
                  <c:v>3.4344103336334229</c:v>
                </c:pt>
                <c:pt idx="159">
                  <c:v>3.5541696548461914</c:v>
                </c:pt>
                <c:pt idx="160">
                  <c:v>3.6238486766815186</c:v>
                </c:pt>
                <c:pt idx="161">
                  <c:v>3.6684832572937012</c:v>
                </c:pt>
                <c:pt idx="162">
                  <c:v>3.5930874347686768</c:v>
                </c:pt>
                <c:pt idx="163">
                  <c:v>3.416323184967041</c:v>
                </c:pt>
                <c:pt idx="164">
                  <c:v>3.3692736625671387</c:v>
                </c:pt>
                <c:pt idx="165">
                  <c:v>3.5622687339782715</c:v>
                </c:pt>
                <c:pt idx="166">
                  <c:v>3.6426339149475098</c:v>
                </c:pt>
                <c:pt idx="167">
                  <c:v>3.5280656814575195</c:v>
                </c:pt>
                <c:pt idx="168">
                  <c:v>3.5755751132965088</c:v>
                </c:pt>
                <c:pt idx="169">
                  <c:v>3.449474573135376</c:v>
                </c:pt>
                <c:pt idx="170">
                  <c:v>3.275043249130249</c:v>
                </c:pt>
                <c:pt idx="171">
                  <c:v>3.4319460391998291</c:v>
                </c:pt>
                <c:pt idx="172">
                  <c:v>3.5459227561950684</c:v>
                </c:pt>
                <c:pt idx="173">
                  <c:v>3.5618579387664795</c:v>
                </c:pt>
                <c:pt idx="174">
                  <c:v>3.5353515148162842</c:v>
                </c:pt>
                <c:pt idx="175">
                  <c:v>3.424602746963501</c:v>
                </c:pt>
                <c:pt idx="176">
                  <c:v>3.5035059452056885</c:v>
                </c:pt>
                <c:pt idx="177">
                  <c:v>3.5541532039642334</c:v>
                </c:pt>
                <c:pt idx="178">
                  <c:v>3.5880687236785889</c:v>
                </c:pt>
                <c:pt idx="179">
                  <c:v>3.5994367599487305</c:v>
                </c:pt>
                <c:pt idx="180">
                  <c:v>3.4793405532836914</c:v>
                </c:pt>
                <c:pt idx="181">
                  <c:v>3.5039825439453125</c:v>
                </c:pt>
                <c:pt idx="182">
                  <c:v>3.6051619052886963</c:v>
                </c:pt>
                <c:pt idx="183">
                  <c:v>3.4997687339782715</c:v>
                </c:pt>
                <c:pt idx="184">
                  <c:v>3.4791023731231689</c:v>
                </c:pt>
                <c:pt idx="185">
                  <c:v>3.5429084300994873</c:v>
                </c:pt>
                <c:pt idx="186">
                  <c:v>3.5319015979766846</c:v>
                </c:pt>
                <c:pt idx="187">
                  <c:v>3.4967951774597168</c:v>
                </c:pt>
                <c:pt idx="188">
                  <c:v>3.4884908199310303</c:v>
                </c:pt>
                <c:pt idx="189">
                  <c:v>3.4921214580535889</c:v>
                </c:pt>
                <c:pt idx="190">
                  <c:v>3.5736696720123291</c:v>
                </c:pt>
                <c:pt idx="191">
                  <c:v>3.5732998847961426</c:v>
                </c:pt>
                <c:pt idx="192">
                  <c:v>3.5646998882293701</c:v>
                </c:pt>
                <c:pt idx="193">
                  <c:v>3.5247390270233154</c:v>
                </c:pt>
                <c:pt idx="194">
                  <c:v>3.5421197414398193</c:v>
                </c:pt>
                <c:pt idx="195">
                  <c:v>3.5912802219390869</c:v>
                </c:pt>
                <c:pt idx="196">
                  <c:v>3.5973668098449707</c:v>
                </c:pt>
                <c:pt idx="197">
                  <c:v>3.5249691009521484</c:v>
                </c:pt>
                <c:pt idx="198">
                  <c:v>3.4829957485198975</c:v>
                </c:pt>
                <c:pt idx="199">
                  <c:v>3.5689876079559326</c:v>
                </c:pt>
                <c:pt idx="200">
                  <c:v>3.5704169273376465</c:v>
                </c:pt>
                <c:pt idx="201">
                  <c:v>3.6293766498565674</c:v>
                </c:pt>
                <c:pt idx="202">
                  <c:v>3.6013424396514893</c:v>
                </c:pt>
                <c:pt idx="203">
                  <c:v>3.6313314437866211</c:v>
                </c:pt>
                <c:pt idx="204">
                  <c:v>3.578474760055542</c:v>
                </c:pt>
                <c:pt idx="205">
                  <c:v>3.5417337417602539</c:v>
                </c:pt>
                <c:pt idx="206">
                  <c:v>3.5412163734436035</c:v>
                </c:pt>
                <c:pt idx="207">
                  <c:v>3.5566501617431641</c:v>
                </c:pt>
                <c:pt idx="208">
                  <c:v>3.5301601886749268</c:v>
                </c:pt>
                <c:pt idx="209">
                  <c:v>3.5779409408569336</c:v>
                </c:pt>
                <c:pt idx="210">
                  <c:v>3.5970053672790527</c:v>
                </c:pt>
                <c:pt idx="211">
                  <c:v>3.5020439624786377</c:v>
                </c:pt>
                <c:pt idx="212">
                  <c:v>3.6363174915313721</c:v>
                </c:pt>
                <c:pt idx="213">
                  <c:v>3.6619777679443359</c:v>
                </c:pt>
                <c:pt idx="214">
                  <c:v>3.5541532039642334</c:v>
                </c:pt>
                <c:pt idx="215">
                  <c:v>3.4863388538360596</c:v>
                </c:pt>
                <c:pt idx="216">
                  <c:v>3.6054000854492188</c:v>
                </c:pt>
                <c:pt idx="217">
                  <c:v>3.6129570007324219</c:v>
                </c:pt>
                <c:pt idx="218">
                  <c:v>3.5434422492980957</c:v>
                </c:pt>
                <c:pt idx="219">
                  <c:v>3.611149787902832</c:v>
                </c:pt>
                <c:pt idx="220">
                  <c:v>3.5568146705627441</c:v>
                </c:pt>
                <c:pt idx="221">
                  <c:v>3.6044964790344238</c:v>
                </c:pt>
                <c:pt idx="222">
                  <c:v>3.508237361907959</c:v>
                </c:pt>
                <c:pt idx="223">
                  <c:v>3.5845365524291992</c:v>
                </c:pt>
                <c:pt idx="224">
                  <c:v>3.8497157096862793</c:v>
                </c:pt>
                <c:pt idx="225">
                  <c:v>3.6554064750671387</c:v>
                </c:pt>
              </c:numCache>
            </c:numRef>
          </c:yVal>
          <c:smooth val="1"/>
          <c:extLst>
            <c:ext xmlns:c16="http://schemas.microsoft.com/office/drawing/2014/chart" uri="{C3380CC4-5D6E-409C-BE32-E72D297353CC}">
              <c16:uniqueId val="{00000000-69D2-4E8F-89E0-EC448D877EBD}"/>
            </c:ext>
          </c:extLst>
        </c:ser>
        <c:dLbls>
          <c:showLegendKey val="0"/>
          <c:showVal val="0"/>
          <c:showCatName val="0"/>
          <c:showSerName val="0"/>
          <c:showPercent val="0"/>
          <c:showBubbleSize val="0"/>
        </c:dLbls>
        <c:axId val="1816227232"/>
        <c:axId val="1816218528"/>
      </c:scatterChart>
      <c:valAx>
        <c:axId val="1816227232"/>
        <c:scaling>
          <c:orientation val="minMax"/>
          <c:max val="600"/>
          <c:min val="20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400" b="0" i="0" u="none" strike="noStrike" kern="1200" baseline="0">
                    <a:solidFill>
                      <a:schemeClr val="tx1"/>
                    </a:solidFill>
                    <a:latin typeface="+mn-lt"/>
                    <a:ea typeface="+mn-ea"/>
                    <a:cs typeface="+mn-cs"/>
                  </a:defRPr>
                </a:pPr>
                <a:r>
                  <a:rPr lang="en-AU" sz="1400">
                    <a:solidFill>
                      <a:schemeClr val="tx1"/>
                    </a:solidFill>
                  </a:rPr>
                  <a:t>Wavelength (nm)</a:t>
                </a:r>
              </a:p>
            </c:rich>
          </c:tx>
          <c:layout>
            <c:manualLayout>
              <c:xMode val="edge"/>
              <c:yMode val="edge"/>
              <c:x val="0.40139134506920809"/>
              <c:y val="0.95506604301598996"/>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1816218528"/>
        <c:crosses val="autoZero"/>
        <c:crossBetween val="midCat"/>
        <c:majorUnit val="50"/>
      </c:valAx>
      <c:valAx>
        <c:axId val="1816218528"/>
        <c:scaling>
          <c:orientation val="minMax"/>
          <c:max val="104"/>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crossAx val="1816227232"/>
        <c:crosses val="autoZero"/>
        <c:crossBetween val="midCat"/>
        <c:majorUnit val="25"/>
      </c:valAx>
      <c:spPr>
        <a:noFill/>
        <a:ln>
          <a:noFill/>
        </a:ln>
        <a:effectLst/>
      </c:spPr>
    </c:plotArea>
    <c:legend>
      <c:legendPos val="r"/>
      <c:legendEntry>
        <c:idx val="0"/>
        <c:txPr>
          <a:bodyPr rot="0" spcFirstLastPara="1" vertOverflow="ellipsis" vert="horz" wrap="square" anchor="ctr" anchorCtr="1"/>
          <a:lstStyle/>
          <a:p>
            <a:pPr>
              <a:defRPr sz="1200" b="0" i="0" u="none" strike="noStrike" kern="1200" baseline="0">
                <a:noFill/>
                <a:latin typeface="+mn-lt"/>
                <a:ea typeface="+mn-ea"/>
                <a:cs typeface="+mn-cs"/>
              </a:defRPr>
            </a:pPr>
            <a:endParaRPr lang="en-US"/>
          </a:p>
        </c:txPr>
      </c:legendEntry>
      <c:layout>
        <c:manualLayout>
          <c:xMode val="edge"/>
          <c:yMode val="edge"/>
          <c:x val="0.82240397165544188"/>
          <c:y val="1.5864471655588207E-2"/>
          <c:w val="0.1725423562561009"/>
          <c:h val="0.96827105668882363"/>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Radio" firstButton="1" lockText="1" noThreeD="1"/>
</file>

<file path=xl/ctrlProps/ctrlProp21.xml><?xml version="1.0" encoding="utf-8"?>
<formControlPr xmlns="http://schemas.microsoft.com/office/spreadsheetml/2009/9/main" objectType="Radio" checked="Checked" lockText="1" noThreeD="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CheckBox" checked="Checked" lockText="1" noThreeD="1"/>
</file>

<file path=xl/ctrlProps/ctrlProp38.xml><?xml version="1.0" encoding="utf-8"?>
<formControlPr xmlns="http://schemas.microsoft.com/office/spreadsheetml/2009/9/main" objectType="CheckBox" checked="Checked"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CheckBox" checked="Checked" lockText="1" noThreeD="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CheckBox" checked="Checked"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CheckBox" checked="Checked" lockText="1" noThreeD="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CheckBox" checked="Checked" lockText="1" noThreeD="1"/>
</file>

<file path=xl/ctrlProps/ctrlProp106.xml><?xml version="1.0" encoding="utf-8"?>
<formControlPr xmlns="http://schemas.microsoft.com/office/spreadsheetml/2009/9/main" objectType="CheckBox" checked="Checked" lockText="1" noThreeD="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CheckBox" checked="Checked" lockText="1" noThreeD="1"/>
</file>

<file path=xl/ctrlProps/ctrlProp120.xml><?xml version="1.0" encoding="utf-8"?>
<formControlPr xmlns="http://schemas.microsoft.com/office/spreadsheetml/2009/9/main" objectType="CheckBox" checked="Checked" lockText="1" noThreeD="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CheckBox" lockText="1" noThreeD="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CheckBox" checked="Checked" lockText="1" noThreeD="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CheckBox" checked="Checked" lockText="1" noThreeD="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CheckBox" checked="Checked" lockText="1" noThreeD="1"/>
</file>

<file path=xl/ctrlProps/ctrlProp151.xml><?xml version="1.0" encoding="utf-8"?>
<formControlPr xmlns="http://schemas.microsoft.com/office/spreadsheetml/2009/9/main" objectType="CheckBox" lockText="1" noThreeD="1"/>
</file>

<file path=xl/ctrlProps/ctrlProp152.xml><?xml version="1.0" encoding="utf-8"?>
<formControlPr xmlns="http://schemas.microsoft.com/office/spreadsheetml/2009/9/main" objectType="CheckBox" lockText="1" noThreeD="1"/>
</file>

<file path=xl/ctrlProps/ctrlProp153.xml><?xml version="1.0" encoding="utf-8"?>
<formControlPr xmlns="http://schemas.microsoft.com/office/spreadsheetml/2009/9/main" objectType="Radio" checked="Checked" firstButton="1" lockText="1" noThreeD="1"/>
</file>

<file path=xl/ctrlProps/ctrlProp154.xml><?xml version="1.0" encoding="utf-8"?>
<formControlPr xmlns="http://schemas.microsoft.com/office/spreadsheetml/2009/9/main" objectType="Radio" lockText="1" noThreeD="1"/>
</file>

<file path=xl/ctrlProps/ctrlProp155.xml><?xml version="1.0" encoding="utf-8"?>
<formControlPr xmlns="http://schemas.microsoft.com/office/spreadsheetml/2009/9/main" objectType="Radio" lockText="1" noThreeD="1"/>
</file>

<file path=xl/ctrlProps/ctrlProp156.xml><?xml version="1.0" encoding="utf-8"?>
<formControlPr xmlns="http://schemas.microsoft.com/office/spreadsheetml/2009/9/main" objectType="Radio" lockText="1" noThreeD="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CheckBox" lockText="1" noThreeD="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CheckBox" lockText="1" noThreeD="1"/>
</file>

<file path=xl/ctrlProps/ctrlProp165.xml><?xml version="1.0" encoding="utf-8"?>
<formControlPr xmlns="http://schemas.microsoft.com/office/spreadsheetml/2009/9/main" objectType="CheckBox" checked="Checked" lockText="1" noThreeD="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CheckBox" checked="Checked" lockText="1" noThreeD="1"/>
</file>

<file path=xl/ctrlProps/ctrlProp171.xml><?xml version="1.0" encoding="utf-8"?>
<formControlPr xmlns="http://schemas.microsoft.com/office/spreadsheetml/2009/9/main" objectType="CheckBox" checked="Checked" lockText="1" noThreeD="1"/>
</file>

<file path=xl/ctrlProps/ctrlProp172.xml><?xml version="1.0" encoding="utf-8"?>
<formControlPr xmlns="http://schemas.microsoft.com/office/spreadsheetml/2009/9/main" objectType="CheckBox" lockText="1" noThreeD="1"/>
</file>

<file path=xl/ctrlProps/ctrlProp173.xml><?xml version="1.0" encoding="utf-8"?>
<formControlPr xmlns="http://schemas.microsoft.com/office/spreadsheetml/2009/9/main" objectType="CheckBox" lockText="1" noThreeD="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CheckBox" checked="Checked" lockText="1" noThreeD="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CheckBox" lockText="1" noThreeD="1"/>
</file>

<file path=xl/ctrlProps/ctrlProp191.xml><?xml version="1.0" encoding="utf-8"?>
<formControlPr xmlns="http://schemas.microsoft.com/office/spreadsheetml/2009/9/main" objectType="CheckBox" checked="Checked" lockText="1" noThreeD="1"/>
</file>

<file path=xl/ctrlProps/ctrlProp192.xml><?xml version="1.0" encoding="utf-8"?>
<formControlPr xmlns="http://schemas.microsoft.com/office/spreadsheetml/2009/9/main" objectType="CheckBox" lockText="1" noThreeD="1"/>
</file>

<file path=xl/ctrlProps/ctrlProp193.xml><?xml version="1.0" encoding="utf-8"?>
<formControlPr xmlns="http://schemas.microsoft.com/office/spreadsheetml/2009/9/main" objectType="CheckBox" lockText="1" noThreeD="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CheckBox" lockText="1" noThreeD="1"/>
</file>

<file path=xl/ctrlProps/ctrlProp206.xml><?xml version="1.0" encoding="utf-8"?>
<formControlPr xmlns="http://schemas.microsoft.com/office/spreadsheetml/2009/9/main" objectType="CheckBox" lockText="1" noThreeD="1"/>
</file>

<file path=xl/ctrlProps/ctrlProp207.xml><?xml version="1.0" encoding="utf-8"?>
<formControlPr xmlns="http://schemas.microsoft.com/office/spreadsheetml/2009/9/main" objectType="CheckBox" lockText="1" noThreeD="1"/>
</file>

<file path=xl/ctrlProps/ctrlProp208.xml><?xml version="1.0" encoding="utf-8"?>
<formControlPr xmlns="http://schemas.microsoft.com/office/spreadsheetml/2009/9/main" objectType="CheckBox" lockText="1" noThreeD="1"/>
</file>

<file path=xl/ctrlProps/ctrlProp209.xml><?xml version="1.0" encoding="utf-8"?>
<formControlPr xmlns="http://schemas.microsoft.com/office/spreadsheetml/2009/9/main" objectType="CheckBox" checked="Checked" lockText="1" noThreeD="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CheckBox" lockText="1" noThreeD="1"/>
</file>

<file path=xl/ctrlProps/ctrlProp217.xml><?xml version="1.0" encoding="utf-8"?>
<formControlPr xmlns="http://schemas.microsoft.com/office/spreadsheetml/2009/9/main" objectType="CheckBox" lockText="1" noThreeD="1"/>
</file>

<file path=xl/ctrlProps/ctrlProp218.xml><?xml version="1.0" encoding="utf-8"?>
<formControlPr xmlns="http://schemas.microsoft.com/office/spreadsheetml/2009/9/main" objectType="CheckBox" lockText="1" noThreeD="1"/>
</file>

<file path=xl/ctrlProps/ctrlProp219.xml><?xml version="1.0" encoding="utf-8"?>
<formControlPr xmlns="http://schemas.microsoft.com/office/spreadsheetml/2009/9/main" objectType="CheckBox" checked="Checked" lockText="1" noThreeD="1"/>
</file>

<file path=xl/ctrlProps/ctrlProp220.xml><?xml version="1.0" encoding="utf-8"?>
<formControlPr xmlns="http://schemas.microsoft.com/office/spreadsheetml/2009/9/main" objectType="Radio" checked="Checked" firstButton="1" lockText="1" noThreeD="1"/>
</file>

<file path=xl/ctrlProps/ctrlProp221.xml><?xml version="1.0" encoding="utf-8"?>
<formControlPr xmlns="http://schemas.microsoft.com/office/spreadsheetml/2009/9/main" objectType="Radio" lockText="1" noThreeD="1"/>
</file>

<file path=xl/ctrlProps/ctrlProp222.xml><?xml version="1.0" encoding="utf-8"?>
<formControlPr xmlns="http://schemas.microsoft.com/office/spreadsheetml/2009/9/main" objectType="Radio" lockText="1" noThreeD="1"/>
</file>

<file path=xl/ctrlProps/ctrlProp223.xml><?xml version="1.0" encoding="utf-8"?>
<formControlPr xmlns="http://schemas.microsoft.com/office/spreadsheetml/2009/9/main" objectType="Radio" lockText="1" noThreeD="1"/>
</file>

<file path=xl/ctrlProps/ctrlProp224.xml><?xml version="1.0" encoding="utf-8"?>
<formControlPr xmlns="http://schemas.microsoft.com/office/spreadsheetml/2009/9/main" objectType="Radio" lockText="1" noThreeD="1"/>
</file>

<file path=xl/ctrlProps/ctrlProp225.xml><?xml version="1.0" encoding="utf-8"?>
<formControlPr xmlns="http://schemas.microsoft.com/office/spreadsheetml/2009/9/main" objectType="CheckBox" lockText="1" noThreeD="1"/>
</file>

<file path=xl/ctrlProps/ctrlProp226.xml><?xml version="1.0" encoding="utf-8"?>
<formControlPr xmlns="http://schemas.microsoft.com/office/spreadsheetml/2009/9/main" objectType="CheckBox" lockText="1" noThreeD="1"/>
</file>

<file path=xl/ctrlProps/ctrlProp227.xml><?xml version="1.0" encoding="utf-8"?>
<formControlPr xmlns="http://schemas.microsoft.com/office/spreadsheetml/2009/9/main" objectType="CheckBox" lockText="1" noThreeD="1"/>
</file>

<file path=xl/ctrlProps/ctrlProp228.xml><?xml version="1.0" encoding="utf-8"?>
<formControlPr xmlns="http://schemas.microsoft.com/office/spreadsheetml/2009/9/main" objectType="CheckBox" lockText="1" noThreeD="1"/>
</file>

<file path=xl/ctrlProps/ctrlProp229.xml><?xml version="1.0" encoding="utf-8"?>
<formControlPr xmlns="http://schemas.microsoft.com/office/spreadsheetml/2009/9/main" objectType="CheckBox" lockText="1" noThreeD="1"/>
</file>

<file path=xl/ctrlProps/ctrlProp230.xml><?xml version="1.0" encoding="utf-8"?>
<formControlPr xmlns="http://schemas.microsoft.com/office/spreadsheetml/2009/9/main" objectType="CheckBox" lockText="1" noThreeD="1"/>
</file>

<file path=xl/ctrlProps/ctrlProp231.xml><?xml version="1.0" encoding="utf-8"?>
<formControlPr xmlns="http://schemas.microsoft.com/office/spreadsheetml/2009/9/main" objectType="Radio" checked="Checked" firstButton="1" lockText="1" noThreeD="1"/>
</file>

<file path=xl/ctrlProps/ctrlProp232.xml><?xml version="1.0" encoding="utf-8"?>
<formControlPr xmlns="http://schemas.microsoft.com/office/spreadsheetml/2009/9/main" objectType="Radio" lockText="1" noThreeD="1"/>
</file>

<file path=xl/ctrlProps/ctrlProp233.xml><?xml version="1.0" encoding="utf-8"?>
<formControlPr xmlns="http://schemas.microsoft.com/office/spreadsheetml/2009/9/main" objectType="CheckBox" checked="Checked" lockText="1" noThreeD="1"/>
</file>

<file path=xl/ctrlProps/ctrlProp234.xml><?xml version="1.0" encoding="utf-8"?>
<formControlPr xmlns="http://schemas.microsoft.com/office/spreadsheetml/2009/9/main" objectType="CheckBox" lockText="1" noThreeD="1"/>
</file>

<file path=xl/ctrlProps/ctrlProp235.xml><?xml version="1.0" encoding="utf-8"?>
<formControlPr xmlns="http://schemas.microsoft.com/office/spreadsheetml/2009/9/main" objectType="CheckBox" lockText="1" noThreeD="1"/>
</file>

<file path=xl/ctrlProps/ctrlProp236.xml><?xml version="1.0" encoding="utf-8"?>
<formControlPr xmlns="http://schemas.microsoft.com/office/spreadsheetml/2009/9/main" objectType="CheckBox" lockText="1" noThreeD="1"/>
</file>

<file path=xl/ctrlProps/ctrlProp237.xml><?xml version="1.0" encoding="utf-8"?>
<formControlPr xmlns="http://schemas.microsoft.com/office/spreadsheetml/2009/9/main" objectType="GBox" noThreeD="1"/>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vmlDrawing6.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13</xdr:col>
      <xdr:colOff>0</xdr:colOff>
      <xdr:row>4</xdr:row>
      <xdr:rowOff>0</xdr:rowOff>
    </xdr:from>
    <xdr:to>
      <xdr:col>14</xdr:col>
      <xdr:colOff>0</xdr:colOff>
      <xdr:row>4</xdr:row>
      <xdr:rowOff>1543050</xdr:rowOff>
    </xdr:to>
    <xdr:graphicFrame macro="">
      <xdr:nvGraphicFramePr>
        <xdr:cNvPr id="1726" name="Chart 1">
          <a:extLst>
            <a:ext uri="{FF2B5EF4-FFF2-40B4-BE49-F238E27FC236}">
              <a16:creationId xmlns:a16="http://schemas.microsoft.com/office/drawing/2014/main" id="{00000000-0008-0000-0000-0000BE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0</xdr:colOff>
      <xdr:row>5</xdr:row>
      <xdr:rowOff>0</xdr:rowOff>
    </xdr:from>
    <xdr:to>
      <xdr:col>14</xdr:col>
      <xdr:colOff>0</xdr:colOff>
      <xdr:row>5</xdr:row>
      <xdr:rowOff>1543050</xdr:rowOff>
    </xdr:to>
    <xdr:graphicFrame macro="">
      <xdr:nvGraphicFramePr>
        <xdr:cNvPr id="1727" name="Chart 2">
          <a:extLst>
            <a:ext uri="{FF2B5EF4-FFF2-40B4-BE49-F238E27FC236}">
              <a16:creationId xmlns:a16="http://schemas.microsoft.com/office/drawing/2014/main" id="{00000000-0008-0000-0000-0000BF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0</xdr:colOff>
      <xdr:row>6</xdr:row>
      <xdr:rowOff>0</xdr:rowOff>
    </xdr:from>
    <xdr:to>
      <xdr:col>14</xdr:col>
      <xdr:colOff>0</xdr:colOff>
      <xdr:row>6</xdr:row>
      <xdr:rowOff>1543050</xdr:rowOff>
    </xdr:to>
    <xdr:graphicFrame macro="">
      <xdr:nvGraphicFramePr>
        <xdr:cNvPr id="1728" name="Chart 3">
          <a:extLst>
            <a:ext uri="{FF2B5EF4-FFF2-40B4-BE49-F238E27FC236}">
              <a16:creationId xmlns:a16="http://schemas.microsoft.com/office/drawing/2014/main" id="{00000000-0008-0000-0000-0000C0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0</xdr:colOff>
      <xdr:row>7</xdr:row>
      <xdr:rowOff>0</xdr:rowOff>
    </xdr:from>
    <xdr:to>
      <xdr:col>14</xdr:col>
      <xdr:colOff>0</xdr:colOff>
      <xdr:row>7</xdr:row>
      <xdr:rowOff>1543050</xdr:rowOff>
    </xdr:to>
    <xdr:graphicFrame macro="">
      <xdr:nvGraphicFramePr>
        <xdr:cNvPr id="1729" name="Chart 4">
          <a:extLst>
            <a:ext uri="{FF2B5EF4-FFF2-40B4-BE49-F238E27FC236}">
              <a16:creationId xmlns:a16="http://schemas.microsoft.com/office/drawing/2014/main" id="{00000000-0008-0000-0000-0000C1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0</xdr:colOff>
      <xdr:row>8</xdr:row>
      <xdr:rowOff>0</xdr:rowOff>
    </xdr:from>
    <xdr:to>
      <xdr:col>14</xdr:col>
      <xdr:colOff>0</xdr:colOff>
      <xdr:row>8</xdr:row>
      <xdr:rowOff>1543050</xdr:rowOff>
    </xdr:to>
    <xdr:graphicFrame macro="">
      <xdr:nvGraphicFramePr>
        <xdr:cNvPr id="1730" name="Chart 5">
          <a:extLst>
            <a:ext uri="{FF2B5EF4-FFF2-40B4-BE49-F238E27FC236}">
              <a16:creationId xmlns:a16="http://schemas.microsoft.com/office/drawing/2014/main" id="{00000000-0008-0000-0000-0000C2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0</xdr:colOff>
      <xdr:row>9</xdr:row>
      <xdr:rowOff>0</xdr:rowOff>
    </xdr:from>
    <xdr:to>
      <xdr:col>14</xdr:col>
      <xdr:colOff>0</xdr:colOff>
      <xdr:row>9</xdr:row>
      <xdr:rowOff>1543050</xdr:rowOff>
    </xdr:to>
    <xdr:graphicFrame macro="">
      <xdr:nvGraphicFramePr>
        <xdr:cNvPr id="1731" name="Chart 6">
          <a:extLst>
            <a:ext uri="{FF2B5EF4-FFF2-40B4-BE49-F238E27FC236}">
              <a16:creationId xmlns:a16="http://schemas.microsoft.com/office/drawing/2014/main" id="{00000000-0008-0000-0000-0000C3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13</xdr:col>
      <xdr:colOff>0</xdr:colOff>
      <xdr:row>10</xdr:row>
      <xdr:rowOff>0</xdr:rowOff>
    </xdr:from>
    <xdr:to>
      <xdr:col>14</xdr:col>
      <xdr:colOff>0</xdr:colOff>
      <xdr:row>10</xdr:row>
      <xdr:rowOff>1543050</xdr:rowOff>
    </xdr:to>
    <xdr:graphicFrame macro="">
      <xdr:nvGraphicFramePr>
        <xdr:cNvPr id="1732" name="Chart 7">
          <a:extLst>
            <a:ext uri="{FF2B5EF4-FFF2-40B4-BE49-F238E27FC236}">
              <a16:creationId xmlns:a16="http://schemas.microsoft.com/office/drawing/2014/main" id="{00000000-0008-0000-0000-0000C4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13</xdr:col>
      <xdr:colOff>0</xdr:colOff>
      <xdr:row>11</xdr:row>
      <xdr:rowOff>0</xdr:rowOff>
    </xdr:from>
    <xdr:to>
      <xdr:col>14</xdr:col>
      <xdr:colOff>0</xdr:colOff>
      <xdr:row>11</xdr:row>
      <xdr:rowOff>1543050</xdr:rowOff>
    </xdr:to>
    <xdr:graphicFrame macro="">
      <xdr:nvGraphicFramePr>
        <xdr:cNvPr id="1733" name="Chart 8">
          <a:extLst>
            <a:ext uri="{FF2B5EF4-FFF2-40B4-BE49-F238E27FC236}">
              <a16:creationId xmlns:a16="http://schemas.microsoft.com/office/drawing/2014/main" id="{00000000-0008-0000-0000-0000C506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mc:AlternateContent xmlns:mc="http://schemas.openxmlformats.org/markup-compatibility/2006">
    <mc:Choice xmlns:a14="http://schemas.microsoft.com/office/drawing/2010/main" Requires="a14">
      <xdr:twoCellAnchor>
        <xdr:from>
          <xdr:col>9</xdr:col>
          <xdr:colOff>9525</xdr:colOff>
          <xdr:row>1</xdr:row>
          <xdr:rowOff>0</xdr:rowOff>
        </xdr:from>
        <xdr:to>
          <xdr:col>10</xdr:col>
          <xdr:colOff>0</xdr:colOff>
          <xdr:row>2</xdr:row>
          <xdr:rowOff>9525</xdr:rowOff>
        </xdr:to>
        <xdr:sp macro="" textlink="">
          <xdr:nvSpPr>
            <xdr:cNvPr id="1026" name="Button 1"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400" b="1" i="0" u="none" strike="noStrike" baseline="0">
                  <a:solidFill>
                    <a:srgbClr val="FF0000"/>
                  </a:solidFill>
                  <a:latin typeface="Calibri"/>
                  <a:cs typeface="Calibri"/>
                </a:rPr>
                <a:t>Load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666750</xdr:rowOff>
        </xdr:from>
        <xdr:to>
          <xdr:col>12</xdr:col>
          <xdr:colOff>247650</xdr:colOff>
          <xdr:row>4</xdr:row>
          <xdr:rowOff>885825</xdr:rowOff>
        </xdr:to>
        <xdr:sp macro="" textlink="">
          <xdr:nvSpPr>
            <xdr:cNvPr id="1033" name="CheckBox1"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5</xdr:row>
          <xdr:rowOff>666750</xdr:rowOff>
        </xdr:from>
        <xdr:to>
          <xdr:col>12</xdr:col>
          <xdr:colOff>247650</xdr:colOff>
          <xdr:row>5</xdr:row>
          <xdr:rowOff>885825</xdr:rowOff>
        </xdr:to>
        <xdr:sp macro="" textlink="">
          <xdr:nvSpPr>
            <xdr:cNvPr id="1034" name="CheckBox2"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6</xdr:row>
          <xdr:rowOff>666750</xdr:rowOff>
        </xdr:from>
        <xdr:to>
          <xdr:col>12</xdr:col>
          <xdr:colOff>247650</xdr:colOff>
          <xdr:row>6</xdr:row>
          <xdr:rowOff>885825</xdr:rowOff>
        </xdr:to>
        <xdr:sp macro="" textlink="">
          <xdr:nvSpPr>
            <xdr:cNvPr id="1035" name="CheckBox3"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7</xdr:row>
          <xdr:rowOff>666750</xdr:rowOff>
        </xdr:from>
        <xdr:to>
          <xdr:col>12</xdr:col>
          <xdr:colOff>247650</xdr:colOff>
          <xdr:row>7</xdr:row>
          <xdr:rowOff>885825</xdr:rowOff>
        </xdr:to>
        <xdr:sp macro="" textlink="">
          <xdr:nvSpPr>
            <xdr:cNvPr id="1036" name="CheckBox4"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8</xdr:row>
          <xdr:rowOff>666750</xdr:rowOff>
        </xdr:from>
        <xdr:to>
          <xdr:col>12</xdr:col>
          <xdr:colOff>247650</xdr:colOff>
          <xdr:row>8</xdr:row>
          <xdr:rowOff>885825</xdr:rowOff>
        </xdr:to>
        <xdr:sp macro="" textlink="">
          <xdr:nvSpPr>
            <xdr:cNvPr id="1037" name="CheckBox5"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9</xdr:row>
          <xdr:rowOff>666750</xdr:rowOff>
        </xdr:from>
        <xdr:to>
          <xdr:col>12</xdr:col>
          <xdr:colOff>247650</xdr:colOff>
          <xdr:row>9</xdr:row>
          <xdr:rowOff>885825</xdr:rowOff>
        </xdr:to>
        <xdr:sp macro="" textlink="">
          <xdr:nvSpPr>
            <xdr:cNvPr id="1038" name="CheckBox6"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10</xdr:row>
          <xdr:rowOff>666750</xdr:rowOff>
        </xdr:from>
        <xdr:to>
          <xdr:col>12</xdr:col>
          <xdr:colOff>247650</xdr:colOff>
          <xdr:row>10</xdr:row>
          <xdr:rowOff>885825</xdr:rowOff>
        </xdr:to>
        <xdr:sp macro="" textlink="">
          <xdr:nvSpPr>
            <xdr:cNvPr id="1039" name="CheckBox7"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11</xdr:row>
          <xdr:rowOff>666750</xdr:rowOff>
        </xdr:from>
        <xdr:to>
          <xdr:col>12</xdr:col>
          <xdr:colOff>247650</xdr:colOff>
          <xdr:row>11</xdr:row>
          <xdr:rowOff>885825</xdr:rowOff>
        </xdr:to>
        <xdr:sp macro="" textlink="">
          <xdr:nvSpPr>
            <xdr:cNvPr id="1040" name="CheckBox8"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19050</xdr:colOff>
          <xdr:row>2</xdr:row>
          <xdr:rowOff>9525</xdr:rowOff>
        </xdr:from>
        <xdr:to>
          <xdr:col>13</xdr:col>
          <xdr:colOff>647700</xdr:colOff>
          <xdr:row>3</xdr:row>
          <xdr:rowOff>0</xdr:rowOff>
        </xdr:to>
        <xdr:sp macro="" textlink="">
          <xdr:nvSpPr>
            <xdr:cNvPr id="1134" name="Button 110" hidden="1">
              <a:extLst>
                <a:ext uri="{63B3BB69-23CF-44E3-9099-C40C66FF867C}">
                  <a14:compatExt spid="_x0000_s1134"/>
                </a:ext>
                <a:ext uri="{FF2B5EF4-FFF2-40B4-BE49-F238E27FC236}">
                  <a16:creationId xmlns:a16="http://schemas.microsoft.com/office/drawing/2014/main" id="{00000000-0008-0000-0000-00006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Deselect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19050</xdr:colOff>
          <xdr:row>1</xdr:row>
          <xdr:rowOff>9525</xdr:rowOff>
        </xdr:from>
        <xdr:to>
          <xdr:col>13</xdr:col>
          <xdr:colOff>647700</xdr:colOff>
          <xdr:row>2</xdr:row>
          <xdr:rowOff>0</xdr:rowOff>
        </xdr:to>
        <xdr:sp macro="" textlink="">
          <xdr:nvSpPr>
            <xdr:cNvPr id="1135" name="Button 111" hidden="1">
              <a:extLst>
                <a:ext uri="{63B3BB69-23CF-44E3-9099-C40C66FF867C}">
                  <a14:compatExt spid="_x0000_s1135"/>
                </a:ext>
                <a:ext uri="{FF2B5EF4-FFF2-40B4-BE49-F238E27FC236}">
                  <a16:creationId xmlns:a16="http://schemas.microsoft.com/office/drawing/2014/main" id="{00000000-0008-0000-0000-00006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Select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666750</xdr:colOff>
          <xdr:row>1</xdr:row>
          <xdr:rowOff>0</xdr:rowOff>
        </xdr:from>
        <xdr:to>
          <xdr:col>13</xdr:col>
          <xdr:colOff>1714500</xdr:colOff>
          <xdr:row>2</xdr:row>
          <xdr:rowOff>0</xdr:rowOff>
        </xdr:to>
        <xdr:sp macro="" textlink="">
          <xdr:nvSpPr>
            <xdr:cNvPr id="1136" name="Button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Hide Checked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1724025</xdr:colOff>
          <xdr:row>1</xdr:row>
          <xdr:rowOff>9525</xdr:rowOff>
        </xdr:from>
        <xdr:to>
          <xdr:col>14</xdr:col>
          <xdr:colOff>57150</xdr:colOff>
          <xdr:row>3</xdr:row>
          <xdr:rowOff>0</xdr:rowOff>
        </xdr:to>
        <xdr:sp macro="" textlink="">
          <xdr:nvSpPr>
            <xdr:cNvPr id="1137" name="Button 113" hidden="1">
              <a:extLst>
                <a:ext uri="{63B3BB69-23CF-44E3-9099-C40C66FF867C}">
                  <a14:compatExt spid="_x0000_s1137"/>
                </a:ext>
                <a:ext uri="{FF2B5EF4-FFF2-40B4-BE49-F238E27FC236}">
                  <a16:creationId xmlns:a16="http://schemas.microsoft.com/office/drawing/2014/main" id="{00000000-0008-0000-0000-00007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Unhide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0</xdr:rowOff>
        </xdr:from>
        <xdr:to>
          <xdr:col>5</xdr:col>
          <xdr:colOff>952500</xdr:colOff>
          <xdr:row>2</xdr:row>
          <xdr:rowOff>219075</xdr:rowOff>
        </xdr:to>
        <xdr:sp macro="" textlink="">
          <xdr:nvSpPr>
            <xdr:cNvPr id="1138" name="Button 114"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Recalc. Cutoffs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942975</xdr:colOff>
          <xdr:row>2</xdr:row>
          <xdr:rowOff>219075</xdr:rowOff>
        </xdr:to>
        <xdr:sp macro="" textlink="">
          <xdr:nvSpPr>
            <xdr:cNvPr id="1139" name="Button 115"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Calc. CumArea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66675</xdr:colOff>
          <xdr:row>1</xdr:row>
          <xdr:rowOff>9525</xdr:rowOff>
        </xdr:from>
        <xdr:to>
          <xdr:col>14</xdr:col>
          <xdr:colOff>962025</xdr:colOff>
          <xdr:row>2</xdr:row>
          <xdr:rowOff>9525</xdr:rowOff>
        </xdr:to>
        <xdr:sp macro="" textlink="">
          <xdr:nvSpPr>
            <xdr:cNvPr id="1142" name="Button 118" hidden="1">
              <a:extLst>
                <a:ext uri="{63B3BB69-23CF-44E3-9099-C40C66FF867C}">
                  <a14:compatExt spid="_x0000_s1142"/>
                </a:ext>
                <a:ext uri="{FF2B5EF4-FFF2-40B4-BE49-F238E27FC236}">
                  <a16:creationId xmlns:a16="http://schemas.microsoft.com/office/drawing/2014/main" id="{00000000-0008-0000-0000-00007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Hide UV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66675</xdr:colOff>
          <xdr:row>2</xdr:row>
          <xdr:rowOff>9525</xdr:rowOff>
        </xdr:from>
        <xdr:to>
          <xdr:col>14</xdr:col>
          <xdr:colOff>962025</xdr:colOff>
          <xdr:row>3</xdr:row>
          <xdr:rowOff>0</xdr:rowOff>
        </xdr:to>
        <xdr:sp macro="" textlink="">
          <xdr:nvSpPr>
            <xdr:cNvPr id="1143" name="Button 119" hidden="1">
              <a:extLst>
                <a:ext uri="{63B3BB69-23CF-44E3-9099-C40C66FF867C}">
                  <a14:compatExt spid="_x0000_s1143"/>
                </a:ext>
                <a:ext uri="{FF2B5EF4-FFF2-40B4-BE49-F238E27FC236}">
                  <a16:creationId xmlns:a16="http://schemas.microsoft.com/office/drawing/2014/main" id="{00000000-0008-0000-0000-00007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Unhide UV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xdr:row>
          <xdr:rowOff>0</xdr:rowOff>
        </xdr:from>
        <xdr:to>
          <xdr:col>9</xdr:col>
          <xdr:colOff>1114425</xdr:colOff>
          <xdr:row>2</xdr:row>
          <xdr:rowOff>9525</xdr:rowOff>
        </xdr:to>
        <xdr:sp macro="" textlink="">
          <xdr:nvSpPr>
            <xdr:cNvPr id="1146" name="Button 122" hidden="1">
              <a:extLst>
                <a:ext uri="{63B3BB69-23CF-44E3-9099-C40C66FF867C}">
                  <a14:compatExt spid="_x0000_s1146"/>
                </a:ext>
                <a:ext uri="{FF2B5EF4-FFF2-40B4-BE49-F238E27FC236}">
                  <a16:creationId xmlns:a16="http://schemas.microsoft.com/office/drawing/2014/main" id="{00000000-0008-0000-0000-00007A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400" b="1" i="0" u="none" strike="noStrike" baseline="0">
                  <a:solidFill>
                    <a:srgbClr val="FF0000"/>
                  </a:solidFill>
                  <a:latin typeface="Calibri"/>
                  <a:cs typeface="Calibri"/>
                </a:rPr>
                <a:t>Lock NovaC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981075</xdr:colOff>
          <xdr:row>2</xdr:row>
          <xdr:rowOff>9525</xdr:rowOff>
        </xdr:from>
        <xdr:to>
          <xdr:col>12</xdr:col>
          <xdr:colOff>0</xdr:colOff>
          <xdr:row>3</xdr:row>
          <xdr:rowOff>0</xdr:rowOff>
        </xdr:to>
        <xdr:sp macro="" textlink="">
          <xdr:nvSpPr>
            <xdr:cNvPr id="1148" name="Button 124" hidden="1">
              <a:extLst>
                <a:ext uri="{63B3BB69-23CF-44E3-9099-C40C66FF867C}">
                  <a14:compatExt spid="_x0000_s1148"/>
                </a:ext>
                <a:ext uri="{FF2B5EF4-FFF2-40B4-BE49-F238E27FC236}">
                  <a16:creationId xmlns:a16="http://schemas.microsoft.com/office/drawing/2014/main" id="{00000000-0008-0000-0000-00007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UV Search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1</xdr:row>
          <xdr:rowOff>9525</xdr:rowOff>
        </xdr:from>
        <xdr:to>
          <xdr:col>8</xdr:col>
          <xdr:colOff>533400</xdr:colOff>
          <xdr:row>2</xdr:row>
          <xdr:rowOff>0</xdr:rowOff>
        </xdr:to>
        <xdr:sp macro="" textlink="">
          <xdr:nvSpPr>
            <xdr:cNvPr id="1149" name="Option Button 125" hidden="1">
              <a:extLst>
                <a:ext uri="{63B3BB69-23CF-44E3-9099-C40C66FF867C}">
                  <a14:compatExt spid="_x0000_s1149"/>
                </a:ext>
                <a:ext uri="{FF2B5EF4-FFF2-40B4-BE49-F238E27FC236}">
                  <a16:creationId xmlns:a16="http://schemas.microsoft.com/office/drawing/2014/main" id="{00000000-0008-0000-0000-00007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First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619125</xdr:colOff>
          <xdr:row>1</xdr:row>
          <xdr:rowOff>9525</xdr:rowOff>
        </xdr:from>
        <xdr:to>
          <xdr:col>8</xdr:col>
          <xdr:colOff>1057275</xdr:colOff>
          <xdr:row>2</xdr:row>
          <xdr:rowOff>0</xdr:rowOff>
        </xdr:to>
        <xdr:sp macro="" textlink="">
          <xdr:nvSpPr>
            <xdr:cNvPr id="1150" name="Option Button 126" hidden="1">
              <a:extLst>
                <a:ext uri="{63B3BB69-23CF-44E3-9099-C40C66FF867C}">
                  <a14:compatExt spid="_x0000_s1150"/>
                </a:ext>
                <a:ext uri="{FF2B5EF4-FFF2-40B4-BE49-F238E27FC236}">
                  <a16:creationId xmlns:a16="http://schemas.microsoft.com/office/drawing/2014/main" id="{00000000-0008-0000-0000-00007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Top </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xdr:row>
          <xdr:rowOff>0</xdr:rowOff>
        </xdr:from>
        <xdr:to>
          <xdr:col>11</xdr:col>
          <xdr:colOff>0</xdr:colOff>
          <xdr:row>2</xdr:row>
          <xdr:rowOff>9525</xdr:rowOff>
        </xdr:to>
        <xdr:sp macro="" textlink="">
          <xdr:nvSpPr>
            <xdr:cNvPr id="1151" name="Button 127" hidden="1">
              <a:extLst>
                <a:ext uri="{63B3BB69-23CF-44E3-9099-C40C66FF867C}">
                  <a14:compatExt spid="_x0000_s1151"/>
                </a:ext>
                <a:ext uri="{FF2B5EF4-FFF2-40B4-BE49-F238E27FC236}">
                  <a16:creationId xmlns:a16="http://schemas.microsoft.com/office/drawing/2014/main" id="{00000000-0008-0000-0000-00007F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400" b="1" i="0" u="none" strike="noStrike" baseline="0">
                  <a:solidFill>
                    <a:srgbClr val="FF0000"/>
                  </a:solidFill>
                  <a:latin typeface="Calibri"/>
                  <a:cs typeface="Calibri"/>
                </a:rPr>
                <a:t>Batch...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657225</xdr:colOff>
          <xdr:row>2</xdr:row>
          <xdr:rowOff>9525</xdr:rowOff>
        </xdr:from>
        <xdr:to>
          <xdr:col>13</xdr:col>
          <xdr:colOff>1714500</xdr:colOff>
          <xdr:row>3</xdr:row>
          <xdr:rowOff>0</xdr:rowOff>
        </xdr:to>
        <xdr:sp macro="" textlink="">
          <xdr:nvSpPr>
            <xdr:cNvPr id="1152" name="Button 128" hidden="1">
              <a:extLst>
                <a:ext uri="{63B3BB69-23CF-44E3-9099-C40C66FF867C}">
                  <a14:compatExt spid="_x0000_s1152"/>
                </a:ext>
                <a:ext uri="{FF2B5EF4-FFF2-40B4-BE49-F238E27FC236}">
                  <a16:creationId xmlns:a16="http://schemas.microsoft.com/office/drawing/2014/main" id="{00000000-0008-0000-0000-00008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Hide Unchecked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981075</xdr:colOff>
          <xdr:row>1</xdr:row>
          <xdr:rowOff>9525</xdr:rowOff>
        </xdr:from>
        <xdr:to>
          <xdr:col>12</xdr:col>
          <xdr:colOff>0</xdr:colOff>
          <xdr:row>2</xdr:row>
          <xdr:rowOff>0</xdr:rowOff>
        </xdr:to>
        <xdr:sp macro="" textlink="">
          <xdr:nvSpPr>
            <xdr:cNvPr id="1153" name="Button 129" hidden="1">
              <a:extLst>
                <a:ext uri="{63B3BB69-23CF-44E3-9099-C40C66FF867C}">
                  <a14:compatExt spid="_x0000_s1153"/>
                </a:ext>
                <a:ext uri="{FF2B5EF4-FFF2-40B4-BE49-F238E27FC236}">
                  <a16:creationId xmlns:a16="http://schemas.microsoft.com/office/drawing/2014/main" id="{00000000-0008-0000-0000-00008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Mass Search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xdr:colOff>
          <xdr:row>1</xdr:row>
          <xdr:rowOff>0</xdr:rowOff>
        </xdr:from>
        <xdr:to>
          <xdr:col>10</xdr:col>
          <xdr:colOff>1114425</xdr:colOff>
          <xdr:row>2</xdr:row>
          <xdr:rowOff>9525</xdr:rowOff>
        </xdr:to>
        <xdr:sp macro="" textlink="">
          <xdr:nvSpPr>
            <xdr:cNvPr id="1154" name="Button 130" hidden="1">
              <a:extLst>
                <a:ext uri="{63B3BB69-23CF-44E3-9099-C40C66FF867C}">
                  <a14:compatExt spid="_x0000_s1154"/>
                </a:ext>
                <a:ext uri="{FF2B5EF4-FFF2-40B4-BE49-F238E27FC236}">
                  <a16:creationId xmlns:a16="http://schemas.microsoft.com/office/drawing/2014/main" id="{00000000-0008-0000-0000-00008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400" b="1" i="0" u="none" strike="noStrike" baseline="0">
                  <a:solidFill>
                    <a:srgbClr val="FF0000"/>
                  </a:solidFill>
                  <a:latin typeface="Calibri"/>
                  <a:cs typeface="Calibri"/>
                </a:rPr>
                <a:t>Copy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xdr:colOff>
          <xdr:row>2</xdr:row>
          <xdr:rowOff>9525</xdr:rowOff>
        </xdr:from>
        <xdr:to>
          <xdr:col>11</xdr:col>
          <xdr:colOff>971550</xdr:colOff>
          <xdr:row>3</xdr:row>
          <xdr:rowOff>0</xdr:rowOff>
        </xdr:to>
        <xdr:sp macro="" textlink="">
          <xdr:nvSpPr>
            <xdr:cNvPr id="1155" name="Button 131" hidden="1">
              <a:extLst>
                <a:ext uri="{63B3BB69-23CF-44E3-9099-C40C66FF867C}">
                  <a14:compatExt spid="_x0000_s1155"/>
                </a:ext>
                <a:ext uri="{FF2B5EF4-FFF2-40B4-BE49-F238E27FC236}">
                  <a16:creationId xmlns:a16="http://schemas.microsoft.com/office/drawing/2014/main" id="{00000000-0008-0000-0000-00008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Clear IDs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xdr:colOff>
          <xdr:row>1</xdr:row>
          <xdr:rowOff>9525</xdr:rowOff>
        </xdr:from>
        <xdr:to>
          <xdr:col>11</xdr:col>
          <xdr:colOff>971550</xdr:colOff>
          <xdr:row>2</xdr:row>
          <xdr:rowOff>0</xdr:rowOff>
        </xdr:to>
        <xdr:sp macro="" textlink="">
          <xdr:nvSpPr>
            <xdr:cNvPr id="1156" name="Button 132" hidden="1">
              <a:extLst>
                <a:ext uri="{63B3BB69-23CF-44E3-9099-C40C66FF867C}">
                  <a14:compatExt spid="_x0000_s1156"/>
                </a:ext>
                <a:ext uri="{FF2B5EF4-FFF2-40B4-BE49-F238E27FC236}">
                  <a16:creationId xmlns:a16="http://schemas.microsoft.com/office/drawing/2014/main" id="{00000000-0008-0000-0000-00008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Auto UV Class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66675</xdr:colOff>
          <xdr:row>32</xdr:row>
          <xdr:rowOff>9525</xdr:rowOff>
        </xdr:from>
        <xdr:to>
          <xdr:col>2</xdr:col>
          <xdr:colOff>2133600</xdr:colOff>
          <xdr:row>34</xdr:row>
          <xdr:rowOff>9525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Update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295275</xdr:colOff>
          <xdr:row>29</xdr:row>
          <xdr:rowOff>76200</xdr:rowOff>
        </xdr:from>
        <xdr:to>
          <xdr:col>8</xdr:col>
          <xdr:colOff>266700</xdr:colOff>
          <xdr:row>30</xdr:row>
          <xdr:rowOff>123825</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1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Hide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295275</xdr:colOff>
          <xdr:row>31</xdr:row>
          <xdr:rowOff>28575</xdr:rowOff>
        </xdr:from>
        <xdr:to>
          <xdr:col>8</xdr:col>
          <xdr:colOff>266700</xdr:colOff>
          <xdr:row>32</xdr:row>
          <xdr:rowOff>76200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1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Unhide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295275</xdr:colOff>
          <xdr:row>36</xdr:row>
          <xdr:rowOff>76200</xdr:rowOff>
        </xdr:from>
        <xdr:to>
          <xdr:col>8</xdr:col>
          <xdr:colOff>266700</xdr:colOff>
          <xdr:row>37</xdr:row>
          <xdr:rowOff>123825</xdr:rowOff>
        </xdr:to>
        <xdr:sp macro="" textlink="">
          <xdr:nvSpPr>
            <xdr:cNvPr id="6148" name="Button 4" hidden="1">
              <a:extLst>
                <a:ext uri="{63B3BB69-23CF-44E3-9099-C40C66FF867C}">
                  <a14:compatExt spid="_x0000_s6148"/>
                </a:ext>
                <a:ext uri="{FF2B5EF4-FFF2-40B4-BE49-F238E27FC236}">
                  <a16:creationId xmlns:a16="http://schemas.microsoft.com/office/drawing/2014/main" id="{00000000-0008-0000-0100-000004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Unhide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34</xdr:row>
          <xdr:rowOff>190500</xdr:rowOff>
        </xdr:from>
        <xdr:to>
          <xdr:col>2</xdr:col>
          <xdr:colOff>2181225</xdr:colOff>
          <xdr:row>36</xdr:row>
          <xdr:rowOff>9525</xdr:rowOff>
        </xdr:to>
        <xdr:sp macro="" textlink="">
          <xdr:nvSpPr>
            <xdr:cNvPr id="6149" name="Check Box 5" hidden="1">
              <a:extLst>
                <a:ext uri="{63B3BB69-23CF-44E3-9099-C40C66FF867C}">
                  <a14:compatExt spid="_x0000_s6149"/>
                </a:ext>
                <a:ext uri="{FF2B5EF4-FFF2-40B4-BE49-F238E27FC236}">
                  <a16:creationId xmlns:a16="http://schemas.microsoft.com/office/drawing/2014/main" id="{00000000-0008-0000-0100-0000051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Exclude Hidden Peaks from Summary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295275</xdr:colOff>
          <xdr:row>32</xdr:row>
          <xdr:rowOff>171450</xdr:rowOff>
        </xdr:from>
        <xdr:to>
          <xdr:col>8</xdr:col>
          <xdr:colOff>266700</xdr:colOff>
          <xdr:row>34</xdr:row>
          <xdr:rowOff>9525</xdr:rowOff>
        </xdr:to>
        <xdr:sp macro="" textlink="">
          <xdr:nvSpPr>
            <xdr:cNvPr id="6150" name="Button 6" hidden="1">
              <a:extLst>
                <a:ext uri="{63B3BB69-23CF-44E3-9099-C40C66FF867C}">
                  <a14:compatExt spid="_x0000_s6150"/>
                </a:ext>
                <a:ext uri="{FF2B5EF4-FFF2-40B4-BE49-F238E27FC236}">
                  <a16:creationId xmlns:a16="http://schemas.microsoft.com/office/drawing/2014/main" id="{00000000-0008-0000-0100-000006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Show Only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0</xdr:row>
          <xdr:rowOff>19050</xdr:rowOff>
        </xdr:from>
        <xdr:to>
          <xdr:col>1</xdr:col>
          <xdr:colOff>504825</xdr:colOff>
          <xdr:row>2</xdr:row>
          <xdr:rowOff>85725</xdr:rowOff>
        </xdr:to>
        <xdr:sp macro="" textlink="">
          <xdr:nvSpPr>
            <xdr:cNvPr id="6151" name="Button 7" hidden="1">
              <a:extLst>
                <a:ext uri="{63B3BB69-23CF-44E3-9099-C40C66FF867C}">
                  <a14:compatExt spid="_x0000_s6151"/>
                </a:ext>
                <a:ext uri="{FF2B5EF4-FFF2-40B4-BE49-F238E27FC236}">
                  <a16:creationId xmlns:a16="http://schemas.microsoft.com/office/drawing/2014/main" id="{00000000-0008-0000-0100-000007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Show</a:t>
              </a:r>
            </a:p>
            <a:p>
              <a:pPr algn="ctr" rtl="0">
                <a:defRPr sz="1000"/>
              </a:pPr>
              <a:r>
                <a:rPr lang="en-AU" sz="1100" b="0" i="0" u="none" strike="noStrike" baseline="0">
                  <a:solidFill>
                    <a:srgbClr val="000000"/>
                  </a:solidFill>
                  <a:latin typeface="Calibri"/>
                  <a:cs typeface="Calibri"/>
                </a:rPr>
                <a:t>only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32</xdr:row>
          <xdr:rowOff>161925</xdr:rowOff>
        </xdr:from>
        <xdr:to>
          <xdr:col>7</xdr:col>
          <xdr:colOff>0</xdr:colOff>
          <xdr:row>34</xdr:row>
          <xdr:rowOff>0</xdr:rowOff>
        </xdr:to>
        <xdr:sp macro="" textlink="">
          <xdr:nvSpPr>
            <xdr:cNvPr id="6153" name="Button 9" hidden="1">
              <a:extLst>
                <a:ext uri="{63B3BB69-23CF-44E3-9099-C40C66FF867C}">
                  <a14:compatExt spid="_x0000_s6153"/>
                </a:ext>
                <a:ext uri="{FF2B5EF4-FFF2-40B4-BE49-F238E27FC236}">
                  <a16:creationId xmlns:a16="http://schemas.microsoft.com/office/drawing/2014/main" id="{00000000-0008-0000-0100-000009180000}"/>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AU" sz="1100" b="0" i="0" u="none" strike="noStrike" baseline="0">
                  <a:solidFill>
                    <a:srgbClr val="000000"/>
                  </a:solidFill>
                  <a:latin typeface="Calibri"/>
                  <a:cs typeface="Calibri"/>
                </a:rPr>
                <a:t>&lt;- Show only top 'n' peaks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295275</xdr:colOff>
          <xdr:row>34</xdr:row>
          <xdr:rowOff>123825</xdr:rowOff>
        </xdr:from>
        <xdr:to>
          <xdr:col>8</xdr:col>
          <xdr:colOff>266700</xdr:colOff>
          <xdr:row>35</xdr:row>
          <xdr:rowOff>171450</xdr:rowOff>
        </xdr:to>
        <xdr:sp macro="" textlink="">
          <xdr:nvSpPr>
            <xdr:cNvPr id="6154" name="Button 10" hidden="1">
              <a:extLst>
                <a:ext uri="{63B3BB69-23CF-44E3-9099-C40C66FF867C}">
                  <a14:compatExt spid="_x0000_s6154"/>
                </a:ext>
                <a:ext uri="{FF2B5EF4-FFF2-40B4-BE49-F238E27FC236}">
                  <a16:creationId xmlns:a16="http://schemas.microsoft.com/office/drawing/2014/main" id="{00000000-0008-0000-0100-00000A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Hide Unlabelled</a:t>
              </a:r>
            </a:p>
          </xdr:txBody>
        </xdr:sp>
        <xdr:clientData fPrintsWithSheet="0"/>
      </xdr:twoCellAnchor>
    </mc:Choice>
    <mc:Fallback/>
  </mc:AlternateContent>
  <xdr:twoCellAnchor>
    <xdr:from>
      <xdr:col>1</xdr:col>
      <xdr:colOff>295275</xdr:colOff>
      <xdr:row>2</xdr:row>
      <xdr:rowOff>114300</xdr:rowOff>
    </xdr:from>
    <xdr:to>
      <xdr:col>1</xdr:col>
      <xdr:colOff>295275</xdr:colOff>
      <xdr:row>7</xdr:row>
      <xdr:rowOff>104775</xdr:rowOff>
    </xdr:to>
    <xdr:cxnSp macro="">
      <xdr:nvCxnSpPr>
        <xdr:cNvPr id="3" name="Straight Connector 2">
          <a:extLst>
            <a:ext uri="{FF2B5EF4-FFF2-40B4-BE49-F238E27FC236}">
              <a16:creationId xmlns:a16="http://schemas.microsoft.com/office/drawing/2014/main" id="{00000000-0008-0000-0100-000003000000}"/>
            </a:ext>
          </a:extLst>
        </xdr:cNvPr>
        <xdr:cNvCxnSpPr/>
      </xdr:nvCxnSpPr>
      <xdr:spPr>
        <a:xfrm>
          <a:off x="904875" y="504825"/>
          <a:ext cx="0" cy="942975"/>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66675</xdr:colOff>
      <xdr:row>7</xdr:row>
      <xdr:rowOff>104775</xdr:rowOff>
    </xdr:from>
    <xdr:to>
      <xdr:col>1</xdr:col>
      <xdr:colOff>295275</xdr:colOff>
      <xdr:row>7</xdr:row>
      <xdr:rowOff>104775</xdr:rowOff>
    </xdr:to>
    <xdr:cxnSp macro="">
      <xdr:nvCxnSpPr>
        <xdr:cNvPr id="5" name="Straight Arrow Connector 4">
          <a:extLst>
            <a:ext uri="{FF2B5EF4-FFF2-40B4-BE49-F238E27FC236}">
              <a16:creationId xmlns:a16="http://schemas.microsoft.com/office/drawing/2014/main" id="{00000000-0008-0000-0100-000005000000}"/>
            </a:ext>
          </a:extLst>
        </xdr:cNvPr>
        <xdr:cNvCxnSpPr/>
      </xdr:nvCxnSpPr>
      <xdr:spPr>
        <a:xfrm flipH="1">
          <a:off x="676275" y="1447800"/>
          <a:ext cx="228600"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57150</xdr:colOff>
      <xdr:row>5</xdr:row>
      <xdr:rowOff>95250</xdr:rowOff>
    </xdr:from>
    <xdr:to>
      <xdr:col>1</xdr:col>
      <xdr:colOff>285750</xdr:colOff>
      <xdr:row>5</xdr:row>
      <xdr:rowOff>95250</xdr:rowOff>
    </xdr:to>
    <xdr:cxnSp macro="">
      <xdr:nvCxnSpPr>
        <xdr:cNvPr id="16" name="Straight Arrow Connector 15">
          <a:extLst>
            <a:ext uri="{FF2B5EF4-FFF2-40B4-BE49-F238E27FC236}">
              <a16:creationId xmlns:a16="http://schemas.microsoft.com/office/drawing/2014/main" id="{00000000-0008-0000-0100-000010000000}"/>
            </a:ext>
          </a:extLst>
        </xdr:cNvPr>
        <xdr:cNvCxnSpPr/>
      </xdr:nvCxnSpPr>
      <xdr:spPr>
        <a:xfrm flipH="1">
          <a:off x="666750" y="1057275"/>
          <a:ext cx="228600"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57150</xdr:colOff>
      <xdr:row>3</xdr:row>
      <xdr:rowOff>95250</xdr:rowOff>
    </xdr:from>
    <xdr:to>
      <xdr:col>1</xdr:col>
      <xdr:colOff>285750</xdr:colOff>
      <xdr:row>3</xdr:row>
      <xdr:rowOff>95250</xdr:rowOff>
    </xdr:to>
    <xdr:cxnSp macro="">
      <xdr:nvCxnSpPr>
        <xdr:cNvPr id="17" name="Straight Arrow Connector 16">
          <a:extLst>
            <a:ext uri="{FF2B5EF4-FFF2-40B4-BE49-F238E27FC236}">
              <a16:creationId xmlns:a16="http://schemas.microsoft.com/office/drawing/2014/main" id="{00000000-0008-0000-0100-000011000000}"/>
            </a:ext>
          </a:extLst>
        </xdr:cNvPr>
        <xdr:cNvCxnSpPr/>
      </xdr:nvCxnSpPr>
      <xdr:spPr>
        <a:xfrm flipH="1">
          <a:off x="666750" y="676275"/>
          <a:ext cx="228600"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19050</xdr:colOff>
      <xdr:row>0</xdr:row>
      <xdr:rowOff>4761</xdr:rowOff>
    </xdr:from>
    <xdr:to>
      <xdr:col>23</xdr:col>
      <xdr:colOff>590550</xdr:colOff>
      <xdr:row>35</xdr:row>
      <xdr:rowOff>180974</xdr:rowOff>
    </xdr:to>
    <xdr:graphicFrame macro="">
      <xdr:nvGraphicFramePr>
        <xdr:cNvPr id="2" name="Chart Chromatogram">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26</xdr:col>
          <xdr:colOff>9525</xdr:colOff>
          <xdr:row>3</xdr:row>
          <xdr:rowOff>9525</xdr:rowOff>
        </xdr:from>
        <xdr:to>
          <xdr:col>26</xdr:col>
          <xdr:colOff>600075</xdr:colOff>
          <xdr:row>3</xdr:row>
          <xdr:rowOff>190500</xdr:rowOff>
        </xdr:to>
        <xdr:sp macro="" textlink="">
          <xdr:nvSpPr>
            <xdr:cNvPr id="9217" name="Check Box 1" hidden="1">
              <a:extLst>
                <a:ext uri="{63B3BB69-23CF-44E3-9099-C40C66FF867C}">
                  <a14:compatExt spid="_x0000_s9217"/>
                </a:ext>
                <a:ext uri="{FF2B5EF4-FFF2-40B4-BE49-F238E27FC236}">
                  <a16:creationId xmlns:a16="http://schemas.microsoft.com/office/drawing/2014/main" id="{00000000-0008-0000-0200-00000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210 nm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4</xdr:row>
          <xdr:rowOff>180975</xdr:rowOff>
        </xdr:from>
        <xdr:to>
          <xdr:col>26</xdr:col>
          <xdr:colOff>600075</xdr:colOff>
          <xdr:row>5</xdr:row>
          <xdr:rowOff>180975</xdr:rowOff>
        </xdr:to>
        <xdr:sp macro="" textlink="">
          <xdr:nvSpPr>
            <xdr:cNvPr id="9218" name="Check Box 2" hidden="1">
              <a:extLst>
                <a:ext uri="{63B3BB69-23CF-44E3-9099-C40C66FF867C}">
                  <a14:compatExt spid="_x0000_s9218"/>
                </a:ext>
                <a:ext uri="{FF2B5EF4-FFF2-40B4-BE49-F238E27FC236}">
                  <a16:creationId xmlns:a16="http://schemas.microsoft.com/office/drawing/2014/main" id="{00000000-0008-0000-0200-000002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254 nm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7</xdr:row>
          <xdr:rowOff>0</xdr:rowOff>
        </xdr:from>
        <xdr:to>
          <xdr:col>26</xdr:col>
          <xdr:colOff>600075</xdr:colOff>
          <xdr:row>8</xdr:row>
          <xdr:rowOff>0</xdr:rowOff>
        </xdr:to>
        <xdr:sp macro="" textlink="">
          <xdr:nvSpPr>
            <xdr:cNvPr id="9219" name="Check Box 3" hidden="1">
              <a:extLst>
                <a:ext uri="{63B3BB69-23CF-44E3-9099-C40C66FF867C}">
                  <a14:compatExt spid="_x0000_s9219"/>
                </a:ext>
                <a:ext uri="{FF2B5EF4-FFF2-40B4-BE49-F238E27FC236}">
                  <a16:creationId xmlns:a16="http://schemas.microsoft.com/office/drawing/2014/main" id="{00000000-0008-0000-0200-000003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POS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9</xdr:row>
          <xdr:rowOff>0</xdr:rowOff>
        </xdr:from>
        <xdr:to>
          <xdr:col>26</xdr:col>
          <xdr:colOff>600075</xdr:colOff>
          <xdr:row>10</xdr:row>
          <xdr:rowOff>0</xdr:rowOff>
        </xdr:to>
        <xdr:sp macro="" textlink="">
          <xdr:nvSpPr>
            <xdr:cNvPr id="9220" name="Check Box 4" hidden="1">
              <a:extLst>
                <a:ext uri="{63B3BB69-23CF-44E3-9099-C40C66FF867C}">
                  <a14:compatExt spid="_x0000_s9220"/>
                </a:ext>
                <a:ext uri="{FF2B5EF4-FFF2-40B4-BE49-F238E27FC236}">
                  <a16:creationId xmlns:a16="http://schemas.microsoft.com/office/drawing/2014/main" id="{00000000-0008-0000-0200-000004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NEG</a:t>
              </a:r>
            </a:p>
          </xdr:txBody>
        </xdr:sp>
        <xdr:clientData/>
      </xdr:twoCellAnchor>
    </mc:Choice>
    <mc:Fallback/>
  </mc:AlternateContent>
  <mc:AlternateContent xmlns:mc="http://schemas.openxmlformats.org/markup-compatibility/2006">
    <mc:Choice xmlns:a14="http://schemas.microsoft.com/office/drawing/2010/main" Requires="a14">
      <xdr:twoCellAnchor>
        <xdr:from>
          <xdr:col>25</xdr:col>
          <xdr:colOff>0</xdr:colOff>
          <xdr:row>15</xdr:row>
          <xdr:rowOff>47625</xdr:rowOff>
        </xdr:from>
        <xdr:to>
          <xdr:col>27</xdr:col>
          <xdr:colOff>0</xdr:colOff>
          <xdr:row>16</xdr:row>
          <xdr:rowOff>104775</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200-000005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AU" sz="1600" b="0" i="0" u="none" strike="noStrike" baseline="0">
                  <a:solidFill>
                    <a:srgbClr val="000000"/>
                  </a:solidFill>
                  <a:latin typeface="Calibri"/>
                  <a:cs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0</xdr:colOff>
          <xdr:row>3</xdr:row>
          <xdr:rowOff>0</xdr:rowOff>
        </xdr:from>
        <xdr:to>
          <xdr:col>25</xdr:col>
          <xdr:colOff>285750</xdr:colOff>
          <xdr:row>4</xdr:row>
          <xdr:rowOff>0</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200-000006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323850</xdr:colOff>
          <xdr:row>3</xdr:row>
          <xdr:rowOff>0</xdr:rowOff>
        </xdr:from>
        <xdr:to>
          <xdr:col>25</xdr:col>
          <xdr:colOff>609600</xdr:colOff>
          <xdr:row>4</xdr:row>
          <xdr:rowOff>0</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200-000007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609600</xdr:colOff>
          <xdr:row>5</xdr:row>
          <xdr:rowOff>0</xdr:rowOff>
        </xdr:from>
        <xdr:to>
          <xdr:col>25</xdr:col>
          <xdr:colOff>285750</xdr:colOff>
          <xdr:row>6</xdr:row>
          <xdr:rowOff>0</xdr:rowOff>
        </xdr:to>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200-000008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323850</xdr:colOff>
          <xdr:row>5</xdr:row>
          <xdr:rowOff>0</xdr:rowOff>
        </xdr:from>
        <xdr:to>
          <xdr:col>25</xdr:col>
          <xdr:colOff>609600</xdr:colOff>
          <xdr:row>6</xdr:row>
          <xdr:rowOff>0</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200-000009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9525</xdr:colOff>
          <xdr:row>2</xdr:row>
          <xdr:rowOff>190500</xdr:rowOff>
        </xdr:from>
        <xdr:to>
          <xdr:col>27</xdr:col>
          <xdr:colOff>295275</xdr:colOff>
          <xdr:row>3</xdr:row>
          <xdr:rowOff>190500</xdr:rowOff>
        </xdr:to>
        <xdr:sp macro="" textlink="">
          <xdr:nvSpPr>
            <xdr:cNvPr id="9230" name="Button 14" hidden="1">
              <a:extLst>
                <a:ext uri="{63B3BB69-23CF-44E3-9099-C40C66FF867C}">
                  <a14:compatExt spid="_x0000_s9230"/>
                </a:ext>
                <a:ext uri="{FF2B5EF4-FFF2-40B4-BE49-F238E27FC236}">
                  <a16:creationId xmlns:a16="http://schemas.microsoft.com/office/drawing/2014/main" id="{00000000-0008-0000-0200-00000E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323850</xdr:colOff>
          <xdr:row>2</xdr:row>
          <xdr:rowOff>190500</xdr:rowOff>
        </xdr:from>
        <xdr:to>
          <xdr:col>28</xdr:col>
          <xdr:colOff>0</xdr:colOff>
          <xdr:row>3</xdr:row>
          <xdr:rowOff>190500</xdr:rowOff>
        </xdr:to>
        <xdr:sp macro="" textlink="">
          <xdr:nvSpPr>
            <xdr:cNvPr id="9231" name="Button 15" hidden="1">
              <a:extLst>
                <a:ext uri="{63B3BB69-23CF-44E3-9099-C40C66FF867C}">
                  <a14:compatExt spid="_x0000_s9231"/>
                </a:ext>
                <a:ext uri="{FF2B5EF4-FFF2-40B4-BE49-F238E27FC236}">
                  <a16:creationId xmlns:a16="http://schemas.microsoft.com/office/drawing/2014/main" id="{00000000-0008-0000-0200-00000F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9525</xdr:colOff>
          <xdr:row>4</xdr:row>
          <xdr:rowOff>200025</xdr:rowOff>
        </xdr:from>
        <xdr:to>
          <xdr:col>27</xdr:col>
          <xdr:colOff>295275</xdr:colOff>
          <xdr:row>5</xdr:row>
          <xdr:rowOff>200025</xdr:rowOff>
        </xdr:to>
        <xdr:sp macro="" textlink="">
          <xdr:nvSpPr>
            <xdr:cNvPr id="9232" name="Button 16" hidden="1">
              <a:extLst>
                <a:ext uri="{63B3BB69-23CF-44E3-9099-C40C66FF867C}">
                  <a14:compatExt spid="_x0000_s9232"/>
                </a:ext>
                <a:ext uri="{FF2B5EF4-FFF2-40B4-BE49-F238E27FC236}">
                  <a16:creationId xmlns:a16="http://schemas.microsoft.com/office/drawing/2014/main" id="{00000000-0008-0000-0200-000010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323850</xdr:colOff>
          <xdr:row>4</xdr:row>
          <xdr:rowOff>200025</xdr:rowOff>
        </xdr:from>
        <xdr:to>
          <xdr:col>28</xdr:col>
          <xdr:colOff>0</xdr:colOff>
          <xdr:row>6</xdr:row>
          <xdr:rowOff>0</xdr:rowOff>
        </xdr:to>
        <xdr:sp macro="" textlink="">
          <xdr:nvSpPr>
            <xdr:cNvPr id="9233" name="Button 17" hidden="1">
              <a:extLst>
                <a:ext uri="{63B3BB69-23CF-44E3-9099-C40C66FF867C}">
                  <a14:compatExt spid="_x0000_s9233"/>
                </a:ext>
                <a:ext uri="{FF2B5EF4-FFF2-40B4-BE49-F238E27FC236}">
                  <a16:creationId xmlns:a16="http://schemas.microsoft.com/office/drawing/2014/main" id="{00000000-0008-0000-0200-00001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26</xdr:col>
          <xdr:colOff>19050</xdr:colOff>
          <xdr:row>11</xdr:row>
          <xdr:rowOff>0</xdr:rowOff>
        </xdr:from>
        <xdr:to>
          <xdr:col>27</xdr:col>
          <xdr:colOff>0</xdr:colOff>
          <xdr:row>11</xdr:row>
          <xdr:rowOff>190500</xdr:rowOff>
        </xdr:to>
        <xdr:sp macro="" textlink="">
          <xdr:nvSpPr>
            <xdr:cNvPr id="9238" name="Check Box 22" hidden="1">
              <a:extLst>
                <a:ext uri="{63B3BB69-23CF-44E3-9099-C40C66FF867C}">
                  <a14:compatExt spid="_x0000_s9238"/>
                </a:ext>
                <a:ext uri="{FF2B5EF4-FFF2-40B4-BE49-F238E27FC236}">
                  <a16:creationId xmlns:a16="http://schemas.microsoft.com/office/drawing/2014/main" id="{00000000-0008-0000-0200-000016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Labels</a:t>
              </a:r>
            </a:p>
          </xdr:txBody>
        </xdr:sp>
        <xdr:clientData/>
      </xdr:twoCellAnchor>
    </mc:Choice>
    <mc:Fallback/>
  </mc:AlternateContent>
  <mc:AlternateContent xmlns:mc="http://schemas.openxmlformats.org/markup-compatibility/2006">
    <mc:Choice xmlns:a14="http://schemas.microsoft.com/office/drawing/2010/main" Requires="a14">
      <xdr:twoCellAnchor>
        <xdr:from>
          <xdr:col>27</xdr:col>
          <xdr:colOff>9525</xdr:colOff>
          <xdr:row>10</xdr:row>
          <xdr:rowOff>180975</xdr:rowOff>
        </xdr:from>
        <xdr:to>
          <xdr:col>27</xdr:col>
          <xdr:colOff>295275</xdr:colOff>
          <xdr:row>12</xdr:row>
          <xdr:rowOff>0</xdr:rowOff>
        </xdr:to>
        <xdr:sp macro="" textlink="">
          <xdr:nvSpPr>
            <xdr:cNvPr id="9239" name="Button 23" hidden="1">
              <a:extLst>
                <a:ext uri="{63B3BB69-23CF-44E3-9099-C40C66FF867C}">
                  <a14:compatExt spid="_x0000_s9239"/>
                </a:ext>
                <a:ext uri="{FF2B5EF4-FFF2-40B4-BE49-F238E27FC236}">
                  <a16:creationId xmlns:a16="http://schemas.microsoft.com/office/drawing/2014/main" id="{00000000-0008-0000-0200-000017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323850</xdr:colOff>
          <xdr:row>10</xdr:row>
          <xdr:rowOff>180975</xdr:rowOff>
        </xdr:from>
        <xdr:to>
          <xdr:col>28</xdr:col>
          <xdr:colOff>0</xdr:colOff>
          <xdr:row>12</xdr:row>
          <xdr:rowOff>0</xdr:rowOff>
        </xdr:to>
        <xdr:sp macro="" textlink="">
          <xdr:nvSpPr>
            <xdr:cNvPr id="9240" name="Button 24" hidden="1">
              <a:extLst>
                <a:ext uri="{63B3BB69-23CF-44E3-9099-C40C66FF867C}">
                  <a14:compatExt spid="_x0000_s9240"/>
                </a:ext>
                <a:ext uri="{FF2B5EF4-FFF2-40B4-BE49-F238E27FC236}">
                  <a16:creationId xmlns:a16="http://schemas.microsoft.com/office/drawing/2014/main" id="{00000000-0008-0000-0200-000018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xdr:twoCellAnchor>
    <xdr:from>
      <xdr:col>25</xdr:col>
      <xdr:colOff>1</xdr:colOff>
      <xdr:row>23</xdr:row>
      <xdr:rowOff>9525</xdr:rowOff>
    </xdr:from>
    <xdr:to>
      <xdr:col>29</xdr:col>
      <xdr:colOff>1</xdr:colOff>
      <xdr:row>36</xdr:row>
      <xdr:rowOff>0</xdr:rowOff>
    </xdr:to>
    <xdr:graphicFrame macro="">
      <xdr:nvGraphicFramePr>
        <xdr:cNvPr id="27" name="Chart 26">
          <a:extLst>
            <a:ext uri="{FF2B5EF4-FFF2-40B4-BE49-F238E27FC236}">
              <a16:creationId xmlns:a16="http://schemas.microsoft.com/office/drawing/2014/main" id="{00000000-0008-0000-02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27</xdr:col>
          <xdr:colOff>19050</xdr:colOff>
          <xdr:row>19</xdr:row>
          <xdr:rowOff>104775</xdr:rowOff>
        </xdr:from>
        <xdr:to>
          <xdr:col>27</xdr:col>
          <xdr:colOff>381000</xdr:colOff>
          <xdr:row>21</xdr:row>
          <xdr:rowOff>95250</xdr:rowOff>
        </xdr:to>
        <xdr:sp macro="" textlink="">
          <xdr:nvSpPr>
            <xdr:cNvPr id="9241" name="Button 25" hidden="1">
              <a:extLst>
                <a:ext uri="{63B3BB69-23CF-44E3-9099-C40C66FF867C}">
                  <a14:compatExt spid="_x0000_s9241"/>
                </a:ext>
                <a:ext uri="{FF2B5EF4-FFF2-40B4-BE49-F238E27FC236}">
                  <a16:creationId xmlns:a16="http://schemas.microsoft.com/office/drawing/2014/main" id="{00000000-0008-0000-0200-000019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400" b="0" i="0" u="none" strike="noStrike" baseline="0">
                  <a:solidFill>
                    <a:srgbClr val="000000"/>
                  </a:solidFill>
                  <a:latin typeface="Calibri"/>
                  <a:cs typeface="Calibri"/>
                </a:rPr>
                <a: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238125</xdr:colOff>
          <xdr:row>19</xdr:row>
          <xdr:rowOff>104775</xdr:rowOff>
        </xdr:from>
        <xdr:to>
          <xdr:col>25</xdr:col>
          <xdr:colOff>600075</xdr:colOff>
          <xdr:row>21</xdr:row>
          <xdr:rowOff>85725</xdr:rowOff>
        </xdr:to>
        <xdr:sp macro="" textlink="">
          <xdr:nvSpPr>
            <xdr:cNvPr id="9242" name="Button 26" hidden="1">
              <a:extLst>
                <a:ext uri="{63B3BB69-23CF-44E3-9099-C40C66FF867C}">
                  <a14:compatExt spid="_x0000_s9242"/>
                </a:ext>
                <a:ext uri="{FF2B5EF4-FFF2-40B4-BE49-F238E27FC236}">
                  <a16:creationId xmlns:a16="http://schemas.microsoft.com/office/drawing/2014/main" id="{00000000-0008-0000-0200-00001A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400" b="0" i="0" u="none" strike="noStrike" baseline="0">
                  <a:solidFill>
                    <a:srgbClr val="000000"/>
                  </a:solidFill>
                  <a:latin typeface="Calibri"/>
                  <a:cs typeface="Calibri"/>
                </a:rPr>
                <a: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9525</xdr:colOff>
          <xdr:row>13</xdr:row>
          <xdr:rowOff>142875</xdr:rowOff>
        </xdr:from>
        <xdr:to>
          <xdr:col>29</xdr:col>
          <xdr:colOff>9525</xdr:colOff>
          <xdr:row>15</xdr:row>
          <xdr:rowOff>38100</xdr:rowOff>
        </xdr:to>
        <xdr:sp macro="" textlink="">
          <xdr:nvSpPr>
            <xdr:cNvPr id="9243" name="Button 27" hidden="1">
              <a:extLst>
                <a:ext uri="{63B3BB69-23CF-44E3-9099-C40C66FF867C}">
                  <a14:compatExt spid="_x0000_s9243"/>
                </a:ext>
                <a:ext uri="{FF2B5EF4-FFF2-40B4-BE49-F238E27FC236}">
                  <a16:creationId xmlns:a16="http://schemas.microsoft.com/office/drawing/2014/main" id="{00000000-0008-0000-0200-00001B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38100</xdr:colOff>
          <xdr:row>0</xdr:row>
          <xdr:rowOff>57150</xdr:rowOff>
        </xdr:from>
        <xdr:to>
          <xdr:col>28</xdr:col>
          <xdr:colOff>457200</xdr:colOff>
          <xdr:row>2</xdr:row>
          <xdr:rowOff>66675</xdr:rowOff>
        </xdr:to>
        <xdr:sp macro="" textlink="">
          <xdr:nvSpPr>
            <xdr:cNvPr id="9244" name="Button 28" hidden="1">
              <a:extLst>
                <a:ext uri="{63B3BB69-23CF-44E3-9099-C40C66FF867C}">
                  <a14:compatExt spid="_x0000_s9244"/>
                </a:ext>
                <a:ext uri="{FF2B5EF4-FFF2-40B4-BE49-F238E27FC236}">
                  <a16:creationId xmlns:a16="http://schemas.microsoft.com/office/drawing/2014/main" id="{00000000-0008-0000-0200-00001C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Reset</a:t>
              </a:r>
            </a:p>
            <a:p>
              <a:pPr algn="ctr" rtl="0">
                <a:defRPr sz="1000"/>
              </a:pPr>
              <a:r>
                <a:rPr lang="en-AU" sz="1100" b="0" i="0" u="none" strike="noStrike" baseline="0">
                  <a:solidFill>
                    <a:srgbClr val="000000"/>
                  </a:solidFill>
                  <a:latin typeface="Calibri"/>
                  <a:cs typeface="Calibri"/>
                </a:rPr>
                <a:t>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38100</xdr:colOff>
          <xdr:row>3</xdr:row>
          <xdr:rowOff>0</xdr:rowOff>
        </xdr:from>
        <xdr:to>
          <xdr:col>28</xdr:col>
          <xdr:colOff>457200</xdr:colOff>
          <xdr:row>4</xdr:row>
          <xdr:rowOff>0</xdr:rowOff>
        </xdr:to>
        <xdr:sp macro="" textlink="">
          <xdr:nvSpPr>
            <xdr:cNvPr id="9245" name="Button 29" hidden="1">
              <a:extLst>
                <a:ext uri="{63B3BB69-23CF-44E3-9099-C40C66FF867C}">
                  <a14:compatExt spid="_x0000_s9245"/>
                </a:ext>
                <a:ext uri="{FF2B5EF4-FFF2-40B4-BE49-F238E27FC236}">
                  <a16:creationId xmlns:a16="http://schemas.microsoft.com/office/drawing/2014/main" id="{00000000-0008-0000-0200-00001D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38100</xdr:colOff>
          <xdr:row>5</xdr:row>
          <xdr:rowOff>0</xdr:rowOff>
        </xdr:from>
        <xdr:to>
          <xdr:col>28</xdr:col>
          <xdr:colOff>457200</xdr:colOff>
          <xdr:row>6</xdr:row>
          <xdr:rowOff>0</xdr:rowOff>
        </xdr:to>
        <xdr:sp macro="" textlink="">
          <xdr:nvSpPr>
            <xdr:cNvPr id="9246" name="Button 30" hidden="1">
              <a:extLst>
                <a:ext uri="{63B3BB69-23CF-44E3-9099-C40C66FF867C}">
                  <a14:compatExt spid="_x0000_s9246"/>
                </a:ext>
                <a:ext uri="{FF2B5EF4-FFF2-40B4-BE49-F238E27FC236}">
                  <a16:creationId xmlns:a16="http://schemas.microsoft.com/office/drawing/2014/main" id="{00000000-0008-0000-0200-00001E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38100</xdr:colOff>
          <xdr:row>11</xdr:row>
          <xdr:rowOff>0</xdr:rowOff>
        </xdr:from>
        <xdr:to>
          <xdr:col>28</xdr:col>
          <xdr:colOff>457200</xdr:colOff>
          <xdr:row>12</xdr:row>
          <xdr:rowOff>0</xdr:rowOff>
        </xdr:to>
        <xdr:sp macro="" textlink="">
          <xdr:nvSpPr>
            <xdr:cNvPr id="9249" name="Button 33" hidden="1">
              <a:extLst>
                <a:ext uri="{63B3BB69-23CF-44E3-9099-C40C66FF867C}">
                  <a14:compatExt spid="_x0000_s9249"/>
                </a:ext>
                <a:ext uri="{FF2B5EF4-FFF2-40B4-BE49-F238E27FC236}">
                  <a16:creationId xmlns:a16="http://schemas.microsoft.com/office/drawing/2014/main" id="{00000000-0008-0000-0200-00002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9525</xdr:colOff>
          <xdr:row>18</xdr:row>
          <xdr:rowOff>76200</xdr:rowOff>
        </xdr:from>
        <xdr:to>
          <xdr:col>27</xdr:col>
          <xdr:colOff>9525</xdr:colOff>
          <xdr:row>19</xdr:row>
          <xdr:rowOff>95250</xdr:rowOff>
        </xdr:to>
        <xdr:sp macro="" textlink="">
          <xdr:nvSpPr>
            <xdr:cNvPr id="9250" name="Button 34" hidden="1">
              <a:extLst>
                <a:ext uri="{63B3BB69-23CF-44E3-9099-C40C66FF867C}">
                  <a14:compatExt spid="_x0000_s9250"/>
                </a:ext>
                <a:ext uri="{FF2B5EF4-FFF2-40B4-BE49-F238E27FC236}">
                  <a16:creationId xmlns:a16="http://schemas.microsoft.com/office/drawing/2014/main" id="{00000000-0008-0000-0200-00002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Label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0</xdr:colOff>
          <xdr:row>18</xdr:row>
          <xdr:rowOff>76200</xdr:rowOff>
        </xdr:from>
        <xdr:to>
          <xdr:col>25</xdr:col>
          <xdr:colOff>609600</xdr:colOff>
          <xdr:row>19</xdr:row>
          <xdr:rowOff>95250</xdr:rowOff>
        </xdr:to>
        <xdr:sp macro="" textlink="">
          <xdr:nvSpPr>
            <xdr:cNvPr id="9252" name="Button 36" hidden="1">
              <a:extLst>
                <a:ext uri="{63B3BB69-23CF-44E3-9099-C40C66FF867C}">
                  <a14:compatExt spid="_x0000_s9252"/>
                </a:ext>
                <a:ext uri="{FF2B5EF4-FFF2-40B4-BE49-F238E27FC236}">
                  <a16:creationId xmlns:a16="http://schemas.microsoft.com/office/drawing/2014/main" id="{00000000-0008-0000-0200-00002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19050</xdr:colOff>
          <xdr:row>18</xdr:row>
          <xdr:rowOff>76200</xdr:rowOff>
        </xdr:from>
        <xdr:to>
          <xdr:col>29</xdr:col>
          <xdr:colOff>0</xdr:colOff>
          <xdr:row>19</xdr:row>
          <xdr:rowOff>95250</xdr:rowOff>
        </xdr:to>
        <xdr:sp macro="" textlink="">
          <xdr:nvSpPr>
            <xdr:cNvPr id="9253" name="Button 37" hidden="1">
              <a:extLst>
                <a:ext uri="{63B3BB69-23CF-44E3-9099-C40C66FF867C}">
                  <a14:compatExt spid="_x0000_s9253"/>
                </a:ext>
                <a:ext uri="{FF2B5EF4-FFF2-40B4-BE49-F238E27FC236}">
                  <a16:creationId xmlns:a16="http://schemas.microsoft.com/office/drawing/2014/main" id="{00000000-0008-0000-0200-00002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Label &amp; 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9525</xdr:colOff>
          <xdr:row>21</xdr:row>
          <xdr:rowOff>114300</xdr:rowOff>
        </xdr:from>
        <xdr:to>
          <xdr:col>25</xdr:col>
          <xdr:colOff>600075</xdr:colOff>
          <xdr:row>22</xdr:row>
          <xdr:rowOff>114300</xdr:rowOff>
        </xdr:to>
        <xdr:sp macro="" textlink="">
          <xdr:nvSpPr>
            <xdr:cNvPr id="9254" name="Button 38" hidden="1">
              <a:extLst>
                <a:ext uri="{63B3BB69-23CF-44E3-9099-C40C66FF867C}">
                  <a14:compatExt spid="_x0000_s9254"/>
                </a:ext>
                <a:ext uri="{FF2B5EF4-FFF2-40B4-BE49-F238E27FC236}">
                  <a16:creationId xmlns:a16="http://schemas.microsoft.com/office/drawing/2014/main" id="{00000000-0008-0000-0200-000026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Unhide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28</xdr:col>
          <xdr:colOff>9525</xdr:colOff>
          <xdr:row>20</xdr:row>
          <xdr:rowOff>9525</xdr:rowOff>
        </xdr:from>
        <xdr:to>
          <xdr:col>29</xdr:col>
          <xdr:colOff>152400</xdr:colOff>
          <xdr:row>21</xdr:row>
          <xdr:rowOff>0</xdr:rowOff>
        </xdr:to>
        <xdr:sp macro="" textlink="">
          <xdr:nvSpPr>
            <xdr:cNvPr id="9255" name="Check Box 39" hidden="1">
              <a:extLst>
                <a:ext uri="{63B3BB69-23CF-44E3-9099-C40C66FF867C}">
                  <a14:compatExt spid="_x0000_s9255"/>
                </a:ext>
                <a:ext uri="{FF2B5EF4-FFF2-40B4-BE49-F238E27FC236}">
                  <a16:creationId xmlns:a16="http://schemas.microsoft.com/office/drawing/2014/main" id="{00000000-0008-0000-0200-000027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Skip hidden</a:t>
              </a:r>
            </a:p>
          </xdr:txBody>
        </xdr:sp>
        <xdr:clientData/>
      </xdr:twoCellAnchor>
    </mc:Choice>
    <mc:Fallback/>
  </mc:AlternateContent>
  <mc:AlternateContent xmlns:mc="http://schemas.openxmlformats.org/markup-compatibility/2006">
    <mc:Choice xmlns:a14="http://schemas.microsoft.com/office/drawing/2010/main" Requires="a14">
      <xdr:twoCellAnchor>
        <xdr:from>
          <xdr:col>27</xdr:col>
          <xdr:colOff>19050</xdr:colOff>
          <xdr:row>21</xdr:row>
          <xdr:rowOff>104775</xdr:rowOff>
        </xdr:from>
        <xdr:to>
          <xdr:col>28</xdr:col>
          <xdr:colOff>600075</xdr:colOff>
          <xdr:row>22</xdr:row>
          <xdr:rowOff>114300</xdr:rowOff>
        </xdr:to>
        <xdr:sp macro="" textlink="">
          <xdr:nvSpPr>
            <xdr:cNvPr id="9256" name="Button 40" hidden="1">
              <a:extLst>
                <a:ext uri="{63B3BB69-23CF-44E3-9099-C40C66FF867C}">
                  <a14:compatExt spid="_x0000_s9256"/>
                </a:ext>
                <a:ext uri="{FF2B5EF4-FFF2-40B4-BE49-F238E27FC236}">
                  <a16:creationId xmlns:a16="http://schemas.microsoft.com/office/drawing/2014/main" id="{00000000-0008-0000-0200-000028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Unhide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9525</xdr:colOff>
          <xdr:row>12</xdr:row>
          <xdr:rowOff>85725</xdr:rowOff>
        </xdr:from>
        <xdr:to>
          <xdr:col>25</xdr:col>
          <xdr:colOff>600075</xdr:colOff>
          <xdr:row>13</xdr:row>
          <xdr:rowOff>85725</xdr:rowOff>
        </xdr:to>
        <xdr:sp macro="" textlink="">
          <xdr:nvSpPr>
            <xdr:cNvPr id="9257" name="Check Box 41" hidden="1">
              <a:extLst>
                <a:ext uri="{63B3BB69-23CF-44E3-9099-C40C66FF867C}">
                  <a14:compatExt spid="_x0000_s9257"/>
                </a:ext>
                <a:ext uri="{FF2B5EF4-FFF2-40B4-BE49-F238E27FC236}">
                  <a16:creationId xmlns:a16="http://schemas.microsoft.com/office/drawing/2014/main" id="{00000000-0008-0000-0200-000029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PeakNo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600075</xdr:colOff>
          <xdr:row>12</xdr:row>
          <xdr:rowOff>85725</xdr:rowOff>
        </xdr:from>
        <xdr:to>
          <xdr:col>26</xdr:col>
          <xdr:colOff>581025</xdr:colOff>
          <xdr:row>13</xdr:row>
          <xdr:rowOff>85725</xdr:rowOff>
        </xdr:to>
        <xdr:sp macro="" textlink="">
          <xdr:nvSpPr>
            <xdr:cNvPr id="9258" name="Check Box 42" hidden="1">
              <a:extLst>
                <a:ext uri="{63B3BB69-23CF-44E3-9099-C40C66FF867C}">
                  <a14:compatExt spid="_x0000_s9258"/>
                </a:ext>
                <a:ext uri="{FF2B5EF4-FFF2-40B4-BE49-F238E27FC236}">
                  <a16:creationId xmlns:a16="http://schemas.microsoft.com/office/drawing/2014/main" id="{00000000-0008-0000-0200-00002A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RetTime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12</xdr:row>
          <xdr:rowOff>85725</xdr:rowOff>
        </xdr:from>
        <xdr:to>
          <xdr:col>27</xdr:col>
          <xdr:colOff>590550</xdr:colOff>
          <xdr:row>13</xdr:row>
          <xdr:rowOff>85725</xdr:rowOff>
        </xdr:to>
        <xdr:sp macro="" textlink="">
          <xdr:nvSpPr>
            <xdr:cNvPr id="9259" name="Check Box 43" hidden="1">
              <a:extLst>
                <a:ext uri="{63B3BB69-23CF-44E3-9099-C40C66FF867C}">
                  <a14:compatExt spid="_x0000_s9259"/>
                </a:ext>
                <a:ext uri="{FF2B5EF4-FFF2-40B4-BE49-F238E27FC236}">
                  <a16:creationId xmlns:a16="http://schemas.microsoft.com/office/drawing/2014/main" id="{00000000-0008-0000-0200-00002B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ID</a:t>
              </a:r>
            </a:p>
          </xdr:txBody>
        </xdr:sp>
        <xdr:clientData/>
      </xdr:twoCellAnchor>
    </mc:Choice>
    <mc:Fallback/>
  </mc:AlternateContent>
  <mc:AlternateContent xmlns:mc="http://schemas.openxmlformats.org/markup-compatibility/2006">
    <mc:Choice xmlns:a14="http://schemas.microsoft.com/office/drawing/2010/main" Requires="a14">
      <xdr:twoCellAnchor>
        <xdr:from>
          <xdr:col>27</xdr:col>
          <xdr:colOff>9525</xdr:colOff>
          <xdr:row>13</xdr:row>
          <xdr:rowOff>142875</xdr:rowOff>
        </xdr:from>
        <xdr:to>
          <xdr:col>28</xdr:col>
          <xdr:colOff>0</xdr:colOff>
          <xdr:row>15</xdr:row>
          <xdr:rowOff>38100</xdr:rowOff>
        </xdr:to>
        <xdr:sp macro="" textlink="">
          <xdr:nvSpPr>
            <xdr:cNvPr id="9260" name="Button 44" hidden="1">
              <a:extLst>
                <a:ext uri="{63B3BB69-23CF-44E3-9099-C40C66FF867C}">
                  <a14:compatExt spid="_x0000_s9260"/>
                </a:ext>
                <a:ext uri="{FF2B5EF4-FFF2-40B4-BE49-F238E27FC236}">
                  <a16:creationId xmlns:a16="http://schemas.microsoft.com/office/drawing/2014/main" id="{00000000-0008-0000-0200-00002C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21</xdr:row>
          <xdr:rowOff>104775</xdr:rowOff>
        </xdr:from>
        <xdr:to>
          <xdr:col>27</xdr:col>
          <xdr:colOff>0</xdr:colOff>
          <xdr:row>22</xdr:row>
          <xdr:rowOff>114300</xdr:rowOff>
        </xdr:to>
        <xdr:sp macro="" textlink="">
          <xdr:nvSpPr>
            <xdr:cNvPr id="9261" name="Button 45" hidden="1">
              <a:extLst>
                <a:ext uri="{63B3BB69-23CF-44E3-9099-C40C66FF867C}">
                  <a14:compatExt spid="_x0000_s9261"/>
                </a:ext>
                <a:ext uri="{FF2B5EF4-FFF2-40B4-BE49-F238E27FC236}">
                  <a16:creationId xmlns:a16="http://schemas.microsoft.com/office/drawing/2014/main" id="{00000000-0008-0000-0200-00002D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Unlabel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314325</xdr:colOff>
          <xdr:row>17</xdr:row>
          <xdr:rowOff>0</xdr:rowOff>
        </xdr:from>
        <xdr:to>
          <xdr:col>28</xdr:col>
          <xdr:colOff>609600</xdr:colOff>
          <xdr:row>17</xdr:row>
          <xdr:rowOff>200025</xdr:rowOff>
        </xdr:to>
        <xdr:sp macro="" textlink="">
          <xdr:nvSpPr>
            <xdr:cNvPr id="9263" name="Button 47" hidden="1">
              <a:extLst>
                <a:ext uri="{63B3BB69-23CF-44E3-9099-C40C66FF867C}">
                  <a14:compatExt spid="_x0000_s9263"/>
                </a:ext>
                <a:ext uri="{FF2B5EF4-FFF2-40B4-BE49-F238E27FC236}">
                  <a16:creationId xmlns:a16="http://schemas.microsoft.com/office/drawing/2014/main" id="{00000000-0008-0000-0200-00002F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Kill Label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9525</xdr:colOff>
          <xdr:row>15</xdr:row>
          <xdr:rowOff>57150</xdr:rowOff>
        </xdr:from>
        <xdr:to>
          <xdr:col>29</xdr:col>
          <xdr:colOff>0</xdr:colOff>
          <xdr:row>16</xdr:row>
          <xdr:rowOff>104775</xdr:rowOff>
        </xdr:to>
        <xdr:sp macro="" textlink="">
          <xdr:nvSpPr>
            <xdr:cNvPr id="9264" name="Button 48" hidden="1">
              <a:extLst>
                <a:ext uri="{63B3BB69-23CF-44E3-9099-C40C66FF867C}">
                  <a14:compatExt spid="_x0000_s9264"/>
                </a:ext>
                <a:ext uri="{FF2B5EF4-FFF2-40B4-BE49-F238E27FC236}">
                  <a16:creationId xmlns:a16="http://schemas.microsoft.com/office/drawing/2014/main" id="{00000000-0008-0000-0200-000030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Kill ALL Labels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9525</xdr:colOff>
          <xdr:row>12</xdr:row>
          <xdr:rowOff>76200</xdr:rowOff>
        </xdr:from>
        <xdr:to>
          <xdr:col>29</xdr:col>
          <xdr:colOff>9525</xdr:colOff>
          <xdr:row>13</xdr:row>
          <xdr:rowOff>95250</xdr:rowOff>
        </xdr:to>
        <xdr:sp macro="" textlink="">
          <xdr:nvSpPr>
            <xdr:cNvPr id="9265" name="Button 49" hidden="1">
              <a:extLst>
                <a:ext uri="{63B3BB69-23CF-44E3-9099-C40C66FF867C}">
                  <a14:compatExt spid="_x0000_s9265"/>
                </a:ext>
                <a:ext uri="{FF2B5EF4-FFF2-40B4-BE49-F238E27FC236}">
                  <a16:creationId xmlns:a16="http://schemas.microsoft.com/office/drawing/2014/main" id="{00000000-0008-0000-0200-00003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CoA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476250</xdr:colOff>
          <xdr:row>0</xdr:row>
          <xdr:rowOff>57150</xdr:rowOff>
        </xdr:from>
        <xdr:to>
          <xdr:col>29</xdr:col>
          <xdr:colOff>295275</xdr:colOff>
          <xdr:row>2</xdr:row>
          <xdr:rowOff>66675</xdr:rowOff>
        </xdr:to>
        <xdr:sp macro="" textlink="">
          <xdr:nvSpPr>
            <xdr:cNvPr id="9266" name="Button 50" hidden="1">
              <a:extLst>
                <a:ext uri="{63B3BB69-23CF-44E3-9099-C40C66FF867C}">
                  <a14:compatExt spid="_x0000_s9266"/>
                </a:ext>
                <a:ext uri="{FF2B5EF4-FFF2-40B4-BE49-F238E27FC236}">
                  <a16:creationId xmlns:a16="http://schemas.microsoft.com/office/drawing/2014/main" id="{00000000-0008-0000-0200-00003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Base</a:t>
              </a:r>
            </a:p>
            <a:p>
              <a:pPr algn="ctr" rtl="0">
                <a:defRPr sz="1000"/>
              </a:pPr>
              <a:r>
                <a:rPr lang="en-AU" sz="1100" b="0" i="0" u="none" strike="noStrike" baseline="0">
                  <a:solidFill>
                    <a:srgbClr val="000000"/>
                  </a:solidFill>
                  <a:latin typeface="Calibri"/>
                  <a:cs typeface="Calibri"/>
                </a:rPr>
                <a:t>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476250</xdr:colOff>
          <xdr:row>3</xdr:row>
          <xdr:rowOff>0</xdr:rowOff>
        </xdr:from>
        <xdr:to>
          <xdr:col>29</xdr:col>
          <xdr:colOff>285750</xdr:colOff>
          <xdr:row>4</xdr:row>
          <xdr:rowOff>0</xdr:rowOff>
        </xdr:to>
        <xdr:sp macro="" textlink="">
          <xdr:nvSpPr>
            <xdr:cNvPr id="9267" name="Button 51" hidden="1">
              <a:extLst>
                <a:ext uri="{63B3BB69-23CF-44E3-9099-C40C66FF867C}">
                  <a14:compatExt spid="_x0000_s9267"/>
                </a:ext>
                <a:ext uri="{FF2B5EF4-FFF2-40B4-BE49-F238E27FC236}">
                  <a16:creationId xmlns:a16="http://schemas.microsoft.com/office/drawing/2014/main" id="{00000000-0008-0000-0200-00003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476250</xdr:colOff>
          <xdr:row>5</xdr:row>
          <xdr:rowOff>0</xdr:rowOff>
        </xdr:from>
        <xdr:to>
          <xdr:col>29</xdr:col>
          <xdr:colOff>285750</xdr:colOff>
          <xdr:row>6</xdr:row>
          <xdr:rowOff>0</xdr:rowOff>
        </xdr:to>
        <xdr:sp macro="" textlink="">
          <xdr:nvSpPr>
            <xdr:cNvPr id="9268" name="Button 52" hidden="1">
              <a:extLst>
                <a:ext uri="{63B3BB69-23CF-44E3-9099-C40C66FF867C}">
                  <a14:compatExt spid="_x0000_s9268"/>
                </a:ext>
                <a:ext uri="{FF2B5EF4-FFF2-40B4-BE49-F238E27FC236}">
                  <a16:creationId xmlns:a16="http://schemas.microsoft.com/office/drawing/2014/main" id="{00000000-0008-0000-0200-00003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476250</xdr:colOff>
          <xdr:row>11</xdr:row>
          <xdr:rowOff>0</xdr:rowOff>
        </xdr:from>
        <xdr:to>
          <xdr:col>29</xdr:col>
          <xdr:colOff>285750</xdr:colOff>
          <xdr:row>12</xdr:row>
          <xdr:rowOff>0</xdr:rowOff>
        </xdr:to>
        <xdr:sp macro="" textlink="">
          <xdr:nvSpPr>
            <xdr:cNvPr id="9271" name="Button 55" hidden="1">
              <a:extLst>
                <a:ext uri="{63B3BB69-23CF-44E3-9099-C40C66FF867C}">
                  <a14:compatExt spid="_x0000_s9271"/>
                </a:ext>
                <a:ext uri="{FF2B5EF4-FFF2-40B4-BE49-F238E27FC236}">
                  <a16:creationId xmlns:a16="http://schemas.microsoft.com/office/drawing/2014/main" id="{00000000-0008-0000-0200-000037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9525</xdr:colOff>
          <xdr:row>19</xdr:row>
          <xdr:rowOff>104775</xdr:rowOff>
        </xdr:from>
        <xdr:to>
          <xdr:col>25</xdr:col>
          <xdr:colOff>228600</xdr:colOff>
          <xdr:row>21</xdr:row>
          <xdr:rowOff>85725</xdr:rowOff>
        </xdr:to>
        <xdr:sp macro="" textlink="">
          <xdr:nvSpPr>
            <xdr:cNvPr id="9272" name="Button 56" hidden="1">
              <a:extLst>
                <a:ext uri="{63B3BB69-23CF-44E3-9099-C40C66FF867C}">
                  <a14:compatExt spid="_x0000_s9272"/>
                </a:ext>
                <a:ext uri="{FF2B5EF4-FFF2-40B4-BE49-F238E27FC236}">
                  <a16:creationId xmlns:a16="http://schemas.microsoft.com/office/drawing/2014/main" id="{00000000-0008-0000-0200-000038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390525</xdr:colOff>
          <xdr:row>19</xdr:row>
          <xdr:rowOff>104775</xdr:rowOff>
        </xdr:from>
        <xdr:to>
          <xdr:col>28</xdr:col>
          <xdr:colOff>0</xdr:colOff>
          <xdr:row>21</xdr:row>
          <xdr:rowOff>95250</xdr:rowOff>
        </xdr:to>
        <xdr:sp macro="" textlink="">
          <xdr:nvSpPr>
            <xdr:cNvPr id="9273" name="Button 57" hidden="1">
              <a:extLst>
                <a:ext uri="{63B3BB69-23CF-44E3-9099-C40C66FF867C}">
                  <a14:compatExt spid="_x0000_s9273"/>
                </a:ext>
                <a:ext uri="{FF2B5EF4-FFF2-40B4-BE49-F238E27FC236}">
                  <a16:creationId xmlns:a16="http://schemas.microsoft.com/office/drawing/2014/main" id="{00000000-0008-0000-0200-000039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&gt;&gt;</a:t>
              </a:r>
            </a:p>
          </xdr:txBody>
        </xdr:sp>
        <xdr:clientData fPrintsWithSheet="0"/>
      </xdr:twoCellAnchor>
    </mc:Choice>
    <mc:Fallback/>
  </mc:AlternateContent>
</xdr:wsDr>
</file>

<file path=xl/drawings/drawing4.xml><?xml version="1.0" encoding="utf-8"?>
<c:userShapes xmlns:c="http://schemas.openxmlformats.org/drawingml/2006/chart">
  <cdr:relSizeAnchor xmlns:cdr="http://schemas.openxmlformats.org/drawingml/2006/chartDrawing">
    <cdr:from>
      <cdr:x>0.01632</cdr:x>
      <cdr:y>0.0198</cdr:y>
    </cdr:from>
    <cdr:to>
      <cdr:x>0.01632</cdr:x>
      <cdr:y>0.91263</cdr:y>
    </cdr:to>
    <cdr:cxnSp macro="">
      <cdr:nvCxnSpPr>
        <cdr:cNvPr id="3" name="Straight Connector 2">
          <a:extLst xmlns:a="http://schemas.openxmlformats.org/drawingml/2006/main">
            <a:ext uri="{FF2B5EF4-FFF2-40B4-BE49-F238E27FC236}">
              <a16:creationId xmlns:a16="http://schemas.microsoft.com/office/drawing/2014/main" id="{4A8914BD-7B63-480D-9B73-FCAEA74DEAD6}"/>
            </a:ext>
          </a:extLst>
        </cdr:cNvPr>
        <cdr:cNvCxnSpPr/>
      </cdr:nvCxnSpPr>
      <cdr:spPr>
        <a:xfrm xmlns:a="http://schemas.openxmlformats.org/drawingml/2006/main" flipV="1">
          <a:off x="238125" y="138114"/>
          <a:ext cx="0" cy="6229350"/>
        </a:xfrm>
        <a:prstGeom xmlns:a="http://schemas.openxmlformats.org/drawingml/2006/main" prst="line">
          <a:avLst/>
        </a:prstGeom>
        <a:ln xmlns:a="http://schemas.openxmlformats.org/drawingml/2006/main" w="127000" cap="flat" cmpd="sng" algn="ctr">
          <a:solidFill>
            <a:srgbClr val="FFFF00">
              <a:alpha val="0"/>
            </a:srgbClr>
          </a:solidFill>
          <a:prstDash val="solid"/>
          <a:miter lim="800000"/>
          <a:headEnd type="none" w="med" len="med"/>
          <a:tailEnd type="non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0.9158</cdr:x>
      <cdr:y>0.02105</cdr:y>
    </cdr:from>
    <cdr:to>
      <cdr:x>0.99478</cdr:x>
      <cdr:y>0.12559</cdr:y>
    </cdr:to>
    <cdr:sp macro="" textlink="">
      <cdr:nvSpPr>
        <cdr:cNvPr id="2" name="TextBox 1"/>
        <cdr:cNvSpPr txBox="1"/>
      </cdr:nvSpPr>
      <cdr:spPr>
        <a:xfrm xmlns:a="http://schemas.openxmlformats.org/drawingml/2006/main">
          <a:off x="13363575" y="147639"/>
          <a:ext cx="1152525" cy="73342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r"/>
          <a:r>
            <a:rPr lang="en-AU" sz="1000">
              <a:latin typeface="Arial" panose="020B0604020202020204" pitchFamily="34" charset="0"/>
              <a:cs typeface="Arial" panose="020B0604020202020204" pitchFamily="34" charset="0"/>
            </a:rPr>
            <a:t>210: 36
254: 19</a:t>
          </a:r>
        </a:p>
        <a:p xmlns:a="http://schemas.openxmlformats.org/drawingml/2006/main">
          <a:pPr algn="r"/>
          <a:endParaRPr lang="en-AU" sz="1000">
            <a:latin typeface="Arial" panose="020B0604020202020204" pitchFamily="34" charset="0"/>
            <a:cs typeface="Arial" panose="020B0604020202020204" pitchFamily="34" charset="0"/>
          </a:endParaRPr>
        </a:p>
      </cdr:txBody>
    </cdr:sp>
  </cdr:relSizeAnchor>
</c:userShapes>
</file>

<file path=xl/drawings/drawing5.xml><?xml version="1.0" encoding="utf-8"?>
<c:userShapes xmlns:c="http://schemas.openxmlformats.org/drawingml/2006/chart">
  <cdr:relSizeAnchor xmlns:cdr="http://schemas.openxmlformats.org/drawingml/2006/chartDrawing">
    <cdr:from>
      <cdr:x>0.71318</cdr:x>
      <cdr:y>0.33591</cdr:y>
    </cdr:from>
    <cdr:to>
      <cdr:x>0.90458</cdr:x>
      <cdr:y>0.81853</cdr:y>
    </cdr:to>
    <cdr:sp macro="" textlink="">
      <cdr:nvSpPr>
        <cdr:cNvPr id="2" name="TextBox 1"/>
        <cdr:cNvSpPr txBox="1"/>
      </cdr:nvSpPr>
      <cdr:spPr>
        <a:xfrm xmlns:a="http://schemas.openxmlformats.org/drawingml/2006/main">
          <a:off x="1744733" y="828675"/>
          <a:ext cx="468245" cy="1190618"/>
        </a:xfrm>
        <a:prstGeom xmlns:a="http://schemas.openxmlformats.org/drawingml/2006/main" prst="rect">
          <a:avLst/>
        </a:prstGeom>
      </cdr:spPr>
      <cdr:txBody>
        <a:bodyPr xmlns:a="http://schemas.openxmlformats.org/drawingml/2006/main" vertOverflow="clip" wrap="square" lIns="46800" rIns="46800" rtlCol="0"/>
        <a:lstStyle xmlns:a="http://schemas.openxmlformats.org/drawingml/2006/main"/>
        <a:p xmlns:a="http://schemas.openxmlformats.org/drawingml/2006/main">
          <a:pPr algn="r"/>
          <a:r>
            <a:rPr lang="en-AU" sz="1100">
              <a:latin typeface="Arial" panose="020B0604020202020204" pitchFamily="34" charset="0"/>
              <a:cs typeface="Arial" panose="020B0604020202020204" pitchFamily="34" charset="0"/>
            </a:rPr>
            <a:t>MW</a:t>
          </a:r>
        </a:p>
      </cdr:txBody>
    </cdr:sp>
  </cdr:relSizeAnchor>
  <cdr:relSizeAnchor xmlns:cdr="http://schemas.openxmlformats.org/drawingml/2006/chartDrawing">
    <cdr:from>
      <cdr:x>0.69141</cdr:x>
      <cdr:y>0.01544</cdr:y>
    </cdr:from>
    <cdr:to>
      <cdr:x>0.89844</cdr:x>
      <cdr:y>0.07336</cdr:y>
    </cdr:to>
    <cdr:sp macro="" textlink="">
      <cdr:nvSpPr>
        <cdr:cNvPr id="3" name="TextBox 2"/>
        <cdr:cNvSpPr txBox="1"/>
      </cdr:nvSpPr>
      <cdr:spPr>
        <a:xfrm xmlns:a="http://schemas.openxmlformats.org/drawingml/2006/main">
          <a:off x="1685924" y="38100"/>
          <a:ext cx="504825" cy="142875"/>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r"/>
          <a:r>
            <a:rPr lang="en-AU" sz="1000">
              <a:latin typeface="Arial" panose="020B0604020202020204" pitchFamily="34" charset="0"/>
              <a:cs typeface="Arial" panose="020B0604020202020204" pitchFamily="34" charset="0"/>
            </a:rPr>
            <a:t>Max</a:t>
          </a:r>
        </a:p>
      </cdr:txBody>
    </cdr:sp>
  </cdr:relSizeAnchor>
</c:userShapes>
</file>

<file path=xl/drawings/drawing6.xml><?xml version="1.0" encoding="utf-8"?>
<xdr:wsDr xmlns:xdr="http://schemas.openxmlformats.org/drawingml/2006/spreadsheetDrawing" xmlns:a="http://schemas.openxmlformats.org/drawingml/2006/main">
  <xdr:twoCellAnchor>
    <xdr:from>
      <xdr:col>0</xdr:col>
      <xdr:colOff>9525</xdr:colOff>
      <xdr:row>6</xdr:row>
      <xdr:rowOff>104775</xdr:rowOff>
    </xdr:from>
    <xdr:to>
      <xdr:col>22</xdr:col>
      <xdr:colOff>600075</xdr:colOff>
      <xdr:row>36</xdr:row>
      <xdr:rowOff>152399</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23</xdr:col>
          <xdr:colOff>457200</xdr:colOff>
          <xdr:row>0</xdr:row>
          <xdr:rowOff>38100</xdr:rowOff>
        </xdr:from>
        <xdr:to>
          <xdr:col>26</xdr:col>
          <xdr:colOff>161925</xdr:colOff>
          <xdr:row>1</xdr:row>
          <xdr:rowOff>114300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Overlay Checked Peaks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457200</xdr:colOff>
          <xdr:row>30</xdr:row>
          <xdr:rowOff>171450</xdr:rowOff>
        </xdr:from>
        <xdr:to>
          <xdr:col>26</xdr:col>
          <xdr:colOff>171450</xdr:colOff>
          <xdr:row>32</xdr:row>
          <xdr:rowOff>180975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Overlay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457200</xdr:colOff>
          <xdr:row>34</xdr:row>
          <xdr:rowOff>0</xdr:rowOff>
        </xdr:from>
        <xdr:to>
          <xdr:col>26</xdr:col>
          <xdr:colOff>171450</xdr:colOff>
          <xdr:row>35</xdr:row>
          <xdr:rowOff>180975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457200</xdr:colOff>
          <xdr:row>28</xdr:row>
          <xdr:rowOff>104775</xdr:rowOff>
        </xdr:from>
        <xdr:to>
          <xdr:col>26</xdr:col>
          <xdr:colOff>171450</xdr:colOff>
          <xdr:row>29</xdr:row>
          <xdr:rowOff>180975</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Not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457200</xdr:colOff>
          <xdr:row>26</xdr:row>
          <xdr:rowOff>114300</xdr:rowOff>
        </xdr:from>
        <xdr:to>
          <xdr:col>26</xdr:col>
          <xdr:colOff>171450</xdr:colOff>
          <xdr:row>28</xdr:row>
          <xdr:rowOff>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300-00000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Only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28575</xdr:colOff>
          <xdr:row>12</xdr:row>
          <xdr:rowOff>152400</xdr:rowOff>
        </xdr:from>
        <xdr:to>
          <xdr:col>28</xdr:col>
          <xdr:colOff>600075</xdr:colOff>
          <xdr:row>14</xdr:row>
          <xdr:rowOff>19050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300-000008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Only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28575</xdr:colOff>
          <xdr:row>14</xdr:row>
          <xdr:rowOff>180975</xdr:rowOff>
        </xdr:from>
        <xdr:to>
          <xdr:col>28</xdr:col>
          <xdr:colOff>600075</xdr:colOff>
          <xdr:row>17</xdr:row>
          <xdr:rowOff>9525</xdr:rowOff>
        </xdr:to>
        <xdr:sp macro="" textlink="">
          <xdr:nvSpPr>
            <xdr:cNvPr id="4105" name="Button 9" hidden="1">
              <a:extLst>
                <a:ext uri="{63B3BB69-23CF-44E3-9099-C40C66FF867C}">
                  <a14:compatExt spid="_x0000_s4105"/>
                </a:ext>
                <a:ext uri="{FF2B5EF4-FFF2-40B4-BE49-F238E27FC236}">
                  <a16:creationId xmlns:a16="http://schemas.microsoft.com/office/drawing/2014/main" id="{00000000-0008-0000-0300-000009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Only</a:t>
              </a:r>
            </a:p>
            <a:p>
              <a:pPr algn="ctr" rtl="0">
                <a:defRPr sz="1000"/>
              </a:pPr>
              <a:r>
                <a:rPr lang="en-AU" sz="1100" b="0" i="0" u="none" strike="noStrike" baseline="0">
                  <a:solidFill>
                    <a:srgbClr val="000000"/>
                  </a:solidFill>
                  <a:latin typeface="Calibri"/>
                  <a:cs typeface="Calibri"/>
                </a:rPr>
                <a:t>Range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28575</xdr:colOff>
          <xdr:row>18</xdr:row>
          <xdr:rowOff>152400</xdr:rowOff>
        </xdr:from>
        <xdr:to>
          <xdr:col>28</xdr:col>
          <xdr:colOff>600075</xdr:colOff>
          <xdr:row>20</xdr:row>
          <xdr:rowOff>28575</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300-00000A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Not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28575</xdr:colOff>
          <xdr:row>20</xdr:row>
          <xdr:rowOff>180975</xdr:rowOff>
        </xdr:from>
        <xdr:to>
          <xdr:col>28</xdr:col>
          <xdr:colOff>600075</xdr:colOff>
          <xdr:row>23</xdr:row>
          <xdr:rowOff>9525</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300-00000B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Not</a:t>
              </a:r>
            </a:p>
            <a:p>
              <a:pPr algn="ctr" rtl="0">
                <a:defRPr sz="1000"/>
              </a:pPr>
              <a:r>
                <a:rPr lang="en-AU" sz="1100" b="0" i="0" u="none" strike="noStrike" baseline="0">
                  <a:solidFill>
                    <a:srgbClr val="000000"/>
                  </a:solidFill>
                  <a:latin typeface="Calibri"/>
                  <a:cs typeface="Calibri"/>
                </a:rPr>
                <a:t>Range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28575</xdr:colOff>
          <xdr:row>0</xdr:row>
          <xdr:rowOff>161925</xdr:rowOff>
        </xdr:from>
        <xdr:to>
          <xdr:col>28</xdr:col>
          <xdr:colOff>600075</xdr:colOff>
          <xdr:row>2</xdr:row>
          <xdr:rowOff>28575</xdr:rowOff>
        </xdr:to>
        <xdr:sp macro="" textlink="">
          <xdr:nvSpPr>
            <xdr:cNvPr id="4110" name="Button 14" hidden="1">
              <a:extLst>
                <a:ext uri="{63B3BB69-23CF-44E3-9099-C40C66FF867C}">
                  <a14:compatExt spid="_x0000_s4110"/>
                </a:ext>
                <a:ext uri="{FF2B5EF4-FFF2-40B4-BE49-F238E27FC236}">
                  <a16:creationId xmlns:a16="http://schemas.microsoft.com/office/drawing/2014/main" id="{00000000-0008-0000-0300-00000E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28575</xdr:colOff>
          <xdr:row>3</xdr:row>
          <xdr:rowOff>0</xdr:rowOff>
        </xdr:from>
        <xdr:to>
          <xdr:col>28</xdr:col>
          <xdr:colOff>600075</xdr:colOff>
          <xdr:row>5</xdr:row>
          <xdr:rowOff>0</xdr:rowOff>
        </xdr:to>
        <xdr:sp macro="" textlink="">
          <xdr:nvSpPr>
            <xdr:cNvPr id="4111" name="Button 15" hidden="1">
              <a:extLst>
                <a:ext uri="{63B3BB69-23CF-44E3-9099-C40C66FF867C}">
                  <a14:compatExt spid="_x0000_s4111"/>
                </a:ext>
                <a:ext uri="{FF2B5EF4-FFF2-40B4-BE49-F238E27FC236}">
                  <a16:creationId xmlns:a16="http://schemas.microsoft.com/office/drawing/2014/main" id="{00000000-0008-0000-0300-00000F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Add</a:t>
              </a:r>
            </a:p>
            <a:p>
              <a:pPr algn="ctr" rtl="0">
                <a:defRPr sz="1000"/>
              </a:pPr>
              <a:r>
                <a:rPr lang="en-AU" sz="1100" b="0" i="0" u="none" strike="noStrike" baseline="0">
                  <a:solidFill>
                    <a:srgbClr val="000000"/>
                  </a:solidFill>
                  <a:latin typeface="Calibri"/>
                  <a:cs typeface="Calibri"/>
                </a:rPr>
                <a:t>Range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28575</xdr:colOff>
          <xdr:row>6</xdr:row>
          <xdr:rowOff>152400</xdr:rowOff>
        </xdr:from>
        <xdr:to>
          <xdr:col>28</xdr:col>
          <xdr:colOff>600075</xdr:colOff>
          <xdr:row>8</xdr:row>
          <xdr:rowOff>28575</xdr:rowOff>
        </xdr:to>
        <xdr:sp macro="" textlink="">
          <xdr:nvSpPr>
            <xdr:cNvPr id="4112" name="Button 16" hidden="1">
              <a:extLst>
                <a:ext uri="{63B3BB69-23CF-44E3-9099-C40C66FF867C}">
                  <a14:compatExt spid="_x0000_s4112"/>
                </a:ext>
                <a:ext uri="{FF2B5EF4-FFF2-40B4-BE49-F238E27FC236}">
                  <a16:creationId xmlns:a16="http://schemas.microsoft.com/office/drawing/2014/main" id="{00000000-0008-0000-0300-000010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28575</xdr:colOff>
          <xdr:row>8</xdr:row>
          <xdr:rowOff>180975</xdr:rowOff>
        </xdr:from>
        <xdr:to>
          <xdr:col>28</xdr:col>
          <xdr:colOff>600075</xdr:colOff>
          <xdr:row>11</xdr:row>
          <xdr:rowOff>9525</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300-00001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Remove</a:t>
              </a:r>
            </a:p>
            <a:p>
              <a:pPr algn="ctr" rtl="0">
                <a:defRPr sz="1000"/>
              </a:pPr>
              <a:r>
                <a:rPr lang="en-AU" sz="1100" b="0" i="0" u="none" strike="noStrike" baseline="0">
                  <a:solidFill>
                    <a:srgbClr val="000000"/>
                  </a:solidFill>
                  <a:latin typeface="Calibri"/>
                  <a:cs typeface="Calibri"/>
                </a:rPr>
                <a:t>Range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457200</xdr:colOff>
          <xdr:row>24</xdr:row>
          <xdr:rowOff>114300</xdr:rowOff>
        </xdr:from>
        <xdr:to>
          <xdr:col>26</xdr:col>
          <xdr:colOff>171450</xdr:colOff>
          <xdr:row>26</xdr:row>
          <xdr:rowOff>0</xdr:rowOff>
        </xdr:to>
        <xdr:sp macro="" textlink="">
          <xdr:nvSpPr>
            <xdr:cNvPr id="4114" name="Button 18" hidden="1">
              <a:extLst>
                <a:ext uri="{63B3BB69-23CF-44E3-9099-C40C66FF867C}">
                  <a14:compatExt spid="_x0000_s4114"/>
                </a:ext>
                <a:ext uri="{FF2B5EF4-FFF2-40B4-BE49-F238E27FC236}">
                  <a16:creationId xmlns:a16="http://schemas.microsoft.com/office/drawing/2014/main" id="{00000000-0008-0000-0300-00001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Remove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28575</xdr:colOff>
          <xdr:row>25</xdr:row>
          <xdr:rowOff>0</xdr:rowOff>
        </xdr:from>
        <xdr:to>
          <xdr:col>28</xdr:col>
          <xdr:colOff>600075</xdr:colOff>
          <xdr:row>26</xdr:row>
          <xdr:rowOff>9525</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300-00001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Polar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38100</xdr:colOff>
          <xdr:row>28</xdr:row>
          <xdr:rowOff>0</xdr:rowOff>
        </xdr:from>
        <xdr:to>
          <xdr:col>29</xdr:col>
          <xdr:colOff>0</xdr:colOff>
          <xdr:row>29</xdr:row>
          <xdr:rowOff>0</xdr:rowOff>
        </xdr:to>
        <xdr:sp macro="" textlink="">
          <xdr:nvSpPr>
            <xdr:cNvPr id="4116" name="Button 20" hidden="1">
              <a:extLst>
                <a:ext uri="{63B3BB69-23CF-44E3-9099-C40C66FF867C}">
                  <a14:compatExt spid="_x0000_s4116"/>
                </a:ext>
                <a:ext uri="{FF2B5EF4-FFF2-40B4-BE49-F238E27FC236}">
                  <a16:creationId xmlns:a16="http://schemas.microsoft.com/office/drawing/2014/main" id="{00000000-0008-0000-0300-00001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NonPol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28575</xdr:colOff>
          <xdr:row>26</xdr:row>
          <xdr:rowOff>95250</xdr:rowOff>
        </xdr:from>
        <xdr:to>
          <xdr:col>28</xdr:col>
          <xdr:colOff>600075</xdr:colOff>
          <xdr:row>27</xdr:row>
          <xdr:rowOff>95250</xdr:rowOff>
        </xdr:to>
        <xdr:sp macro="" textlink="">
          <xdr:nvSpPr>
            <xdr:cNvPr id="4117" name="Button 21" hidden="1">
              <a:extLst>
                <a:ext uri="{63B3BB69-23CF-44E3-9099-C40C66FF867C}">
                  <a14:compatExt spid="_x0000_s4117"/>
                </a:ext>
                <a:ext uri="{FF2B5EF4-FFF2-40B4-BE49-F238E27FC236}">
                  <a16:creationId xmlns:a16="http://schemas.microsoft.com/office/drawing/2014/main" id="{00000000-0008-0000-0300-00001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Intermed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28575</xdr:colOff>
          <xdr:row>30</xdr:row>
          <xdr:rowOff>180975</xdr:rowOff>
        </xdr:from>
        <xdr:to>
          <xdr:col>28</xdr:col>
          <xdr:colOff>600075</xdr:colOff>
          <xdr:row>32</xdr:row>
          <xdr:rowOff>0</xdr:rowOff>
        </xdr:to>
        <xdr:sp macro="" textlink="">
          <xdr:nvSpPr>
            <xdr:cNvPr id="4118" name="Button 22" hidden="1">
              <a:extLst>
                <a:ext uri="{63B3BB69-23CF-44E3-9099-C40C66FF867C}">
                  <a14:compatExt spid="_x0000_s4118"/>
                </a:ext>
                <a:ext uri="{FF2B5EF4-FFF2-40B4-BE49-F238E27FC236}">
                  <a16:creationId xmlns:a16="http://schemas.microsoft.com/office/drawing/2014/main" id="{00000000-0008-0000-0300-00001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Acidic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28575</xdr:colOff>
          <xdr:row>34</xdr:row>
          <xdr:rowOff>0</xdr:rowOff>
        </xdr:from>
        <xdr:to>
          <xdr:col>28</xdr:col>
          <xdr:colOff>600075</xdr:colOff>
          <xdr:row>35</xdr:row>
          <xdr:rowOff>0</xdr:rowOff>
        </xdr:to>
        <xdr:sp macro="" textlink="">
          <xdr:nvSpPr>
            <xdr:cNvPr id="4119" name="Button 23" hidden="1">
              <a:extLst>
                <a:ext uri="{63B3BB69-23CF-44E3-9099-C40C66FF867C}">
                  <a14:compatExt spid="_x0000_s4119"/>
                </a:ext>
                <a:ext uri="{FF2B5EF4-FFF2-40B4-BE49-F238E27FC236}">
                  <a16:creationId xmlns:a16="http://schemas.microsoft.com/office/drawing/2014/main" id="{00000000-0008-0000-0300-00001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28575</xdr:colOff>
          <xdr:row>32</xdr:row>
          <xdr:rowOff>85725</xdr:rowOff>
        </xdr:from>
        <xdr:to>
          <xdr:col>28</xdr:col>
          <xdr:colOff>600075</xdr:colOff>
          <xdr:row>33</xdr:row>
          <xdr:rowOff>104775</xdr:rowOff>
        </xdr:to>
        <xdr:sp macro="" textlink="">
          <xdr:nvSpPr>
            <xdr:cNvPr id="4120" name="Button 24" hidden="1">
              <a:extLst>
                <a:ext uri="{63B3BB69-23CF-44E3-9099-C40C66FF867C}">
                  <a14:compatExt spid="_x0000_s4120"/>
                </a:ext>
                <a:ext uri="{FF2B5EF4-FFF2-40B4-BE49-F238E27FC236}">
                  <a16:creationId xmlns:a16="http://schemas.microsoft.com/office/drawing/2014/main" id="{00000000-0008-0000-0300-000018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Neutral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0</xdr:colOff>
          <xdr:row>7</xdr:row>
          <xdr:rowOff>9525</xdr:rowOff>
        </xdr:from>
        <xdr:to>
          <xdr:col>26</xdr:col>
          <xdr:colOff>9525</xdr:colOff>
          <xdr:row>9</xdr:row>
          <xdr:rowOff>0</xdr:rowOff>
        </xdr:to>
        <xdr:sp macro="" textlink="">
          <xdr:nvSpPr>
            <xdr:cNvPr id="4124" name="Button 28" hidden="1">
              <a:extLst>
                <a:ext uri="{63B3BB69-23CF-44E3-9099-C40C66FF867C}">
                  <a14:compatExt spid="_x0000_s4124"/>
                </a:ext>
                <a:ext uri="{FF2B5EF4-FFF2-40B4-BE49-F238E27FC236}">
                  <a16:creationId xmlns:a16="http://schemas.microsoft.com/office/drawing/2014/main" id="{00000000-0008-0000-0300-00001C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0</xdr:colOff>
          <xdr:row>13</xdr:row>
          <xdr:rowOff>0</xdr:rowOff>
        </xdr:from>
        <xdr:to>
          <xdr:col>26</xdr:col>
          <xdr:colOff>0</xdr:colOff>
          <xdr:row>15</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300-00001D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Next</a:t>
              </a:r>
            </a:p>
          </xdr:txBody>
        </xdr:sp>
        <xdr:clientData fPrintsWithSheet="0"/>
      </xdr:twoCellAnchor>
    </mc:Choice>
    <mc:Fallback/>
  </mc:AlternateContent>
  <xdr:twoCellAnchor>
    <xdr:from>
      <xdr:col>23</xdr:col>
      <xdr:colOff>457200</xdr:colOff>
      <xdr:row>3</xdr:row>
      <xdr:rowOff>114301</xdr:rowOff>
    </xdr:from>
    <xdr:to>
      <xdr:col>26</xdr:col>
      <xdr:colOff>152400</xdr:colOff>
      <xdr:row>23</xdr:row>
      <xdr:rowOff>19051</xdr:rowOff>
    </xdr:to>
    <xdr:sp macro="" textlink="">
      <xdr:nvSpPr>
        <xdr:cNvPr id="3" name="Rectangle 2">
          <a:extLst>
            <a:ext uri="{FF2B5EF4-FFF2-40B4-BE49-F238E27FC236}">
              <a16:creationId xmlns:a16="http://schemas.microsoft.com/office/drawing/2014/main" id="{00000000-0008-0000-0300-000003000000}"/>
            </a:ext>
          </a:extLst>
        </xdr:cNvPr>
        <xdr:cNvSpPr/>
      </xdr:nvSpPr>
      <xdr:spPr>
        <a:xfrm>
          <a:off x="14478000" y="685801"/>
          <a:ext cx="1495425" cy="3752850"/>
        </a:xfrm>
        <a:prstGeom prst="rect">
          <a:avLst/>
        </a:prstGeom>
        <a:noFill/>
        <a:ln w="254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mc:AlternateContent xmlns:mc="http://schemas.openxmlformats.org/markup-compatibility/2006">
    <mc:Choice xmlns:a14="http://schemas.microsoft.com/office/drawing/2010/main" Requires="a14">
      <xdr:twoCellAnchor>
        <xdr:from>
          <xdr:col>24</xdr:col>
          <xdr:colOff>0</xdr:colOff>
          <xdr:row>15</xdr:row>
          <xdr:rowOff>180975</xdr:rowOff>
        </xdr:from>
        <xdr:to>
          <xdr:col>26</xdr:col>
          <xdr:colOff>0</xdr:colOff>
          <xdr:row>17</xdr:row>
          <xdr:rowOff>190500</xdr:rowOff>
        </xdr:to>
        <xdr:sp macro="" textlink="">
          <xdr:nvSpPr>
            <xdr:cNvPr id="4127" name="Button 31" hidden="1">
              <a:extLst>
                <a:ext uri="{63B3BB69-23CF-44E3-9099-C40C66FF867C}">
                  <a14:compatExt spid="_x0000_s4127"/>
                </a:ext>
                <a:ext uri="{FF2B5EF4-FFF2-40B4-BE49-F238E27FC236}">
                  <a16:creationId xmlns:a16="http://schemas.microsoft.com/office/drawing/2014/main" id="{00000000-0008-0000-0300-00001F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Keep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152400</xdr:colOff>
          <xdr:row>5</xdr:row>
          <xdr:rowOff>66675</xdr:rowOff>
        </xdr:from>
        <xdr:to>
          <xdr:col>25</xdr:col>
          <xdr:colOff>1104900</xdr:colOff>
          <xdr:row>6</xdr:row>
          <xdr:rowOff>114300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3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Increment Class</a:t>
              </a:r>
            </a:p>
          </xdr:txBody>
        </xdr:sp>
        <xdr:clientData/>
      </xdr:twoCellAnchor>
    </mc:Choice>
    <mc:Fallback/>
  </mc:AlternateContent>
  <mc:AlternateContent xmlns:mc="http://schemas.openxmlformats.org/markup-compatibility/2006">
    <mc:Choice xmlns:a14="http://schemas.microsoft.com/office/drawing/2010/main" Requires="a14">
      <xdr:twoCellAnchor>
        <xdr:from>
          <xdr:col>23</xdr:col>
          <xdr:colOff>590550</xdr:colOff>
          <xdr:row>19</xdr:row>
          <xdr:rowOff>95250</xdr:rowOff>
        </xdr:from>
        <xdr:to>
          <xdr:col>26</xdr:col>
          <xdr:colOff>0</xdr:colOff>
          <xdr:row>22</xdr:row>
          <xdr:rowOff>104775</xdr:rowOff>
        </xdr:to>
        <xdr:sp macro="" textlink="">
          <xdr:nvSpPr>
            <xdr:cNvPr id="4131" name="Button 35" hidden="1">
              <a:extLst>
                <a:ext uri="{63B3BB69-23CF-44E3-9099-C40C66FF867C}">
                  <a14:compatExt spid="_x0000_s4131"/>
                </a:ext>
                <a:ext uri="{FF2B5EF4-FFF2-40B4-BE49-F238E27FC236}">
                  <a16:creationId xmlns:a16="http://schemas.microsoft.com/office/drawing/2014/main" id="{00000000-0008-0000-0300-00002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Label and Copy</a:t>
              </a:r>
            </a:p>
          </xdr:txBody>
        </xdr:sp>
        <xdr:clientData fPrintsWithSheet="0"/>
      </xdr:twoCellAnchor>
    </mc:Choice>
    <mc:Fallback/>
  </mc:AlternateContent>
  <xdr:twoCellAnchor>
    <xdr:from>
      <xdr:col>0</xdr:col>
      <xdr:colOff>19049</xdr:colOff>
      <xdr:row>0</xdr:row>
      <xdr:rowOff>0</xdr:rowOff>
    </xdr:from>
    <xdr:to>
      <xdr:col>20</xdr:col>
      <xdr:colOff>0</xdr:colOff>
      <xdr:row>6</xdr:row>
      <xdr:rowOff>104775</xdr:rowOff>
    </xdr:to>
    <xdr:graphicFrame macro="">
      <xdr:nvGraphicFramePr>
        <xdr:cNvPr id="29" name="Chart 28">
          <a:extLst>
            <a:ext uri="{FF2B5EF4-FFF2-40B4-BE49-F238E27FC236}">
              <a16:creationId xmlns:a16="http://schemas.microsoft.com/office/drawing/2014/main" id="{00000000-0008-0000-03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21</xdr:col>
          <xdr:colOff>9525</xdr:colOff>
          <xdr:row>1</xdr:row>
          <xdr:rowOff>9525</xdr:rowOff>
        </xdr:from>
        <xdr:to>
          <xdr:col>21</xdr:col>
          <xdr:colOff>600075</xdr:colOff>
          <xdr:row>1</xdr:row>
          <xdr:rowOff>190500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3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210 nm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1</xdr:row>
          <xdr:rowOff>0</xdr:rowOff>
        </xdr:from>
        <xdr:to>
          <xdr:col>22</xdr:col>
          <xdr:colOff>600075</xdr:colOff>
          <xdr:row>2</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3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254 nm</a:t>
              </a:r>
            </a:p>
          </xdr:txBody>
        </xdr:sp>
        <xdr:clientData/>
      </xdr:twoCellAnchor>
    </mc:Choice>
    <mc:Fallback/>
  </mc:AlternateContent>
  <mc:AlternateContent xmlns:mc="http://schemas.openxmlformats.org/markup-compatibility/2006">
    <mc:Choice xmlns:a14="http://schemas.microsoft.com/office/drawing/2010/main" Requires="a14">
      <xdr:twoCellAnchor>
        <xdr:from>
          <xdr:col>21</xdr:col>
          <xdr:colOff>9525</xdr:colOff>
          <xdr:row>3</xdr:row>
          <xdr:rowOff>0</xdr:rowOff>
        </xdr:from>
        <xdr:to>
          <xdr:col>21</xdr:col>
          <xdr:colOff>295275</xdr:colOff>
          <xdr:row>4</xdr:row>
          <xdr:rowOff>0</xdr:rowOff>
        </xdr:to>
        <xdr:sp macro="" textlink="">
          <xdr:nvSpPr>
            <xdr:cNvPr id="4134" name="Button 38" hidden="1">
              <a:extLst>
                <a:ext uri="{63B3BB69-23CF-44E3-9099-C40C66FF867C}">
                  <a14:compatExt spid="_x0000_s4134"/>
                </a:ext>
                <a:ext uri="{FF2B5EF4-FFF2-40B4-BE49-F238E27FC236}">
                  <a16:creationId xmlns:a16="http://schemas.microsoft.com/office/drawing/2014/main" id="{00000000-0008-0000-0300-00002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314325</xdr:colOff>
          <xdr:row>2</xdr:row>
          <xdr:rowOff>180975</xdr:rowOff>
        </xdr:from>
        <xdr:to>
          <xdr:col>21</xdr:col>
          <xdr:colOff>600075</xdr:colOff>
          <xdr:row>3</xdr:row>
          <xdr:rowOff>190500</xdr:rowOff>
        </xdr:to>
        <xdr:sp macro="" textlink="">
          <xdr:nvSpPr>
            <xdr:cNvPr id="4135" name="Button 39" hidden="1">
              <a:extLst>
                <a:ext uri="{63B3BB69-23CF-44E3-9099-C40C66FF867C}">
                  <a14:compatExt spid="_x0000_s4135"/>
                </a:ext>
                <a:ext uri="{FF2B5EF4-FFF2-40B4-BE49-F238E27FC236}">
                  <a16:creationId xmlns:a16="http://schemas.microsoft.com/office/drawing/2014/main" id="{00000000-0008-0000-0300-00002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9525</xdr:colOff>
          <xdr:row>3</xdr:row>
          <xdr:rowOff>0</xdr:rowOff>
        </xdr:from>
        <xdr:to>
          <xdr:col>22</xdr:col>
          <xdr:colOff>295275</xdr:colOff>
          <xdr:row>4</xdr:row>
          <xdr:rowOff>0</xdr:rowOff>
        </xdr:to>
        <xdr:sp macro="" textlink="">
          <xdr:nvSpPr>
            <xdr:cNvPr id="4136" name="Button 40" hidden="1">
              <a:extLst>
                <a:ext uri="{63B3BB69-23CF-44E3-9099-C40C66FF867C}">
                  <a14:compatExt spid="_x0000_s4136"/>
                </a:ext>
                <a:ext uri="{FF2B5EF4-FFF2-40B4-BE49-F238E27FC236}">
                  <a16:creationId xmlns:a16="http://schemas.microsoft.com/office/drawing/2014/main" id="{00000000-0008-0000-0300-000028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314325</xdr:colOff>
          <xdr:row>2</xdr:row>
          <xdr:rowOff>180975</xdr:rowOff>
        </xdr:from>
        <xdr:to>
          <xdr:col>22</xdr:col>
          <xdr:colOff>600075</xdr:colOff>
          <xdr:row>3</xdr:row>
          <xdr:rowOff>190500</xdr:rowOff>
        </xdr:to>
        <xdr:sp macro="" textlink="">
          <xdr:nvSpPr>
            <xdr:cNvPr id="4137" name="Button 41" hidden="1">
              <a:extLst>
                <a:ext uri="{63B3BB69-23CF-44E3-9099-C40C66FF867C}">
                  <a14:compatExt spid="_x0000_s4137"/>
                </a:ext>
                <a:ext uri="{FF2B5EF4-FFF2-40B4-BE49-F238E27FC236}">
                  <a16:creationId xmlns:a16="http://schemas.microsoft.com/office/drawing/2014/main" id="{00000000-0008-0000-0300-000029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9525</xdr:colOff>
          <xdr:row>4</xdr:row>
          <xdr:rowOff>0</xdr:rowOff>
        </xdr:from>
        <xdr:to>
          <xdr:col>21</xdr:col>
          <xdr:colOff>295275</xdr:colOff>
          <xdr:row>4</xdr:row>
          <xdr:rowOff>209550</xdr:rowOff>
        </xdr:to>
        <xdr:sp macro="" textlink="">
          <xdr:nvSpPr>
            <xdr:cNvPr id="4138" name="Button 42" hidden="1">
              <a:extLst>
                <a:ext uri="{63B3BB69-23CF-44E3-9099-C40C66FF867C}">
                  <a14:compatExt spid="_x0000_s4138"/>
                </a:ext>
                <a:ext uri="{FF2B5EF4-FFF2-40B4-BE49-F238E27FC236}">
                  <a16:creationId xmlns:a16="http://schemas.microsoft.com/office/drawing/2014/main" id="{00000000-0008-0000-0300-00002A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314325</xdr:colOff>
          <xdr:row>4</xdr:row>
          <xdr:rowOff>0</xdr:rowOff>
        </xdr:from>
        <xdr:to>
          <xdr:col>21</xdr:col>
          <xdr:colOff>600075</xdr:colOff>
          <xdr:row>4</xdr:row>
          <xdr:rowOff>209550</xdr:rowOff>
        </xdr:to>
        <xdr:sp macro="" textlink="">
          <xdr:nvSpPr>
            <xdr:cNvPr id="4139" name="Button 43" hidden="1">
              <a:extLst>
                <a:ext uri="{63B3BB69-23CF-44E3-9099-C40C66FF867C}">
                  <a14:compatExt spid="_x0000_s4139"/>
                </a:ext>
                <a:ext uri="{FF2B5EF4-FFF2-40B4-BE49-F238E27FC236}">
                  <a16:creationId xmlns:a16="http://schemas.microsoft.com/office/drawing/2014/main" id="{00000000-0008-0000-0300-00002B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9525</xdr:colOff>
          <xdr:row>4</xdr:row>
          <xdr:rowOff>0</xdr:rowOff>
        </xdr:from>
        <xdr:to>
          <xdr:col>22</xdr:col>
          <xdr:colOff>295275</xdr:colOff>
          <xdr:row>4</xdr:row>
          <xdr:rowOff>200025</xdr:rowOff>
        </xdr:to>
        <xdr:sp macro="" textlink="">
          <xdr:nvSpPr>
            <xdr:cNvPr id="4140" name="Button 44" hidden="1">
              <a:extLst>
                <a:ext uri="{63B3BB69-23CF-44E3-9099-C40C66FF867C}">
                  <a14:compatExt spid="_x0000_s4140"/>
                </a:ext>
                <a:ext uri="{FF2B5EF4-FFF2-40B4-BE49-F238E27FC236}">
                  <a16:creationId xmlns:a16="http://schemas.microsoft.com/office/drawing/2014/main" id="{00000000-0008-0000-0300-00002C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314325</xdr:colOff>
          <xdr:row>4</xdr:row>
          <xdr:rowOff>0</xdr:rowOff>
        </xdr:from>
        <xdr:to>
          <xdr:col>22</xdr:col>
          <xdr:colOff>600075</xdr:colOff>
          <xdr:row>4</xdr:row>
          <xdr:rowOff>200025</xdr:rowOff>
        </xdr:to>
        <xdr:sp macro="" textlink="">
          <xdr:nvSpPr>
            <xdr:cNvPr id="4141" name="Button 45" hidden="1">
              <a:extLst>
                <a:ext uri="{63B3BB69-23CF-44E3-9099-C40C66FF867C}">
                  <a14:compatExt spid="_x0000_s4141"/>
                </a:ext>
                <a:ext uri="{FF2B5EF4-FFF2-40B4-BE49-F238E27FC236}">
                  <a16:creationId xmlns:a16="http://schemas.microsoft.com/office/drawing/2014/main" id="{00000000-0008-0000-0300-00002D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9525</xdr:colOff>
          <xdr:row>5</xdr:row>
          <xdr:rowOff>0</xdr:rowOff>
        </xdr:from>
        <xdr:to>
          <xdr:col>21</xdr:col>
          <xdr:colOff>600075</xdr:colOff>
          <xdr:row>6</xdr:row>
          <xdr:rowOff>9525</xdr:rowOff>
        </xdr:to>
        <xdr:sp macro="" textlink="">
          <xdr:nvSpPr>
            <xdr:cNvPr id="4142" name="Button 46" hidden="1">
              <a:extLst>
                <a:ext uri="{63B3BB69-23CF-44E3-9099-C40C66FF867C}">
                  <a14:compatExt spid="_x0000_s4142"/>
                </a:ext>
                <a:ext uri="{FF2B5EF4-FFF2-40B4-BE49-F238E27FC236}">
                  <a16:creationId xmlns:a16="http://schemas.microsoft.com/office/drawing/2014/main" id="{00000000-0008-0000-0300-00002E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9525</xdr:colOff>
          <xdr:row>5</xdr:row>
          <xdr:rowOff>0</xdr:rowOff>
        </xdr:from>
        <xdr:to>
          <xdr:col>22</xdr:col>
          <xdr:colOff>609600</xdr:colOff>
          <xdr:row>6</xdr:row>
          <xdr:rowOff>9525</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300-00002F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9525</xdr:colOff>
          <xdr:row>2</xdr:row>
          <xdr:rowOff>9525</xdr:rowOff>
        </xdr:from>
        <xdr:to>
          <xdr:col>22</xdr:col>
          <xdr:colOff>600075</xdr:colOff>
          <xdr:row>3</xdr:row>
          <xdr:rowOff>0</xdr:rowOff>
        </xdr:to>
        <xdr:sp macro="" textlink="">
          <xdr:nvSpPr>
            <xdr:cNvPr id="4144" name="Button 48" hidden="1">
              <a:extLst>
                <a:ext uri="{63B3BB69-23CF-44E3-9099-C40C66FF867C}">
                  <a14:compatExt spid="_x0000_s4144"/>
                </a:ext>
                <a:ext uri="{FF2B5EF4-FFF2-40B4-BE49-F238E27FC236}">
                  <a16:creationId xmlns:a16="http://schemas.microsoft.com/office/drawing/2014/main" id="{00000000-0008-0000-0300-000030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457200</xdr:colOff>
          <xdr:row>1</xdr:row>
          <xdr:rowOff>171450</xdr:rowOff>
        </xdr:from>
        <xdr:to>
          <xdr:col>26</xdr:col>
          <xdr:colOff>161925</xdr:colOff>
          <xdr:row>3</xdr:row>
          <xdr:rowOff>57150</xdr:rowOff>
        </xdr:to>
        <xdr:sp macro="" textlink="">
          <xdr:nvSpPr>
            <xdr:cNvPr id="4145" name="Button 49" hidden="1">
              <a:extLst>
                <a:ext uri="{63B3BB69-23CF-44E3-9099-C40C66FF867C}">
                  <a14:compatExt spid="_x0000_s4145"/>
                </a:ext>
                <a:ext uri="{FF2B5EF4-FFF2-40B4-BE49-F238E27FC236}">
                  <a16:creationId xmlns:a16="http://schemas.microsoft.com/office/drawing/2014/main" id="{00000000-0008-0000-0300-00003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Overlay Selected Class</a:t>
              </a:r>
            </a:p>
          </xdr:txBody>
        </xdr:sp>
        <xdr:clientData fPrintsWithSheet="0"/>
      </xdr:twoCellAnchor>
    </mc:Choice>
    <mc:Fallback/>
  </mc:AlternateContent>
</xdr:wsDr>
</file>

<file path=xl/drawings/drawing7.xml><?xml version="1.0" encoding="utf-8"?>
<c:userShapes xmlns:c="http://schemas.openxmlformats.org/drawingml/2006/chart">
  <cdr:relSizeAnchor xmlns:cdr="http://schemas.openxmlformats.org/drawingml/2006/chartDrawing">
    <cdr:from>
      <cdr:x>0.01632</cdr:x>
      <cdr:y>0.0198</cdr:y>
    </cdr:from>
    <cdr:to>
      <cdr:x>0.01632</cdr:x>
      <cdr:y>0.91263</cdr:y>
    </cdr:to>
    <cdr:cxnSp macro="">
      <cdr:nvCxnSpPr>
        <cdr:cNvPr id="3" name="Straight Connector 2">
          <a:extLst xmlns:a="http://schemas.openxmlformats.org/drawingml/2006/main">
            <a:ext uri="{FF2B5EF4-FFF2-40B4-BE49-F238E27FC236}">
              <a16:creationId xmlns:a16="http://schemas.microsoft.com/office/drawing/2014/main" id="{A79977C6-062B-4D1D-912E-B763E35B3B38}"/>
            </a:ext>
          </a:extLst>
        </cdr:cNvPr>
        <cdr:cNvCxnSpPr/>
      </cdr:nvCxnSpPr>
      <cdr:spPr>
        <a:xfrm xmlns:a="http://schemas.openxmlformats.org/drawingml/2006/main" flipV="1">
          <a:off x="238125" y="138114"/>
          <a:ext cx="0" cy="6229350"/>
        </a:xfrm>
        <a:prstGeom xmlns:a="http://schemas.openxmlformats.org/drawingml/2006/main" prst="line">
          <a:avLst/>
        </a:prstGeom>
        <a:ln xmlns:a="http://schemas.openxmlformats.org/drawingml/2006/main" w="127000" cap="flat" cmpd="sng" algn="ctr">
          <a:solidFill>
            <a:srgbClr val="FFFF00">
              <a:alpha val="0"/>
            </a:srgbClr>
          </a:solidFill>
          <a:prstDash val="solid"/>
          <a:miter lim="800000"/>
          <a:headEnd type="none" w="med" len="med"/>
          <a:tailEnd type="non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0.01751</cdr:x>
      <cdr:y>0</cdr:y>
    </cdr:from>
    <cdr:to>
      <cdr:x>0.01751</cdr:x>
      <cdr:y>1</cdr:y>
    </cdr:to>
    <cdr:cxnSp macro="">
      <cdr:nvCxnSpPr>
        <cdr:cNvPr id="4" name="Straight Connector 3">
          <a:extLst xmlns:a="http://schemas.openxmlformats.org/drawingml/2006/main">
            <a:ext uri="{FF2B5EF4-FFF2-40B4-BE49-F238E27FC236}">
              <a16:creationId xmlns:a16="http://schemas.microsoft.com/office/drawing/2014/main" id="{06469AFB-7441-4B4D-81A5-BF772F62E22A}"/>
            </a:ext>
          </a:extLst>
        </cdr:cNvPr>
        <cdr:cNvCxnSpPr/>
      </cdr:nvCxnSpPr>
      <cdr:spPr>
        <a:xfrm xmlns:a="http://schemas.openxmlformats.org/drawingml/2006/main" flipV="1">
          <a:off x="213150" y="0"/>
          <a:ext cx="0" cy="1295400"/>
        </a:xfrm>
        <a:prstGeom xmlns:a="http://schemas.openxmlformats.org/drawingml/2006/main" prst="line">
          <a:avLst/>
        </a:prstGeom>
        <a:ln xmlns:a="http://schemas.openxmlformats.org/drawingml/2006/main" w="127000" cap="flat" cmpd="sng" algn="ctr">
          <a:solidFill>
            <a:srgbClr val="FFFF00">
              <a:alpha val="0"/>
            </a:srgbClr>
          </a:solidFill>
          <a:prstDash val="solid"/>
          <a:miter lim="800000"/>
          <a:headEnd type="none" w="med" len="med"/>
          <a:tailEnd type="non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8.xml><?xml version="1.0" encoding="utf-8"?>
<xdr:wsDr xmlns:xdr="http://schemas.openxmlformats.org/drawingml/2006/spreadsheetDrawing" xmlns:a="http://schemas.openxmlformats.org/drawingml/2006/main">
  <xdr:twoCellAnchor>
    <xdr:from>
      <xdr:col>0</xdr:col>
      <xdr:colOff>0</xdr:colOff>
      <xdr:row>0</xdr:row>
      <xdr:rowOff>0</xdr:rowOff>
    </xdr:from>
    <xdr:to>
      <xdr:col>23</xdr:col>
      <xdr:colOff>571500</xdr:colOff>
      <xdr:row>9</xdr:row>
      <xdr:rowOff>180975</xdr:rowOff>
    </xdr:to>
    <xdr:graphicFrame macro="">
      <xdr:nvGraphicFramePr>
        <xdr:cNvPr id="2" name="Chart Chromatogram">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26</xdr:col>
          <xdr:colOff>9525</xdr:colOff>
          <xdr:row>3</xdr:row>
          <xdr:rowOff>9525</xdr:rowOff>
        </xdr:from>
        <xdr:to>
          <xdr:col>26</xdr:col>
          <xdr:colOff>600075</xdr:colOff>
          <xdr:row>3</xdr:row>
          <xdr:rowOff>190500</xdr:rowOff>
        </xdr:to>
        <xdr:sp macro="" textlink="">
          <xdr:nvSpPr>
            <xdr:cNvPr id="12289" name="Check Box 1" hidden="1">
              <a:extLst>
                <a:ext uri="{63B3BB69-23CF-44E3-9099-C40C66FF867C}">
                  <a14:compatExt spid="_x0000_s12289"/>
                </a:ext>
                <a:ext uri="{FF2B5EF4-FFF2-40B4-BE49-F238E27FC236}">
                  <a16:creationId xmlns:a16="http://schemas.microsoft.com/office/drawing/2014/main" id="{00000000-0008-0000-0400-000001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210 nm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4</xdr:row>
          <xdr:rowOff>180975</xdr:rowOff>
        </xdr:from>
        <xdr:to>
          <xdr:col>26</xdr:col>
          <xdr:colOff>600075</xdr:colOff>
          <xdr:row>5</xdr:row>
          <xdr:rowOff>180975</xdr:rowOff>
        </xdr:to>
        <xdr:sp macro="" textlink="">
          <xdr:nvSpPr>
            <xdr:cNvPr id="12290" name="Check Box 2" hidden="1">
              <a:extLst>
                <a:ext uri="{63B3BB69-23CF-44E3-9099-C40C66FF867C}">
                  <a14:compatExt spid="_x0000_s12290"/>
                </a:ext>
                <a:ext uri="{FF2B5EF4-FFF2-40B4-BE49-F238E27FC236}">
                  <a16:creationId xmlns:a16="http://schemas.microsoft.com/office/drawing/2014/main" id="{00000000-0008-0000-0400-000002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254 nm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7</xdr:row>
          <xdr:rowOff>0</xdr:rowOff>
        </xdr:from>
        <xdr:to>
          <xdr:col>26</xdr:col>
          <xdr:colOff>600075</xdr:colOff>
          <xdr:row>8</xdr:row>
          <xdr:rowOff>0</xdr:rowOff>
        </xdr:to>
        <xdr:sp macro="" textlink="">
          <xdr:nvSpPr>
            <xdr:cNvPr id="12291" name="Check Box 3" hidden="1">
              <a:extLst>
                <a:ext uri="{63B3BB69-23CF-44E3-9099-C40C66FF867C}">
                  <a14:compatExt spid="_x0000_s12291"/>
                </a:ext>
                <a:ext uri="{FF2B5EF4-FFF2-40B4-BE49-F238E27FC236}">
                  <a16:creationId xmlns:a16="http://schemas.microsoft.com/office/drawing/2014/main" id="{00000000-0008-0000-0400-000003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POS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9</xdr:row>
          <xdr:rowOff>0</xdr:rowOff>
        </xdr:from>
        <xdr:to>
          <xdr:col>26</xdr:col>
          <xdr:colOff>600075</xdr:colOff>
          <xdr:row>10</xdr:row>
          <xdr:rowOff>0</xdr:rowOff>
        </xdr:to>
        <xdr:sp macro="" textlink="">
          <xdr:nvSpPr>
            <xdr:cNvPr id="12292" name="Check Box 4" hidden="1">
              <a:extLst>
                <a:ext uri="{63B3BB69-23CF-44E3-9099-C40C66FF867C}">
                  <a14:compatExt spid="_x0000_s12292"/>
                </a:ext>
                <a:ext uri="{FF2B5EF4-FFF2-40B4-BE49-F238E27FC236}">
                  <a16:creationId xmlns:a16="http://schemas.microsoft.com/office/drawing/2014/main" id="{00000000-0008-0000-0400-000004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NEG</a:t>
              </a:r>
            </a:p>
          </xdr:txBody>
        </xdr:sp>
        <xdr:clientData/>
      </xdr:twoCellAnchor>
    </mc:Choice>
    <mc:Fallback/>
  </mc:AlternateContent>
  <mc:AlternateContent xmlns:mc="http://schemas.openxmlformats.org/markup-compatibility/2006">
    <mc:Choice xmlns:a14="http://schemas.microsoft.com/office/drawing/2010/main" Requires="a14">
      <xdr:twoCellAnchor>
        <xdr:from>
          <xdr:col>25</xdr:col>
          <xdr:colOff>0</xdr:colOff>
          <xdr:row>15</xdr:row>
          <xdr:rowOff>19050</xdr:rowOff>
        </xdr:from>
        <xdr:to>
          <xdr:col>27</xdr:col>
          <xdr:colOff>0</xdr:colOff>
          <xdr:row>16</xdr:row>
          <xdr:rowOff>104775</xdr:rowOff>
        </xdr:to>
        <xdr:sp macro="" textlink="">
          <xdr:nvSpPr>
            <xdr:cNvPr id="12293" name="Button 5" hidden="1">
              <a:extLst>
                <a:ext uri="{63B3BB69-23CF-44E3-9099-C40C66FF867C}">
                  <a14:compatExt spid="_x0000_s12293"/>
                </a:ext>
                <a:ext uri="{FF2B5EF4-FFF2-40B4-BE49-F238E27FC236}">
                  <a16:creationId xmlns:a16="http://schemas.microsoft.com/office/drawing/2014/main" id="{00000000-0008-0000-0400-000005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AU" sz="1600" b="0" i="0" u="none" strike="noStrike" baseline="0">
                  <a:solidFill>
                    <a:srgbClr val="000000"/>
                  </a:solidFill>
                  <a:latin typeface="Calibri"/>
                  <a:cs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0</xdr:colOff>
          <xdr:row>3</xdr:row>
          <xdr:rowOff>0</xdr:rowOff>
        </xdr:from>
        <xdr:to>
          <xdr:col>25</xdr:col>
          <xdr:colOff>285750</xdr:colOff>
          <xdr:row>4</xdr:row>
          <xdr:rowOff>0</xdr:rowOff>
        </xdr:to>
        <xdr:sp macro="" textlink="">
          <xdr:nvSpPr>
            <xdr:cNvPr id="12294" name="Button 6" hidden="1">
              <a:extLst>
                <a:ext uri="{63B3BB69-23CF-44E3-9099-C40C66FF867C}">
                  <a14:compatExt spid="_x0000_s12294"/>
                </a:ext>
                <a:ext uri="{FF2B5EF4-FFF2-40B4-BE49-F238E27FC236}">
                  <a16:creationId xmlns:a16="http://schemas.microsoft.com/office/drawing/2014/main" id="{00000000-0008-0000-0400-000006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323850</xdr:colOff>
          <xdr:row>3</xdr:row>
          <xdr:rowOff>0</xdr:rowOff>
        </xdr:from>
        <xdr:to>
          <xdr:col>25</xdr:col>
          <xdr:colOff>609600</xdr:colOff>
          <xdr:row>4</xdr:row>
          <xdr:rowOff>0</xdr:rowOff>
        </xdr:to>
        <xdr:sp macro="" textlink="">
          <xdr:nvSpPr>
            <xdr:cNvPr id="12295" name="Button 7" hidden="1">
              <a:extLst>
                <a:ext uri="{63B3BB69-23CF-44E3-9099-C40C66FF867C}">
                  <a14:compatExt spid="_x0000_s12295"/>
                </a:ext>
                <a:ext uri="{FF2B5EF4-FFF2-40B4-BE49-F238E27FC236}">
                  <a16:creationId xmlns:a16="http://schemas.microsoft.com/office/drawing/2014/main" id="{00000000-0008-0000-0400-000007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609600</xdr:colOff>
          <xdr:row>5</xdr:row>
          <xdr:rowOff>0</xdr:rowOff>
        </xdr:from>
        <xdr:to>
          <xdr:col>25</xdr:col>
          <xdr:colOff>285750</xdr:colOff>
          <xdr:row>6</xdr:row>
          <xdr:rowOff>0</xdr:rowOff>
        </xdr:to>
        <xdr:sp macro="" textlink="">
          <xdr:nvSpPr>
            <xdr:cNvPr id="12296" name="Button 8" hidden="1">
              <a:extLst>
                <a:ext uri="{63B3BB69-23CF-44E3-9099-C40C66FF867C}">
                  <a14:compatExt spid="_x0000_s12296"/>
                </a:ext>
                <a:ext uri="{FF2B5EF4-FFF2-40B4-BE49-F238E27FC236}">
                  <a16:creationId xmlns:a16="http://schemas.microsoft.com/office/drawing/2014/main" id="{00000000-0008-0000-0400-000008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323850</xdr:colOff>
          <xdr:row>5</xdr:row>
          <xdr:rowOff>0</xdr:rowOff>
        </xdr:from>
        <xdr:to>
          <xdr:col>25</xdr:col>
          <xdr:colOff>609600</xdr:colOff>
          <xdr:row>6</xdr:row>
          <xdr:rowOff>0</xdr:rowOff>
        </xdr:to>
        <xdr:sp macro="" textlink="">
          <xdr:nvSpPr>
            <xdr:cNvPr id="12297" name="Button 9" hidden="1">
              <a:extLst>
                <a:ext uri="{63B3BB69-23CF-44E3-9099-C40C66FF867C}">
                  <a14:compatExt spid="_x0000_s12297"/>
                </a:ext>
                <a:ext uri="{FF2B5EF4-FFF2-40B4-BE49-F238E27FC236}">
                  <a16:creationId xmlns:a16="http://schemas.microsoft.com/office/drawing/2014/main" id="{00000000-0008-0000-0400-000009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9525</xdr:colOff>
          <xdr:row>2</xdr:row>
          <xdr:rowOff>190500</xdr:rowOff>
        </xdr:from>
        <xdr:to>
          <xdr:col>27</xdr:col>
          <xdr:colOff>295275</xdr:colOff>
          <xdr:row>3</xdr:row>
          <xdr:rowOff>190500</xdr:rowOff>
        </xdr:to>
        <xdr:sp macro="" textlink="">
          <xdr:nvSpPr>
            <xdr:cNvPr id="12302" name="Button 14" hidden="1">
              <a:extLst>
                <a:ext uri="{63B3BB69-23CF-44E3-9099-C40C66FF867C}">
                  <a14:compatExt spid="_x0000_s12302"/>
                </a:ext>
                <a:ext uri="{FF2B5EF4-FFF2-40B4-BE49-F238E27FC236}">
                  <a16:creationId xmlns:a16="http://schemas.microsoft.com/office/drawing/2014/main" id="{00000000-0008-0000-0400-00000E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323850</xdr:colOff>
          <xdr:row>2</xdr:row>
          <xdr:rowOff>190500</xdr:rowOff>
        </xdr:from>
        <xdr:to>
          <xdr:col>28</xdr:col>
          <xdr:colOff>0</xdr:colOff>
          <xdr:row>3</xdr:row>
          <xdr:rowOff>190500</xdr:rowOff>
        </xdr:to>
        <xdr:sp macro="" textlink="">
          <xdr:nvSpPr>
            <xdr:cNvPr id="12303" name="Button 15" hidden="1">
              <a:extLst>
                <a:ext uri="{63B3BB69-23CF-44E3-9099-C40C66FF867C}">
                  <a14:compatExt spid="_x0000_s12303"/>
                </a:ext>
                <a:ext uri="{FF2B5EF4-FFF2-40B4-BE49-F238E27FC236}">
                  <a16:creationId xmlns:a16="http://schemas.microsoft.com/office/drawing/2014/main" id="{00000000-0008-0000-0400-00000F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9525</xdr:colOff>
          <xdr:row>4</xdr:row>
          <xdr:rowOff>200025</xdr:rowOff>
        </xdr:from>
        <xdr:to>
          <xdr:col>27</xdr:col>
          <xdr:colOff>295275</xdr:colOff>
          <xdr:row>5</xdr:row>
          <xdr:rowOff>200025</xdr:rowOff>
        </xdr:to>
        <xdr:sp macro="" textlink="">
          <xdr:nvSpPr>
            <xdr:cNvPr id="12304" name="Button 16" hidden="1">
              <a:extLst>
                <a:ext uri="{63B3BB69-23CF-44E3-9099-C40C66FF867C}">
                  <a14:compatExt spid="_x0000_s12304"/>
                </a:ext>
                <a:ext uri="{FF2B5EF4-FFF2-40B4-BE49-F238E27FC236}">
                  <a16:creationId xmlns:a16="http://schemas.microsoft.com/office/drawing/2014/main" id="{00000000-0008-0000-0400-000010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323850</xdr:colOff>
          <xdr:row>4</xdr:row>
          <xdr:rowOff>200025</xdr:rowOff>
        </xdr:from>
        <xdr:to>
          <xdr:col>28</xdr:col>
          <xdr:colOff>0</xdr:colOff>
          <xdr:row>6</xdr:row>
          <xdr:rowOff>0</xdr:rowOff>
        </xdr:to>
        <xdr:sp macro="" textlink="">
          <xdr:nvSpPr>
            <xdr:cNvPr id="12305" name="Button 17" hidden="1">
              <a:extLst>
                <a:ext uri="{63B3BB69-23CF-44E3-9099-C40C66FF867C}">
                  <a14:compatExt spid="_x0000_s12305"/>
                </a:ext>
                <a:ext uri="{FF2B5EF4-FFF2-40B4-BE49-F238E27FC236}">
                  <a16:creationId xmlns:a16="http://schemas.microsoft.com/office/drawing/2014/main" id="{00000000-0008-0000-0400-00001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26</xdr:col>
          <xdr:colOff>19050</xdr:colOff>
          <xdr:row>11</xdr:row>
          <xdr:rowOff>0</xdr:rowOff>
        </xdr:from>
        <xdr:to>
          <xdr:col>27</xdr:col>
          <xdr:colOff>0</xdr:colOff>
          <xdr:row>11</xdr:row>
          <xdr:rowOff>190500</xdr:rowOff>
        </xdr:to>
        <xdr:sp macro="" textlink="">
          <xdr:nvSpPr>
            <xdr:cNvPr id="12310" name="Check Box 22" hidden="1">
              <a:extLst>
                <a:ext uri="{63B3BB69-23CF-44E3-9099-C40C66FF867C}">
                  <a14:compatExt spid="_x0000_s12310"/>
                </a:ext>
                <a:ext uri="{FF2B5EF4-FFF2-40B4-BE49-F238E27FC236}">
                  <a16:creationId xmlns:a16="http://schemas.microsoft.com/office/drawing/2014/main" id="{00000000-0008-0000-0400-000016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Labels</a:t>
              </a:r>
            </a:p>
          </xdr:txBody>
        </xdr:sp>
        <xdr:clientData/>
      </xdr:twoCellAnchor>
    </mc:Choice>
    <mc:Fallback/>
  </mc:AlternateContent>
  <mc:AlternateContent xmlns:mc="http://schemas.openxmlformats.org/markup-compatibility/2006">
    <mc:Choice xmlns:a14="http://schemas.microsoft.com/office/drawing/2010/main" Requires="a14">
      <xdr:twoCellAnchor>
        <xdr:from>
          <xdr:col>27</xdr:col>
          <xdr:colOff>9525</xdr:colOff>
          <xdr:row>10</xdr:row>
          <xdr:rowOff>180975</xdr:rowOff>
        </xdr:from>
        <xdr:to>
          <xdr:col>27</xdr:col>
          <xdr:colOff>295275</xdr:colOff>
          <xdr:row>12</xdr:row>
          <xdr:rowOff>0</xdr:rowOff>
        </xdr:to>
        <xdr:sp macro="" textlink="">
          <xdr:nvSpPr>
            <xdr:cNvPr id="12311" name="Button 23" hidden="1">
              <a:extLst>
                <a:ext uri="{63B3BB69-23CF-44E3-9099-C40C66FF867C}">
                  <a14:compatExt spid="_x0000_s12311"/>
                </a:ext>
                <a:ext uri="{FF2B5EF4-FFF2-40B4-BE49-F238E27FC236}">
                  <a16:creationId xmlns:a16="http://schemas.microsoft.com/office/drawing/2014/main" id="{00000000-0008-0000-0400-000017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323850</xdr:colOff>
          <xdr:row>10</xdr:row>
          <xdr:rowOff>180975</xdr:rowOff>
        </xdr:from>
        <xdr:to>
          <xdr:col>28</xdr:col>
          <xdr:colOff>0</xdr:colOff>
          <xdr:row>12</xdr:row>
          <xdr:rowOff>0</xdr:rowOff>
        </xdr:to>
        <xdr:sp macro="" textlink="">
          <xdr:nvSpPr>
            <xdr:cNvPr id="12312" name="Button 24" hidden="1">
              <a:extLst>
                <a:ext uri="{63B3BB69-23CF-44E3-9099-C40C66FF867C}">
                  <a14:compatExt spid="_x0000_s12312"/>
                </a:ext>
                <a:ext uri="{FF2B5EF4-FFF2-40B4-BE49-F238E27FC236}">
                  <a16:creationId xmlns:a16="http://schemas.microsoft.com/office/drawing/2014/main" id="{00000000-0008-0000-0400-000018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600075</xdr:colOff>
          <xdr:row>22</xdr:row>
          <xdr:rowOff>180975</xdr:rowOff>
        </xdr:from>
        <xdr:to>
          <xdr:col>26</xdr:col>
          <xdr:colOff>600075</xdr:colOff>
          <xdr:row>25</xdr:row>
          <xdr:rowOff>0</xdr:rowOff>
        </xdr:to>
        <xdr:sp macro="" textlink="">
          <xdr:nvSpPr>
            <xdr:cNvPr id="12315" name="Button 27" hidden="1">
              <a:extLst>
                <a:ext uri="{63B3BB69-23CF-44E3-9099-C40C66FF867C}">
                  <a14:compatExt spid="_x0000_s12315"/>
                </a:ext>
                <a:ext uri="{FF2B5EF4-FFF2-40B4-BE49-F238E27FC236}">
                  <a16:creationId xmlns:a16="http://schemas.microsoft.com/office/drawing/2014/main" id="{00000000-0008-0000-0400-00001B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28575</xdr:colOff>
          <xdr:row>0</xdr:row>
          <xdr:rowOff>57150</xdr:rowOff>
        </xdr:from>
        <xdr:to>
          <xdr:col>28</xdr:col>
          <xdr:colOff>447675</xdr:colOff>
          <xdr:row>2</xdr:row>
          <xdr:rowOff>66675</xdr:rowOff>
        </xdr:to>
        <xdr:sp macro="" textlink="">
          <xdr:nvSpPr>
            <xdr:cNvPr id="12316" name="Button 28" hidden="1">
              <a:extLst>
                <a:ext uri="{63B3BB69-23CF-44E3-9099-C40C66FF867C}">
                  <a14:compatExt spid="_x0000_s12316"/>
                </a:ext>
                <a:ext uri="{FF2B5EF4-FFF2-40B4-BE49-F238E27FC236}">
                  <a16:creationId xmlns:a16="http://schemas.microsoft.com/office/drawing/2014/main" id="{00000000-0008-0000-0400-00001C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Reset</a:t>
              </a:r>
            </a:p>
            <a:p>
              <a:pPr algn="ctr" rtl="0">
                <a:defRPr sz="1000"/>
              </a:pPr>
              <a:r>
                <a:rPr lang="en-AU" sz="1100" b="0" i="0" u="none" strike="noStrike" baseline="0">
                  <a:solidFill>
                    <a:srgbClr val="000000"/>
                  </a:solidFill>
                  <a:latin typeface="Calibri"/>
                  <a:cs typeface="Calibri"/>
                </a:rPr>
                <a:t>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28575</xdr:colOff>
          <xdr:row>2</xdr:row>
          <xdr:rowOff>190500</xdr:rowOff>
        </xdr:from>
        <xdr:to>
          <xdr:col>28</xdr:col>
          <xdr:colOff>447675</xdr:colOff>
          <xdr:row>3</xdr:row>
          <xdr:rowOff>190500</xdr:rowOff>
        </xdr:to>
        <xdr:sp macro="" textlink="">
          <xdr:nvSpPr>
            <xdr:cNvPr id="12317" name="Button 29" hidden="1">
              <a:extLst>
                <a:ext uri="{63B3BB69-23CF-44E3-9099-C40C66FF867C}">
                  <a14:compatExt spid="_x0000_s12317"/>
                </a:ext>
                <a:ext uri="{FF2B5EF4-FFF2-40B4-BE49-F238E27FC236}">
                  <a16:creationId xmlns:a16="http://schemas.microsoft.com/office/drawing/2014/main" id="{00000000-0008-0000-0400-00001D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28575</xdr:colOff>
          <xdr:row>4</xdr:row>
          <xdr:rowOff>200025</xdr:rowOff>
        </xdr:from>
        <xdr:to>
          <xdr:col>28</xdr:col>
          <xdr:colOff>447675</xdr:colOff>
          <xdr:row>6</xdr:row>
          <xdr:rowOff>0</xdr:rowOff>
        </xdr:to>
        <xdr:sp macro="" textlink="">
          <xdr:nvSpPr>
            <xdr:cNvPr id="12318" name="Button 30" hidden="1">
              <a:extLst>
                <a:ext uri="{63B3BB69-23CF-44E3-9099-C40C66FF867C}">
                  <a14:compatExt spid="_x0000_s12318"/>
                </a:ext>
                <a:ext uri="{FF2B5EF4-FFF2-40B4-BE49-F238E27FC236}">
                  <a16:creationId xmlns:a16="http://schemas.microsoft.com/office/drawing/2014/main" id="{00000000-0008-0000-0400-00001E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28575</xdr:colOff>
          <xdr:row>11</xdr:row>
          <xdr:rowOff>0</xdr:rowOff>
        </xdr:from>
        <xdr:to>
          <xdr:col>28</xdr:col>
          <xdr:colOff>447675</xdr:colOff>
          <xdr:row>12</xdr:row>
          <xdr:rowOff>0</xdr:rowOff>
        </xdr:to>
        <xdr:sp macro="" textlink="">
          <xdr:nvSpPr>
            <xdr:cNvPr id="12321" name="Button 33" hidden="1">
              <a:extLst>
                <a:ext uri="{63B3BB69-23CF-44E3-9099-C40C66FF867C}">
                  <a14:compatExt spid="_x0000_s12321"/>
                </a:ext>
                <a:ext uri="{FF2B5EF4-FFF2-40B4-BE49-F238E27FC236}">
                  <a16:creationId xmlns:a16="http://schemas.microsoft.com/office/drawing/2014/main" id="{00000000-0008-0000-0400-00002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9525</xdr:colOff>
          <xdr:row>18</xdr:row>
          <xdr:rowOff>76200</xdr:rowOff>
        </xdr:from>
        <xdr:to>
          <xdr:col>27</xdr:col>
          <xdr:colOff>9525</xdr:colOff>
          <xdr:row>19</xdr:row>
          <xdr:rowOff>95250</xdr:rowOff>
        </xdr:to>
        <xdr:sp macro="" textlink="">
          <xdr:nvSpPr>
            <xdr:cNvPr id="12322" name="Button 34" hidden="1">
              <a:extLst>
                <a:ext uri="{63B3BB69-23CF-44E3-9099-C40C66FF867C}">
                  <a14:compatExt spid="_x0000_s12322"/>
                </a:ext>
                <a:ext uri="{FF2B5EF4-FFF2-40B4-BE49-F238E27FC236}">
                  <a16:creationId xmlns:a16="http://schemas.microsoft.com/office/drawing/2014/main" id="{00000000-0008-0000-0400-000022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Label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0</xdr:colOff>
          <xdr:row>18</xdr:row>
          <xdr:rowOff>76200</xdr:rowOff>
        </xdr:from>
        <xdr:to>
          <xdr:col>25</xdr:col>
          <xdr:colOff>609600</xdr:colOff>
          <xdr:row>19</xdr:row>
          <xdr:rowOff>95250</xdr:rowOff>
        </xdr:to>
        <xdr:sp macro="" textlink="">
          <xdr:nvSpPr>
            <xdr:cNvPr id="12323" name="Button 35" hidden="1">
              <a:extLst>
                <a:ext uri="{63B3BB69-23CF-44E3-9099-C40C66FF867C}">
                  <a14:compatExt spid="_x0000_s12323"/>
                </a:ext>
                <a:ext uri="{FF2B5EF4-FFF2-40B4-BE49-F238E27FC236}">
                  <a16:creationId xmlns:a16="http://schemas.microsoft.com/office/drawing/2014/main" id="{00000000-0008-0000-0400-000023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19050</xdr:colOff>
          <xdr:row>18</xdr:row>
          <xdr:rowOff>76200</xdr:rowOff>
        </xdr:from>
        <xdr:to>
          <xdr:col>29</xdr:col>
          <xdr:colOff>0</xdr:colOff>
          <xdr:row>19</xdr:row>
          <xdr:rowOff>95250</xdr:rowOff>
        </xdr:to>
        <xdr:sp macro="" textlink="">
          <xdr:nvSpPr>
            <xdr:cNvPr id="12324" name="Button 36" hidden="1">
              <a:extLst>
                <a:ext uri="{63B3BB69-23CF-44E3-9099-C40C66FF867C}">
                  <a14:compatExt spid="_x0000_s12324"/>
                </a:ext>
                <a:ext uri="{FF2B5EF4-FFF2-40B4-BE49-F238E27FC236}">
                  <a16:creationId xmlns:a16="http://schemas.microsoft.com/office/drawing/2014/main" id="{00000000-0008-0000-0400-000024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Label &amp; 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9525</xdr:colOff>
          <xdr:row>21</xdr:row>
          <xdr:rowOff>104775</xdr:rowOff>
        </xdr:from>
        <xdr:to>
          <xdr:col>25</xdr:col>
          <xdr:colOff>600075</xdr:colOff>
          <xdr:row>22</xdr:row>
          <xdr:rowOff>123825</xdr:rowOff>
        </xdr:to>
        <xdr:sp macro="" textlink="">
          <xdr:nvSpPr>
            <xdr:cNvPr id="12325" name="Button 37" hidden="1">
              <a:extLst>
                <a:ext uri="{63B3BB69-23CF-44E3-9099-C40C66FF867C}">
                  <a14:compatExt spid="_x0000_s12325"/>
                </a:ext>
                <a:ext uri="{FF2B5EF4-FFF2-40B4-BE49-F238E27FC236}">
                  <a16:creationId xmlns:a16="http://schemas.microsoft.com/office/drawing/2014/main" id="{00000000-0008-0000-0400-000025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Unhide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28</xdr:col>
          <xdr:colOff>9525</xdr:colOff>
          <xdr:row>20</xdr:row>
          <xdr:rowOff>9525</xdr:rowOff>
        </xdr:from>
        <xdr:to>
          <xdr:col>29</xdr:col>
          <xdr:colOff>152400</xdr:colOff>
          <xdr:row>21</xdr:row>
          <xdr:rowOff>0</xdr:rowOff>
        </xdr:to>
        <xdr:sp macro="" textlink="">
          <xdr:nvSpPr>
            <xdr:cNvPr id="12326" name="Check Box 39" hidden="1">
              <a:extLst>
                <a:ext uri="{63B3BB69-23CF-44E3-9099-C40C66FF867C}">
                  <a14:compatExt spid="_x0000_s12326"/>
                </a:ext>
                <a:ext uri="{FF2B5EF4-FFF2-40B4-BE49-F238E27FC236}">
                  <a16:creationId xmlns:a16="http://schemas.microsoft.com/office/drawing/2014/main" id="{00000000-0008-0000-0400-0000263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Skip hidden</a:t>
              </a:r>
            </a:p>
          </xdr:txBody>
        </xdr:sp>
        <xdr:clientData/>
      </xdr:twoCellAnchor>
    </mc:Choice>
    <mc:Fallback/>
  </mc:AlternateContent>
  <mc:AlternateContent xmlns:mc="http://schemas.openxmlformats.org/markup-compatibility/2006">
    <mc:Choice xmlns:a14="http://schemas.microsoft.com/office/drawing/2010/main" Requires="a14">
      <xdr:twoCellAnchor>
        <xdr:from>
          <xdr:col>27</xdr:col>
          <xdr:colOff>19050</xdr:colOff>
          <xdr:row>21</xdr:row>
          <xdr:rowOff>104775</xdr:rowOff>
        </xdr:from>
        <xdr:to>
          <xdr:col>29</xdr:col>
          <xdr:colOff>0</xdr:colOff>
          <xdr:row>22</xdr:row>
          <xdr:rowOff>123825</xdr:rowOff>
        </xdr:to>
        <xdr:sp macro="" textlink="">
          <xdr:nvSpPr>
            <xdr:cNvPr id="12327" name="Button 39" hidden="1">
              <a:extLst>
                <a:ext uri="{63B3BB69-23CF-44E3-9099-C40C66FF867C}">
                  <a14:compatExt spid="_x0000_s12327"/>
                </a:ext>
                <a:ext uri="{FF2B5EF4-FFF2-40B4-BE49-F238E27FC236}">
                  <a16:creationId xmlns:a16="http://schemas.microsoft.com/office/drawing/2014/main" id="{00000000-0008-0000-0400-000027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Unhide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21</xdr:row>
          <xdr:rowOff>104775</xdr:rowOff>
        </xdr:from>
        <xdr:to>
          <xdr:col>27</xdr:col>
          <xdr:colOff>19050</xdr:colOff>
          <xdr:row>22</xdr:row>
          <xdr:rowOff>123825</xdr:rowOff>
        </xdr:to>
        <xdr:sp macro="" textlink="">
          <xdr:nvSpPr>
            <xdr:cNvPr id="12332" name="Button 44" hidden="1">
              <a:extLst>
                <a:ext uri="{63B3BB69-23CF-44E3-9099-C40C66FF867C}">
                  <a14:compatExt spid="_x0000_s12332"/>
                </a:ext>
                <a:ext uri="{FF2B5EF4-FFF2-40B4-BE49-F238E27FC236}">
                  <a16:creationId xmlns:a16="http://schemas.microsoft.com/office/drawing/2014/main" id="{00000000-0008-0000-0400-00002C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Unlabel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9525</xdr:colOff>
          <xdr:row>13</xdr:row>
          <xdr:rowOff>152400</xdr:rowOff>
        </xdr:from>
        <xdr:to>
          <xdr:col>29</xdr:col>
          <xdr:colOff>9525</xdr:colOff>
          <xdr:row>15</xdr:row>
          <xdr:rowOff>28575</xdr:rowOff>
        </xdr:to>
        <xdr:sp macro="" textlink="">
          <xdr:nvSpPr>
            <xdr:cNvPr id="12333" name="Button 45" hidden="1">
              <a:extLst>
                <a:ext uri="{63B3BB69-23CF-44E3-9099-C40C66FF867C}">
                  <a14:compatExt spid="_x0000_s12333"/>
                </a:ext>
                <a:ext uri="{FF2B5EF4-FFF2-40B4-BE49-F238E27FC236}">
                  <a16:creationId xmlns:a16="http://schemas.microsoft.com/office/drawing/2014/main" id="{00000000-0008-0000-0400-00002D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Kill Label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9525</xdr:colOff>
          <xdr:row>15</xdr:row>
          <xdr:rowOff>38100</xdr:rowOff>
        </xdr:from>
        <xdr:to>
          <xdr:col>29</xdr:col>
          <xdr:colOff>0</xdr:colOff>
          <xdr:row>16</xdr:row>
          <xdr:rowOff>104775</xdr:rowOff>
        </xdr:to>
        <xdr:sp macro="" textlink="">
          <xdr:nvSpPr>
            <xdr:cNvPr id="12334" name="Button 46" hidden="1">
              <a:extLst>
                <a:ext uri="{63B3BB69-23CF-44E3-9099-C40C66FF867C}">
                  <a14:compatExt spid="_x0000_s12334"/>
                </a:ext>
                <a:ext uri="{FF2B5EF4-FFF2-40B4-BE49-F238E27FC236}">
                  <a16:creationId xmlns:a16="http://schemas.microsoft.com/office/drawing/2014/main" id="{00000000-0008-0000-0400-00002E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Kill ALL Labels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9525</xdr:colOff>
          <xdr:row>34</xdr:row>
          <xdr:rowOff>142875</xdr:rowOff>
        </xdr:from>
        <xdr:to>
          <xdr:col>29</xdr:col>
          <xdr:colOff>0</xdr:colOff>
          <xdr:row>36</xdr:row>
          <xdr:rowOff>0</xdr:rowOff>
        </xdr:to>
        <xdr:sp macro="" textlink="">
          <xdr:nvSpPr>
            <xdr:cNvPr id="12335" name="Button 1" hidden="1">
              <a:extLst>
                <a:ext uri="{63B3BB69-23CF-44E3-9099-C40C66FF867C}">
                  <a14:compatExt spid="_x0000_s12335"/>
                </a:ext>
                <a:ext uri="{FF2B5EF4-FFF2-40B4-BE49-F238E27FC236}">
                  <a16:creationId xmlns:a16="http://schemas.microsoft.com/office/drawing/2014/main" id="{00000000-0008-0000-0400-00002F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400" b="1" i="0" u="none" strike="noStrike" baseline="0">
                  <a:solidFill>
                    <a:srgbClr val="FF0000"/>
                  </a:solidFill>
                  <a:latin typeface="Calibri"/>
                  <a:cs typeface="Calibri"/>
                </a:rPr>
                <a:t>Generate UV Grid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9525</xdr:colOff>
          <xdr:row>12</xdr:row>
          <xdr:rowOff>85725</xdr:rowOff>
        </xdr:from>
        <xdr:to>
          <xdr:col>25</xdr:col>
          <xdr:colOff>600075</xdr:colOff>
          <xdr:row>13</xdr:row>
          <xdr:rowOff>85725</xdr:rowOff>
        </xdr:to>
        <xdr:sp macro="" textlink="">
          <xdr:nvSpPr>
            <xdr:cNvPr id="12336" name="Check Box 41" hidden="1">
              <a:extLst>
                <a:ext uri="{63B3BB69-23CF-44E3-9099-C40C66FF867C}">
                  <a14:compatExt spid="_x0000_s12336"/>
                </a:ext>
                <a:ext uri="{FF2B5EF4-FFF2-40B4-BE49-F238E27FC236}">
                  <a16:creationId xmlns:a16="http://schemas.microsoft.com/office/drawing/2014/main" id="{00000000-0008-0000-0400-000030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PeakNo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600075</xdr:colOff>
          <xdr:row>12</xdr:row>
          <xdr:rowOff>85725</xdr:rowOff>
        </xdr:from>
        <xdr:to>
          <xdr:col>26</xdr:col>
          <xdr:colOff>581025</xdr:colOff>
          <xdr:row>13</xdr:row>
          <xdr:rowOff>85725</xdr:rowOff>
        </xdr:to>
        <xdr:sp macro="" textlink="">
          <xdr:nvSpPr>
            <xdr:cNvPr id="12337" name="Check Box 42" hidden="1">
              <a:extLst>
                <a:ext uri="{63B3BB69-23CF-44E3-9099-C40C66FF867C}">
                  <a14:compatExt spid="_x0000_s12337"/>
                </a:ext>
                <a:ext uri="{FF2B5EF4-FFF2-40B4-BE49-F238E27FC236}">
                  <a16:creationId xmlns:a16="http://schemas.microsoft.com/office/drawing/2014/main" id="{00000000-0008-0000-0400-000031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RetTime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12</xdr:row>
          <xdr:rowOff>85725</xdr:rowOff>
        </xdr:from>
        <xdr:to>
          <xdr:col>27</xdr:col>
          <xdr:colOff>590550</xdr:colOff>
          <xdr:row>13</xdr:row>
          <xdr:rowOff>85725</xdr:rowOff>
        </xdr:to>
        <xdr:sp macro="" textlink="">
          <xdr:nvSpPr>
            <xdr:cNvPr id="12338" name="Check Box 43" hidden="1">
              <a:extLst>
                <a:ext uri="{63B3BB69-23CF-44E3-9099-C40C66FF867C}">
                  <a14:compatExt spid="_x0000_s12338"/>
                </a:ext>
                <a:ext uri="{FF2B5EF4-FFF2-40B4-BE49-F238E27FC236}">
                  <a16:creationId xmlns:a16="http://schemas.microsoft.com/office/drawing/2014/main" id="{00000000-0008-0000-0400-000032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ID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600075</xdr:colOff>
          <xdr:row>27</xdr:row>
          <xdr:rowOff>0</xdr:rowOff>
        </xdr:from>
        <xdr:to>
          <xdr:col>26</xdr:col>
          <xdr:colOff>600075</xdr:colOff>
          <xdr:row>28</xdr:row>
          <xdr:rowOff>9525</xdr:rowOff>
        </xdr:to>
        <xdr:sp macro="" textlink="">
          <xdr:nvSpPr>
            <xdr:cNvPr id="12341" name="Option Button 53" hidden="1">
              <a:extLst>
                <a:ext uri="{63B3BB69-23CF-44E3-9099-C40C66FF867C}">
                  <a14:compatExt spid="_x0000_s12341"/>
                </a:ext>
                <a:ext uri="{FF2B5EF4-FFF2-40B4-BE49-F238E27FC236}">
                  <a16:creationId xmlns:a16="http://schemas.microsoft.com/office/drawing/2014/main" id="{00000000-0008-0000-0400-000035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Display Only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600075</xdr:colOff>
          <xdr:row>28</xdr:row>
          <xdr:rowOff>0</xdr:rowOff>
        </xdr:from>
        <xdr:to>
          <xdr:col>26</xdr:col>
          <xdr:colOff>600075</xdr:colOff>
          <xdr:row>29</xdr:row>
          <xdr:rowOff>9525</xdr:rowOff>
        </xdr:to>
        <xdr:sp macro="" textlink="">
          <xdr:nvSpPr>
            <xdr:cNvPr id="12342" name="Option Button 54" hidden="1">
              <a:extLst>
                <a:ext uri="{63B3BB69-23CF-44E3-9099-C40C66FF867C}">
                  <a14:compatExt spid="_x0000_s12342"/>
                </a:ext>
                <a:ext uri="{FF2B5EF4-FFF2-40B4-BE49-F238E27FC236}">
                  <a16:creationId xmlns:a16="http://schemas.microsoft.com/office/drawing/2014/main" id="{00000000-0008-0000-0400-000036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Label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600075</xdr:colOff>
          <xdr:row>29</xdr:row>
          <xdr:rowOff>9525</xdr:rowOff>
        </xdr:from>
        <xdr:to>
          <xdr:col>26</xdr:col>
          <xdr:colOff>600075</xdr:colOff>
          <xdr:row>30</xdr:row>
          <xdr:rowOff>9525</xdr:rowOff>
        </xdr:to>
        <xdr:sp macro="" textlink="">
          <xdr:nvSpPr>
            <xdr:cNvPr id="12343" name="Option Button 55" hidden="1">
              <a:extLst>
                <a:ext uri="{63B3BB69-23CF-44E3-9099-C40C66FF867C}">
                  <a14:compatExt spid="_x0000_s12343"/>
                </a:ext>
                <a:ext uri="{FF2B5EF4-FFF2-40B4-BE49-F238E27FC236}">
                  <a16:creationId xmlns:a16="http://schemas.microsoft.com/office/drawing/2014/main" id="{00000000-0008-0000-0400-000037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Hide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600075</xdr:colOff>
          <xdr:row>30</xdr:row>
          <xdr:rowOff>19050</xdr:rowOff>
        </xdr:from>
        <xdr:to>
          <xdr:col>26</xdr:col>
          <xdr:colOff>600075</xdr:colOff>
          <xdr:row>31</xdr:row>
          <xdr:rowOff>19050</xdr:rowOff>
        </xdr:to>
        <xdr:sp macro="" textlink="">
          <xdr:nvSpPr>
            <xdr:cNvPr id="12344" name="Option Button 56" hidden="1">
              <a:extLst>
                <a:ext uri="{63B3BB69-23CF-44E3-9099-C40C66FF867C}">
                  <a14:compatExt spid="_x0000_s12344"/>
                </a:ext>
                <a:ext uri="{FF2B5EF4-FFF2-40B4-BE49-F238E27FC236}">
                  <a16:creationId xmlns:a16="http://schemas.microsoft.com/office/drawing/2014/main" id="{00000000-0008-0000-0400-000038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Label and Hide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27</xdr:col>
          <xdr:colOff>304800</xdr:colOff>
          <xdr:row>17</xdr:row>
          <xdr:rowOff>9525</xdr:rowOff>
        </xdr:from>
        <xdr:to>
          <xdr:col>28</xdr:col>
          <xdr:colOff>600075</xdr:colOff>
          <xdr:row>18</xdr:row>
          <xdr:rowOff>0</xdr:rowOff>
        </xdr:to>
        <xdr:sp macro="" textlink="">
          <xdr:nvSpPr>
            <xdr:cNvPr id="12346" name="Button 58" hidden="1">
              <a:extLst>
                <a:ext uri="{63B3BB69-23CF-44E3-9099-C40C66FF867C}">
                  <a14:compatExt spid="_x0000_s12346"/>
                </a:ext>
                <a:ext uri="{FF2B5EF4-FFF2-40B4-BE49-F238E27FC236}">
                  <a16:creationId xmlns:a16="http://schemas.microsoft.com/office/drawing/2014/main" id="{00000000-0008-0000-0400-00003A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Next Class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27</xdr:col>
          <xdr:colOff>9525</xdr:colOff>
          <xdr:row>26</xdr:row>
          <xdr:rowOff>171450</xdr:rowOff>
        </xdr:from>
        <xdr:to>
          <xdr:col>29</xdr:col>
          <xdr:colOff>9525</xdr:colOff>
          <xdr:row>28</xdr:row>
          <xdr:rowOff>19050</xdr:rowOff>
        </xdr:to>
        <xdr:sp macro="" textlink="">
          <xdr:nvSpPr>
            <xdr:cNvPr id="12347" name="Check Box 59" hidden="1">
              <a:extLst>
                <a:ext uri="{63B3BB69-23CF-44E3-9099-C40C66FF867C}">
                  <a14:compatExt spid="_x0000_s12347"/>
                </a:ext>
                <a:ext uri="{FF2B5EF4-FFF2-40B4-BE49-F238E27FC236}">
                  <a16:creationId xmlns:a16="http://schemas.microsoft.com/office/drawing/2014/main" id="{00000000-0008-0000-0400-00003B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Show Hidden Peaks</a:t>
              </a:r>
            </a:p>
          </xdr:txBody>
        </xdr:sp>
        <xdr:clientData/>
      </xdr:twoCellAnchor>
    </mc:Choice>
    <mc:Fallback/>
  </mc:AlternateContent>
  <mc:AlternateContent xmlns:mc="http://schemas.openxmlformats.org/markup-compatibility/2006">
    <mc:Choice xmlns:a14="http://schemas.microsoft.com/office/drawing/2010/main" Requires="a14">
      <xdr:twoCellAnchor>
        <xdr:from>
          <xdr:col>25</xdr:col>
          <xdr:colOff>19050</xdr:colOff>
          <xdr:row>31</xdr:row>
          <xdr:rowOff>171450</xdr:rowOff>
        </xdr:from>
        <xdr:to>
          <xdr:col>29</xdr:col>
          <xdr:colOff>0</xdr:colOff>
          <xdr:row>34</xdr:row>
          <xdr:rowOff>57150</xdr:rowOff>
        </xdr:to>
        <xdr:sp macro="" textlink="">
          <xdr:nvSpPr>
            <xdr:cNvPr id="12350" name="Button 62" hidden="1">
              <a:extLst>
                <a:ext uri="{63B3BB69-23CF-44E3-9099-C40C66FF867C}">
                  <a14:compatExt spid="_x0000_s12350"/>
                </a:ext>
                <a:ext uri="{FF2B5EF4-FFF2-40B4-BE49-F238E27FC236}">
                  <a16:creationId xmlns:a16="http://schemas.microsoft.com/office/drawing/2014/main" id="{00000000-0008-0000-0400-00003E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400" b="1" i="0" u="none" strike="noStrike" baseline="0">
                  <a:solidFill>
                    <a:srgbClr val="000000"/>
                  </a:solidFill>
                  <a:latin typeface="Calibri"/>
                  <a:cs typeface="Calibri"/>
                </a:rPr>
                <a:t>Update UV Grid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457200</xdr:colOff>
          <xdr:row>0</xdr:row>
          <xdr:rowOff>57150</xdr:rowOff>
        </xdr:from>
        <xdr:to>
          <xdr:col>29</xdr:col>
          <xdr:colOff>266700</xdr:colOff>
          <xdr:row>2</xdr:row>
          <xdr:rowOff>66675</xdr:rowOff>
        </xdr:to>
        <xdr:sp macro="" textlink="">
          <xdr:nvSpPr>
            <xdr:cNvPr id="12351" name="Button 63" hidden="1">
              <a:extLst>
                <a:ext uri="{63B3BB69-23CF-44E3-9099-C40C66FF867C}">
                  <a14:compatExt spid="_x0000_s12351"/>
                </a:ext>
                <a:ext uri="{FF2B5EF4-FFF2-40B4-BE49-F238E27FC236}">
                  <a16:creationId xmlns:a16="http://schemas.microsoft.com/office/drawing/2014/main" id="{00000000-0008-0000-0400-00003F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Base</a:t>
              </a:r>
            </a:p>
            <a:p>
              <a:pPr algn="ctr" rtl="0">
                <a:defRPr sz="1000"/>
              </a:pPr>
              <a:r>
                <a:rPr lang="en-AU" sz="1100" b="0" i="0" u="none" strike="noStrike" baseline="0">
                  <a:solidFill>
                    <a:srgbClr val="000000"/>
                  </a:solidFill>
                  <a:latin typeface="Calibri"/>
                  <a:cs typeface="Calibri"/>
                </a:rPr>
                <a:t>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457200</xdr:colOff>
          <xdr:row>2</xdr:row>
          <xdr:rowOff>190500</xdr:rowOff>
        </xdr:from>
        <xdr:to>
          <xdr:col>29</xdr:col>
          <xdr:colOff>266700</xdr:colOff>
          <xdr:row>3</xdr:row>
          <xdr:rowOff>190500</xdr:rowOff>
        </xdr:to>
        <xdr:sp macro="" textlink="">
          <xdr:nvSpPr>
            <xdr:cNvPr id="12352" name="Button 64" hidden="1">
              <a:extLst>
                <a:ext uri="{63B3BB69-23CF-44E3-9099-C40C66FF867C}">
                  <a14:compatExt spid="_x0000_s12352"/>
                </a:ext>
                <a:ext uri="{FF2B5EF4-FFF2-40B4-BE49-F238E27FC236}">
                  <a16:creationId xmlns:a16="http://schemas.microsoft.com/office/drawing/2014/main" id="{00000000-0008-0000-0400-000040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457200</xdr:colOff>
          <xdr:row>4</xdr:row>
          <xdr:rowOff>200025</xdr:rowOff>
        </xdr:from>
        <xdr:to>
          <xdr:col>29</xdr:col>
          <xdr:colOff>266700</xdr:colOff>
          <xdr:row>6</xdr:row>
          <xdr:rowOff>0</xdr:rowOff>
        </xdr:to>
        <xdr:sp macro="" textlink="">
          <xdr:nvSpPr>
            <xdr:cNvPr id="12353" name="Button 65" hidden="1">
              <a:extLst>
                <a:ext uri="{63B3BB69-23CF-44E3-9099-C40C66FF867C}">
                  <a14:compatExt spid="_x0000_s12353"/>
                </a:ext>
                <a:ext uri="{FF2B5EF4-FFF2-40B4-BE49-F238E27FC236}">
                  <a16:creationId xmlns:a16="http://schemas.microsoft.com/office/drawing/2014/main" id="{00000000-0008-0000-0400-00004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466725</xdr:colOff>
          <xdr:row>11</xdr:row>
          <xdr:rowOff>0</xdr:rowOff>
        </xdr:from>
        <xdr:to>
          <xdr:col>29</xdr:col>
          <xdr:colOff>276225</xdr:colOff>
          <xdr:row>12</xdr:row>
          <xdr:rowOff>0</xdr:rowOff>
        </xdr:to>
        <xdr:sp macro="" textlink="">
          <xdr:nvSpPr>
            <xdr:cNvPr id="12356" name="Button 68" hidden="1">
              <a:extLst>
                <a:ext uri="{63B3BB69-23CF-44E3-9099-C40C66FF867C}">
                  <a14:compatExt spid="_x0000_s12356"/>
                </a:ext>
                <a:ext uri="{FF2B5EF4-FFF2-40B4-BE49-F238E27FC236}">
                  <a16:creationId xmlns:a16="http://schemas.microsoft.com/office/drawing/2014/main" id="{00000000-0008-0000-0400-000044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27</xdr:col>
          <xdr:colOff>209550</xdr:colOff>
          <xdr:row>27</xdr:row>
          <xdr:rowOff>180975</xdr:rowOff>
        </xdr:from>
        <xdr:to>
          <xdr:col>29</xdr:col>
          <xdr:colOff>0</xdr:colOff>
          <xdr:row>29</xdr:row>
          <xdr:rowOff>9525</xdr:rowOff>
        </xdr:to>
        <xdr:sp macro="" textlink="">
          <xdr:nvSpPr>
            <xdr:cNvPr id="12357" name="Check Box 69" hidden="1">
              <a:extLst>
                <a:ext uri="{63B3BB69-23CF-44E3-9099-C40C66FF867C}">
                  <a14:compatExt spid="_x0000_s12357"/>
                </a:ext>
                <a:ext uri="{FF2B5EF4-FFF2-40B4-BE49-F238E27FC236}">
                  <a16:creationId xmlns:a16="http://schemas.microsoft.com/office/drawing/2014/main" id="{00000000-0008-0000-0400-000045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Watermark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209550</xdr:colOff>
          <xdr:row>29</xdr:row>
          <xdr:rowOff>0</xdr:rowOff>
        </xdr:from>
        <xdr:to>
          <xdr:col>29</xdr:col>
          <xdr:colOff>0</xdr:colOff>
          <xdr:row>30</xdr:row>
          <xdr:rowOff>19050</xdr:rowOff>
        </xdr:to>
        <xdr:sp macro="" textlink="">
          <xdr:nvSpPr>
            <xdr:cNvPr id="12358" name="Check Box 70" hidden="1">
              <a:extLst>
                <a:ext uri="{63B3BB69-23CF-44E3-9099-C40C66FF867C}">
                  <a14:compatExt spid="_x0000_s12358"/>
                </a:ext>
                <a:ext uri="{FF2B5EF4-FFF2-40B4-BE49-F238E27FC236}">
                  <a16:creationId xmlns:a16="http://schemas.microsoft.com/office/drawing/2014/main" id="{00000000-0008-0000-0400-000046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Darken</a:t>
              </a:r>
            </a:p>
          </xdr:txBody>
        </xdr:sp>
        <xdr:clientData/>
      </xdr:twoCellAnchor>
    </mc:Choice>
    <mc:Fallback/>
  </mc:AlternateContent>
  <mc:AlternateContent xmlns:mc="http://schemas.openxmlformats.org/markup-compatibility/2006">
    <mc:Choice xmlns:a14="http://schemas.microsoft.com/office/drawing/2010/main" Requires="a14">
      <xdr:twoCellAnchor>
        <xdr:from>
          <xdr:col>27</xdr:col>
          <xdr:colOff>19050</xdr:colOff>
          <xdr:row>19</xdr:row>
          <xdr:rowOff>114300</xdr:rowOff>
        </xdr:from>
        <xdr:to>
          <xdr:col>27</xdr:col>
          <xdr:colOff>381000</xdr:colOff>
          <xdr:row>21</xdr:row>
          <xdr:rowOff>104775</xdr:rowOff>
        </xdr:to>
        <xdr:sp macro="" textlink="">
          <xdr:nvSpPr>
            <xdr:cNvPr id="12359" name="Button 71" hidden="1">
              <a:extLst>
                <a:ext uri="{63B3BB69-23CF-44E3-9099-C40C66FF867C}">
                  <a14:compatExt spid="_x0000_s12359"/>
                </a:ext>
                <a:ext uri="{FF2B5EF4-FFF2-40B4-BE49-F238E27FC236}">
                  <a16:creationId xmlns:a16="http://schemas.microsoft.com/office/drawing/2014/main" id="{00000000-0008-0000-0400-000047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400" b="0" i="0" u="none" strike="noStrike" baseline="0">
                  <a:solidFill>
                    <a:srgbClr val="000000"/>
                  </a:solidFill>
                  <a:latin typeface="Calibri"/>
                  <a:cs typeface="Calibri"/>
                </a:rPr>
                <a: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238125</xdr:colOff>
          <xdr:row>19</xdr:row>
          <xdr:rowOff>114300</xdr:rowOff>
        </xdr:from>
        <xdr:to>
          <xdr:col>25</xdr:col>
          <xdr:colOff>600075</xdr:colOff>
          <xdr:row>21</xdr:row>
          <xdr:rowOff>95250</xdr:rowOff>
        </xdr:to>
        <xdr:sp macro="" textlink="">
          <xdr:nvSpPr>
            <xdr:cNvPr id="12360" name="Button 72" hidden="1">
              <a:extLst>
                <a:ext uri="{63B3BB69-23CF-44E3-9099-C40C66FF867C}">
                  <a14:compatExt spid="_x0000_s12360"/>
                </a:ext>
                <a:ext uri="{FF2B5EF4-FFF2-40B4-BE49-F238E27FC236}">
                  <a16:creationId xmlns:a16="http://schemas.microsoft.com/office/drawing/2014/main" id="{00000000-0008-0000-0400-000048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400" b="0" i="0" u="none" strike="noStrike" baseline="0">
                  <a:solidFill>
                    <a:srgbClr val="000000"/>
                  </a:solidFill>
                  <a:latin typeface="Calibri"/>
                  <a:cs typeface="Calibri"/>
                </a:rPr>
                <a: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9525</xdr:colOff>
          <xdr:row>19</xdr:row>
          <xdr:rowOff>114300</xdr:rowOff>
        </xdr:from>
        <xdr:to>
          <xdr:col>25</xdr:col>
          <xdr:colOff>228600</xdr:colOff>
          <xdr:row>21</xdr:row>
          <xdr:rowOff>95250</xdr:rowOff>
        </xdr:to>
        <xdr:sp macro="" textlink="">
          <xdr:nvSpPr>
            <xdr:cNvPr id="12361" name="Button 73" hidden="1">
              <a:extLst>
                <a:ext uri="{63B3BB69-23CF-44E3-9099-C40C66FF867C}">
                  <a14:compatExt spid="_x0000_s12361"/>
                </a:ext>
                <a:ext uri="{FF2B5EF4-FFF2-40B4-BE49-F238E27FC236}">
                  <a16:creationId xmlns:a16="http://schemas.microsoft.com/office/drawing/2014/main" id="{00000000-0008-0000-0400-000049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390525</xdr:colOff>
          <xdr:row>19</xdr:row>
          <xdr:rowOff>114300</xdr:rowOff>
        </xdr:from>
        <xdr:to>
          <xdr:col>28</xdr:col>
          <xdr:colOff>0</xdr:colOff>
          <xdr:row>21</xdr:row>
          <xdr:rowOff>104775</xdr:rowOff>
        </xdr:to>
        <xdr:sp macro="" textlink="">
          <xdr:nvSpPr>
            <xdr:cNvPr id="12362" name="Button 74" hidden="1">
              <a:extLst>
                <a:ext uri="{63B3BB69-23CF-44E3-9099-C40C66FF867C}">
                  <a14:compatExt spid="_x0000_s12362"/>
                </a:ext>
                <a:ext uri="{FF2B5EF4-FFF2-40B4-BE49-F238E27FC236}">
                  <a16:creationId xmlns:a16="http://schemas.microsoft.com/office/drawing/2014/main" id="{00000000-0008-0000-0400-00004A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&gt;&gt;</a:t>
              </a:r>
            </a:p>
          </xdr:txBody>
        </xdr:sp>
        <xdr:clientData fPrintsWithSheet="0"/>
      </xdr:twoCellAnchor>
    </mc:Choice>
    <mc:Fallback/>
  </mc:AlternateContent>
</xdr:wsDr>
</file>

<file path=xl/drawings/drawing9.xml><?xml version="1.0" encoding="utf-8"?>
<c:userShapes xmlns:c="http://schemas.openxmlformats.org/drawingml/2006/chart">
  <cdr:relSizeAnchor xmlns:cdr="http://schemas.openxmlformats.org/drawingml/2006/chartDrawing">
    <cdr:from>
      <cdr:x>0.02959</cdr:x>
      <cdr:y>0.0198</cdr:y>
    </cdr:from>
    <cdr:to>
      <cdr:x>0.03024</cdr:x>
      <cdr:y>0.79327</cdr:y>
    </cdr:to>
    <cdr:cxnSp macro="">
      <cdr:nvCxnSpPr>
        <cdr:cNvPr id="3" name="Straight Connector 2">
          <a:extLst xmlns:a="http://schemas.openxmlformats.org/drawingml/2006/main">
            <a:ext uri="{FF2B5EF4-FFF2-40B4-BE49-F238E27FC236}">
              <a16:creationId xmlns:a16="http://schemas.microsoft.com/office/drawing/2014/main" id="{0509B1DB-04CC-4C9A-8D57-8E191726CC8C}"/>
            </a:ext>
          </a:extLst>
        </cdr:cNvPr>
        <cdr:cNvCxnSpPr/>
      </cdr:nvCxnSpPr>
      <cdr:spPr>
        <a:xfrm xmlns:a="http://schemas.openxmlformats.org/drawingml/2006/main" flipV="1">
          <a:off x="431800" y="39228"/>
          <a:ext cx="9485" cy="1532399"/>
        </a:xfrm>
        <a:prstGeom xmlns:a="http://schemas.openxmlformats.org/drawingml/2006/main" prst="line">
          <a:avLst/>
        </a:prstGeom>
        <a:ln xmlns:a="http://schemas.openxmlformats.org/drawingml/2006/main" w="127000" cap="flat" cmpd="sng" algn="ctr">
          <a:solidFill>
            <a:srgbClr val="FFFF00">
              <a:alpha val="0"/>
            </a:srgbClr>
          </a:solidFill>
          <a:prstDash val="solid"/>
          <a:miter lim="800000"/>
          <a:headEnd type="none" w="med" len="med"/>
          <a:tailEnd type="non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0.9158</cdr:x>
      <cdr:y>0.02105</cdr:y>
    </cdr:from>
    <cdr:to>
      <cdr:x>0.99478</cdr:x>
      <cdr:y>0.44221</cdr:y>
    </cdr:to>
    <cdr:sp macro="" textlink="">
      <cdr:nvSpPr>
        <cdr:cNvPr id="2" name="TextBox 1"/>
        <cdr:cNvSpPr txBox="1"/>
      </cdr:nvSpPr>
      <cdr:spPr>
        <a:xfrm xmlns:a="http://schemas.openxmlformats.org/drawingml/2006/main">
          <a:off x="13363628" y="39900"/>
          <a:ext cx="1152500" cy="798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r"/>
          <a:r>
            <a:rPr lang="en-AU" sz="1000">
              <a:latin typeface="Arial" panose="020B0604020202020204" pitchFamily="34" charset="0"/>
              <a:cs typeface="Arial" panose="020B0604020202020204" pitchFamily="34" charset="0"/>
            </a:rPr>
            <a:t>210: 36
254: 19</a:t>
          </a:r>
        </a:p>
        <a:p xmlns:a="http://schemas.openxmlformats.org/drawingml/2006/main">
          <a:pPr algn="r"/>
          <a:endParaRPr lang="en-AU" sz="1000">
            <a:latin typeface="Arial" panose="020B0604020202020204" pitchFamily="34" charset="0"/>
            <a:cs typeface="Arial" panose="020B0604020202020204" pitchFamily="34" charset="0"/>
          </a:endParaRPr>
        </a:p>
      </cdr:txBody>
    </cdr:sp>
  </cdr:relSizeAnchor>
</c:userShapes>
</file>

<file path=xl/drawings/drawing10.xml><?xml version="1.0" encoding="utf-8"?>
<xdr:wsDr xmlns:xdr="http://schemas.openxmlformats.org/drawingml/2006/spreadsheetDrawing" xmlns:a="http://schemas.openxmlformats.org/drawingml/2006/main">
  <xdr:twoCellAnchor>
    <xdr:from>
      <xdr:col>0</xdr:col>
      <xdr:colOff>0</xdr:colOff>
      <xdr:row>0</xdr:row>
      <xdr:rowOff>0</xdr:rowOff>
    </xdr:from>
    <xdr:to>
      <xdr:col>23</xdr:col>
      <xdr:colOff>571500</xdr:colOff>
      <xdr:row>9</xdr:row>
      <xdr:rowOff>180975</xdr:rowOff>
    </xdr:to>
    <xdr:graphicFrame macro="">
      <xdr:nvGraphicFramePr>
        <xdr:cNvPr id="2" name="Chart Chromatogram">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26</xdr:col>
          <xdr:colOff>9525</xdr:colOff>
          <xdr:row>3</xdr:row>
          <xdr:rowOff>9525</xdr:rowOff>
        </xdr:from>
        <xdr:to>
          <xdr:col>26</xdr:col>
          <xdr:colOff>600075</xdr:colOff>
          <xdr:row>3</xdr:row>
          <xdr:rowOff>190500</xdr:rowOff>
        </xdr:to>
        <xdr:sp macro="" textlink="">
          <xdr:nvSpPr>
            <xdr:cNvPr id="16385" name="Check Box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210 nm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4</xdr:row>
          <xdr:rowOff>180975</xdr:rowOff>
        </xdr:from>
        <xdr:to>
          <xdr:col>26</xdr:col>
          <xdr:colOff>600075</xdr:colOff>
          <xdr:row>5</xdr:row>
          <xdr:rowOff>180975</xdr:rowOff>
        </xdr:to>
        <xdr:sp macro="" textlink="">
          <xdr:nvSpPr>
            <xdr:cNvPr id="16386" name="Check Box 2"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254 nm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7</xdr:row>
          <xdr:rowOff>0</xdr:rowOff>
        </xdr:from>
        <xdr:to>
          <xdr:col>26</xdr:col>
          <xdr:colOff>600075</xdr:colOff>
          <xdr:row>8</xdr:row>
          <xdr:rowOff>0</xdr:rowOff>
        </xdr:to>
        <xdr:sp macro="" textlink="">
          <xdr:nvSpPr>
            <xdr:cNvPr id="16387" name="Check Box 3" hidden="1">
              <a:extLst>
                <a:ext uri="{63B3BB69-23CF-44E3-9099-C40C66FF867C}">
                  <a14:compatExt spid="_x0000_s16387"/>
                </a:ext>
                <a:ext uri="{FF2B5EF4-FFF2-40B4-BE49-F238E27FC236}">
                  <a16:creationId xmlns:a16="http://schemas.microsoft.com/office/drawing/2014/main" id="{00000000-0008-0000-0500-00000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POS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9</xdr:row>
          <xdr:rowOff>0</xdr:rowOff>
        </xdr:from>
        <xdr:to>
          <xdr:col>26</xdr:col>
          <xdr:colOff>600075</xdr:colOff>
          <xdr:row>10</xdr:row>
          <xdr:rowOff>0</xdr:rowOff>
        </xdr:to>
        <xdr:sp macro="" textlink="">
          <xdr:nvSpPr>
            <xdr:cNvPr id="16388" name="Check Box 4" hidden="1">
              <a:extLst>
                <a:ext uri="{63B3BB69-23CF-44E3-9099-C40C66FF867C}">
                  <a14:compatExt spid="_x0000_s16388"/>
                </a:ext>
                <a:ext uri="{FF2B5EF4-FFF2-40B4-BE49-F238E27FC236}">
                  <a16:creationId xmlns:a16="http://schemas.microsoft.com/office/drawing/2014/main" id="{00000000-0008-0000-0500-00000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NEG</a:t>
              </a:r>
            </a:p>
          </xdr:txBody>
        </xdr:sp>
        <xdr:clientData/>
      </xdr:twoCellAnchor>
    </mc:Choice>
    <mc:Fallback/>
  </mc:AlternateContent>
  <mc:AlternateContent xmlns:mc="http://schemas.openxmlformats.org/markup-compatibility/2006">
    <mc:Choice xmlns:a14="http://schemas.microsoft.com/office/drawing/2010/main" Requires="a14">
      <xdr:twoCellAnchor>
        <xdr:from>
          <xdr:col>28</xdr:col>
          <xdr:colOff>0</xdr:colOff>
          <xdr:row>14</xdr:row>
          <xdr:rowOff>9525</xdr:rowOff>
        </xdr:from>
        <xdr:to>
          <xdr:col>29</xdr:col>
          <xdr:colOff>133350</xdr:colOff>
          <xdr:row>16</xdr:row>
          <xdr:rowOff>0</xdr:rowOff>
        </xdr:to>
        <xdr:sp macro="" textlink="">
          <xdr:nvSpPr>
            <xdr:cNvPr id="16389" name="Button 5" hidden="1">
              <a:extLst>
                <a:ext uri="{63B3BB69-23CF-44E3-9099-C40C66FF867C}">
                  <a14:compatExt spid="_x0000_s16389"/>
                </a:ext>
                <a:ext uri="{FF2B5EF4-FFF2-40B4-BE49-F238E27FC236}">
                  <a16:creationId xmlns:a16="http://schemas.microsoft.com/office/drawing/2014/main" id="{00000000-0008-0000-0500-000005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AU" sz="1600" b="0" i="0" u="none" strike="noStrike" baseline="0">
                  <a:solidFill>
                    <a:srgbClr val="000000"/>
                  </a:solidFill>
                  <a:latin typeface="Calibri"/>
                  <a:cs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0</xdr:colOff>
          <xdr:row>3</xdr:row>
          <xdr:rowOff>0</xdr:rowOff>
        </xdr:from>
        <xdr:to>
          <xdr:col>25</xdr:col>
          <xdr:colOff>285750</xdr:colOff>
          <xdr:row>4</xdr:row>
          <xdr:rowOff>0</xdr:rowOff>
        </xdr:to>
        <xdr:sp macro="" textlink="">
          <xdr:nvSpPr>
            <xdr:cNvPr id="16390" name="Button 6" hidden="1">
              <a:extLst>
                <a:ext uri="{63B3BB69-23CF-44E3-9099-C40C66FF867C}">
                  <a14:compatExt spid="_x0000_s16390"/>
                </a:ext>
                <a:ext uri="{FF2B5EF4-FFF2-40B4-BE49-F238E27FC236}">
                  <a16:creationId xmlns:a16="http://schemas.microsoft.com/office/drawing/2014/main" id="{00000000-0008-0000-0500-000006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323850</xdr:colOff>
          <xdr:row>3</xdr:row>
          <xdr:rowOff>0</xdr:rowOff>
        </xdr:from>
        <xdr:to>
          <xdr:col>25</xdr:col>
          <xdr:colOff>609600</xdr:colOff>
          <xdr:row>4</xdr:row>
          <xdr:rowOff>0</xdr:rowOff>
        </xdr:to>
        <xdr:sp macro="" textlink="">
          <xdr:nvSpPr>
            <xdr:cNvPr id="16391" name="Button 7" hidden="1">
              <a:extLst>
                <a:ext uri="{63B3BB69-23CF-44E3-9099-C40C66FF867C}">
                  <a14:compatExt spid="_x0000_s16391"/>
                </a:ext>
                <a:ext uri="{FF2B5EF4-FFF2-40B4-BE49-F238E27FC236}">
                  <a16:creationId xmlns:a16="http://schemas.microsoft.com/office/drawing/2014/main" id="{00000000-0008-0000-0500-000007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609600</xdr:colOff>
          <xdr:row>5</xdr:row>
          <xdr:rowOff>0</xdr:rowOff>
        </xdr:from>
        <xdr:to>
          <xdr:col>25</xdr:col>
          <xdr:colOff>285750</xdr:colOff>
          <xdr:row>6</xdr:row>
          <xdr:rowOff>0</xdr:rowOff>
        </xdr:to>
        <xdr:sp macro="" textlink="">
          <xdr:nvSpPr>
            <xdr:cNvPr id="16392" name="Button 8" hidden="1">
              <a:extLst>
                <a:ext uri="{63B3BB69-23CF-44E3-9099-C40C66FF867C}">
                  <a14:compatExt spid="_x0000_s16392"/>
                </a:ext>
                <a:ext uri="{FF2B5EF4-FFF2-40B4-BE49-F238E27FC236}">
                  <a16:creationId xmlns:a16="http://schemas.microsoft.com/office/drawing/2014/main" id="{00000000-0008-0000-0500-000008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323850</xdr:colOff>
          <xdr:row>5</xdr:row>
          <xdr:rowOff>0</xdr:rowOff>
        </xdr:from>
        <xdr:to>
          <xdr:col>25</xdr:col>
          <xdr:colOff>609600</xdr:colOff>
          <xdr:row>6</xdr:row>
          <xdr:rowOff>0</xdr:rowOff>
        </xdr:to>
        <xdr:sp macro="" textlink="">
          <xdr:nvSpPr>
            <xdr:cNvPr id="16393" name="Button 9" hidden="1">
              <a:extLst>
                <a:ext uri="{63B3BB69-23CF-44E3-9099-C40C66FF867C}">
                  <a14:compatExt spid="_x0000_s16393"/>
                </a:ext>
                <a:ext uri="{FF2B5EF4-FFF2-40B4-BE49-F238E27FC236}">
                  <a16:creationId xmlns:a16="http://schemas.microsoft.com/office/drawing/2014/main" id="{00000000-0008-0000-0500-000009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9525</xdr:colOff>
          <xdr:row>2</xdr:row>
          <xdr:rowOff>190500</xdr:rowOff>
        </xdr:from>
        <xdr:to>
          <xdr:col>27</xdr:col>
          <xdr:colOff>295275</xdr:colOff>
          <xdr:row>3</xdr:row>
          <xdr:rowOff>190500</xdr:rowOff>
        </xdr:to>
        <xdr:sp macro="" textlink="">
          <xdr:nvSpPr>
            <xdr:cNvPr id="16398" name="Button 14" hidden="1">
              <a:extLst>
                <a:ext uri="{63B3BB69-23CF-44E3-9099-C40C66FF867C}">
                  <a14:compatExt spid="_x0000_s16398"/>
                </a:ext>
                <a:ext uri="{FF2B5EF4-FFF2-40B4-BE49-F238E27FC236}">
                  <a16:creationId xmlns:a16="http://schemas.microsoft.com/office/drawing/2014/main" id="{00000000-0008-0000-0500-00000E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323850</xdr:colOff>
          <xdr:row>2</xdr:row>
          <xdr:rowOff>190500</xdr:rowOff>
        </xdr:from>
        <xdr:to>
          <xdr:col>28</xdr:col>
          <xdr:colOff>0</xdr:colOff>
          <xdr:row>3</xdr:row>
          <xdr:rowOff>190500</xdr:rowOff>
        </xdr:to>
        <xdr:sp macro="" textlink="">
          <xdr:nvSpPr>
            <xdr:cNvPr id="16399" name="Button 15" hidden="1">
              <a:extLst>
                <a:ext uri="{63B3BB69-23CF-44E3-9099-C40C66FF867C}">
                  <a14:compatExt spid="_x0000_s16399"/>
                </a:ext>
                <a:ext uri="{FF2B5EF4-FFF2-40B4-BE49-F238E27FC236}">
                  <a16:creationId xmlns:a16="http://schemas.microsoft.com/office/drawing/2014/main" id="{00000000-0008-0000-0500-00000F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9525</xdr:colOff>
          <xdr:row>4</xdr:row>
          <xdr:rowOff>200025</xdr:rowOff>
        </xdr:from>
        <xdr:to>
          <xdr:col>27</xdr:col>
          <xdr:colOff>295275</xdr:colOff>
          <xdr:row>5</xdr:row>
          <xdr:rowOff>200025</xdr:rowOff>
        </xdr:to>
        <xdr:sp macro="" textlink="">
          <xdr:nvSpPr>
            <xdr:cNvPr id="16400" name="Button 16" hidden="1">
              <a:extLst>
                <a:ext uri="{63B3BB69-23CF-44E3-9099-C40C66FF867C}">
                  <a14:compatExt spid="_x0000_s16400"/>
                </a:ext>
                <a:ext uri="{FF2B5EF4-FFF2-40B4-BE49-F238E27FC236}">
                  <a16:creationId xmlns:a16="http://schemas.microsoft.com/office/drawing/2014/main" id="{00000000-0008-0000-0500-000010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323850</xdr:colOff>
          <xdr:row>4</xdr:row>
          <xdr:rowOff>200025</xdr:rowOff>
        </xdr:from>
        <xdr:to>
          <xdr:col>28</xdr:col>
          <xdr:colOff>0</xdr:colOff>
          <xdr:row>6</xdr:row>
          <xdr:rowOff>0</xdr:rowOff>
        </xdr:to>
        <xdr:sp macro="" textlink="">
          <xdr:nvSpPr>
            <xdr:cNvPr id="16401" name="Button 17" hidden="1">
              <a:extLst>
                <a:ext uri="{63B3BB69-23CF-44E3-9099-C40C66FF867C}">
                  <a14:compatExt spid="_x0000_s16401"/>
                </a:ext>
                <a:ext uri="{FF2B5EF4-FFF2-40B4-BE49-F238E27FC236}">
                  <a16:creationId xmlns:a16="http://schemas.microsoft.com/office/drawing/2014/main" id="{00000000-0008-0000-0500-00001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26</xdr:col>
          <xdr:colOff>19050</xdr:colOff>
          <xdr:row>11</xdr:row>
          <xdr:rowOff>0</xdr:rowOff>
        </xdr:from>
        <xdr:to>
          <xdr:col>27</xdr:col>
          <xdr:colOff>0</xdr:colOff>
          <xdr:row>11</xdr:row>
          <xdr:rowOff>190500</xdr:rowOff>
        </xdr:to>
        <xdr:sp macro="" textlink="">
          <xdr:nvSpPr>
            <xdr:cNvPr id="16406" name="Check Box 22" hidden="1">
              <a:extLst>
                <a:ext uri="{63B3BB69-23CF-44E3-9099-C40C66FF867C}">
                  <a14:compatExt spid="_x0000_s16406"/>
                </a:ext>
                <a:ext uri="{FF2B5EF4-FFF2-40B4-BE49-F238E27FC236}">
                  <a16:creationId xmlns:a16="http://schemas.microsoft.com/office/drawing/2014/main" id="{00000000-0008-0000-0500-00001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Labels</a:t>
              </a:r>
            </a:p>
          </xdr:txBody>
        </xdr:sp>
        <xdr:clientData/>
      </xdr:twoCellAnchor>
    </mc:Choice>
    <mc:Fallback/>
  </mc:AlternateContent>
  <mc:AlternateContent xmlns:mc="http://schemas.openxmlformats.org/markup-compatibility/2006">
    <mc:Choice xmlns:a14="http://schemas.microsoft.com/office/drawing/2010/main" Requires="a14">
      <xdr:twoCellAnchor>
        <xdr:from>
          <xdr:col>27</xdr:col>
          <xdr:colOff>9525</xdr:colOff>
          <xdr:row>10</xdr:row>
          <xdr:rowOff>180975</xdr:rowOff>
        </xdr:from>
        <xdr:to>
          <xdr:col>27</xdr:col>
          <xdr:colOff>295275</xdr:colOff>
          <xdr:row>12</xdr:row>
          <xdr:rowOff>0</xdr:rowOff>
        </xdr:to>
        <xdr:sp macro="" textlink="">
          <xdr:nvSpPr>
            <xdr:cNvPr id="16407" name="Button 23" hidden="1">
              <a:extLst>
                <a:ext uri="{63B3BB69-23CF-44E3-9099-C40C66FF867C}">
                  <a14:compatExt spid="_x0000_s16407"/>
                </a:ext>
                <a:ext uri="{FF2B5EF4-FFF2-40B4-BE49-F238E27FC236}">
                  <a16:creationId xmlns:a16="http://schemas.microsoft.com/office/drawing/2014/main" id="{00000000-0008-0000-0500-000017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323850</xdr:colOff>
          <xdr:row>10</xdr:row>
          <xdr:rowOff>180975</xdr:rowOff>
        </xdr:from>
        <xdr:to>
          <xdr:col>28</xdr:col>
          <xdr:colOff>0</xdr:colOff>
          <xdr:row>12</xdr:row>
          <xdr:rowOff>0</xdr:rowOff>
        </xdr:to>
        <xdr:sp macro="" textlink="">
          <xdr:nvSpPr>
            <xdr:cNvPr id="16408" name="Button 24" hidden="1">
              <a:extLst>
                <a:ext uri="{63B3BB69-23CF-44E3-9099-C40C66FF867C}">
                  <a14:compatExt spid="_x0000_s16408"/>
                </a:ext>
                <a:ext uri="{FF2B5EF4-FFF2-40B4-BE49-F238E27FC236}">
                  <a16:creationId xmlns:a16="http://schemas.microsoft.com/office/drawing/2014/main" id="{00000000-0008-0000-0500-000018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28575</xdr:colOff>
          <xdr:row>0</xdr:row>
          <xdr:rowOff>57150</xdr:rowOff>
        </xdr:from>
        <xdr:to>
          <xdr:col>28</xdr:col>
          <xdr:colOff>447675</xdr:colOff>
          <xdr:row>2</xdr:row>
          <xdr:rowOff>66675</xdr:rowOff>
        </xdr:to>
        <xdr:sp macro="" textlink="">
          <xdr:nvSpPr>
            <xdr:cNvPr id="16410" name="Button 28" hidden="1">
              <a:extLst>
                <a:ext uri="{63B3BB69-23CF-44E3-9099-C40C66FF867C}">
                  <a14:compatExt spid="_x0000_s16410"/>
                </a:ext>
                <a:ext uri="{FF2B5EF4-FFF2-40B4-BE49-F238E27FC236}">
                  <a16:creationId xmlns:a16="http://schemas.microsoft.com/office/drawing/2014/main" id="{00000000-0008-0000-0500-00001A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Reset</a:t>
              </a:r>
            </a:p>
            <a:p>
              <a:pPr algn="ctr" rtl="0">
                <a:defRPr sz="1000"/>
              </a:pPr>
              <a:r>
                <a:rPr lang="en-AU" sz="1100" b="0" i="0" u="none" strike="noStrike" baseline="0">
                  <a:solidFill>
                    <a:srgbClr val="000000"/>
                  </a:solidFill>
                  <a:latin typeface="Calibri"/>
                  <a:cs typeface="Calibri"/>
                </a:rPr>
                <a:t>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28575</xdr:colOff>
          <xdr:row>2</xdr:row>
          <xdr:rowOff>190500</xdr:rowOff>
        </xdr:from>
        <xdr:to>
          <xdr:col>28</xdr:col>
          <xdr:colOff>447675</xdr:colOff>
          <xdr:row>3</xdr:row>
          <xdr:rowOff>190500</xdr:rowOff>
        </xdr:to>
        <xdr:sp macro="" textlink="">
          <xdr:nvSpPr>
            <xdr:cNvPr id="16411" name="Button 29" hidden="1">
              <a:extLst>
                <a:ext uri="{63B3BB69-23CF-44E3-9099-C40C66FF867C}">
                  <a14:compatExt spid="_x0000_s16411"/>
                </a:ext>
                <a:ext uri="{FF2B5EF4-FFF2-40B4-BE49-F238E27FC236}">
                  <a16:creationId xmlns:a16="http://schemas.microsoft.com/office/drawing/2014/main" id="{00000000-0008-0000-0500-00001B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28575</xdr:colOff>
          <xdr:row>4</xdr:row>
          <xdr:rowOff>200025</xdr:rowOff>
        </xdr:from>
        <xdr:to>
          <xdr:col>28</xdr:col>
          <xdr:colOff>447675</xdr:colOff>
          <xdr:row>6</xdr:row>
          <xdr:rowOff>0</xdr:rowOff>
        </xdr:to>
        <xdr:sp macro="" textlink="">
          <xdr:nvSpPr>
            <xdr:cNvPr id="16412" name="Button 30" hidden="1">
              <a:extLst>
                <a:ext uri="{63B3BB69-23CF-44E3-9099-C40C66FF867C}">
                  <a14:compatExt spid="_x0000_s16412"/>
                </a:ext>
                <a:ext uri="{FF2B5EF4-FFF2-40B4-BE49-F238E27FC236}">
                  <a16:creationId xmlns:a16="http://schemas.microsoft.com/office/drawing/2014/main" id="{00000000-0008-0000-0500-00001C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28575</xdr:colOff>
          <xdr:row>11</xdr:row>
          <xdr:rowOff>0</xdr:rowOff>
        </xdr:from>
        <xdr:to>
          <xdr:col>28</xdr:col>
          <xdr:colOff>447675</xdr:colOff>
          <xdr:row>12</xdr:row>
          <xdr:rowOff>0</xdr:rowOff>
        </xdr:to>
        <xdr:sp macro="" textlink="">
          <xdr:nvSpPr>
            <xdr:cNvPr id="16415" name="Button 33" hidden="1">
              <a:extLst>
                <a:ext uri="{63B3BB69-23CF-44E3-9099-C40C66FF867C}">
                  <a14:compatExt spid="_x0000_s16415"/>
                </a:ext>
                <a:ext uri="{FF2B5EF4-FFF2-40B4-BE49-F238E27FC236}">
                  <a16:creationId xmlns:a16="http://schemas.microsoft.com/office/drawing/2014/main" id="{00000000-0008-0000-0500-00001F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28</xdr:col>
          <xdr:colOff>9525</xdr:colOff>
          <xdr:row>20</xdr:row>
          <xdr:rowOff>9525</xdr:rowOff>
        </xdr:from>
        <xdr:to>
          <xdr:col>29</xdr:col>
          <xdr:colOff>152400</xdr:colOff>
          <xdr:row>21</xdr:row>
          <xdr:rowOff>0</xdr:rowOff>
        </xdr:to>
        <xdr:sp macro="" textlink="">
          <xdr:nvSpPr>
            <xdr:cNvPr id="16420" name="Check Box 39" hidden="1">
              <a:extLst>
                <a:ext uri="{63B3BB69-23CF-44E3-9099-C40C66FF867C}">
                  <a14:compatExt spid="_x0000_s16420"/>
                </a:ext>
                <a:ext uri="{FF2B5EF4-FFF2-40B4-BE49-F238E27FC236}">
                  <a16:creationId xmlns:a16="http://schemas.microsoft.com/office/drawing/2014/main" id="{00000000-0008-0000-0500-0000244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Skip hidden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9525</xdr:colOff>
          <xdr:row>12</xdr:row>
          <xdr:rowOff>85725</xdr:rowOff>
        </xdr:from>
        <xdr:to>
          <xdr:col>25</xdr:col>
          <xdr:colOff>600075</xdr:colOff>
          <xdr:row>13</xdr:row>
          <xdr:rowOff>76200</xdr:rowOff>
        </xdr:to>
        <xdr:sp macro="" textlink="">
          <xdr:nvSpPr>
            <xdr:cNvPr id="16426" name="Check Box 41" hidden="1">
              <a:extLst>
                <a:ext uri="{63B3BB69-23CF-44E3-9099-C40C66FF867C}">
                  <a14:compatExt spid="_x0000_s16426"/>
                </a:ext>
                <a:ext uri="{FF2B5EF4-FFF2-40B4-BE49-F238E27FC236}">
                  <a16:creationId xmlns:a16="http://schemas.microsoft.com/office/drawing/2014/main" id="{00000000-0008-0000-0500-00002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PeakNo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600075</xdr:colOff>
          <xdr:row>12</xdr:row>
          <xdr:rowOff>85725</xdr:rowOff>
        </xdr:from>
        <xdr:to>
          <xdr:col>26</xdr:col>
          <xdr:colOff>581025</xdr:colOff>
          <xdr:row>13</xdr:row>
          <xdr:rowOff>76200</xdr:rowOff>
        </xdr:to>
        <xdr:sp macro="" textlink="">
          <xdr:nvSpPr>
            <xdr:cNvPr id="16427" name="Check Box 42" hidden="1">
              <a:extLst>
                <a:ext uri="{63B3BB69-23CF-44E3-9099-C40C66FF867C}">
                  <a14:compatExt spid="_x0000_s16427"/>
                </a:ext>
                <a:ext uri="{FF2B5EF4-FFF2-40B4-BE49-F238E27FC236}">
                  <a16:creationId xmlns:a16="http://schemas.microsoft.com/office/drawing/2014/main" id="{00000000-0008-0000-0500-00002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RetTime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12</xdr:row>
          <xdr:rowOff>85725</xdr:rowOff>
        </xdr:from>
        <xdr:to>
          <xdr:col>27</xdr:col>
          <xdr:colOff>590550</xdr:colOff>
          <xdr:row>13</xdr:row>
          <xdr:rowOff>76200</xdr:rowOff>
        </xdr:to>
        <xdr:sp macro="" textlink="">
          <xdr:nvSpPr>
            <xdr:cNvPr id="16428" name="Check Box 43" hidden="1">
              <a:extLst>
                <a:ext uri="{63B3BB69-23CF-44E3-9099-C40C66FF867C}">
                  <a14:compatExt spid="_x0000_s16428"/>
                </a:ext>
                <a:ext uri="{FF2B5EF4-FFF2-40B4-BE49-F238E27FC236}">
                  <a16:creationId xmlns:a16="http://schemas.microsoft.com/office/drawing/2014/main" id="{00000000-0008-0000-0500-00002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ID</a:t>
              </a:r>
            </a:p>
          </xdr:txBody>
        </xdr:sp>
        <xdr:clientData/>
      </xdr:twoCellAnchor>
    </mc:Choice>
    <mc:Fallback/>
  </mc:AlternateContent>
  <mc:AlternateContent xmlns:mc="http://schemas.openxmlformats.org/markup-compatibility/2006">
    <mc:Choice xmlns:a14="http://schemas.microsoft.com/office/drawing/2010/main" Requires="a14">
      <xdr:twoCellAnchor>
        <xdr:from>
          <xdr:col>28</xdr:col>
          <xdr:colOff>457200</xdr:colOff>
          <xdr:row>0</xdr:row>
          <xdr:rowOff>57150</xdr:rowOff>
        </xdr:from>
        <xdr:to>
          <xdr:col>29</xdr:col>
          <xdr:colOff>266700</xdr:colOff>
          <xdr:row>2</xdr:row>
          <xdr:rowOff>66675</xdr:rowOff>
        </xdr:to>
        <xdr:sp macro="" textlink="">
          <xdr:nvSpPr>
            <xdr:cNvPr id="16436" name="Button 50" hidden="1">
              <a:extLst>
                <a:ext uri="{63B3BB69-23CF-44E3-9099-C40C66FF867C}">
                  <a14:compatExt spid="_x0000_s16436"/>
                </a:ext>
                <a:ext uri="{FF2B5EF4-FFF2-40B4-BE49-F238E27FC236}">
                  <a16:creationId xmlns:a16="http://schemas.microsoft.com/office/drawing/2014/main" id="{00000000-0008-0000-0500-000034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Base</a:t>
              </a:r>
            </a:p>
            <a:p>
              <a:pPr algn="ctr" rtl="0">
                <a:defRPr sz="1000"/>
              </a:pPr>
              <a:r>
                <a:rPr lang="en-AU" sz="1100" b="0" i="0" u="none" strike="noStrike" baseline="0">
                  <a:solidFill>
                    <a:srgbClr val="000000"/>
                  </a:solidFill>
                  <a:latin typeface="Calibri"/>
                  <a:cs typeface="Calibri"/>
                </a:rPr>
                <a:t>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457200</xdr:colOff>
          <xdr:row>2</xdr:row>
          <xdr:rowOff>190500</xdr:rowOff>
        </xdr:from>
        <xdr:to>
          <xdr:col>29</xdr:col>
          <xdr:colOff>266700</xdr:colOff>
          <xdr:row>3</xdr:row>
          <xdr:rowOff>190500</xdr:rowOff>
        </xdr:to>
        <xdr:sp macro="" textlink="">
          <xdr:nvSpPr>
            <xdr:cNvPr id="16437" name="Button 51" hidden="1">
              <a:extLst>
                <a:ext uri="{63B3BB69-23CF-44E3-9099-C40C66FF867C}">
                  <a14:compatExt spid="_x0000_s16437"/>
                </a:ext>
                <a:ext uri="{FF2B5EF4-FFF2-40B4-BE49-F238E27FC236}">
                  <a16:creationId xmlns:a16="http://schemas.microsoft.com/office/drawing/2014/main" id="{00000000-0008-0000-0500-000035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457200</xdr:colOff>
          <xdr:row>4</xdr:row>
          <xdr:rowOff>200025</xdr:rowOff>
        </xdr:from>
        <xdr:to>
          <xdr:col>29</xdr:col>
          <xdr:colOff>266700</xdr:colOff>
          <xdr:row>6</xdr:row>
          <xdr:rowOff>0</xdr:rowOff>
        </xdr:to>
        <xdr:sp macro="" textlink="">
          <xdr:nvSpPr>
            <xdr:cNvPr id="16438" name="Button 52" hidden="1">
              <a:extLst>
                <a:ext uri="{63B3BB69-23CF-44E3-9099-C40C66FF867C}">
                  <a14:compatExt spid="_x0000_s16438"/>
                </a:ext>
                <a:ext uri="{FF2B5EF4-FFF2-40B4-BE49-F238E27FC236}">
                  <a16:creationId xmlns:a16="http://schemas.microsoft.com/office/drawing/2014/main" id="{00000000-0008-0000-0500-000036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466725</xdr:colOff>
          <xdr:row>11</xdr:row>
          <xdr:rowOff>0</xdr:rowOff>
        </xdr:from>
        <xdr:to>
          <xdr:col>29</xdr:col>
          <xdr:colOff>276225</xdr:colOff>
          <xdr:row>12</xdr:row>
          <xdr:rowOff>0</xdr:rowOff>
        </xdr:to>
        <xdr:sp macro="" textlink="">
          <xdr:nvSpPr>
            <xdr:cNvPr id="16441" name="Button 55" hidden="1">
              <a:extLst>
                <a:ext uri="{63B3BB69-23CF-44E3-9099-C40C66FF867C}">
                  <a14:compatExt spid="_x0000_s16441"/>
                </a:ext>
                <a:ext uri="{FF2B5EF4-FFF2-40B4-BE49-F238E27FC236}">
                  <a16:creationId xmlns:a16="http://schemas.microsoft.com/office/drawing/2014/main" id="{00000000-0008-0000-0500-000039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19050</xdr:colOff>
          <xdr:row>19</xdr:row>
          <xdr:rowOff>114300</xdr:rowOff>
        </xdr:from>
        <xdr:to>
          <xdr:col>27</xdr:col>
          <xdr:colOff>381000</xdr:colOff>
          <xdr:row>21</xdr:row>
          <xdr:rowOff>104775</xdr:rowOff>
        </xdr:to>
        <xdr:sp macro="" textlink="">
          <xdr:nvSpPr>
            <xdr:cNvPr id="16444" name="Button 60" hidden="1">
              <a:extLst>
                <a:ext uri="{63B3BB69-23CF-44E3-9099-C40C66FF867C}">
                  <a14:compatExt spid="_x0000_s16444"/>
                </a:ext>
                <a:ext uri="{FF2B5EF4-FFF2-40B4-BE49-F238E27FC236}">
                  <a16:creationId xmlns:a16="http://schemas.microsoft.com/office/drawing/2014/main" id="{00000000-0008-0000-0500-00003C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400" b="0" i="0" u="none" strike="noStrike" baseline="0">
                  <a:solidFill>
                    <a:srgbClr val="000000"/>
                  </a:solidFill>
                  <a:latin typeface="Calibri"/>
                  <a:cs typeface="Calibri"/>
                </a:rPr>
                <a: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238125</xdr:colOff>
          <xdr:row>19</xdr:row>
          <xdr:rowOff>114300</xdr:rowOff>
        </xdr:from>
        <xdr:to>
          <xdr:col>25</xdr:col>
          <xdr:colOff>600075</xdr:colOff>
          <xdr:row>21</xdr:row>
          <xdr:rowOff>95250</xdr:rowOff>
        </xdr:to>
        <xdr:sp macro="" textlink="">
          <xdr:nvSpPr>
            <xdr:cNvPr id="16445" name="Button 61" hidden="1">
              <a:extLst>
                <a:ext uri="{63B3BB69-23CF-44E3-9099-C40C66FF867C}">
                  <a14:compatExt spid="_x0000_s16445"/>
                </a:ext>
                <a:ext uri="{FF2B5EF4-FFF2-40B4-BE49-F238E27FC236}">
                  <a16:creationId xmlns:a16="http://schemas.microsoft.com/office/drawing/2014/main" id="{00000000-0008-0000-0500-00003D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400" b="0" i="0" u="none" strike="noStrike" baseline="0">
                  <a:solidFill>
                    <a:srgbClr val="000000"/>
                  </a:solidFill>
                  <a:latin typeface="Calibri"/>
                  <a:cs typeface="Calibri"/>
                </a:rPr>
                <a: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9525</xdr:colOff>
          <xdr:row>19</xdr:row>
          <xdr:rowOff>114300</xdr:rowOff>
        </xdr:from>
        <xdr:to>
          <xdr:col>25</xdr:col>
          <xdr:colOff>228600</xdr:colOff>
          <xdr:row>21</xdr:row>
          <xdr:rowOff>95250</xdr:rowOff>
        </xdr:to>
        <xdr:sp macro="" textlink="">
          <xdr:nvSpPr>
            <xdr:cNvPr id="16446" name="Button 62" hidden="1">
              <a:extLst>
                <a:ext uri="{63B3BB69-23CF-44E3-9099-C40C66FF867C}">
                  <a14:compatExt spid="_x0000_s16446"/>
                </a:ext>
                <a:ext uri="{FF2B5EF4-FFF2-40B4-BE49-F238E27FC236}">
                  <a16:creationId xmlns:a16="http://schemas.microsoft.com/office/drawing/2014/main" id="{00000000-0008-0000-0500-00003E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390525</xdr:colOff>
          <xdr:row>19</xdr:row>
          <xdr:rowOff>114300</xdr:rowOff>
        </xdr:from>
        <xdr:to>
          <xdr:col>28</xdr:col>
          <xdr:colOff>0</xdr:colOff>
          <xdr:row>21</xdr:row>
          <xdr:rowOff>104775</xdr:rowOff>
        </xdr:to>
        <xdr:sp macro="" textlink="">
          <xdr:nvSpPr>
            <xdr:cNvPr id="16447" name="Button 63" hidden="1">
              <a:extLst>
                <a:ext uri="{63B3BB69-23CF-44E3-9099-C40C66FF867C}">
                  <a14:compatExt spid="_x0000_s16447"/>
                </a:ext>
                <a:ext uri="{FF2B5EF4-FFF2-40B4-BE49-F238E27FC236}">
                  <a16:creationId xmlns:a16="http://schemas.microsoft.com/office/drawing/2014/main" id="{00000000-0008-0000-0500-00003F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&gt;&gt;</a:t>
              </a:r>
            </a:p>
          </xdr:txBody>
        </xdr:sp>
        <xdr:clientData fPrintsWithSheet="0"/>
      </xdr:twoCellAnchor>
    </mc:Choice>
    <mc:Fallback/>
  </mc:AlternateContent>
  <xdr:twoCellAnchor>
    <xdr:from>
      <xdr:col>0</xdr:col>
      <xdr:colOff>28575</xdr:colOff>
      <xdr:row>10</xdr:row>
      <xdr:rowOff>0</xdr:rowOff>
    </xdr:from>
    <xdr:to>
      <xdr:col>18</xdr:col>
      <xdr:colOff>200025</xdr:colOff>
      <xdr:row>35</xdr:row>
      <xdr:rowOff>180975</xdr:rowOff>
    </xdr:to>
    <xdr:graphicFrame macro="">
      <xdr:nvGraphicFramePr>
        <xdr:cNvPr id="66" name="Chart 65">
          <a:extLst>
            <a:ext uri="{FF2B5EF4-FFF2-40B4-BE49-F238E27FC236}">
              <a16:creationId xmlns:a16="http://schemas.microsoft.com/office/drawing/2014/main" id="{00000000-0008-0000-0500-00004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18</xdr:col>
          <xdr:colOff>552450</xdr:colOff>
          <xdr:row>23</xdr:row>
          <xdr:rowOff>9525</xdr:rowOff>
        </xdr:from>
        <xdr:to>
          <xdr:col>28</xdr:col>
          <xdr:colOff>542925</xdr:colOff>
          <xdr:row>35</xdr:row>
          <xdr:rowOff>180975</xdr:rowOff>
        </xdr:to>
        <xdr:sp macro="" textlink="">
          <xdr:nvSpPr>
            <xdr:cNvPr id="16448" name="ListBox1" hidden="1">
              <a:extLst>
                <a:ext uri="{63B3BB69-23CF-44E3-9099-C40C66FF867C}">
                  <a14:compatExt spid="_x0000_s16448"/>
                </a:ext>
                <a:ext uri="{FF2B5EF4-FFF2-40B4-BE49-F238E27FC236}">
                  <a16:creationId xmlns:a16="http://schemas.microsoft.com/office/drawing/2014/main" id="{00000000-0008-0000-0500-000040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609600</xdr:colOff>
          <xdr:row>17</xdr:row>
          <xdr:rowOff>0</xdr:rowOff>
        </xdr:from>
        <xdr:to>
          <xdr:col>26</xdr:col>
          <xdr:colOff>609600</xdr:colOff>
          <xdr:row>19</xdr:row>
          <xdr:rowOff>9525</xdr:rowOff>
        </xdr:to>
        <xdr:sp macro="" textlink="">
          <xdr:nvSpPr>
            <xdr:cNvPr id="16450" name="Button 66" hidden="1">
              <a:extLst>
                <a:ext uri="{63B3BB69-23CF-44E3-9099-C40C66FF867C}">
                  <a14:compatExt spid="_x0000_s16450"/>
                </a:ext>
                <a:ext uri="{FF2B5EF4-FFF2-40B4-BE49-F238E27FC236}">
                  <a16:creationId xmlns:a16="http://schemas.microsoft.com/office/drawing/2014/main" id="{00000000-0008-0000-0500-000042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Search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19050</xdr:colOff>
          <xdr:row>17</xdr:row>
          <xdr:rowOff>0</xdr:rowOff>
        </xdr:from>
        <xdr:to>
          <xdr:col>28</xdr:col>
          <xdr:colOff>0</xdr:colOff>
          <xdr:row>19</xdr:row>
          <xdr:rowOff>9525</xdr:rowOff>
        </xdr:to>
        <xdr:sp macro="" textlink="">
          <xdr:nvSpPr>
            <xdr:cNvPr id="16451" name="Button 67" hidden="1">
              <a:extLst>
                <a:ext uri="{63B3BB69-23CF-44E3-9099-C40C66FF867C}">
                  <a14:compatExt spid="_x0000_s16451"/>
                </a:ext>
                <a:ext uri="{FF2B5EF4-FFF2-40B4-BE49-F238E27FC236}">
                  <a16:creationId xmlns:a16="http://schemas.microsoft.com/office/drawing/2014/main" id="{00000000-0008-0000-0500-000043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9525</xdr:colOff>
          <xdr:row>17</xdr:row>
          <xdr:rowOff>0</xdr:rowOff>
        </xdr:from>
        <xdr:to>
          <xdr:col>25</xdr:col>
          <xdr:colOff>590550</xdr:colOff>
          <xdr:row>19</xdr:row>
          <xdr:rowOff>9525</xdr:rowOff>
        </xdr:to>
        <xdr:sp macro="" textlink="">
          <xdr:nvSpPr>
            <xdr:cNvPr id="16452" name="Button 68" hidden="1">
              <a:extLst>
                <a:ext uri="{63B3BB69-23CF-44E3-9099-C40C66FF867C}">
                  <a14:compatExt spid="_x0000_s16452"/>
                </a:ext>
                <a:ext uri="{FF2B5EF4-FFF2-40B4-BE49-F238E27FC236}">
                  <a16:creationId xmlns:a16="http://schemas.microsoft.com/office/drawing/2014/main" id="{00000000-0008-0000-0500-000044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Keep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16</xdr:row>
          <xdr:rowOff>0</xdr:rowOff>
        </xdr:from>
        <xdr:to>
          <xdr:col>20</xdr:col>
          <xdr:colOff>466725</xdr:colOff>
          <xdr:row>17</xdr:row>
          <xdr:rowOff>0</xdr:rowOff>
        </xdr:to>
        <xdr:sp macro="" textlink="">
          <xdr:nvSpPr>
            <xdr:cNvPr id="16457" name="Check Box 73" hidden="1">
              <a:extLst>
                <a:ext uri="{63B3BB69-23CF-44E3-9099-C40C66FF867C}">
                  <a14:compatExt spid="_x0000_s16457"/>
                </a:ext>
                <a:ext uri="{FF2B5EF4-FFF2-40B4-BE49-F238E27FC236}">
                  <a16:creationId xmlns:a16="http://schemas.microsoft.com/office/drawing/2014/main" id="{00000000-0008-0000-0500-00004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Wavelength Shift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18</xdr:row>
          <xdr:rowOff>0</xdr:rowOff>
        </xdr:from>
        <xdr:to>
          <xdr:col>20</xdr:col>
          <xdr:colOff>476250</xdr:colOff>
          <xdr:row>19</xdr:row>
          <xdr:rowOff>9525</xdr:rowOff>
        </xdr:to>
        <xdr:sp macro="" textlink="">
          <xdr:nvSpPr>
            <xdr:cNvPr id="16458" name="Check Box 74" hidden="1">
              <a:extLst>
                <a:ext uri="{63B3BB69-23CF-44E3-9099-C40C66FF867C}">
                  <a14:compatExt spid="_x0000_s16458"/>
                </a:ext>
                <a:ext uri="{FF2B5EF4-FFF2-40B4-BE49-F238E27FC236}">
                  <a16:creationId xmlns:a16="http://schemas.microsoft.com/office/drawing/2014/main" id="{00000000-0008-0000-0500-00004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Absorbance Shift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20</xdr:row>
          <xdr:rowOff>0</xdr:rowOff>
        </xdr:from>
        <xdr:to>
          <xdr:col>20</xdr:col>
          <xdr:colOff>476250</xdr:colOff>
          <xdr:row>21</xdr:row>
          <xdr:rowOff>0</xdr:rowOff>
        </xdr:to>
        <xdr:sp macro="" textlink="">
          <xdr:nvSpPr>
            <xdr:cNvPr id="16459" name="Check Box 75" hidden="1">
              <a:extLst>
                <a:ext uri="{63B3BB69-23CF-44E3-9099-C40C66FF867C}">
                  <a14:compatExt spid="_x0000_s16459"/>
                </a:ext>
                <a:ext uri="{FF2B5EF4-FFF2-40B4-BE49-F238E27FC236}">
                  <a16:creationId xmlns:a16="http://schemas.microsoft.com/office/drawing/2014/main" id="{00000000-0008-0000-0500-00004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Absorbance Scale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9525</xdr:colOff>
          <xdr:row>17</xdr:row>
          <xdr:rowOff>0</xdr:rowOff>
        </xdr:from>
        <xdr:to>
          <xdr:col>29</xdr:col>
          <xdr:colOff>266700</xdr:colOff>
          <xdr:row>18</xdr:row>
          <xdr:rowOff>9525</xdr:rowOff>
        </xdr:to>
        <xdr:sp macro="" textlink="">
          <xdr:nvSpPr>
            <xdr:cNvPr id="16460" name="Check Box 76" hidden="1">
              <a:extLst>
                <a:ext uri="{63B3BB69-23CF-44E3-9099-C40C66FF867C}">
                  <a14:compatExt spid="_x0000_s16460"/>
                </a:ext>
                <a:ext uri="{FF2B5EF4-FFF2-40B4-BE49-F238E27FC236}">
                  <a16:creationId xmlns:a16="http://schemas.microsoft.com/office/drawing/2014/main" id="{00000000-0008-0000-0500-00004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AutoSearch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9525</xdr:colOff>
          <xdr:row>18</xdr:row>
          <xdr:rowOff>0</xdr:rowOff>
        </xdr:from>
        <xdr:to>
          <xdr:col>29</xdr:col>
          <xdr:colOff>266700</xdr:colOff>
          <xdr:row>19</xdr:row>
          <xdr:rowOff>9525</xdr:rowOff>
        </xdr:to>
        <xdr:sp macro="" textlink="">
          <xdr:nvSpPr>
            <xdr:cNvPr id="16461" name="Check Box 77" hidden="1">
              <a:extLst>
                <a:ext uri="{63B3BB69-23CF-44E3-9099-C40C66FF867C}">
                  <a14:compatExt spid="_x0000_s16461"/>
                </a:ext>
                <a:ext uri="{FF2B5EF4-FFF2-40B4-BE49-F238E27FC236}">
                  <a16:creationId xmlns:a16="http://schemas.microsoft.com/office/drawing/2014/main" id="{00000000-0008-0000-0500-00004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AutoClear</a:t>
              </a:r>
            </a:p>
          </xdr:txBody>
        </xdr:sp>
        <xdr:clientData/>
      </xdr:twoCellAnchor>
    </mc:Choice>
    <mc:Fallback/>
  </mc:AlternateContent>
</xdr:wsDr>
</file>

<file path=xl/drawings/drawing11.xml><?xml version="1.0" encoding="utf-8"?>
<c:userShapes xmlns:c="http://schemas.openxmlformats.org/drawingml/2006/chart">
  <cdr:relSizeAnchor xmlns:cdr="http://schemas.openxmlformats.org/drawingml/2006/chartDrawing">
    <cdr:from>
      <cdr:x>0.02959</cdr:x>
      <cdr:y>0.0198</cdr:y>
    </cdr:from>
    <cdr:to>
      <cdr:x>0.03024</cdr:x>
      <cdr:y>0.79327</cdr:y>
    </cdr:to>
    <cdr:cxnSp macro="">
      <cdr:nvCxnSpPr>
        <cdr:cNvPr id="3" name="Straight Connector 2">
          <a:extLst xmlns:a="http://schemas.openxmlformats.org/drawingml/2006/main">
            <a:ext uri="{FF2B5EF4-FFF2-40B4-BE49-F238E27FC236}">
              <a16:creationId xmlns:a16="http://schemas.microsoft.com/office/drawing/2014/main" id="{EEBA3E86-F20D-4BFC-A491-25099EDC7B0E}"/>
            </a:ext>
          </a:extLst>
        </cdr:cNvPr>
        <cdr:cNvCxnSpPr/>
      </cdr:nvCxnSpPr>
      <cdr:spPr>
        <a:xfrm xmlns:a="http://schemas.openxmlformats.org/drawingml/2006/main" flipV="1">
          <a:off x="431800" y="39228"/>
          <a:ext cx="9485" cy="1532399"/>
        </a:xfrm>
        <a:prstGeom xmlns:a="http://schemas.openxmlformats.org/drawingml/2006/main" prst="line">
          <a:avLst/>
        </a:prstGeom>
        <a:ln xmlns:a="http://schemas.openxmlformats.org/drawingml/2006/main" w="127000" cap="flat" cmpd="sng" algn="ctr">
          <a:solidFill>
            <a:srgbClr val="FFFF00">
              <a:alpha val="0"/>
            </a:srgbClr>
          </a:solidFill>
          <a:prstDash val="solid"/>
          <a:miter lim="800000"/>
          <a:headEnd type="none" w="med" len="med"/>
          <a:tailEnd type="non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0.9158</cdr:x>
      <cdr:y>0.02105</cdr:y>
    </cdr:from>
    <cdr:to>
      <cdr:x>0.99478</cdr:x>
      <cdr:y>0.44221</cdr:y>
    </cdr:to>
    <cdr:sp macro="" textlink="">
      <cdr:nvSpPr>
        <cdr:cNvPr id="2" name="TextBox 1"/>
        <cdr:cNvSpPr txBox="1"/>
      </cdr:nvSpPr>
      <cdr:spPr>
        <a:xfrm xmlns:a="http://schemas.openxmlformats.org/drawingml/2006/main">
          <a:off x="13363628" y="39900"/>
          <a:ext cx="1152500" cy="798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r"/>
          <a:r>
            <a:rPr lang="en-AU" sz="1000">
              <a:latin typeface="Arial" panose="020B0604020202020204" pitchFamily="34" charset="0"/>
              <a:cs typeface="Arial" panose="020B0604020202020204" pitchFamily="34" charset="0"/>
            </a:rPr>
            <a:t>210: 36
254: 19</a:t>
          </a:r>
        </a:p>
        <a:p xmlns:a="http://schemas.openxmlformats.org/drawingml/2006/main">
          <a:pPr algn="r"/>
          <a:endParaRPr lang="en-AU" sz="1000">
            <a:latin typeface="Arial" panose="020B0604020202020204" pitchFamily="34" charset="0"/>
            <a:cs typeface="Arial" panose="020B0604020202020204" pitchFamily="34" charset="0"/>
          </a:endParaRPr>
        </a:p>
      </cdr:txBody>
    </cdr:sp>
  </cdr:relSizeAnchor>
</c:userShapes>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1390650</xdr:colOff>
          <xdr:row>4</xdr:row>
          <xdr:rowOff>180975</xdr:rowOff>
        </xdr:from>
        <xdr:to>
          <xdr:col>0</xdr:col>
          <xdr:colOff>2371725</xdr:colOff>
          <xdr:row>7</xdr:row>
          <xdr:rowOff>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6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1390650</xdr:colOff>
          <xdr:row>8</xdr:row>
          <xdr:rowOff>0</xdr:rowOff>
        </xdr:from>
        <xdr:to>
          <xdr:col>0</xdr:col>
          <xdr:colOff>2371725</xdr:colOff>
          <xdr:row>10</xdr:row>
          <xdr:rowOff>9525</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6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Append...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1390650</xdr:colOff>
          <xdr:row>11</xdr:row>
          <xdr:rowOff>0</xdr:rowOff>
        </xdr:from>
        <xdr:to>
          <xdr:col>0</xdr:col>
          <xdr:colOff>2371725</xdr:colOff>
          <xdr:row>13</xdr:row>
          <xdr:rowOff>9525</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600-000003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1390650</xdr:colOff>
          <xdr:row>14</xdr:row>
          <xdr:rowOff>9525</xdr:rowOff>
        </xdr:from>
        <xdr:to>
          <xdr:col>0</xdr:col>
          <xdr:colOff>2371725</xdr:colOff>
          <xdr:row>16</xdr:row>
          <xdr:rowOff>19050</xdr:rowOff>
        </xdr:to>
        <xdr:sp macro="" textlink="">
          <xdr:nvSpPr>
            <xdr:cNvPr id="14340" name="Button 4" hidden="1">
              <a:extLst>
                <a:ext uri="{63B3BB69-23CF-44E3-9099-C40C66FF867C}">
                  <a14:compatExt spid="_x0000_s14340"/>
                </a:ext>
                <a:ext uri="{FF2B5EF4-FFF2-40B4-BE49-F238E27FC236}">
                  <a16:creationId xmlns:a16="http://schemas.microsoft.com/office/drawing/2014/main" id="{00000000-0008-0000-0600-000004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1390650</xdr:colOff>
          <xdr:row>1</xdr:row>
          <xdr:rowOff>171450</xdr:rowOff>
        </xdr:from>
        <xdr:to>
          <xdr:col>0</xdr:col>
          <xdr:colOff>2371725</xdr:colOff>
          <xdr:row>3</xdr:row>
          <xdr:rowOff>180975</xdr:rowOff>
        </xdr:to>
        <xdr:sp macro="" textlink="">
          <xdr:nvSpPr>
            <xdr:cNvPr id="14341" name="Button 5" hidden="1">
              <a:extLst>
                <a:ext uri="{63B3BB69-23CF-44E3-9099-C40C66FF867C}">
                  <a14:compatExt spid="_x0000_s14341"/>
                </a:ext>
                <a:ext uri="{FF2B5EF4-FFF2-40B4-BE49-F238E27FC236}">
                  <a16:creationId xmlns:a16="http://schemas.microsoft.com/office/drawing/2014/main" id="{00000000-0008-0000-0600-000005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Add Peaks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34</xdr:row>
          <xdr:rowOff>28575</xdr:rowOff>
        </xdr:from>
        <xdr:to>
          <xdr:col>1</xdr:col>
          <xdr:colOff>600075</xdr:colOff>
          <xdr:row>35</xdr:row>
          <xdr:rowOff>161925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7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Update Labels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20</xdr:row>
          <xdr:rowOff>0</xdr:rowOff>
        </xdr:from>
        <xdr:to>
          <xdr:col>13</xdr:col>
          <xdr:colOff>581025</xdr:colOff>
          <xdr:row>21</xdr:row>
          <xdr:rowOff>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700-000004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Automatically hide bogus spectra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23</xdr:row>
          <xdr:rowOff>9525</xdr:rowOff>
        </xdr:from>
        <xdr:to>
          <xdr:col>13</xdr:col>
          <xdr:colOff>600075</xdr:colOff>
          <xdr:row>24</xdr:row>
          <xdr:rowOff>9525</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7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Relax * for single mass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24</xdr:row>
          <xdr:rowOff>9525</xdr:rowOff>
        </xdr:from>
        <xdr:to>
          <xdr:col>13</xdr:col>
          <xdr:colOff>600075</xdr:colOff>
          <xdr:row>25</xdr:row>
          <xdr:rowOff>9525</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0700-000006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Relax min/max for single mass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xdr:colOff>
          <xdr:row>1</xdr:row>
          <xdr:rowOff>180975</xdr:rowOff>
        </xdr:from>
        <xdr:to>
          <xdr:col>17</xdr:col>
          <xdr:colOff>600075</xdr:colOff>
          <xdr:row>3</xdr:row>
          <xdr:rowOff>0</xdr:rowOff>
        </xdr:to>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0700-000007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Only copy visible rows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247650</xdr:colOff>
          <xdr:row>14</xdr:row>
          <xdr:rowOff>0</xdr:rowOff>
        </xdr:from>
        <xdr:to>
          <xdr:col>8</xdr:col>
          <xdr:colOff>466725</xdr:colOff>
          <xdr:row>15</xdr:row>
          <xdr:rowOff>0</xdr:rowOff>
        </xdr:to>
        <xdr:sp macro="" textlink="">
          <xdr:nvSpPr>
            <xdr:cNvPr id="2056" name="Option Button 8" hidden="1">
              <a:extLst>
                <a:ext uri="{63B3BB69-23CF-44E3-9099-C40C66FF867C}">
                  <a14:compatExt spid="_x0000_s2056"/>
                </a:ext>
                <a:ext uri="{FF2B5EF4-FFF2-40B4-BE49-F238E27FC236}">
                  <a16:creationId xmlns:a16="http://schemas.microsoft.com/office/drawing/2014/main" id="{00000000-0008-0000-0700-00000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247650</xdr:colOff>
          <xdr:row>15</xdr:row>
          <xdr:rowOff>0</xdr:rowOff>
        </xdr:from>
        <xdr:to>
          <xdr:col>8</xdr:col>
          <xdr:colOff>466725</xdr:colOff>
          <xdr:row>16</xdr:row>
          <xdr:rowOff>0</xdr:rowOff>
        </xdr:to>
        <xdr:sp macro="" textlink="">
          <xdr:nvSpPr>
            <xdr:cNvPr id="2057" name="Option Button 9" hidden="1">
              <a:extLst>
                <a:ext uri="{63B3BB69-23CF-44E3-9099-C40C66FF867C}">
                  <a14:compatExt spid="_x0000_s2057"/>
                </a:ext>
                <a:ext uri="{FF2B5EF4-FFF2-40B4-BE49-F238E27FC236}">
                  <a16:creationId xmlns:a16="http://schemas.microsoft.com/office/drawing/2014/main" id="{00000000-0008-0000-0700-00000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247650</xdr:colOff>
          <xdr:row>15</xdr:row>
          <xdr:rowOff>190500</xdr:rowOff>
        </xdr:from>
        <xdr:to>
          <xdr:col>8</xdr:col>
          <xdr:colOff>466725</xdr:colOff>
          <xdr:row>16</xdr:row>
          <xdr:rowOff>190500</xdr:rowOff>
        </xdr:to>
        <xdr:sp macro="" textlink="">
          <xdr:nvSpPr>
            <xdr:cNvPr id="2058" name="Option Button 10" hidden="1">
              <a:extLst>
                <a:ext uri="{63B3BB69-23CF-44E3-9099-C40C66FF867C}">
                  <a14:compatExt spid="_x0000_s2058"/>
                </a:ext>
                <a:ext uri="{FF2B5EF4-FFF2-40B4-BE49-F238E27FC236}">
                  <a16:creationId xmlns:a16="http://schemas.microsoft.com/office/drawing/2014/main" id="{00000000-0008-0000-0700-00000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247650</xdr:colOff>
          <xdr:row>16</xdr:row>
          <xdr:rowOff>180975</xdr:rowOff>
        </xdr:from>
        <xdr:to>
          <xdr:col>8</xdr:col>
          <xdr:colOff>466725</xdr:colOff>
          <xdr:row>17</xdr:row>
          <xdr:rowOff>180975</xdr:rowOff>
        </xdr:to>
        <xdr:sp macro="" textlink="">
          <xdr:nvSpPr>
            <xdr:cNvPr id="2059" name="Option Button 11" hidden="1">
              <a:extLst>
                <a:ext uri="{63B3BB69-23CF-44E3-9099-C40C66FF867C}">
                  <a14:compatExt spid="_x0000_s2059"/>
                </a:ext>
                <a:ext uri="{FF2B5EF4-FFF2-40B4-BE49-F238E27FC236}">
                  <a16:creationId xmlns:a16="http://schemas.microsoft.com/office/drawing/2014/main" id="{00000000-0008-0000-0700-00000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247650</xdr:colOff>
          <xdr:row>17</xdr:row>
          <xdr:rowOff>190500</xdr:rowOff>
        </xdr:from>
        <xdr:to>
          <xdr:col>8</xdr:col>
          <xdr:colOff>466725</xdr:colOff>
          <xdr:row>18</xdr:row>
          <xdr:rowOff>190500</xdr:rowOff>
        </xdr:to>
        <xdr:sp macro="" textlink="">
          <xdr:nvSpPr>
            <xdr:cNvPr id="2060" name="Option Button 12" hidden="1">
              <a:extLst>
                <a:ext uri="{63B3BB69-23CF-44E3-9099-C40C66FF867C}">
                  <a14:compatExt spid="_x0000_s2060"/>
                </a:ext>
                <a:ext uri="{FF2B5EF4-FFF2-40B4-BE49-F238E27FC236}">
                  <a16:creationId xmlns:a16="http://schemas.microsoft.com/office/drawing/2014/main" id="{00000000-0008-0000-0700-00000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25</xdr:row>
          <xdr:rowOff>9525</xdr:rowOff>
        </xdr:from>
        <xdr:to>
          <xdr:col>14</xdr:col>
          <xdr:colOff>276225</xdr:colOff>
          <xdr:row>26</xdr:row>
          <xdr:rowOff>19050</xdr:rowOff>
        </xdr:to>
        <xdr:sp macro="" textlink="">
          <xdr:nvSpPr>
            <xdr:cNvPr id="2061" name="Check Box 13" hidden="1">
              <a:extLst>
                <a:ext uri="{63B3BB69-23CF-44E3-9099-C40C66FF867C}">
                  <a14:compatExt spid="_x0000_s2061"/>
                </a:ext>
                <a:ext uri="{FF2B5EF4-FFF2-40B4-BE49-F238E27FC236}">
                  <a16:creationId xmlns:a16="http://schemas.microsoft.com/office/drawing/2014/main" id="{00000000-0008-0000-0700-00000D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Filter by UV-Vis during mass searches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26</xdr:row>
          <xdr:rowOff>190500</xdr:rowOff>
        </xdr:from>
        <xdr:to>
          <xdr:col>14</xdr:col>
          <xdr:colOff>38100</xdr:colOff>
          <xdr:row>28</xdr:row>
          <xdr:rowOff>0</xdr:rowOff>
        </xdr:to>
        <xdr:sp macro="" textlink="">
          <xdr:nvSpPr>
            <xdr:cNvPr id="2063" name="Check Box 15" hidden="1">
              <a:extLst>
                <a:ext uri="{63B3BB69-23CF-44E3-9099-C40C66FF867C}">
                  <a14:compatExt spid="_x0000_s2063"/>
                </a:ext>
                <a:ext uri="{FF2B5EF4-FFF2-40B4-BE49-F238E27FC236}">
                  <a16:creationId xmlns:a16="http://schemas.microsoft.com/office/drawing/2014/main" id="{00000000-0008-0000-0700-00000F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Filter by RT during mass searches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27</xdr:row>
          <xdr:rowOff>190500</xdr:rowOff>
        </xdr:from>
        <xdr:to>
          <xdr:col>14</xdr:col>
          <xdr:colOff>38100</xdr:colOff>
          <xdr:row>29</xdr:row>
          <xdr:rowOff>0</xdr:rowOff>
        </xdr:to>
        <xdr:sp macro="" textlink="">
          <xdr:nvSpPr>
            <xdr:cNvPr id="2064" name="Check Box 16" hidden="1">
              <a:extLst>
                <a:ext uri="{63B3BB69-23CF-44E3-9099-C40C66FF867C}">
                  <a14:compatExt spid="_x0000_s2064"/>
                </a:ext>
                <a:ext uri="{FF2B5EF4-FFF2-40B4-BE49-F238E27FC236}">
                  <a16:creationId xmlns:a16="http://schemas.microsoft.com/office/drawing/2014/main" id="{00000000-0008-0000-0700-000010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Filter by RT during UV-vis searches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16</xdr:row>
          <xdr:rowOff>104775</xdr:rowOff>
        </xdr:from>
        <xdr:to>
          <xdr:col>14</xdr:col>
          <xdr:colOff>285750</xdr:colOff>
          <xdr:row>17</xdr:row>
          <xdr:rowOff>114300</xdr:rowOff>
        </xdr:to>
        <xdr:sp macro="" textlink="">
          <xdr:nvSpPr>
            <xdr:cNvPr id="2065" name="Check Box 17" hidden="1">
              <a:extLst>
                <a:ext uri="{63B3BB69-23CF-44E3-9099-C40C66FF867C}">
                  <a14:compatExt spid="_x0000_s2065"/>
                </a:ext>
                <a:ext uri="{FF2B5EF4-FFF2-40B4-BE49-F238E27FC236}">
                  <a16:creationId xmlns:a16="http://schemas.microsoft.com/office/drawing/2014/main" id="{00000000-0008-0000-0700-000011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Show similarity value after Dbase ID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15</xdr:row>
          <xdr:rowOff>85725</xdr:rowOff>
        </xdr:from>
        <xdr:to>
          <xdr:col>14</xdr:col>
          <xdr:colOff>285750</xdr:colOff>
          <xdr:row>16</xdr:row>
          <xdr:rowOff>95250</xdr:rowOff>
        </xdr:to>
        <xdr:sp macro="" textlink="">
          <xdr:nvSpPr>
            <xdr:cNvPr id="2066" name="Check Box 18" hidden="1">
              <a:extLst>
                <a:ext uri="{63B3BB69-23CF-44E3-9099-C40C66FF867C}">
                  <a14:compatExt spid="_x0000_s2066"/>
                </a:ext>
                <a:ext uri="{FF2B5EF4-FFF2-40B4-BE49-F238E27FC236}">
                  <a16:creationId xmlns:a16="http://schemas.microsoft.com/office/drawing/2014/main" id="{00000000-0008-0000-0700-000012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Show similarity value after AutoClass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9525</xdr:colOff>
          <xdr:row>24</xdr:row>
          <xdr:rowOff>180975</xdr:rowOff>
        </xdr:from>
        <xdr:to>
          <xdr:col>17</xdr:col>
          <xdr:colOff>581025</xdr:colOff>
          <xdr:row>25</xdr:row>
          <xdr:rowOff>180975</xdr:rowOff>
        </xdr:to>
        <xdr:sp macro="" textlink="">
          <xdr:nvSpPr>
            <xdr:cNvPr id="2067" name="Check Box 19" hidden="1">
              <a:extLst>
                <a:ext uri="{63B3BB69-23CF-44E3-9099-C40C66FF867C}">
                  <a14:compatExt spid="_x0000_s2067"/>
                </a:ext>
                <a:ext uri="{FF2B5EF4-FFF2-40B4-BE49-F238E27FC236}">
                  <a16:creationId xmlns:a16="http://schemas.microsoft.com/office/drawing/2014/main" id="{00000000-0008-0000-0700-000013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Restrict peaks to the following...</a:t>
              </a:r>
            </a:p>
          </xdr:txBody>
        </xdr:sp>
        <xdr:clientData/>
      </xdr:twoCellAnchor>
    </mc:Choice>
    <mc:Fallback/>
  </mc:AlternateContent>
  <mc:AlternateContent xmlns:mc="http://schemas.openxmlformats.org/markup-compatibility/2006">
    <mc:Choice xmlns:a14="http://schemas.microsoft.com/office/drawing/2010/main" Requires="a14">
      <xdr:twoCellAnchor>
        <xdr:from>
          <xdr:col>19</xdr:col>
          <xdr:colOff>9525</xdr:colOff>
          <xdr:row>35</xdr:row>
          <xdr:rowOff>19050</xdr:rowOff>
        </xdr:from>
        <xdr:to>
          <xdr:col>20</xdr:col>
          <xdr:colOff>581025</xdr:colOff>
          <xdr:row>35</xdr:row>
          <xdr:rowOff>180975</xdr:rowOff>
        </xdr:to>
        <xdr:sp macro="" textlink="">
          <xdr:nvSpPr>
            <xdr:cNvPr id="2068" name="Option 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Name from Filename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19</xdr:col>
          <xdr:colOff>9525</xdr:colOff>
          <xdr:row>36</xdr:row>
          <xdr:rowOff>19050</xdr:rowOff>
        </xdr:from>
        <xdr:to>
          <xdr:col>20</xdr:col>
          <xdr:colOff>600075</xdr:colOff>
          <xdr:row>36</xdr:row>
          <xdr:rowOff>171450</xdr:rowOff>
        </xdr:to>
        <xdr:sp macro="" textlink="">
          <xdr:nvSpPr>
            <xdr:cNvPr id="2069" name="Option 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Name from Sequence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15</xdr:col>
          <xdr:colOff>9525</xdr:colOff>
          <xdr:row>35</xdr:row>
          <xdr:rowOff>9525</xdr:rowOff>
        </xdr:from>
        <xdr:to>
          <xdr:col>16</xdr:col>
          <xdr:colOff>371475</xdr:colOff>
          <xdr:row>35</xdr:row>
          <xdr:rowOff>180975</xdr:rowOff>
        </xdr:to>
        <xdr:sp macro="" textlink="">
          <xdr:nvSpPr>
            <xdr:cNvPr id="2070" name="Check Box 22" hidden="1">
              <a:extLst>
                <a:ext uri="{63B3BB69-23CF-44E3-9099-C40C66FF867C}">
                  <a14:compatExt spid="_x0000_s2070"/>
                </a:ext>
                <a:ext uri="{FF2B5EF4-FFF2-40B4-BE49-F238E27FC236}">
                  <a16:creationId xmlns:a16="http://schemas.microsoft.com/office/drawing/2014/main" id="{00000000-0008-0000-0700-000016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Peak Number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15</xdr:col>
          <xdr:colOff>9525</xdr:colOff>
          <xdr:row>36</xdr:row>
          <xdr:rowOff>9525</xdr:rowOff>
        </xdr:from>
        <xdr:to>
          <xdr:col>16</xdr:col>
          <xdr:colOff>371475</xdr:colOff>
          <xdr:row>36</xdr:row>
          <xdr:rowOff>180975</xdr:rowOff>
        </xdr:to>
        <xdr:sp macro="" textlink="">
          <xdr:nvSpPr>
            <xdr:cNvPr id="2071" name="Check Box 23" hidden="1">
              <a:extLst>
                <a:ext uri="{63B3BB69-23CF-44E3-9099-C40C66FF867C}">
                  <a14:compatExt spid="_x0000_s2071"/>
                </a:ext>
                <a:ext uri="{FF2B5EF4-FFF2-40B4-BE49-F238E27FC236}">
                  <a16:creationId xmlns:a16="http://schemas.microsoft.com/office/drawing/2014/main" id="{00000000-0008-0000-0700-000017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Peak Rank</a:t>
              </a:r>
            </a:p>
          </xdr:txBody>
        </xdr:sp>
        <xdr:clientData/>
      </xdr:twoCellAnchor>
    </mc:Choice>
    <mc:Fallback/>
  </mc:AlternateContent>
  <mc:AlternateContent xmlns:mc="http://schemas.openxmlformats.org/markup-compatibility/2006">
    <mc:Choice xmlns:a14="http://schemas.microsoft.com/office/drawing/2010/main" Requires="a14">
      <xdr:twoCellAnchor>
        <xdr:from>
          <xdr:col>16</xdr:col>
          <xdr:colOff>381000</xdr:colOff>
          <xdr:row>35</xdr:row>
          <xdr:rowOff>9525</xdr:rowOff>
        </xdr:from>
        <xdr:to>
          <xdr:col>17</xdr:col>
          <xdr:colOff>590550</xdr:colOff>
          <xdr:row>35</xdr:row>
          <xdr:rowOff>180975</xdr:rowOff>
        </xdr:to>
        <xdr:sp macro="" textlink="">
          <xdr:nvSpPr>
            <xdr:cNvPr id="2072" name="Check Box 24" hidden="1">
              <a:extLst>
                <a:ext uri="{63B3BB69-23CF-44E3-9099-C40C66FF867C}">
                  <a14:compatExt spid="_x0000_s2072"/>
                </a:ext>
                <a:ext uri="{FF2B5EF4-FFF2-40B4-BE49-F238E27FC236}">
                  <a16:creationId xmlns:a16="http://schemas.microsoft.com/office/drawing/2014/main" id="{00000000-0008-0000-0700-000018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 Area</a:t>
              </a:r>
            </a:p>
          </xdr:txBody>
        </xdr:sp>
        <xdr:clientData/>
      </xdr:twoCellAnchor>
    </mc:Choice>
    <mc:Fallback/>
  </mc:AlternateContent>
  <mc:AlternateContent xmlns:mc="http://schemas.openxmlformats.org/markup-compatibility/2006">
    <mc:Choice xmlns:a14="http://schemas.microsoft.com/office/drawing/2010/main" Requires="a14">
      <xdr:twoCellAnchor>
        <xdr:from>
          <xdr:col>16</xdr:col>
          <xdr:colOff>381000</xdr:colOff>
          <xdr:row>36</xdr:row>
          <xdr:rowOff>9525</xdr:rowOff>
        </xdr:from>
        <xdr:to>
          <xdr:col>17</xdr:col>
          <xdr:colOff>590550</xdr:colOff>
          <xdr:row>36</xdr:row>
          <xdr:rowOff>171450</xdr:rowOff>
        </xdr:to>
        <xdr:sp macro="" textlink="">
          <xdr:nvSpPr>
            <xdr:cNvPr id="2073" name="Check Box 25" hidden="1">
              <a:extLst>
                <a:ext uri="{63B3BB69-23CF-44E3-9099-C40C66FF867C}">
                  <a14:compatExt spid="_x0000_s2073"/>
                </a:ext>
                <a:ext uri="{FF2B5EF4-FFF2-40B4-BE49-F238E27FC236}">
                  <a16:creationId xmlns:a16="http://schemas.microsoft.com/office/drawing/2014/main" id="{00000000-0008-0000-0700-000019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Pos/Neg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600075</xdr:colOff>
          <xdr:row>35</xdr:row>
          <xdr:rowOff>0</xdr:rowOff>
        </xdr:from>
        <xdr:to>
          <xdr:col>20</xdr:col>
          <xdr:colOff>600075</xdr:colOff>
          <xdr:row>36</xdr:row>
          <xdr:rowOff>190500</xdr:rowOff>
        </xdr:to>
        <xdr:sp macro="" textlink="">
          <xdr:nvSpPr>
            <xdr:cNvPr id="2074" name="Group Box 26" hidden="1">
              <a:extLst>
                <a:ext uri="{63B3BB69-23CF-44E3-9099-C40C66FF867C}">
                  <a14:compatExt spid="_x0000_s2074"/>
                </a:ext>
                <a:ext uri="{FF2B5EF4-FFF2-40B4-BE49-F238E27FC236}">
                  <a16:creationId xmlns:a16="http://schemas.microsoft.com/office/drawing/2014/main" id="{00000000-0008-0000-0700-00001A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32.xml"/><Relationship Id="rId3" Type="http://schemas.openxmlformats.org/officeDocument/2006/relationships/vmlDrawing" Target="../drawings/vmlDrawing2.vml"/><Relationship Id="rId7" Type="http://schemas.openxmlformats.org/officeDocument/2006/relationships/ctrlProp" Target="../ctrlProps/ctrlProp31.xml"/><Relationship Id="rId12" Type="http://schemas.openxmlformats.org/officeDocument/2006/relationships/ctrlProp" Target="../ctrlProps/ctrlProp3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0.xml"/><Relationship Id="rId11" Type="http://schemas.openxmlformats.org/officeDocument/2006/relationships/ctrlProp" Target="../ctrlProps/ctrlProp35.xml"/><Relationship Id="rId5" Type="http://schemas.openxmlformats.org/officeDocument/2006/relationships/ctrlProp" Target="../ctrlProps/ctrlProp29.xml"/><Relationship Id="rId10" Type="http://schemas.openxmlformats.org/officeDocument/2006/relationships/ctrlProp" Target="../ctrlProps/ctrlProp34.xml"/><Relationship Id="rId4" Type="http://schemas.openxmlformats.org/officeDocument/2006/relationships/ctrlProp" Target="../ctrlProps/ctrlProp28.xml"/><Relationship Id="rId9" Type="http://schemas.openxmlformats.org/officeDocument/2006/relationships/ctrlProp" Target="../ctrlProps/ctrlProp33.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41.xml"/><Relationship Id="rId13" Type="http://schemas.openxmlformats.org/officeDocument/2006/relationships/ctrlProp" Target="../ctrlProps/ctrlProp46.xml"/><Relationship Id="rId18" Type="http://schemas.openxmlformats.org/officeDocument/2006/relationships/ctrlProp" Target="../ctrlProps/ctrlProp51.xml"/><Relationship Id="rId26" Type="http://schemas.openxmlformats.org/officeDocument/2006/relationships/ctrlProp" Target="../ctrlProps/ctrlProp59.xml"/><Relationship Id="rId39" Type="http://schemas.openxmlformats.org/officeDocument/2006/relationships/ctrlProp" Target="../ctrlProps/ctrlProp72.xml"/><Relationship Id="rId3" Type="http://schemas.openxmlformats.org/officeDocument/2006/relationships/vmlDrawing" Target="../drawings/vmlDrawing3.vml"/><Relationship Id="rId21" Type="http://schemas.openxmlformats.org/officeDocument/2006/relationships/ctrlProp" Target="../ctrlProps/ctrlProp54.xml"/><Relationship Id="rId34" Type="http://schemas.openxmlformats.org/officeDocument/2006/relationships/ctrlProp" Target="../ctrlProps/ctrlProp67.xml"/><Relationship Id="rId42" Type="http://schemas.openxmlformats.org/officeDocument/2006/relationships/ctrlProp" Target="../ctrlProps/ctrlProp75.xml"/><Relationship Id="rId7" Type="http://schemas.openxmlformats.org/officeDocument/2006/relationships/ctrlProp" Target="../ctrlProps/ctrlProp40.xml"/><Relationship Id="rId12" Type="http://schemas.openxmlformats.org/officeDocument/2006/relationships/ctrlProp" Target="../ctrlProps/ctrlProp45.xml"/><Relationship Id="rId17" Type="http://schemas.openxmlformats.org/officeDocument/2006/relationships/ctrlProp" Target="../ctrlProps/ctrlProp50.xml"/><Relationship Id="rId25" Type="http://schemas.openxmlformats.org/officeDocument/2006/relationships/ctrlProp" Target="../ctrlProps/ctrlProp58.xml"/><Relationship Id="rId33" Type="http://schemas.openxmlformats.org/officeDocument/2006/relationships/ctrlProp" Target="../ctrlProps/ctrlProp66.xml"/><Relationship Id="rId38" Type="http://schemas.openxmlformats.org/officeDocument/2006/relationships/ctrlProp" Target="../ctrlProps/ctrlProp71.xml"/><Relationship Id="rId46" Type="http://schemas.openxmlformats.org/officeDocument/2006/relationships/ctrlProp" Target="../ctrlProps/ctrlProp79.xml"/><Relationship Id="rId2" Type="http://schemas.openxmlformats.org/officeDocument/2006/relationships/drawing" Target="../drawings/drawing3.xml"/><Relationship Id="rId16" Type="http://schemas.openxmlformats.org/officeDocument/2006/relationships/ctrlProp" Target="../ctrlProps/ctrlProp49.xml"/><Relationship Id="rId20" Type="http://schemas.openxmlformats.org/officeDocument/2006/relationships/ctrlProp" Target="../ctrlProps/ctrlProp53.xml"/><Relationship Id="rId29" Type="http://schemas.openxmlformats.org/officeDocument/2006/relationships/ctrlProp" Target="../ctrlProps/ctrlProp62.xml"/><Relationship Id="rId41" Type="http://schemas.openxmlformats.org/officeDocument/2006/relationships/ctrlProp" Target="../ctrlProps/ctrlProp74.xml"/><Relationship Id="rId1" Type="http://schemas.openxmlformats.org/officeDocument/2006/relationships/printerSettings" Target="../printerSettings/printerSettings3.bin"/><Relationship Id="rId6" Type="http://schemas.openxmlformats.org/officeDocument/2006/relationships/ctrlProp" Target="../ctrlProps/ctrlProp39.xml"/><Relationship Id="rId11" Type="http://schemas.openxmlformats.org/officeDocument/2006/relationships/ctrlProp" Target="../ctrlProps/ctrlProp44.xml"/><Relationship Id="rId24" Type="http://schemas.openxmlformats.org/officeDocument/2006/relationships/ctrlProp" Target="../ctrlProps/ctrlProp57.xml"/><Relationship Id="rId32" Type="http://schemas.openxmlformats.org/officeDocument/2006/relationships/ctrlProp" Target="../ctrlProps/ctrlProp65.xml"/><Relationship Id="rId37" Type="http://schemas.openxmlformats.org/officeDocument/2006/relationships/ctrlProp" Target="../ctrlProps/ctrlProp70.xml"/><Relationship Id="rId40" Type="http://schemas.openxmlformats.org/officeDocument/2006/relationships/ctrlProp" Target="../ctrlProps/ctrlProp73.xml"/><Relationship Id="rId45" Type="http://schemas.openxmlformats.org/officeDocument/2006/relationships/ctrlProp" Target="../ctrlProps/ctrlProp78.xml"/><Relationship Id="rId5" Type="http://schemas.openxmlformats.org/officeDocument/2006/relationships/ctrlProp" Target="../ctrlProps/ctrlProp38.xml"/><Relationship Id="rId15" Type="http://schemas.openxmlformats.org/officeDocument/2006/relationships/ctrlProp" Target="../ctrlProps/ctrlProp48.xml"/><Relationship Id="rId23" Type="http://schemas.openxmlformats.org/officeDocument/2006/relationships/ctrlProp" Target="../ctrlProps/ctrlProp56.xml"/><Relationship Id="rId28" Type="http://schemas.openxmlformats.org/officeDocument/2006/relationships/ctrlProp" Target="../ctrlProps/ctrlProp61.xml"/><Relationship Id="rId36" Type="http://schemas.openxmlformats.org/officeDocument/2006/relationships/ctrlProp" Target="../ctrlProps/ctrlProp69.xml"/><Relationship Id="rId10" Type="http://schemas.openxmlformats.org/officeDocument/2006/relationships/ctrlProp" Target="../ctrlProps/ctrlProp43.xml"/><Relationship Id="rId19" Type="http://schemas.openxmlformats.org/officeDocument/2006/relationships/ctrlProp" Target="../ctrlProps/ctrlProp52.xml"/><Relationship Id="rId31" Type="http://schemas.openxmlformats.org/officeDocument/2006/relationships/ctrlProp" Target="../ctrlProps/ctrlProp64.xml"/><Relationship Id="rId44" Type="http://schemas.openxmlformats.org/officeDocument/2006/relationships/ctrlProp" Target="../ctrlProps/ctrlProp77.xml"/><Relationship Id="rId4" Type="http://schemas.openxmlformats.org/officeDocument/2006/relationships/ctrlProp" Target="../ctrlProps/ctrlProp37.xml"/><Relationship Id="rId9" Type="http://schemas.openxmlformats.org/officeDocument/2006/relationships/ctrlProp" Target="../ctrlProps/ctrlProp42.xml"/><Relationship Id="rId14" Type="http://schemas.openxmlformats.org/officeDocument/2006/relationships/ctrlProp" Target="../ctrlProps/ctrlProp47.xml"/><Relationship Id="rId22" Type="http://schemas.openxmlformats.org/officeDocument/2006/relationships/ctrlProp" Target="../ctrlProps/ctrlProp55.xml"/><Relationship Id="rId27" Type="http://schemas.openxmlformats.org/officeDocument/2006/relationships/ctrlProp" Target="../ctrlProps/ctrlProp60.xml"/><Relationship Id="rId30" Type="http://schemas.openxmlformats.org/officeDocument/2006/relationships/ctrlProp" Target="../ctrlProps/ctrlProp63.xml"/><Relationship Id="rId35" Type="http://schemas.openxmlformats.org/officeDocument/2006/relationships/ctrlProp" Target="../ctrlProps/ctrlProp68.xml"/><Relationship Id="rId43" Type="http://schemas.openxmlformats.org/officeDocument/2006/relationships/ctrlProp" Target="../ctrlProps/ctrlProp76.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84.xml"/><Relationship Id="rId13" Type="http://schemas.openxmlformats.org/officeDocument/2006/relationships/ctrlProp" Target="../ctrlProps/ctrlProp89.xml"/><Relationship Id="rId18" Type="http://schemas.openxmlformats.org/officeDocument/2006/relationships/ctrlProp" Target="../ctrlProps/ctrlProp94.xml"/><Relationship Id="rId26" Type="http://schemas.openxmlformats.org/officeDocument/2006/relationships/ctrlProp" Target="../ctrlProps/ctrlProp102.xml"/><Relationship Id="rId39" Type="http://schemas.openxmlformats.org/officeDocument/2006/relationships/ctrlProp" Target="../ctrlProps/ctrlProp115.xml"/><Relationship Id="rId3" Type="http://schemas.openxmlformats.org/officeDocument/2006/relationships/vmlDrawing" Target="../drawings/vmlDrawing4.vml"/><Relationship Id="rId21" Type="http://schemas.openxmlformats.org/officeDocument/2006/relationships/ctrlProp" Target="../ctrlProps/ctrlProp97.xml"/><Relationship Id="rId34" Type="http://schemas.openxmlformats.org/officeDocument/2006/relationships/ctrlProp" Target="../ctrlProps/ctrlProp110.xml"/><Relationship Id="rId42" Type="http://schemas.openxmlformats.org/officeDocument/2006/relationships/ctrlProp" Target="../ctrlProps/ctrlProp118.xml"/><Relationship Id="rId7" Type="http://schemas.openxmlformats.org/officeDocument/2006/relationships/ctrlProp" Target="../ctrlProps/ctrlProp83.xml"/><Relationship Id="rId12" Type="http://schemas.openxmlformats.org/officeDocument/2006/relationships/ctrlProp" Target="../ctrlProps/ctrlProp88.xml"/><Relationship Id="rId17" Type="http://schemas.openxmlformats.org/officeDocument/2006/relationships/ctrlProp" Target="../ctrlProps/ctrlProp93.xml"/><Relationship Id="rId25" Type="http://schemas.openxmlformats.org/officeDocument/2006/relationships/ctrlProp" Target="../ctrlProps/ctrlProp101.xml"/><Relationship Id="rId33" Type="http://schemas.openxmlformats.org/officeDocument/2006/relationships/ctrlProp" Target="../ctrlProps/ctrlProp109.xml"/><Relationship Id="rId38" Type="http://schemas.openxmlformats.org/officeDocument/2006/relationships/ctrlProp" Target="../ctrlProps/ctrlProp114.xml"/><Relationship Id="rId2" Type="http://schemas.openxmlformats.org/officeDocument/2006/relationships/drawing" Target="../drawings/drawing6.xml"/><Relationship Id="rId16" Type="http://schemas.openxmlformats.org/officeDocument/2006/relationships/ctrlProp" Target="../ctrlProps/ctrlProp92.xml"/><Relationship Id="rId20" Type="http://schemas.openxmlformats.org/officeDocument/2006/relationships/ctrlProp" Target="../ctrlProps/ctrlProp96.xml"/><Relationship Id="rId29" Type="http://schemas.openxmlformats.org/officeDocument/2006/relationships/ctrlProp" Target="../ctrlProps/ctrlProp105.xml"/><Relationship Id="rId41" Type="http://schemas.openxmlformats.org/officeDocument/2006/relationships/ctrlProp" Target="../ctrlProps/ctrlProp117.xml"/><Relationship Id="rId1" Type="http://schemas.openxmlformats.org/officeDocument/2006/relationships/printerSettings" Target="../printerSettings/printerSettings4.bin"/><Relationship Id="rId6" Type="http://schemas.openxmlformats.org/officeDocument/2006/relationships/ctrlProp" Target="../ctrlProps/ctrlProp82.xml"/><Relationship Id="rId11" Type="http://schemas.openxmlformats.org/officeDocument/2006/relationships/ctrlProp" Target="../ctrlProps/ctrlProp87.xml"/><Relationship Id="rId24" Type="http://schemas.openxmlformats.org/officeDocument/2006/relationships/ctrlProp" Target="../ctrlProps/ctrlProp100.xml"/><Relationship Id="rId32" Type="http://schemas.openxmlformats.org/officeDocument/2006/relationships/ctrlProp" Target="../ctrlProps/ctrlProp108.xml"/><Relationship Id="rId37" Type="http://schemas.openxmlformats.org/officeDocument/2006/relationships/ctrlProp" Target="../ctrlProps/ctrlProp113.xml"/><Relationship Id="rId40" Type="http://schemas.openxmlformats.org/officeDocument/2006/relationships/ctrlProp" Target="../ctrlProps/ctrlProp116.xml"/><Relationship Id="rId5" Type="http://schemas.openxmlformats.org/officeDocument/2006/relationships/ctrlProp" Target="../ctrlProps/ctrlProp81.xml"/><Relationship Id="rId15" Type="http://schemas.openxmlformats.org/officeDocument/2006/relationships/ctrlProp" Target="../ctrlProps/ctrlProp91.xml"/><Relationship Id="rId23" Type="http://schemas.openxmlformats.org/officeDocument/2006/relationships/ctrlProp" Target="../ctrlProps/ctrlProp99.xml"/><Relationship Id="rId28" Type="http://schemas.openxmlformats.org/officeDocument/2006/relationships/ctrlProp" Target="../ctrlProps/ctrlProp104.xml"/><Relationship Id="rId36" Type="http://schemas.openxmlformats.org/officeDocument/2006/relationships/ctrlProp" Target="../ctrlProps/ctrlProp112.xml"/><Relationship Id="rId10" Type="http://schemas.openxmlformats.org/officeDocument/2006/relationships/ctrlProp" Target="../ctrlProps/ctrlProp86.xml"/><Relationship Id="rId19" Type="http://schemas.openxmlformats.org/officeDocument/2006/relationships/ctrlProp" Target="../ctrlProps/ctrlProp95.xml"/><Relationship Id="rId31" Type="http://schemas.openxmlformats.org/officeDocument/2006/relationships/ctrlProp" Target="../ctrlProps/ctrlProp107.xml"/><Relationship Id="rId4" Type="http://schemas.openxmlformats.org/officeDocument/2006/relationships/ctrlProp" Target="../ctrlProps/ctrlProp80.xml"/><Relationship Id="rId9" Type="http://schemas.openxmlformats.org/officeDocument/2006/relationships/ctrlProp" Target="../ctrlProps/ctrlProp85.xml"/><Relationship Id="rId14" Type="http://schemas.openxmlformats.org/officeDocument/2006/relationships/ctrlProp" Target="../ctrlProps/ctrlProp90.xml"/><Relationship Id="rId22" Type="http://schemas.openxmlformats.org/officeDocument/2006/relationships/ctrlProp" Target="../ctrlProps/ctrlProp98.xml"/><Relationship Id="rId27" Type="http://schemas.openxmlformats.org/officeDocument/2006/relationships/ctrlProp" Target="../ctrlProps/ctrlProp103.xml"/><Relationship Id="rId30" Type="http://schemas.openxmlformats.org/officeDocument/2006/relationships/ctrlProp" Target="../ctrlProps/ctrlProp106.xml"/><Relationship Id="rId35" Type="http://schemas.openxmlformats.org/officeDocument/2006/relationships/ctrlProp" Target="../ctrlProps/ctrlProp111.xm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129.xml"/><Relationship Id="rId18" Type="http://schemas.openxmlformats.org/officeDocument/2006/relationships/ctrlProp" Target="../ctrlProps/ctrlProp134.xml"/><Relationship Id="rId26" Type="http://schemas.openxmlformats.org/officeDocument/2006/relationships/ctrlProp" Target="../ctrlProps/ctrlProp142.xml"/><Relationship Id="rId39" Type="http://schemas.openxmlformats.org/officeDocument/2006/relationships/ctrlProp" Target="../ctrlProps/ctrlProp155.xml"/><Relationship Id="rId3" Type="http://schemas.openxmlformats.org/officeDocument/2006/relationships/ctrlProp" Target="../ctrlProps/ctrlProp119.xml"/><Relationship Id="rId21" Type="http://schemas.openxmlformats.org/officeDocument/2006/relationships/ctrlProp" Target="../ctrlProps/ctrlProp137.xml"/><Relationship Id="rId34" Type="http://schemas.openxmlformats.org/officeDocument/2006/relationships/ctrlProp" Target="../ctrlProps/ctrlProp150.xml"/><Relationship Id="rId42" Type="http://schemas.openxmlformats.org/officeDocument/2006/relationships/ctrlProp" Target="../ctrlProps/ctrlProp158.xml"/><Relationship Id="rId47" Type="http://schemas.openxmlformats.org/officeDocument/2006/relationships/ctrlProp" Target="../ctrlProps/ctrlProp163.xml"/><Relationship Id="rId50" Type="http://schemas.openxmlformats.org/officeDocument/2006/relationships/ctrlProp" Target="../ctrlProps/ctrlProp166.xml"/><Relationship Id="rId7" Type="http://schemas.openxmlformats.org/officeDocument/2006/relationships/ctrlProp" Target="../ctrlProps/ctrlProp123.xml"/><Relationship Id="rId12" Type="http://schemas.openxmlformats.org/officeDocument/2006/relationships/ctrlProp" Target="../ctrlProps/ctrlProp128.xml"/><Relationship Id="rId17" Type="http://schemas.openxmlformats.org/officeDocument/2006/relationships/ctrlProp" Target="../ctrlProps/ctrlProp133.xml"/><Relationship Id="rId25" Type="http://schemas.openxmlformats.org/officeDocument/2006/relationships/ctrlProp" Target="../ctrlProps/ctrlProp141.xml"/><Relationship Id="rId33" Type="http://schemas.openxmlformats.org/officeDocument/2006/relationships/ctrlProp" Target="../ctrlProps/ctrlProp149.xml"/><Relationship Id="rId38" Type="http://schemas.openxmlformats.org/officeDocument/2006/relationships/ctrlProp" Target="../ctrlProps/ctrlProp154.xml"/><Relationship Id="rId46" Type="http://schemas.openxmlformats.org/officeDocument/2006/relationships/ctrlProp" Target="../ctrlProps/ctrlProp162.xml"/><Relationship Id="rId2" Type="http://schemas.openxmlformats.org/officeDocument/2006/relationships/vmlDrawing" Target="../drawings/vmlDrawing5.vml"/><Relationship Id="rId16" Type="http://schemas.openxmlformats.org/officeDocument/2006/relationships/ctrlProp" Target="../ctrlProps/ctrlProp132.xml"/><Relationship Id="rId20" Type="http://schemas.openxmlformats.org/officeDocument/2006/relationships/ctrlProp" Target="../ctrlProps/ctrlProp136.xml"/><Relationship Id="rId29" Type="http://schemas.openxmlformats.org/officeDocument/2006/relationships/ctrlProp" Target="../ctrlProps/ctrlProp145.xml"/><Relationship Id="rId41" Type="http://schemas.openxmlformats.org/officeDocument/2006/relationships/ctrlProp" Target="../ctrlProps/ctrlProp157.xml"/><Relationship Id="rId1" Type="http://schemas.openxmlformats.org/officeDocument/2006/relationships/drawing" Target="../drawings/drawing8.xml"/><Relationship Id="rId6" Type="http://schemas.openxmlformats.org/officeDocument/2006/relationships/ctrlProp" Target="../ctrlProps/ctrlProp122.xml"/><Relationship Id="rId11" Type="http://schemas.openxmlformats.org/officeDocument/2006/relationships/ctrlProp" Target="../ctrlProps/ctrlProp127.xml"/><Relationship Id="rId24" Type="http://schemas.openxmlformats.org/officeDocument/2006/relationships/ctrlProp" Target="../ctrlProps/ctrlProp140.xml"/><Relationship Id="rId32" Type="http://schemas.openxmlformats.org/officeDocument/2006/relationships/ctrlProp" Target="../ctrlProps/ctrlProp148.xml"/><Relationship Id="rId37" Type="http://schemas.openxmlformats.org/officeDocument/2006/relationships/ctrlProp" Target="../ctrlProps/ctrlProp153.xml"/><Relationship Id="rId40" Type="http://schemas.openxmlformats.org/officeDocument/2006/relationships/ctrlProp" Target="../ctrlProps/ctrlProp156.xml"/><Relationship Id="rId45" Type="http://schemas.openxmlformats.org/officeDocument/2006/relationships/ctrlProp" Target="../ctrlProps/ctrlProp161.xml"/><Relationship Id="rId53" Type="http://schemas.openxmlformats.org/officeDocument/2006/relationships/ctrlProp" Target="../ctrlProps/ctrlProp169.xml"/><Relationship Id="rId5" Type="http://schemas.openxmlformats.org/officeDocument/2006/relationships/ctrlProp" Target="../ctrlProps/ctrlProp121.xml"/><Relationship Id="rId15" Type="http://schemas.openxmlformats.org/officeDocument/2006/relationships/ctrlProp" Target="../ctrlProps/ctrlProp131.xml"/><Relationship Id="rId23" Type="http://schemas.openxmlformats.org/officeDocument/2006/relationships/ctrlProp" Target="../ctrlProps/ctrlProp139.xml"/><Relationship Id="rId28" Type="http://schemas.openxmlformats.org/officeDocument/2006/relationships/ctrlProp" Target="../ctrlProps/ctrlProp144.xml"/><Relationship Id="rId36" Type="http://schemas.openxmlformats.org/officeDocument/2006/relationships/ctrlProp" Target="../ctrlProps/ctrlProp152.xml"/><Relationship Id="rId49" Type="http://schemas.openxmlformats.org/officeDocument/2006/relationships/ctrlProp" Target="../ctrlProps/ctrlProp165.xml"/><Relationship Id="rId10" Type="http://schemas.openxmlformats.org/officeDocument/2006/relationships/ctrlProp" Target="../ctrlProps/ctrlProp126.xml"/><Relationship Id="rId19" Type="http://schemas.openxmlformats.org/officeDocument/2006/relationships/ctrlProp" Target="../ctrlProps/ctrlProp135.xml"/><Relationship Id="rId31" Type="http://schemas.openxmlformats.org/officeDocument/2006/relationships/ctrlProp" Target="../ctrlProps/ctrlProp147.xml"/><Relationship Id="rId44" Type="http://schemas.openxmlformats.org/officeDocument/2006/relationships/ctrlProp" Target="../ctrlProps/ctrlProp160.xml"/><Relationship Id="rId52" Type="http://schemas.openxmlformats.org/officeDocument/2006/relationships/ctrlProp" Target="../ctrlProps/ctrlProp168.xml"/><Relationship Id="rId4" Type="http://schemas.openxmlformats.org/officeDocument/2006/relationships/ctrlProp" Target="../ctrlProps/ctrlProp120.xml"/><Relationship Id="rId9" Type="http://schemas.openxmlformats.org/officeDocument/2006/relationships/ctrlProp" Target="../ctrlProps/ctrlProp125.xml"/><Relationship Id="rId14" Type="http://schemas.openxmlformats.org/officeDocument/2006/relationships/ctrlProp" Target="../ctrlProps/ctrlProp130.xml"/><Relationship Id="rId22" Type="http://schemas.openxmlformats.org/officeDocument/2006/relationships/ctrlProp" Target="../ctrlProps/ctrlProp138.xml"/><Relationship Id="rId27" Type="http://schemas.openxmlformats.org/officeDocument/2006/relationships/ctrlProp" Target="../ctrlProps/ctrlProp143.xml"/><Relationship Id="rId30" Type="http://schemas.openxmlformats.org/officeDocument/2006/relationships/ctrlProp" Target="../ctrlProps/ctrlProp146.xml"/><Relationship Id="rId35" Type="http://schemas.openxmlformats.org/officeDocument/2006/relationships/ctrlProp" Target="../ctrlProps/ctrlProp151.xml"/><Relationship Id="rId43" Type="http://schemas.openxmlformats.org/officeDocument/2006/relationships/ctrlProp" Target="../ctrlProps/ctrlProp159.xml"/><Relationship Id="rId48" Type="http://schemas.openxmlformats.org/officeDocument/2006/relationships/ctrlProp" Target="../ctrlProps/ctrlProp164.xml"/><Relationship Id="rId8" Type="http://schemas.openxmlformats.org/officeDocument/2006/relationships/ctrlProp" Target="../ctrlProps/ctrlProp124.xml"/><Relationship Id="rId51" Type="http://schemas.openxmlformats.org/officeDocument/2006/relationships/ctrlProp" Target="../ctrlProps/ctrlProp167.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73.xml"/><Relationship Id="rId13" Type="http://schemas.openxmlformats.org/officeDocument/2006/relationships/ctrlProp" Target="../ctrlProps/ctrlProp178.xml"/><Relationship Id="rId18" Type="http://schemas.openxmlformats.org/officeDocument/2006/relationships/ctrlProp" Target="../ctrlProps/ctrlProp183.xml"/><Relationship Id="rId26" Type="http://schemas.openxmlformats.org/officeDocument/2006/relationships/ctrlProp" Target="../ctrlProps/ctrlProp191.xml"/><Relationship Id="rId39" Type="http://schemas.openxmlformats.org/officeDocument/2006/relationships/ctrlProp" Target="../ctrlProps/ctrlProp204.xml"/><Relationship Id="rId3" Type="http://schemas.openxmlformats.org/officeDocument/2006/relationships/control" Target="../activeX/activeX1.xml"/><Relationship Id="rId21" Type="http://schemas.openxmlformats.org/officeDocument/2006/relationships/ctrlProp" Target="../ctrlProps/ctrlProp186.xml"/><Relationship Id="rId34" Type="http://schemas.openxmlformats.org/officeDocument/2006/relationships/ctrlProp" Target="../ctrlProps/ctrlProp199.xml"/><Relationship Id="rId42" Type="http://schemas.openxmlformats.org/officeDocument/2006/relationships/ctrlProp" Target="../ctrlProps/ctrlProp207.xml"/><Relationship Id="rId7" Type="http://schemas.openxmlformats.org/officeDocument/2006/relationships/ctrlProp" Target="../ctrlProps/ctrlProp172.xml"/><Relationship Id="rId12" Type="http://schemas.openxmlformats.org/officeDocument/2006/relationships/ctrlProp" Target="../ctrlProps/ctrlProp177.xml"/><Relationship Id="rId17" Type="http://schemas.openxmlformats.org/officeDocument/2006/relationships/ctrlProp" Target="../ctrlProps/ctrlProp182.xml"/><Relationship Id="rId25" Type="http://schemas.openxmlformats.org/officeDocument/2006/relationships/ctrlProp" Target="../ctrlProps/ctrlProp190.xml"/><Relationship Id="rId33" Type="http://schemas.openxmlformats.org/officeDocument/2006/relationships/ctrlProp" Target="../ctrlProps/ctrlProp198.xml"/><Relationship Id="rId38" Type="http://schemas.openxmlformats.org/officeDocument/2006/relationships/ctrlProp" Target="../ctrlProps/ctrlProp203.xml"/><Relationship Id="rId2" Type="http://schemas.openxmlformats.org/officeDocument/2006/relationships/vmlDrawing" Target="../drawings/vmlDrawing6.vml"/><Relationship Id="rId16" Type="http://schemas.openxmlformats.org/officeDocument/2006/relationships/ctrlProp" Target="../ctrlProps/ctrlProp181.xml"/><Relationship Id="rId20" Type="http://schemas.openxmlformats.org/officeDocument/2006/relationships/ctrlProp" Target="../ctrlProps/ctrlProp185.xml"/><Relationship Id="rId29" Type="http://schemas.openxmlformats.org/officeDocument/2006/relationships/ctrlProp" Target="../ctrlProps/ctrlProp194.xml"/><Relationship Id="rId41" Type="http://schemas.openxmlformats.org/officeDocument/2006/relationships/ctrlProp" Target="../ctrlProps/ctrlProp206.xml"/><Relationship Id="rId1" Type="http://schemas.openxmlformats.org/officeDocument/2006/relationships/drawing" Target="../drawings/drawing10.xml"/><Relationship Id="rId6" Type="http://schemas.openxmlformats.org/officeDocument/2006/relationships/ctrlProp" Target="../ctrlProps/ctrlProp171.xml"/><Relationship Id="rId11" Type="http://schemas.openxmlformats.org/officeDocument/2006/relationships/ctrlProp" Target="../ctrlProps/ctrlProp176.xml"/><Relationship Id="rId24" Type="http://schemas.openxmlformats.org/officeDocument/2006/relationships/ctrlProp" Target="../ctrlProps/ctrlProp189.xml"/><Relationship Id="rId32" Type="http://schemas.openxmlformats.org/officeDocument/2006/relationships/ctrlProp" Target="../ctrlProps/ctrlProp197.xml"/><Relationship Id="rId37" Type="http://schemas.openxmlformats.org/officeDocument/2006/relationships/ctrlProp" Target="../ctrlProps/ctrlProp202.xml"/><Relationship Id="rId40" Type="http://schemas.openxmlformats.org/officeDocument/2006/relationships/ctrlProp" Target="../ctrlProps/ctrlProp205.xml"/><Relationship Id="rId5" Type="http://schemas.openxmlformats.org/officeDocument/2006/relationships/ctrlProp" Target="../ctrlProps/ctrlProp170.xml"/><Relationship Id="rId15" Type="http://schemas.openxmlformats.org/officeDocument/2006/relationships/ctrlProp" Target="../ctrlProps/ctrlProp180.xml"/><Relationship Id="rId23" Type="http://schemas.openxmlformats.org/officeDocument/2006/relationships/ctrlProp" Target="../ctrlProps/ctrlProp188.xml"/><Relationship Id="rId28" Type="http://schemas.openxmlformats.org/officeDocument/2006/relationships/ctrlProp" Target="../ctrlProps/ctrlProp193.xml"/><Relationship Id="rId36" Type="http://schemas.openxmlformats.org/officeDocument/2006/relationships/ctrlProp" Target="../ctrlProps/ctrlProp201.xml"/><Relationship Id="rId10" Type="http://schemas.openxmlformats.org/officeDocument/2006/relationships/ctrlProp" Target="../ctrlProps/ctrlProp175.xml"/><Relationship Id="rId19" Type="http://schemas.openxmlformats.org/officeDocument/2006/relationships/ctrlProp" Target="../ctrlProps/ctrlProp184.xml"/><Relationship Id="rId31" Type="http://schemas.openxmlformats.org/officeDocument/2006/relationships/ctrlProp" Target="../ctrlProps/ctrlProp196.xml"/><Relationship Id="rId44" Type="http://schemas.openxmlformats.org/officeDocument/2006/relationships/ctrlProp" Target="../ctrlProps/ctrlProp209.xml"/><Relationship Id="rId4" Type="http://schemas.openxmlformats.org/officeDocument/2006/relationships/image" Target="../media/image1.emf"/><Relationship Id="rId9" Type="http://schemas.openxmlformats.org/officeDocument/2006/relationships/ctrlProp" Target="../ctrlProps/ctrlProp174.xml"/><Relationship Id="rId14" Type="http://schemas.openxmlformats.org/officeDocument/2006/relationships/ctrlProp" Target="../ctrlProps/ctrlProp179.xml"/><Relationship Id="rId22" Type="http://schemas.openxmlformats.org/officeDocument/2006/relationships/ctrlProp" Target="../ctrlProps/ctrlProp187.xml"/><Relationship Id="rId27" Type="http://schemas.openxmlformats.org/officeDocument/2006/relationships/ctrlProp" Target="../ctrlProps/ctrlProp192.xml"/><Relationship Id="rId30" Type="http://schemas.openxmlformats.org/officeDocument/2006/relationships/ctrlProp" Target="../ctrlProps/ctrlProp195.xml"/><Relationship Id="rId35" Type="http://schemas.openxmlformats.org/officeDocument/2006/relationships/ctrlProp" Target="../ctrlProps/ctrlProp200.xml"/><Relationship Id="rId43" Type="http://schemas.openxmlformats.org/officeDocument/2006/relationships/ctrlProp" Target="../ctrlProps/ctrlProp208.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10.xml"/><Relationship Id="rId7" Type="http://schemas.openxmlformats.org/officeDocument/2006/relationships/ctrlProp" Target="../ctrlProps/ctrlProp214.xml"/><Relationship Id="rId2" Type="http://schemas.openxmlformats.org/officeDocument/2006/relationships/vmlDrawing" Target="../drawings/vmlDrawing7.vml"/><Relationship Id="rId1" Type="http://schemas.openxmlformats.org/officeDocument/2006/relationships/drawing" Target="../drawings/drawing12.xml"/><Relationship Id="rId6" Type="http://schemas.openxmlformats.org/officeDocument/2006/relationships/ctrlProp" Target="../ctrlProps/ctrlProp213.xml"/><Relationship Id="rId5" Type="http://schemas.openxmlformats.org/officeDocument/2006/relationships/ctrlProp" Target="../ctrlProps/ctrlProp212.xml"/><Relationship Id="rId4" Type="http://schemas.openxmlformats.org/officeDocument/2006/relationships/ctrlProp" Target="../ctrlProps/ctrlProp211.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19.xml"/><Relationship Id="rId13" Type="http://schemas.openxmlformats.org/officeDocument/2006/relationships/ctrlProp" Target="../ctrlProps/ctrlProp224.xml"/><Relationship Id="rId18" Type="http://schemas.openxmlformats.org/officeDocument/2006/relationships/ctrlProp" Target="../ctrlProps/ctrlProp229.xml"/><Relationship Id="rId26" Type="http://schemas.openxmlformats.org/officeDocument/2006/relationships/ctrlProp" Target="../ctrlProps/ctrlProp237.xml"/><Relationship Id="rId3" Type="http://schemas.openxmlformats.org/officeDocument/2006/relationships/vmlDrawing" Target="../drawings/vmlDrawing8.vml"/><Relationship Id="rId21" Type="http://schemas.openxmlformats.org/officeDocument/2006/relationships/ctrlProp" Target="../ctrlProps/ctrlProp232.xml"/><Relationship Id="rId7" Type="http://schemas.openxmlformats.org/officeDocument/2006/relationships/ctrlProp" Target="../ctrlProps/ctrlProp218.xml"/><Relationship Id="rId12" Type="http://schemas.openxmlformats.org/officeDocument/2006/relationships/ctrlProp" Target="../ctrlProps/ctrlProp223.xml"/><Relationship Id="rId17" Type="http://schemas.openxmlformats.org/officeDocument/2006/relationships/ctrlProp" Target="../ctrlProps/ctrlProp228.xml"/><Relationship Id="rId25" Type="http://schemas.openxmlformats.org/officeDocument/2006/relationships/ctrlProp" Target="../ctrlProps/ctrlProp236.xml"/><Relationship Id="rId2" Type="http://schemas.openxmlformats.org/officeDocument/2006/relationships/drawing" Target="../drawings/drawing13.xml"/><Relationship Id="rId16" Type="http://schemas.openxmlformats.org/officeDocument/2006/relationships/ctrlProp" Target="../ctrlProps/ctrlProp227.xml"/><Relationship Id="rId20" Type="http://schemas.openxmlformats.org/officeDocument/2006/relationships/ctrlProp" Target="../ctrlProps/ctrlProp231.xml"/><Relationship Id="rId1" Type="http://schemas.openxmlformats.org/officeDocument/2006/relationships/printerSettings" Target="../printerSettings/printerSettings5.bin"/><Relationship Id="rId6" Type="http://schemas.openxmlformats.org/officeDocument/2006/relationships/ctrlProp" Target="../ctrlProps/ctrlProp217.xml"/><Relationship Id="rId11" Type="http://schemas.openxmlformats.org/officeDocument/2006/relationships/ctrlProp" Target="../ctrlProps/ctrlProp222.xml"/><Relationship Id="rId24" Type="http://schemas.openxmlformats.org/officeDocument/2006/relationships/ctrlProp" Target="../ctrlProps/ctrlProp235.xml"/><Relationship Id="rId5" Type="http://schemas.openxmlformats.org/officeDocument/2006/relationships/ctrlProp" Target="../ctrlProps/ctrlProp216.xml"/><Relationship Id="rId15" Type="http://schemas.openxmlformats.org/officeDocument/2006/relationships/ctrlProp" Target="../ctrlProps/ctrlProp226.xml"/><Relationship Id="rId23" Type="http://schemas.openxmlformats.org/officeDocument/2006/relationships/ctrlProp" Target="../ctrlProps/ctrlProp234.xml"/><Relationship Id="rId10" Type="http://schemas.openxmlformats.org/officeDocument/2006/relationships/ctrlProp" Target="../ctrlProps/ctrlProp221.xml"/><Relationship Id="rId19" Type="http://schemas.openxmlformats.org/officeDocument/2006/relationships/ctrlProp" Target="../ctrlProps/ctrlProp230.xml"/><Relationship Id="rId4" Type="http://schemas.openxmlformats.org/officeDocument/2006/relationships/ctrlProp" Target="../ctrlProps/ctrlProp215.xml"/><Relationship Id="rId9" Type="http://schemas.openxmlformats.org/officeDocument/2006/relationships/ctrlProp" Target="../ctrlProps/ctrlProp220.xml"/><Relationship Id="rId14" Type="http://schemas.openxmlformats.org/officeDocument/2006/relationships/ctrlProp" Target="../ctrlProps/ctrlProp225.xml"/><Relationship Id="rId22" Type="http://schemas.openxmlformats.org/officeDocument/2006/relationships/ctrlProp" Target="../ctrlProps/ctrlProp23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Z300"/>
  <sheetViews>
    <sheetView tabSelected="1" zoomScaleNormal="100" workbookViewId="0"/>
  </sheetViews>
  <sheetFormatPr defaultColWidth="9.140625" defaultRowHeight="123" customHeight="1" x14ac:dyDescent="0.25"/>
  <cols>
    <col min="1" max="1" width="8.7109375" style="21" customWidth="1"/>
    <col min="2" max="6" width="14.28515625" style="21" customWidth="1"/>
    <col min="7" max="8" width="16.85546875" style="21" hidden="1" customWidth="1"/>
    <col min="9" max="11" width="16.85546875" style="21" customWidth="1"/>
    <col min="12" max="12" width="29.140625" style="21" customWidth="1"/>
    <col min="13" max="13" width="4.5703125" style="21" customWidth="1"/>
    <col min="14" max="14" width="40.85546875" style="21" customWidth="1"/>
    <col min="15" max="16" width="40.85546875" style="21" hidden="1" customWidth="1"/>
    <col min="17" max="18" width="14.28515625" style="24" customWidth="1"/>
    <col min="19" max="19" width="41.5703125" style="24" customWidth="1"/>
    <col min="20" max="20" width="43.85546875" style="24" customWidth="1"/>
    <col min="21" max="16384" width="9.140625" style="24"/>
  </cols>
  <sheetData>
    <row r="1" spans="1:26" ht="18" customHeight="1" x14ac:dyDescent="0.25">
      <c r="A1" s="20" t="s">
        <v>7</v>
      </c>
      <c r="B1" s="20" t="s">
        <v>135</v>
      </c>
      <c r="Q1" s="22"/>
      <c r="R1" s="23"/>
      <c r="T1" s="51"/>
      <c r="U1" s="52"/>
      <c r="V1" s="52"/>
      <c r="W1" s="51"/>
      <c r="X1" s="51"/>
      <c r="Y1" s="51"/>
      <c r="Z1" s="52"/>
    </row>
    <row r="2" spans="1:26" ht="18" customHeight="1" x14ac:dyDescent="0.25">
      <c r="A2" s="20" t="s">
        <v>8</v>
      </c>
      <c r="B2" s="20" t="s">
        <v>136</v>
      </c>
      <c r="G2" s="26"/>
      <c r="H2" s="26"/>
      <c r="J2" s="27"/>
      <c r="K2" s="27"/>
      <c r="Q2" s="26"/>
      <c r="R2" s="26"/>
      <c r="T2" s="51"/>
      <c r="U2" s="52"/>
      <c r="V2" s="52"/>
      <c r="W2" s="51"/>
      <c r="X2" s="51"/>
      <c r="Y2" s="51"/>
      <c r="Z2" s="52"/>
    </row>
    <row r="3" spans="1:26" ht="18" customHeight="1" x14ac:dyDescent="0.25">
      <c r="A3" s="28" t="s">
        <v>47</v>
      </c>
      <c r="B3" s="29"/>
      <c r="C3" s="29"/>
      <c r="D3" s="83">
        <v>1</v>
      </c>
      <c r="E3" s="30"/>
      <c r="I3" s="83">
        <v>100</v>
      </c>
      <c r="J3" s="31" t="s">
        <v>133</v>
      </c>
      <c r="K3" s="31" t="s">
        <v>134</v>
      </c>
      <c r="T3" s="51"/>
      <c r="U3" s="52"/>
      <c r="V3" s="52"/>
      <c r="W3" s="51"/>
      <c r="X3" s="51"/>
      <c r="Y3" s="51"/>
      <c r="Z3" s="51"/>
    </row>
    <row r="4" spans="1:26" ht="18" customHeight="1" x14ac:dyDescent="0.3">
      <c r="A4" s="32" t="s">
        <v>32</v>
      </c>
      <c r="B4" s="33" t="s">
        <v>0</v>
      </c>
      <c r="C4" s="33" t="s">
        <v>1</v>
      </c>
      <c r="D4" s="33" t="s">
        <v>2</v>
      </c>
      <c r="E4" s="32" t="s">
        <v>3</v>
      </c>
      <c r="F4" s="33" t="s">
        <v>14</v>
      </c>
      <c r="G4" s="33"/>
      <c r="H4" s="33"/>
      <c r="I4" s="33" t="s">
        <v>9</v>
      </c>
      <c r="J4" s="33" t="s">
        <v>13</v>
      </c>
      <c r="K4" s="33" t="s">
        <v>12</v>
      </c>
      <c r="L4" s="33" t="s">
        <v>6</v>
      </c>
      <c r="M4" s="32" t="s">
        <v>15</v>
      </c>
      <c r="N4" s="33" t="s">
        <v>4</v>
      </c>
      <c r="O4" s="33" t="s">
        <v>10</v>
      </c>
      <c r="P4" s="33" t="s">
        <v>11</v>
      </c>
      <c r="Q4" s="33" t="s">
        <v>31</v>
      </c>
      <c r="R4" s="33" t="s">
        <v>41</v>
      </c>
      <c r="S4" s="33" t="s">
        <v>48</v>
      </c>
      <c r="T4" s="51"/>
      <c r="U4" s="52"/>
      <c r="V4" s="52"/>
      <c r="W4" s="51"/>
      <c r="X4" s="51"/>
      <c r="Y4" s="51"/>
      <c r="Z4" s="52"/>
    </row>
    <row r="5" spans="1:26" ht="123" customHeight="1" x14ac:dyDescent="0.25">
      <c r="A5" s="34">
        <v>1</v>
      </c>
      <c r="B5" s="35">
        <v>1.044778</v>
      </c>
      <c r="C5" s="36">
        <v>84.137298999999999</v>
      </c>
      <c r="D5" s="129">
        <f>C5/_xlfn.AGGREGATE(9,$D$3+4,$C$5:$C$104)*100</f>
        <v>13.427334704853902</v>
      </c>
      <c r="E5" s="35">
        <v>13.427334785461426</v>
      </c>
      <c r="F5" s="37">
        <f>RANK(C5,$C$5:$C$104)</f>
        <v>3</v>
      </c>
      <c r="G5" s="38"/>
      <c r="H5" s="38"/>
      <c r="I5" s="38" t="str">
        <f>molweight(MSData!A2:A7,MSData!C2:C7)</f>
        <v>?</v>
      </c>
      <c r="J5" s="39"/>
      <c r="K5" s="38" t="str">
        <f>UVPeakList(PeakLabels!B3:B300,A5)</f>
        <v>206 (63)
242 (99)
284 (29)
354 (33)</v>
      </c>
      <c r="L5" s="38"/>
      <c r="M5" s="38"/>
      <c r="Q5" s="36">
        <v>6.9326169999999996</v>
      </c>
      <c r="R5" s="36">
        <v>23.547682424329228</v>
      </c>
      <c r="S5" s="48" t="s">
        <v>146</v>
      </c>
    </row>
    <row r="6" spans="1:26" ht="123" customHeight="1" x14ac:dyDescent="0.25">
      <c r="A6" s="34">
        <v>2</v>
      </c>
      <c r="B6" s="35">
        <v>2.5419619999999998</v>
      </c>
      <c r="C6" s="36">
        <v>50.640563999999998</v>
      </c>
      <c r="D6" s="129">
        <f>C6/_xlfn.AGGREGATE(9,$D$3+4,$C$5:$C$104)*100</f>
        <v>8.0816452459517993</v>
      </c>
      <c r="E6" s="35">
        <v>21.508979797363281</v>
      </c>
      <c r="F6" s="37">
        <f>RANK(C6,$C$5:$C$104)</f>
        <v>4</v>
      </c>
      <c r="G6" s="38"/>
      <c r="H6" s="38"/>
      <c r="I6" s="38" t="str">
        <f>molweight(MSData!E2:E7,MSData!G2:G7)</f>
        <v>?</v>
      </c>
      <c r="J6" s="39"/>
      <c r="K6" s="38" t="str">
        <f>UVPeakList(PeakLabels!C3:C300,A6)</f>
        <v>210 (62)
250 (19)
294s (9)
304 (10)
320s (8)
336s (7)
348s (6)
364 (5)
378 (5)
396 (5)
416 (5)
430 (5)
442 (5)
464 (7)
492 (5)
504 (5)
550 (5)
582 (5)
604 (5)
628 (6)</v>
      </c>
      <c r="L6" s="38"/>
      <c r="M6" s="38"/>
      <c r="Q6" s="36">
        <v>3.82755</v>
      </c>
      <c r="R6" s="36">
        <v>13.896637570378019</v>
      </c>
      <c r="S6" s="48" t="s">
        <v>147</v>
      </c>
    </row>
    <row r="7" spans="1:26" ht="123" customHeight="1" x14ac:dyDescent="0.25">
      <c r="A7" s="34">
        <v>3</v>
      </c>
      <c r="B7" s="35">
        <v>3.5052150000000002</v>
      </c>
      <c r="C7" s="36">
        <v>22.675488999999999</v>
      </c>
      <c r="D7" s="131">
        <f>C7/_xlfn.AGGREGATE(9,$D$3+4,$C$5:$C$104)*100</f>
        <v>3.6187444096491959</v>
      </c>
      <c r="E7" s="35">
        <v>25.127723693847656</v>
      </c>
      <c r="F7" s="37">
        <f>RANK(C7,$C$5:$C$104)</f>
        <v>6</v>
      </c>
      <c r="G7" s="38"/>
      <c r="H7" s="38"/>
      <c r="I7" s="38" t="str">
        <f>molweight(MSData!I2:I7,MSData!K2:K7)</f>
        <v>?</v>
      </c>
      <c r="J7" s="39"/>
      <c r="K7" s="38" t="str">
        <f>UVPeakList(PeakLabels!D3:D300,A7)</f>
        <v>204 (91)
242 (100)
274 (41)
298 (32)
388 (48)
488 (6)</v>
      </c>
      <c r="L7" s="38"/>
      <c r="M7" s="38"/>
      <c r="Q7" s="36">
        <v>2.6309399999999998</v>
      </c>
      <c r="R7" s="36">
        <v>10.177382307065967</v>
      </c>
      <c r="S7" s="48" t="s">
        <v>148</v>
      </c>
    </row>
    <row r="8" spans="1:26" ht="123" customHeight="1" x14ac:dyDescent="0.25">
      <c r="A8" s="34">
        <v>4</v>
      </c>
      <c r="B8" s="35">
        <v>3.7896000000000001</v>
      </c>
      <c r="C8" s="36">
        <v>14.444307</v>
      </c>
      <c r="D8" s="35">
        <f>C8/_xlfn.AGGREGATE(9,$D$3+4,$C$5:$C$104)*100</f>
        <v>2.305143461625315</v>
      </c>
      <c r="E8" s="35">
        <v>27.432867050170898</v>
      </c>
      <c r="F8" s="37">
        <f>RANK(C8,$C$5:$C$104)</f>
        <v>8</v>
      </c>
      <c r="G8" s="38"/>
      <c r="H8" s="38"/>
      <c r="I8" s="38" t="str">
        <f>molweight(MSData!M2:M7,MSData!O2:O7)</f>
        <v>?</v>
      </c>
      <c r="J8" s="39"/>
      <c r="K8" s="38" t="str">
        <f>UVPeakList(PeakLabels!E3:E300,A8)</f>
        <v>232 (88)
316 (38)
374 (6)
406s (11)
464 (31)
490 (34)
524 (24)</v>
      </c>
      <c r="L8" s="38"/>
      <c r="M8" s="38"/>
      <c r="Q8" s="36">
        <v>2.263722</v>
      </c>
      <c r="R8" s="36">
        <v>9.0360100309835971</v>
      </c>
      <c r="S8" s="48" t="s">
        <v>149</v>
      </c>
    </row>
    <row r="9" spans="1:26" ht="123" customHeight="1" x14ac:dyDescent="0.25">
      <c r="A9" s="34">
        <v>5</v>
      </c>
      <c r="B9" s="35">
        <v>4.0323710000000004</v>
      </c>
      <c r="C9" s="36">
        <v>16.745491000000001</v>
      </c>
      <c r="D9" s="131">
        <f>C9/_xlfn.AGGREGATE(9,$D$3+4,$C$5:$C$104)*100</f>
        <v>2.6723856734944476</v>
      </c>
      <c r="E9" s="35">
        <v>30.105253219604492</v>
      </c>
      <c r="F9" s="37">
        <f>RANK(C9,$C$5:$C$104)</f>
        <v>7</v>
      </c>
      <c r="G9" s="38"/>
      <c r="H9" s="38"/>
      <c r="I9" s="38" t="str">
        <f>molweight(MSData!Q2:Q7,MSData!S2:S7)</f>
        <v>?</v>
      </c>
      <c r="J9" s="39"/>
      <c r="K9" s="38" t="str">
        <f>UVPeakList(PeakLabels!F3:F300,A9)</f>
        <v>200 (77)
226 (100)
300 (41)
382 (5)
412s (9)
464 (29)
500 (27)
524 (19)
558s (5)</v>
      </c>
      <c r="L9" s="38"/>
      <c r="M9" s="38"/>
      <c r="Q9" s="36">
        <v>2.895683</v>
      </c>
      <c r="R9" s="36">
        <v>11.000245893510192</v>
      </c>
      <c r="S9" s="48" t="s">
        <v>150</v>
      </c>
    </row>
    <row r="10" spans="1:26" ht="123" customHeight="1" x14ac:dyDescent="0.25">
      <c r="A10" s="34">
        <v>6</v>
      </c>
      <c r="B10" s="35">
        <v>4.3879419999999998</v>
      </c>
      <c r="C10" s="36">
        <v>242.32968099999999</v>
      </c>
      <c r="D10" s="129">
        <f>C10/_xlfn.AGGREGATE(9,$D$3+4,$C$5:$C$104)*100</f>
        <v>38.672999661035888</v>
      </c>
      <c r="E10" s="35">
        <v>68.778251647949219</v>
      </c>
      <c r="F10" s="37">
        <f>RANK(C10,$C$5:$C$104)</f>
        <v>1</v>
      </c>
      <c r="G10" s="38"/>
      <c r="H10" s="38"/>
      <c r="I10" s="38" t="str">
        <f>molweight(MSData!U2:U7,MSData!W2:W7)</f>
        <v>?</v>
      </c>
      <c r="J10" s="39"/>
      <c r="K10" s="38" t="str">
        <f>UVPeakList(PeakLabels!G3:G300,A10)</f>
        <v>214 (100)
252 (45)
280 (32)</v>
      </c>
      <c r="L10" s="38"/>
      <c r="M10" s="38"/>
      <c r="Q10" s="36">
        <v>31.529909</v>
      </c>
      <c r="R10" s="36">
        <v>100</v>
      </c>
      <c r="S10" s="48" t="s">
        <v>151</v>
      </c>
    </row>
    <row r="11" spans="1:26" ht="123" customHeight="1" x14ac:dyDescent="0.25">
      <c r="A11" s="34">
        <v>7</v>
      </c>
      <c r="B11" s="35">
        <v>5.45871</v>
      </c>
      <c r="C11" s="36">
        <v>40.078364999999998</v>
      </c>
      <c r="D11" s="130">
        <f>C11/_xlfn.AGGREGATE(9,$D$3+4,$C$5:$C$104)*100</f>
        <v>6.3960410861097632</v>
      </c>
      <c r="E11" s="35">
        <v>75.174293518066406</v>
      </c>
      <c r="F11" s="37">
        <f>RANK(C11,$C$5:$C$104)</f>
        <v>5</v>
      </c>
      <c r="G11" s="38"/>
      <c r="H11" s="38"/>
      <c r="I11" s="38" t="str">
        <f>molweight(MSData!Y2:Y7,MSData!AA2:AA7)</f>
        <v>?</v>
      </c>
      <c r="J11" s="39"/>
      <c r="K11" s="38" t="str">
        <f>UVPeakList(PeakLabels!H3:H300,A11)</f>
        <v>194 (50)
214s (34)
274 (100)</v>
      </c>
      <c r="L11" s="38"/>
      <c r="M11" s="38"/>
      <c r="Q11" s="36">
        <v>7.3235219999999996</v>
      </c>
      <c r="R11" s="36">
        <v>24.762677684861064</v>
      </c>
      <c r="S11" s="48" t="s">
        <v>152</v>
      </c>
    </row>
    <row r="12" spans="1:26" ht="123" customHeight="1" x14ac:dyDescent="0.25">
      <c r="A12" s="34">
        <v>8</v>
      </c>
      <c r="B12" s="35">
        <v>8.5737089999999991</v>
      </c>
      <c r="C12" s="36">
        <v>155.560867</v>
      </c>
      <c r="D12" s="129">
        <f>C12/_xlfn.AGGREGATE(9,$D$3+4,$C$5:$C$104)*100</f>
        <v>24.825705757279685</v>
      </c>
      <c r="E12" s="35">
        <v>100</v>
      </c>
      <c r="F12" s="37">
        <f>RANK(C12,$C$5:$C$104)</f>
        <v>2</v>
      </c>
      <c r="G12" s="38"/>
      <c r="H12" s="38"/>
      <c r="I12" s="38" t="str">
        <f>molweight(MSData!AC2:AC7,MSData!AE2:AE7)</f>
        <v>?</v>
      </c>
      <c r="J12" s="39"/>
      <c r="K12" s="38" t="str">
        <f>UVPeakList(PeakLabels!I3:I300,A12)</f>
        <v>&lt; 190</v>
      </c>
      <c r="L12" s="38"/>
      <c r="M12" s="38"/>
      <c r="Q12" s="36">
        <v>4.5505719999999998</v>
      </c>
      <c r="R12" s="36">
        <v>16.14390558501136</v>
      </c>
      <c r="S12" s="48" t="s">
        <v>153</v>
      </c>
    </row>
    <row r="13" spans="1:26" ht="123" customHeight="1" x14ac:dyDescent="0.25">
      <c r="A13" s="34"/>
      <c r="B13" s="35"/>
      <c r="C13" s="36"/>
      <c r="D13" s="35"/>
      <c r="E13" s="35"/>
      <c r="F13" s="37"/>
      <c r="G13" s="38"/>
      <c r="H13" s="38"/>
      <c r="I13" s="38"/>
      <c r="J13" s="39"/>
      <c r="K13" s="38"/>
      <c r="L13" s="38"/>
      <c r="M13" s="38"/>
      <c r="Q13" s="36"/>
      <c r="R13" s="36"/>
      <c r="S13" s="48"/>
    </row>
    <row r="14" spans="1:26" ht="123" customHeight="1" x14ac:dyDescent="0.25">
      <c r="A14" s="34"/>
      <c r="B14" s="35"/>
      <c r="C14" s="36"/>
      <c r="D14" s="35"/>
      <c r="E14" s="35"/>
      <c r="F14" s="37"/>
      <c r="G14" s="38"/>
      <c r="H14" s="38"/>
      <c r="I14" s="38"/>
      <c r="J14" s="39"/>
      <c r="K14" s="38"/>
      <c r="L14" s="38"/>
      <c r="M14" s="38"/>
      <c r="Q14" s="36"/>
      <c r="R14" s="36"/>
      <c r="S14" s="48"/>
    </row>
    <row r="15" spans="1:26" ht="123" customHeight="1" x14ac:dyDescent="0.25">
      <c r="A15" s="34"/>
      <c r="B15" s="35"/>
      <c r="C15" s="36"/>
      <c r="D15" s="35"/>
      <c r="E15" s="35"/>
      <c r="F15" s="37"/>
      <c r="G15" s="38"/>
      <c r="H15" s="38"/>
      <c r="I15" s="38"/>
      <c r="J15" s="39"/>
      <c r="K15" s="38"/>
      <c r="L15" s="38"/>
      <c r="M15" s="38"/>
      <c r="Q15" s="36"/>
      <c r="R15" s="36"/>
      <c r="S15" s="48"/>
    </row>
    <row r="16" spans="1:26" ht="123" customHeight="1" x14ac:dyDescent="0.25">
      <c r="A16" s="34"/>
      <c r="B16" s="35"/>
      <c r="C16" s="36"/>
      <c r="D16" s="35"/>
      <c r="E16" s="35"/>
      <c r="F16" s="37"/>
      <c r="G16" s="38"/>
      <c r="H16" s="38"/>
      <c r="I16" s="38"/>
      <c r="J16" s="39"/>
      <c r="K16" s="38"/>
      <c r="L16" s="38"/>
      <c r="M16" s="38"/>
      <c r="Q16" s="36"/>
      <c r="R16" s="36"/>
      <c r="S16" s="48"/>
    </row>
    <row r="17" spans="1:19" ht="123" customHeight="1" x14ac:dyDescent="0.25">
      <c r="A17" s="34"/>
      <c r="B17" s="35"/>
      <c r="C17" s="36"/>
      <c r="D17" s="35"/>
      <c r="E17" s="35"/>
      <c r="F17" s="37"/>
      <c r="G17" s="38"/>
      <c r="H17" s="38"/>
      <c r="I17" s="38"/>
      <c r="J17" s="39"/>
      <c r="K17" s="38"/>
      <c r="L17" s="38"/>
      <c r="M17" s="38"/>
      <c r="Q17" s="36"/>
      <c r="R17" s="36"/>
      <c r="S17" s="48"/>
    </row>
    <row r="18" spans="1:19" ht="123" customHeight="1" x14ac:dyDescent="0.25">
      <c r="A18" s="34"/>
      <c r="B18" s="35"/>
      <c r="C18" s="36"/>
      <c r="D18" s="35"/>
      <c r="E18" s="35"/>
      <c r="F18" s="37"/>
      <c r="G18" s="38"/>
      <c r="H18" s="38"/>
      <c r="I18" s="38"/>
      <c r="J18" s="39"/>
      <c r="K18" s="38"/>
      <c r="L18" s="38"/>
      <c r="M18" s="38"/>
      <c r="Q18" s="36"/>
      <c r="R18" s="36"/>
      <c r="S18" s="48"/>
    </row>
    <row r="19" spans="1:19" ht="123" customHeight="1" x14ac:dyDescent="0.25">
      <c r="A19" s="34"/>
      <c r="B19" s="35"/>
      <c r="C19" s="36"/>
      <c r="D19" s="35"/>
      <c r="E19" s="35"/>
      <c r="F19" s="37"/>
      <c r="G19" s="38"/>
      <c r="H19" s="38"/>
      <c r="I19" s="38"/>
      <c r="J19" s="39"/>
      <c r="K19" s="38"/>
      <c r="L19" s="38"/>
      <c r="M19" s="38"/>
      <c r="Q19" s="36"/>
      <c r="R19" s="36"/>
      <c r="S19" s="48"/>
    </row>
    <row r="20" spans="1:19" ht="123" customHeight="1" x14ac:dyDescent="0.25">
      <c r="A20" s="34"/>
      <c r="B20" s="35"/>
      <c r="C20" s="36"/>
      <c r="D20" s="35"/>
      <c r="E20" s="35"/>
      <c r="F20" s="37"/>
      <c r="G20" s="38"/>
      <c r="H20" s="38"/>
      <c r="I20" s="38"/>
      <c r="J20" s="39"/>
      <c r="K20" s="38"/>
      <c r="L20" s="38"/>
      <c r="M20" s="38"/>
      <c r="Q20" s="36"/>
      <c r="R20" s="36"/>
      <c r="S20" s="48"/>
    </row>
    <row r="21" spans="1:19" ht="123" customHeight="1" x14ac:dyDescent="0.25">
      <c r="A21" s="34"/>
      <c r="B21" s="35"/>
      <c r="C21" s="36"/>
      <c r="D21" s="35"/>
      <c r="E21" s="35"/>
      <c r="F21" s="37"/>
      <c r="G21" s="38"/>
      <c r="H21" s="38"/>
      <c r="I21" s="38"/>
      <c r="J21" s="39"/>
      <c r="K21" s="38"/>
      <c r="L21" s="38"/>
      <c r="M21" s="38"/>
      <c r="Q21" s="36"/>
      <c r="R21" s="36"/>
      <c r="S21" s="48"/>
    </row>
    <row r="22" spans="1:19" ht="123" customHeight="1" x14ac:dyDescent="0.25">
      <c r="A22" s="34"/>
      <c r="B22" s="35"/>
      <c r="C22" s="36"/>
      <c r="D22" s="35"/>
      <c r="E22" s="35"/>
      <c r="F22" s="37"/>
      <c r="G22" s="38"/>
      <c r="H22" s="38"/>
      <c r="I22" s="38"/>
      <c r="J22" s="39"/>
      <c r="K22" s="38"/>
      <c r="L22" s="38"/>
      <c r="M22" s="38"/>
      <c r="Q22" s="36"/>
      <c r="R22" s="36"/>
      <c r="S22" s="48"/>
    </row>
    <row r="23" spans="1:19" ht="123" customHeight="1" x14ac:dyDescent="0.25">
      <c r="A23" s="34"/>
      <c r="B23" s="35"/>
      <c r="C23" s="36"/>
      <c r="D23" s="35"/>
      <c r="E23" s="35"/>
      <c r="F23" s="37"/>
      <c r="G23" s="38"/>
      <c r="H23" s="38"/>
      <c r="I23" s="38"/>
      <c r="J23" s="39"/>
      <c r="K23" s="38"/>
      <c r="L23" s="38"/>
      <c r="M23" s="38"/>
      <c r="Q23" s="36"/>
      <c r="R23" s="36"/>
      <c r="S23" s="48"/>
    </row>
    <row r="24" spans="1:19" ht="123" customHeight="1" x14ac:dyDescent="0.25">
      <c r="A24" s="34"/>
      <c r="B24" s="35"/>
      <c r="C24" s="36"/>
      <c r="D24" s="35"/>
      <c r="E24" s="35"/>
      <c r="F24" s="37"/>
      <c r="G24" s="38"/>
      <c r="H24" s="38"/>
      <c r="I24" s="38"/>
      <c r="J24" s="39"/>
      <c r="K24" s="38"/>
      <c r="L24" s="38"/>
      <c r="M24" s="38"/>
      <c r="Q24" s="36"/>
      <c r="R24" s="36"/>
      <c r="S24" s="48"/>
    </row>
    <row r="25" spans="1:19" ht="123" customHeight="1" x14ac:dyDescent="0.25">
      <c r="A25" s="34"/>
      <c r="B25" s="35"/>
      <c r="C25" s="36"/>
      <c r="D25" s="35"/>
      <c r="E25" s="35"/>
      <c r="F25" s="37"/>
      <c r="G25" s="38"/>
      <c r="H25" s="38"/>
      <c r="I25" s="38"/>
      <c r="J25" s="39"/>
      <c r="K25" s="38"/>
      <c r="L25" s="38"/>
      <c r="M25" s="38"/>
      <c r="Q25" s="36"/>
      <c r="R25" s="36"/>
      <c r="S25" s="48"/>
    </row>
    <row r="26" spans="1:19" ht="123" customHeight="1" x14ac:dyDescent="0.25">
      <c r="A26" s="34"/>
      <c r="B26" s="35"/>
      <c r="C26" s="36"/>
      <c r="D26" s="35"/>
      <c r="E26" s="35"/>
      <c r="F26" s="37"/>
      <c r="G26" s="38"/>
      <c r="H26" s="38"/>
      <c r="I26" s="38"/>
      <c r="J26" s="39"/>
      <c r="K26" s="38"/>
      <c r="L26" s="38"/>
      <c r="M26" s="38"/>
      <c r="Q26" s="36"/>
      <c r="R26" s="36"/>
      <c r="S26" s="48"/>
    </row>
    <row r="27" spans="1:19" ht="123" customHeight="1" x14ac:dyDescent="0.25">
      <c r="A27" s="34"/>
      <c r="B27" s="35"/>
      <c r="C27" s="36"/>
      <c r="D27" s="35"/>
      <c r="E27" s="35"/>
      <c r="F27" s="37"/>
      <c r="G27" s="38"/>
      <c r="H27" s="38"/>
      <c r="I27" s="38"/>
      <c r="J27" s="39"/>
      <c r="K27" s="38"/>
      <c r="L27" s="38"/>
      <c r="M27" s="38"/>
      <c r="Q27" s="36"/>
      <c r="R27" s="36"/>
      <c r="S27" s="48"/>
    </row>
    <row r="28" spans="1:19" ht="123" customHeight="1" x14ac:dyDescent="0.25">
      <c r="A28" s="34"/>
      <c r="B28" s="35"/>
      <c r="C28" s="36"/>
      <c r="D28" s="35"/>
      <c r="E28" s="35"/>
      <c r="F28" s="37"/>
      <c r="G28" s="38"/>
      <c r="H28" s="38"/>
      <c r="I28" s="38"/>
      <c r="J28" s="39"/>
      <c r="K28" s="38"/>
      <c r="L28" s="38"/>
      <c r="M28" s="38"/>
      <c r="Q28" s="36"/>
      <c r="R28" s="36"/>
      <c r="S28" s="48"/>
    </row>
    <row r="29" spans="1:19" ht="123" customHeight="1" x14ac:dyDescent="0.25">
      <c r="A29" s="34"/>
      <c r="B29" s="35"/>
      <c r="C29" s="36"/>
      <c r="D29" s="35"/>
      <c r="E29" s="35"/>
      <c r="F29" s="37"/>
      <c r="G29" s="38"/>
      <c r="H29" s="38"/>
      <c r="I29" s="38"/>
      <c r="J29" s="39"/>
      <c r="K29" s="38"/>
      <c r="L29" s="38"/>
      <c r="M29" s="38"/>
      <c r="Q29" s="36"/>
      <c r="R29" s="36"/>
      <c r="S29" s="48"/>
    </row>
    <row r="30" spans="1:19" ht="123" customHeight="1" x14ac:dyDescent="0.25">
      <c r="A30" s="34"/>
      <c r="B30" s="35"/>
      <c r="C30" s="36"/>
      <c r="D30" s="35"/>
      <c r="E30" s="35"/>
      <c r="F30" s="37"/>
      <c r="G30" s="38"/>
      <c r="H30" s="38"/>
      <c r="I30" s="38"/>
      <c r="J30" s="39"/>
      <c r="K30" s="38"/>
      <c r="L30" s="38"/>
      <c r="M30" s="38"/>
      <c r="Q30" s="36"/>
      <c r="R30" s="36"/>
      <c r="S30" s="48"/>
    </row>
    <row r="31" spans="1:19" ht="123" customHeight="1" x14ac:dyDescent="0.25">
      <c r="A31" s="34"/>
      <c r="B31" s="35"/>
      <c r="C31" s="36"/>
      <c r="D31" s="35"/>
      <c r="E31" s="35"/>
      <c r="F31" s="37"/>
      <c r="G31" s="38"/>
      <c r="H31" s="38"/>
      <c r="I31" s="38"/>
      <c r="J31" s="39"/>
      <c r="K31" s="38"/>
      <c r="L31" s="38"/>
      <c r="M31" s="38"/>
      <c r="Q31" s="36"/>
      <c r="R31" s="36"/>
      <c r="S31" s="48"/>
    </row>
    <row r="32" spans="1:19" ht="123" customHeight="1" x14ac:dyDescent="0.25">
      <c r="A32" s="34"/>
      <c r="B32" s="35"/>
      <c r="C32" s="36"/>
      <c r="D32" s="35"/>
      <c r="E32" s="35"/>
      <c r="F32" s="37"/>
      <c r="G32" s="38"/>
      <c r="H32" s="38"/>
      <c r="I32" s="38"/>
      <c r="J32" s="39"/>
      <c r="K32" s="38"/>
      <c r="L32" s="38"/>
      <c r="M32" s="38"/>
      <c r="Q32" s="36"/>
      <c r="R32" s="36"/>
      <c r="S32" s="48"/>
    </row>
    <row r="33" spans="1:19" ht="123" customHeight="1" x14ac:dyDescent="0.25">
      <c r="A33" s="34"/>
      <c r="B33" s="35"/>
      <c r="C33" s="36"/>
      <c r="D33" s="35"/>
      <c r="E33" s="35"/>
      <c r="F33" s="37"/>
      <c r="G33" s="38"/>
      <c r="H33" s="38"/>
      <c r="I33" s="38"/>
      <c r="J33" s="39"/>
      <c r="K33" s="38"/>
      <c r="L33" s="38"/>
      <c r="M33" s="38"/>
      <c r="Q33" s="36"/>
      <c r="R33" s="36"/>
      <c r="S33" s="48"/>
    </row>
    <row r="34" spans="1:19" ht="123" customHeight="1" x14ac:dyDescent="0.25">
      <c r="A34" s="34"/>
      <c r="B34" s="35"/>
      <c r="C34" s="36"/>
      <c r="D34" s="35"/>
      <c r="E34" s="35"/>
      <c r="F34" s="37"/>
      <c r="G34" s="38"/>
      <c r="H34" s="38"/>
      <c r="I34" s="38"/>
      <c r="J34" s="39"/>
      <c r="K34" s="38"/>
      <c r="L34" s="38"/>
      <c r="M34" s="38"/>
      <c r="Q34" s="36"/>
      <c r="R34" s="36"/>
      <c r="S34" s="48"/>
    </row>
    <row r="35" spans="1:19" ht="123" customHeight="1" x14ac:dyDescent="0.25">
      <c r="A35" s="34"/>
      <c r="B35" s="35"/>
      <c r="C35" s="36"/>
      <c r="D35" s="35"/>
      <c r="E35" s="35"/>
      <c r="F35" s="37"/>
      <c r="G35" s="38"/>
      <c r="H35" s="38"/>
      <c r="I35" s="38"/>
      <c r="J35" s="39"/>
      <c r="K35" s="38"/>
      <c r="L35" s="38"/>
      <c r="M35" s="38"/>
      <c r="Q35" s="36"/>
      <c r="R35" s="36"/>
      <c r="S35" s="48"/>
    </row>
    <row r="36" spans="1:19" ht="123" customHeight="1" x14ac:dyDescent="0.25">
      <c r="A36" s="34"/>
      <c r="B36" s="35"/>
      <c r="C36" s="36"/>
      <c r="D36" s="35"/>
      <c r="E36" s="35"/>
      <c r="F36" s="37"/>
      <c r="G36" s="38"/>
      <c r="H36" s="38"/>
      <c r="I36" s="38"/>
      <c r="J36" s="39"/>
      <c r="K36" s="38"/>
      <c r="L36" s="38"/>
      <c r="M36" s="38"/>
      <c r="Q36" s="36"/>
      <c r="R36" s="36"/>
      <c r="S36" s="48"/>
    </row>
    <row r="37" spans="1:19" ht="123" customHeight="1" x14ac:dyDescent="0.25">
      <c r="A37" s="34"/>
      <c r="B37" s="35"/>
      <c r="C37" s="36"/>
      <c r="D37" s="35"/>
      <c r="E37" s="35"/>
      <c r="F37" s="37"/>
      <c r="G37" s="38"/>
      <c r="H37" s="38"/>
      <c r="I37" s="38"/>
      <c r="J37" s="39"/>
      <c r="K37" s="38"/>
      <c r="L37" s="38"/>
      <c r="M37" s="38"/>
      <c r="Q37" s="36"/>
      <c r="R37" s="36"/>
      <c r="S37" s="48"/>
    </row>
    <row r="38" spans="1:19" ht="123" customHeight="1" x14ac:dyDescent="0.25">
      <c r="A38" s="34"/>
      <c r="B38" s="35"/>
      <c r="C38" s="36"/>
      <c r="D38" s="35"/>
      <c r="E38" s="35"/>
      <c r="F38" s="37"/>
      <c r="G38" s="38"/>
      <c r="H38" s="38"/>
      <c r="I38" s="38"/>
      <c r="J38" s="39"/>
      <c r="K38" s="38"/>
      <c r="L38" s="38"/>
      <c r="M38" s="38"/>
      <c r="Q38" s="36"/>
      <c r="R38" s="36"/>
      <c r="S38" s="48"/>
    </row>
    <row r="39" spans="1:19" ht="123" customHeight="1" x14ac:dyDescent="0.25">
      <c r="A39" s="34"/>
      <c r="B39" s="35"/>
      <c r="C39" s="36"/>
      <c r="D39" s="35"/>
      <c r="E39" s="35"/>
      <c r="F39" s="37"/>
      <c r="G39" s="38"/>
      <c r="H39" s="38"/>
      <c r="I39" s="38"/>
      <c r="J39" s="39"/>
      <c r="K39" s="38"/>
      <c r="L39" s="38"/>
      <c r="M39" s="38"/>
      <c r="Q39" s="36"/>
      <c r="R39" s="36"/>
      <c r="S39" s="48"/>
    </row>
    <row r="40" spans="1:19" ht="123" customHeight="1" x14ac:dyDescent="0.25">
      <c r="A40" s="34"/>
      <c r="B40" s="35"/>
      <c r="C40" s="36"/>
      <c r="D40" s="35"/>
      <c r="E40" s="35"/>
      <c r="F40" s="37"/>
      <c r="G40" s="38"/>
      <c r="H40" s="38"/>
      <c r="I40" s="38"/>
      <c r="J40" s="39"/>
      <c r="K40" s="38"/>
      <c r="L40" s="38"/>
      <c r="M40" s="38"/>
      <c r="Q40" s="36"/>
      <c r="R40" s="36"/>
      <c r="S40" s="48"/>
    </row>
    <row r="41" spans="1:19" ht="123" customHeight="1" x14ac:dyDescent="0.25">
      <c r="A41" s="34"/>
      <c r="B41" s="35"/>
      <c r="C41" s="36"/>
      <c r="D41" s="35"/>
      <c r="E41" s="35"/>
      <c r="F41" s="37"/>
      <c r="G41" s="38"/>
      <c r="H41" s="38"/>
      <c r="I41" s="38"/>
      <c r="J41" s="39"/>
      <c r="K41" s="38"/>
      <c r="L41" s="38"/>
      <c r="M41" s="38"/>
      <c r="Q41" s="36"/>
      <c r="R41" s="36"/>
      <c r="S41" s="48"/>
    </row>
    <row r="42" spans="1:19" ht="123" customHeight="1" x14ac:dyDescent="0.25">
      <c r="A42" s="34"/>
      <c r="B42" s="35"/>
      <c r="C42" s="36"/>
      <c r="D42" s="35"/>
      <c r="E42" s="35"/>
      <c r="F42" s="37"/>
      <c r="G42" s="38"/>
      <c r="H42" s="38"/>
      <c r="I42" s="38"/>
      <c r="J42" s="39"/>
      <c r="K42" s="38"/>
      <c r="L42" s="38"/>
      <c r="M42" s="38"/>
      <c r="Q42" s="36"/>
      <c r="R42" s="36"/>
      <c r="S42" s="48"/>
    </row>
    <row r="43" spans="1:19" ht="123" customHeight="1" x14ac:dyDescent="0.25">
      <c r="A43" s="34"/>
      <c r="B43" s="35"/>
      <c r="C43" s="36"/>
      <c r="D43" s="35"/>
      <c r="E43" s="35"/>
      <c r="F43" s="37"/>
      <c r="G43" s="38"/>
      <c r="H43" s="38"/>
      <c r="I43" s="38"/>
      <c r="J43" s="39"/>
      <c r="K43" s="38"/>
      <c r="L43" s="38"/>
      <c r="M43" s="38"/>
      <c r="Q43" s="36"/>
      <c r="R43" s="36"/>
      <c r="S43" s="48"/>
    </row>
    <row r="44" spans="1:19" ht="123" customHeight="1" x14ac:dyDescent="0.25">
      <c r="A44" s="34"/>
      <c r="B44" s="35"/>
      <c r="C44" s="36"/>
      <c r="D44" s="35"/>
      <c r="E44" s="35"/>
      <c r="F44" s="37"/>
      <c r="G44" s="38"/>
      <c r="H44" s="38"/>
      <c r="I44" s="38"/>
      <c r="J44" s="39"/>
      <c r="K44" s="38"/>
      <c r="L44" s="38"/>
      <c r="M44" s="38"/>
      <c r="Q44" s="36"/>
      <c r="R44" s="36"/>
      <c r="S44" s="48"/>
    </row>
    <row r="45" spans="1:19" ht="123" customHeight="1" x14ac:dyDescent="0.25">
      <c r="A45" s="34"/>
      <c r="B45" s="35"/>
      <c r="C45" s="36"/>
      <c r="D45" s="35"/>
      <c r="E45" s="35"/>
      <c r="F45" s="37"/>
      <c r="G45" s="38"/>
      <c r="H45" s="38"/>
      <c r="I45" s="38"/>
      <c r="J45" s="39"/>
      <c r="K45" s="38"/>
      <c r="L45" s="38"/>
      <c r="M45" s="38"/>
      <c r="Q45" s="36"/>
      <c r="R45" s="36"/>
      <c r="S45" s="48"/>
    </row>
    <row r="46" spans="1:19" ht="123" customHeight="1" x14ac:dyDescent="0.25">
      <c r="A46" s="34"/>
      <c r="B46" s="35"/>
      <c r="C46" s="36"/>
      <c r="D46" s="35"/>
      <c r="E46" s="35"/>
      <c r="F46" s="37"/>
      <c r="G46" s="38"/>
      <c r="H46" s="38"/>
      <c r="I46" s="38"/>
      <c r="J46" s="39"/>
      <c r="K46" s="38"/>
      <c r="L46" s="38"/>
      <c r="M46" s="38"/>
      <c r="Q46" s="36"/>
      <c r="R46" s="36"/>
      <c r="S46" s="48"/>
    </row>
    <row r="47" spans="1:19" ht="123" customHeight="1" x14ac:dyDescent="0.25">
      <c r="A47" s="34"/>
      <c r="B47" s="35"/>
      <c r="C47" s="36"/>
      <c r="D47" s="35"/>
      <c r="E47" s="35"/>
      <c r="F47" s="37"/>
      <c r="G47" s="38"/>
      <c r="H47" s="38"/>
      <c r="I47" s="38"/>
      <c r="J47" s="39"/>
      <c r="K47" s="38"/>
      <c r="L47" s="38"/>
      <c r="M47" s="38"/>
      <c r="Q47" s="36"/>
      <c r="R47" s="36"/>
      <c r="S47" s="48"/>
    </row>
    <row r="48" spans="1:19" ht="123" customHeight="1" x14ac:dyDescent="0.25">
      <c r="A48" s="34"/>
      <c r="B48" s="35"/>
      <c r="C48" s="36"/>
      <c r="D48" s="35"/>
      <c r="E48" s="35"/>
      <c r="F48" s="37"/>
      <c r="G48" s="38"/>
      <c r="H48" s="38"/>
      <c r="I48" s="38"/>
      <c r="J48" s="39"/>
      <c r="K48" s="38"/>
      <c r="L48" s="38"/>
      <c r="M48" s="38"/>
      <c r="Q48" s="36"/>
      <c r="R48" s="36"/>
      <c r="S48" s="48"/>
    </row>
    <row r="49" spans="1:19" ht="123" customHeight="1" x14ac:dyDescent="0.25">
      <c r="A49" s="34"/>
      <c r="B49" s="35"/>
      <c r="C49" s="36"/>
      <c r="D49" s="35"/>
      <c r="E49" s="35"/>
      <c r="F49" s="37"/>
      <c r="G49" s="38"/>
      <c r="H49" s="38"/>
      <c r="I49" s="38"/>
      <c r="J49" s="39"/>
      <c r="K49" s="38"/>
      <c r="L49" s="38"/>
      <c r="M49" s="38"/>
      <c r="Q49" s="36"/>
      <c r="R49" s="36"/>
      <c r="S49" s="48"/>
    </row>
    <row r="50" spans="1:19" ht="123" customHeight="1" x14ac:dyDescent="0.25">
      <c r="A50" s="34"/>
      <c r="B50" s="35"/>
      <c r="C50" s="36"/>
      <c r="D50" s="35"/>
      <c r="E50" s="35"/>
      <c r="F50" s="37"/>
      <c r="G50" s="38"/>
      <c r="H50" s="38"/>
      <c r="I50" s="38"/>
      <c r="J50" s="39"/>
      <c r="K50" s="38"/>
      <c r="L50" s="38"/>
      <c r="M50" s="38"/>
      <c r="Q50" s="36"/>
      <c r="R50" s="36"/>
      <c r="S50" s="48"/>
    </row>
    <row r="51" spans="1:19" ht="123" customHeight="1" x14ac:dyDescent="0.25">
      <c r="A51" s="34"/>
      <c r="B51" s="35"/>
      <c r="C51" s="36"/>
      <c r="D51" s="35"/>
      <c r="E51" s="35"/>
      <c r="F51" s="37"/>
      <c r="G51" s="38"/>
      <c r="H51" s="38"/>
      <c r="I51" s="38"/>
      <c r="J51" s="39"/>
      <c r="K51" s="38"/>
      <c r="L51" s="38"/>
      <c r="M51" s="38"/>
      <c r="Q51" s="36"/>
      <c r="R51" s="36"/>
      <c r="S51" s="48"/>
    </row>
    <row r="52" spans="1:19" ht="123" customHeight="1" x14ac:dyDescent="0.25">
      <c r="A52" s="34"/>
      <c r="B52" s="35"/>
      <c r="C52" s="36"/>
      <c r="D52" s="35"/>
      <c r="E52" s="35"/>
      <c r="F52" s="37"/>
      <c r="G52" s="38"/>
      <c r="H52" s="38"/>
      <c r="I52" s="38"/>
      <c r="J52" s="39"/>
      <c r="K52" s="38"/>
      <c r="L52" s="38"/>
      <c r="M52" s="38"/>
      <c r="Q52" s="36"/>
      <c r="R52" s="36"/>
      <c r="S52" s="48"/>
    </row>
    <row r="53" spans="1:19" ht="123" customHeight="1" x14ac:dyDescent="0.25">
      <c r="A53" s="34"/>
      <c r="B53" s="35"/>
      <c r="C53" s="36"/>
      <c r="D53" s="35"/>
      <c r="E53" s="35"/>
      <c r="F53" s="37"/>
      <c r="G53" s="38"/>
      <c r="H53" s="38"/>
      <c r="I53" s="38"/>
      <c r="J53" s="39"/>
      <c r="K53" s="38"/>
      <c r="L53" s="38"/>
      <c r="M53" s="38"/>
      <c r="Q53" s="36"/>
      <c r="R53" s="36"/>
      <c r="S53" s="48"/>
    </row>
    <row r="54" spans="1:19" ht="123" customHeight="1" x14ac:dyDescent="0.25">
      <c r="A54" s="34"/>
      <c r="B54" s="35"/>
      <c r="C54" s="36"/>
      <c r="D54" s="35"/>
      <c r="E54" s="35"/>
      <c r="F54" s="37"/>
      <c r="G54" s="38"/>
      <c r="H54" s="38"/>
      <c r="I54" s="38"/>
      <c r="J54" s="39"/>
      <c r="K54" s="38"/>
      <c r="L54" s="38"/>
      <c r="M54" s="38"/>
      <c r="Q54" s="36"/>
      <c r="R54" s="36"/>
      <c r="S54" s="48"/>
    </row>
    <row r="55" spans="1:19" ht="123" customHeight="1" x14ac:dyDescent="0.25">
      <c r="A55" s="34"/>
      <c r="B55" s="35"/>
      <c r="C55" s="36"/>
      <c r="D55" s="35"/>
      <c r="E55" s="35"/>
      <c r="F55" s="37"/>
      <c r="G55" s="38"/>
      <c r="H55" s="38"/>
      <c r="I55" s="38"/>
      <c r="J55" s="39"/>
      <c r="K55" s="38"/>
      <c r="L55" s="38"/>
      <c r="M55" s="38"/>
      <c r="Q55" s="36"/>
      <c r="R55" s="36"/>
      <c r="S55" s="48"/>
    </row>
    <row r="56" spans="1:19" ht="123" customHeight="1" x14ac:dyDescent="0.25">
      <c r="A56" s="34"/>
      <c r="B56" s="35"/>
      <c r="C56" s="36"/>
      <c r="D56" s="35"/>
      <c r="E56" s="35"/>
      <c r="F56" s="37"/>
      <c r="G56" s="38"/>
      <c r="H56" s="38"/>
      <c r="I56" s="38"/>
      <c r="J56" s="39"/>
      <c r="K56" s="38"/>
      <c r="L56" s="38"/>
      <c r="M56" s="38"/>
      <c r="Q56" s="36"/>
      <c r="R56" s="36"/>
      <c r="S56" s="48"/>
    </row>
    <row r="57" spans="1:19" ht="123" customHeight="1" x14ac:dyDescent="0.25">
      <c r="A57" s="34"/>
      <c r="B57" s="35"/>
      <c r="C57" s="36"/>
      <c r="D57" s="35"/>
      <c r="E57" s="35"/>
      <c r="F57" s="37"/>
      <c r="G57" s="38"/>
      <c r="H57" s="38"/>
      <c r="I57" s="38"/>
      <c r="J57" s="39"/>
      <c r="K57" s="38"/>
      <c r="L57" s="38"/>
      <c r="M57" s="38"/>
      <c r="Q57" s="36"/>
      <c r="R57" s="36"/>
      <c r="S57" s="48"/>
    </row>
    <row r="58" spans="1:19" ht="123" customHeight="1" x14ac:dyDescent="0.25">
      <c r="A58" s="34"/>
      <c r="B58" s="35"/>
      <c r="C58" s="36"/>
      <c r="D58" s="35"/>
      <c r="E58" s="35"/>
      <c r="F58" s="37"/>
      <c r="G58" s="38"/>
      <c r="H58" s="38"/>
      <c r="I58" s="38"/>
      <c r="J58" s="39"/>
      <c r="K58" s="38"/>
      <c r="L58" s="38"/>
      <c r="M58" s="38"/>
      <c r="Q58" s="36"/>
      <c r="R58" s="36"/>
      <c r="S58" s="48"/>
    </row>
    <row r="59" spans="1:19" ht="123" customHeight="1" x14ac:dyDescent="0.25">
      <c r="A59" s="34"/>
      <c r="B59" s="35"/>
      <c r="C59" s="36"/>
      <c r="D59" s="35"/>
      <c r="E59" s="35"/>
      <c r="F59" s="37"/>
      <c r="G59" s="38"/>
      <c r="H59" s="38"/>
      <c r="I59" s="38"/>
      <c r="J59" s="39"/>
      <c r="K59" s="38"/>
      <c r="L59" s="38"/>
      <c r="M59" s="38"/>
      <c r="Q59" s="36"/>
      <c r="R59" s="36"/>
      <c r="S59" s="48"/>
    </row>
    <row r="60" spans="1:19" ht="123" customHeight="1" x14ac:dyDescent="0.25">
      <c r="A60" s="34"/>
      <c r="B60" s="35"/>
      <c r="C60" s="36"/>
      <c r="D60" s="35"/>
      <c r="E60" s="35"/>
      <c r="F60" s="37"/>
      <c r="G60" s="38"/>
      <c r="H60" s="38"/>
      <c r="I60" s="38"/>
      <c r="J60" s="39"/>
      <c r="K60" s="38"/>
      <c r="L60" s="38"/>
      <c r="M60" s="38"/>
      <c r="Q60" s="36"/>
      <c r="R60" s="36"/>
      <c r="S60" s="48"/>
    </row>
    <row r="61" spans="1:19" ht="123" customHeight="1" x14ac:dyDescent="0.25">
      <c r="A61" s="34"/>
      <c r="B61" s="35"/>
      <c r="C61" s="36"/>
      <c r="D61" s="35"/>
      <c r="E61" s="35"/>
      <c r="F61" s="37"/>
      <c r="G61" s="38"/>
      <c r="H61" s="38"/>
      <c r="I61" s="38"/>
      <c r="J61" s="39"/>
      <c r="K61" s="38"/>
      <c r="L61" s="38"/>
      <c r="M61" s="38"/>
      <c r="Q61" s="36"/>
      <c r="R61" s="36"/>
      <c r="S61" s="48"/>
    </row>
    <row r="62" spans="1:19" ht="123" customHeight="1" x14ac:dyDescent="0.25">
      <c r="A62" s="34"/>
      <c r="B62" s="35"/>
      <c r="C62" s="36"/>
      <c r="D62" s="35"/>
      <c r="E62" s="35"/>
      <c r="F62" s="37"/>
      <c r="G62" s="38"/>
      <c r="H62" s="38"/>
      <c r="I62" s="38"/>
      <c r="J62" s="39"/>
      <c r="K62" s="38"/>
      <c r="L62" s="38"/>
      <c r="M62" s="38"/>
      <c r="Q62" s="36"/>
      <c r="R62" s="36"/>
      <c r="S62" s="48"/>
    </row>
    <row r="63" spans="1:19" ht="123" customHeight="1" x14ac:dyDescent="0.25">
      <c r="A63" s="34"/>
      <c r="B63" s="35"/>
      <c r="C63" s="36"/>
      <c r="D63" s="35"/>
      <c r="E63" s="35"/>
      <c r="F63" s="37"/>
      <c r="G63" s="38"/>
      <c r="H63" s="38"/>
      <c r="I63" s="38"/>
      <c r="J63" s="39"/>
      <c r="K63" s="38"/>
      <c r="L63" s="38"/>
      <c r="M63" s="38"/>
      <c r="Q63" s="36"/>
      <c r="R63" s="36"/>
      <c r="S63" s="48"/>
    </row>
    <row r="64" spans="1:19" ht="123" customHeight="1" x14ac:dyDescent="0.25">
      <c r="A64" s="34"/>
      <c r="B64" s="35"/>
      <c r="C64" s="36"/>
      <c r="D64" s="35"/>
      <c r="E64" s="35"/>
      <c r="F64" s="37"/>
      <c r="G64" s="38"/>
      <c r="H64" s="38"/>
      <c r="I64" s="38"/>
      <c r="J64" s="39"/>
      <c r="K64" s="38"/>
      <c r="L64" s="38"/>
      <c r="M64" s="38"/>
      <c r="Q64" s="36"/>
      <c r="R64" s="36"/>
      <c r="S64" s="48"/>
    </row>
    <row r="65" spans="1:19" ht="123" customHeight="1" x14ac:dyDescent="0.25">
      <c r="A65" s="34"/>
      <c r="B65" s="35"/>
      <c r="C65" s="36"/>
      <c r="D65" s="35"/>
      <c r="E65" s="35"/>
      <c r="F65" s="37"/>
      <c r="G65" s="38"/>
      <c r="H65" s="38"/>
      <c r="I65" s="38"/>
      <c r="J65" s="39"/>
      <c r="K65" s="38"/>
      <c r="L65" s="38"/>
      <c r="M65" s="38"/>
      <c r="Q65" s="36"/>
      <c r="R65" s="36"/>
      <c r="S65" s="48"/>
    </row>
    <row r="66" spans="1:19" ht="123" customHeight="1" x14ac:dyDescent="0.25">
      <c r="A66" s="34"/>
      <c r="B66" s="35"/>
      <c r="C66" s="36"/>
      <c r="D66" s="35"/>
      <c r="E66" s="35"/>
      <c r="F66" s="37"/>
      <c r="G66" s="38"/>
      <c r="H66" s="38"/>
      <c r="I66" s="38"/>
      <c r="J66" s="39"/>
      <c r="K66" s="38"/>
      <c r="L66" s="38"/>
      <c r="M66" s="38"/>
      <c r="Q66" s="36"/>
      <c r="R66" s="36"/>
      <c r="S66" s="48"/>
    </row>
    <row r="67" spans="1:19" ht="123" customHeight="1" x14ac:dyDescent="0.25">
      <c r="A67" s="34"/>
      <c r="B67" s="35"/>
      <c r="C67" s="36"/>
      <c r="D67" s="35"/>
      <c r="E67" s="35"/>
      <c r="F67" s="37"/>
      <c r="G67" s="38"/>
      <c r="H67" s="38"/>
      <c r="I67" s="38"/>
      <c r="J67" s="39"/>
      <c r="K67" s="38"/>
      <c r="L67" s="38"/>
      <c r="M67" s="38"/>
      <c r="Q67" s="36"/>
      <c r="R67" s="36"/>
      <c r="S67" s="48"/>
    </row>
    <row r="68" spans="1:19" ht="123" customHeight="1" x14ac:dyDescent="0.25">
      <c r="A68" s="34"/>
      <c r="B68" s="35"/>
      <c r="C68" s="36"/>
      <c r="D68" s="35"/>
      <c r="E68" s="35"/>
      <c r="F68" s="37"/>
      <c r="G68" s="38"/>
      <c r="H68" s="38"/>
      <c r="I68" s="38"/>
      <c r="J68" s="39"/>
      <c r="K68" s="38"/>
      <c r="L68" s="38"/>
      <c r="M68" s="38"/>
      <c r="Q68" s="36"/>
      <c r="R68" s="36"/>
      <c r="S68" s="48"/>
    </row>
    <row r="69" spans="1:19" ht="123" customHeight="1" x14ac:dyDescent="0.25">
      <c r="A69" s="34"/>
      <c r="B69" s="35"/>
      <c r="C69" s="36"/>
      <c r="D69" s="35"/>
      <c r="E69" s="35"/>
      <c r="F69" s="37"/>
      <c r="G69" s="38"/>
      <c r="H69" s="38"/>
      <c r="I69" s="38"/>
      <c r="J69" s="39"/>
      <c r="K69" s="38"/>
      <c r="L69" s="38"/>
      <c r="M69" s="38"/>
      <c r="Q69" s="36"/>
      <c r="R69" s="36"/>
      <c r="S69" s="48"/>
    </row>
    <row r="70" spans="1:19" ht="123" customHeight="1" x14ac:dyDescent="0.25">
      <c r="A70" s="34"/>
      <c r="B70" s="35"/>
      <c r="C70" s="36"/>
      <c r="D70" s="35"/>
      <c r="E70" s="35"/>
      <c r="F70" s="37"/>
      <c r="G70" s="38"/>
      <c r="H70" s="38"/>
      <c r="I70" s="38"/>
      <c r="J70" s="39"/>
      <c r="K70" s="38"/>
      <c r="L70" s="38"/>
      <c r="M70" s="38"/>
      <c r="Q70" s="36"/>
      <c r="R70" s="36"/>
      <c r="S70" s="48"/>
    </row>
    <row r="71" spans="1:19" ht="123" customHeight="1" x14ac:dyDescent="0.25">
      <c r="A71" s="34"/>
      <c r="B71" s="35"/>
      <c r="C71" s="36"/>
      <c r="D71" s="35"/>
      <c r="E71" s="35"/>
      <c r="F71" s="37"/>
      <c r="G71" s="38"/>
      <c r="H71" s="38"/>
      <c r="I71" s="38"/>
      <c r="J71" s="39"/>
      <c r="K71" s="38"/>
      <c r="L71" s="38"/>
      <c r="M71" s="38"/>
      <c r="Q71" s="36"/>
      <c r="R71" s="36"/>
      <c r="S71" s="48"/>
    </row>
    <row r="72" spans="1:19" ht="123" customHeight="1" x14ac:dyDescent="0.25">
      <c r="A72" s="34"/>
      <c r="B72" s="35"/>
      <c r="C72" s="36"/>
      <c r="D72" s="35"/>
      <c r="E72" s="35"/>
      <c r="F72" s="37"/>
      <c r="G72" s="38"/>
      <c r="H72" s="38"/>
      <c r="I72" s="38"/>
      <c r="J72" s="39"/>
      <c r="K72" s="38"/>
      <c r="L72" s="38"/>
      <c r="M72" s="38"/>
      <c r="Q72" s="36"/>
      <c r="R72" s="36"/>
      <c r="S72" s="48"/>
    </row>
    <row r="73" spans="1:19" ht="123" customHeight="1" x14ac:dyDescent="0.25">
      <c r="A73" s="34"/>
      <c r="B73" s="35"/>
      <c r="C73" s="36"/>
      <c r="D73" s="35"/>
      <c r="E73" s="35"/>
      <c r="F73" s="37"/>
      <c r="G73" s="38"/>
      <c r="H73" s="38"/>
      <c r="I73" s="38"/>
      <c r="J73" s="39"/>
      <c r="K73" s="38"/>
      <c r="L73" s="38"/>
      <c r="M73" s="38"/>
      <c r="Q73" s="36"/>
      <c r="R73" s="36"/>
      <c r="S73" s="48"/>
    </row>
    <row r="74" spans="1:19" ht="123" customHeight="1" x14ac:dyDescent="0.25">
      <c r="A74" s="34"/>
      <c r="B74" s="35"/>
      <c r="C74" s="36"/>
      <c r="D74" s="35"/>
      <c r="E74" s="35"/>
      <c r="F74" s="37"/>
      <c r="G74" s="38"/>
      <c r="H74" s="38"/>
      <c r="I74" s="38"/>
      <c r="J74" s="39"/>
      <c r="K74" s="38"/>
      <c r="L74" s="38"/>
      <c r="M74" s="38"/>
      <c r="Q74" s="36"/>
      <c r="R74" s="36"/>
      <c r="S74" s="48"/>
    </row>
    <row r="75" spans="1:19" ht="123" customHeight="1" x14ac:dyDescent="0.25">
      <c r="A75" s="34"/>
      <c r="B75" s="35"/>
      <c r="C75" s="36"/>
      <c r="D75" s="35"/>
      <c r="E75" s="35"/>
      <c r="F75" s="37"/>
      <c r="G75" s="38"/>
      <c r="H75" s="38"/>
      <c r="I75" s="38"/>
      <c r="J75" s="39"/>
      <c r="K75" s="38"/>
      <c r="L75" s="38"/>
      <c r="M75" s="38"/>
      <c r="Q75" s="36"/>
      <c r="R75" s="36"/>
      <c r="S75" s="48"/>
    </row>
    <row r="76" spans="1:19" ht="123" customHeight="1" x14ac:dyDescent="0.25">
      <c r="A76" s="34"/>
      <c r="B76" s="35"/>
      <c r="C76" s="36"/>
      <c r="D76" s="35"/>
      <c r="E76" s="35"/>
      <c r="F76" s="37"/>
      <c r="G76" s="38"/>
      <c r="H76" s="38"/>
      <c r="I76" s="38"/>
      <c r="J76" s="39"/>
      <c r="K76" s="38"/>
      <c r="L76" s="38"/>
      <c r="M76" s="38"/>
      <c r="Q76" s="36"/>
      <c r="R76" s="36"/>
      <c r="S76" s="48"/>
    </row>
    <row r="77" spans="1:19" ht="123" customHeight="1" x14ac:dyDescent="0.25">
      <c r="A77" s="34"/>
      <c r="B77" s="35"/>
      <c r="C77" s="36"/>
      <c r="D77" s="35"/>
      <c r="E77" s="35"/>
      <c r="F77" s="37"/>
      <c r="G77" s="38"/>
      <c r="H77" s="38"/>
      <c r="I77" s="38"/>
      <c r="J77" s="39"/>
      <c r="K77" s="38"/>
      <c r="L77" s="38"/>
      <c r="M77" s="38"/>
      <c r="Q77" s="36"/>
      <c r="R77" s="36"/>
      <c r="S77" s="48"/>
    </row>
    <row r="78" spans="1:19" ht="123" customHeight="1" x14ac:dyDescent="0.25">
      <c r="A78" s="34"/>
      <c r="B78" s="35"/>
      <c r="C78" s="36"/>
      <c r="D78" s="35"/>
      <c r="E78" s="35"/>
      <c r="F78" s="37"/>
      <c r="G78" s="38"/>
      <c r="H78" s="38"/>
      <c r="I78" s="38"/>
      <c r="J78" s="39"/>
      <c r="K78" s="38"/>
      <c r="L78" s="38"/>
      <c r="M78" s="38"/>
      <c r="Q78" s="36"/>
      <c r="R78" s="36"/>
      <c r="S78" s="48"/>
    </row>
    <row r="79" spans="1:19" ht="123" customHeight="1" x14ac:dyDescent="0.25">
      <c r="A79" s="34"/>
      <c r="B79" s="35"/>
      <c r="C79" s="36"/>
      <c r="D79" s="35"/>
      <c r="E79" s="35"/>
      <c r="F79" s="37"/>
      <c r="G79" s="38"/>
      <c r="H79" s="38"/>
      <c r="I79" s="38"/>
      <c r="J79" s="39"/>
      <c r="K79" s="38"/>
      <c r="L79" s="38"/>
      <c r="M79" s="38"/>
      <c r="Q79" s="36"/>
      <c r="R79" s="36"/>
      <c r="S79" s="48"/>
    </row>
    <row r="80" spans="1:19" ht="123" customHeight="1" x14ac:dyDescent="0.25">
      <c r="A80" s="34"/>
      <c r="B80" s="35"/>
      <c r="C80" s="36"/>
      <c r="D80" s="35"/>
      <c r="E80" s="35"/>
      <c r="F80" s="37"/>
      <c r="G80" s="38"/>
      <c r="H80" s="38"/>
      <c r="I80" s="38"/>
      <c r="J80" s="39"/>
      <c r="K80" s="38"/>
      <c r="L80" s="38"/>
      <c r="M80" s="38"/>
      <c r="Q80" s="36"/>
      <c r="R80" s="36"/>
      <c r="S80" s="48"/>
    </row>
    <row r="81" spans="1:19" ht="123" customHeight="1" x14ac:dyDescent="0.25">
      <c r="A81" s="34"/>
      <c r="B81" s="35"/>
      <c r="C81" s="36"/>
      <c r="D81" s="35"/>
      <c r="E81" s="35"/>
      <c r="F81" s="37"/>
      <c r="G81" s="38"/>
      <c r="H81" s="38"/>
      <c r="I81" s="38"/>
      <c r="J81" s="39"/>
      <c r="K81" s="38"/>
      <c r="L81" s="38"/>
      <c r="M81" s="38"/>
      <c r="Q81" s="36"/>
      <c r="R81" s="36"/>
      <c r="S81" s="48"/>
    </row>
    <row r="82" spans="1:19" ht="123" customHeight="1" x14ac:dyDescent="0.25">
      <c r="A82" s="34"/>
      <c r="B82" s="35"/>
      <c r="C82" s="36"/>
      <c r="D82" s="35"/>
      <c r="E82" s="35"/>
      <c r="F82" s="37"/>
      <c r="G82" s="38"/>
      <c r="H82" s="38"/>
      <c r="I82" s="38"/>
      <c r="J82" s="39"/>
      <c r="K82" s="38"/>
      <c r="L82" s="38"/>
      <c r="M82" s="38"/>
      <c r="Q82" s="36"/>
      <c r="R82" s="36"/>
      <c r="S82" s="48"/>
    </row>
    <row r="83" spans="1:19" ht="123" customHeight="1" x14ac:dyDescent="0.25">
      <c r="A83" s="34"/>
      <c r="B83" s="35"/>
      <c r="C83" s="36"/>
      <c r="D83" s="35"/>
      <c r="E83" s="35"/>
      <c r="F83" s="37"/>
      <c r="G83" s="38"/>
      <c r="H83" s="38"/>
      <c r="I83" s="38"/>
      <c r="J83" s="39"/>
      <c r="K83" s="38"/>
      <c r="L83" s="38"/>
      <c r="M83" s="38"/>
      <c r="Q83" s="36"/>
      <c r="R83" s="36"/>
      <c r="S83" s="48"/>
    </row>
    <row r="84" spans="1:19" ht="123" customHeight="1" x14ac:dyDescent="0.25">
      <c r="A84" s="34"/>
      <c r="B84" s="35"/>
      <c r="C84" s="36"/>
      <c r="D84" s="35"/>
      <c r="E84" s="35"/>
      <c r="F84" s="37"/>
      <c r="G84" s="38"/>
      <c r="H84" s="38"/>
      <c r="I84" s="38"/>
      <c r="J84" s="39"/>
      <c r="K84" s="38"/>
      <c r="L84" s="38"/>
      <c r="M84" s="38"/>
      <c r="Q84" s="36"/>
      <c r="R84" s="36"/>
      <c r="S84" s="48"/>
    </row>
    <row r="85" spans="1:19" ht="123" customHeight="1" x14ac:dyDescent="0.25">
      <c r="A85" s="34"/>
      <c r="B85" s="35"/>
      <c r="C85" s="36"/>
      <c r="D85" s="35"/>
      <c r="E85" s="35"/>
      <c r="F85" s="37"/>
      <c r="G85" s="38"/>
      <c r="H85" s="38"/>
      <c r="I85" s="38"/>
      <c r="J85" s="39"/>
      <c r="K85" s="38"/>
      <c r="L85" s="38"/>
      <c r="M85" s="38"/>
      <c r="Q85" s="36"/>
      <c r="R85" s="36"/>
      <c r="S85" s="48"/>
    </row>
    <row r="86" spans="1:19" ht="123" customHeight="1" x14ac:dyDescent="0.25">
      <c r="A86" s="34"/>
      <c r="B86" s="35"/>
      <c r="C86" s="36"/>
      <c r="D86" s="35"/>
      <c r="E86" s="35"/>
      <c r="F86" s="37"/>
      <c r="G86" s="38"/>
      <c r="H86" s="38"/>
      <c r="I86" s="38"/>
      <c r="J86" s="39"/>
      <c r="K86" s="38"/>
      <c r="L86" s="38"/>
      <c r="M86" s="38"/>
      <c r="Q86" s="36"/>
      <c r="R86" s="36"/>
      <c r="S86" s="48"/>
    </row>
    <row r="87" spans="1:19" ht="123" customHeight="1" x14ac:dyDescent="0.25">
      <c r="A87" s="34"/>
      <c r="B87" s="35"/>
      <c r="C87" s="36"/>
      <c r="D87" s="35"/>
      <c r="E87" s="35"/>
      <c r="F87" s="37"/>
      <c r="G87" s="38"/>
      <c r="H87" s="38"/>
      <c r="I87" s="38"/>
      <c r="J87" s="39"/>
      <c r="K87" s="38"/>
      <c r="L87" s="38"/>
      <c r="M87" s="38"/>
      <c r="Q87" s="36"/>
      <c r="R87" s="36"/>
      <c r="S87" s="48"/>
    </row>
    <row r="88" spans="1:19" ht="123" customHeight="1" x14ac:dyDescent="0.25">
      <c r="A88" s="34"/>
      <c r="B88" s="35"/>
      <c r="C88" s="36"/>
      <c r="D88" s="35"/>
      <c r="E88" s="35"/>
      <c r="F88" s="37"/>
      <c r="G88" s="38"/>
      <c r="H88" s="38"/>
      <c r="I88" s="38"/>
      <c r="J88" s="39"/>
      <c r="K88" s="38"/>
      <c r="L88" s="38"/>
      <c r="M88" s="38"/>
      <c r="Q88" s="36"/>
      <c r="R88" s="36"/>
      <c r="S88" s="48"/>
    </row>
    <row r="89" spans="1:19" ht="123" customHeight="1" x14ac:dyDescent="0.25">
      <c r="A89" s="34"/>
      <c r="B89" s="35"/>
      <c r="C89" s="36"/>
      <c r="D89" s="35"/>
      <c r="E89" s="35"/>
      <c r="F89" s="37"/>
      <c r="G89" s="38"/>
      <c r="H89" s="38"/>
      <c r="I89" s="38"/>
      <c r="J89" s="39"/>
      <c r="K89" s="38"/>
      <c r="L89" s="38"/>
      <c r="M89" s="38"/>
      <c r="Q89" s="36"/>
      <c r="R89" s="36"/>
      <c r="S89" s="48"/>
    </row>
    <row r="90" spans="1:19" ht="123" customHeight="1" x14ac:dyDescent="0.25">
      <c r="A90" s="34"/>
      <c r="B90" s="35"/>
      <c r="C90" s="36"/>
      <c r="D90" s="35"/>
      <c r="E90" s="35"/>
      <c r="F90" s="37"/>
      <c r="G90" s="38"/>
      <c r="H90" s="38"/>
      <c r="I90" s="38"/>
      <c r="J90" s="39"/>
      <c r="K90" s="38"/>
      <c r="L90" s="38"/>
      <c r="M90" s="38"/>
      <c r="Q90" s="36"/>
      <c r="R90" s="36"/>
      <c r="S90" s="48"/>
    </row>
    <row r="91" spans="1:19" ht="123" customHeight="1" x14ac:dyDescent="0.25">
      <c r="A91" s="34"/>
      <c r="B91" s="35"/>
      <c r="C91" s="36"/>
      <c r="D91" s="35"/>
      <c r="E91" s="35"/>
      <c r="F91" s="37"/>
      <c r="G91" s="38"/>
      <c r="H91" s="38"/>
      <c r="I91" s="38"/>
      <c r="J91" s="39"/>
      <c r="K91" s="38"/>
      <c r="L91" s="38"/>
      <c r="M91" s="38"/>
      <c r="Q91" s="36"/>
      <c r="R91" s="36"/>
      <c r="S91" s="48"/>
    </row>
    <row r="92" spans="1:19" ht="123" customHeight="1" x14ac:dyDescent="0.25">
      <c r="A92" s="34"/>
      <c r="B92" s="35"/>
      <c r="C92" s="36"/>
      <c r="D92" s="35"/>
      <c r="E92" s="35"/>
      <c r="F92" s="37"/>
      <c r="G92" s="38"/>
      <c r="H92" s="38"/>
      <c r="I92" s="38"/>
      <c r="J92" s="39"/>
      <c r="K92" s="38"/>
      <c r="L92" s="38"/>
      <c r="M92" s="38"/>
      <c r="Q92" s="36"/>
      <c r="R92" s="36"/>
      <c r="S92" s="48"/>
    </row>
    <row r="93" spans="1:19" ht="123" customHeight="1" x14ac:dyDescent="0.25">
      <c r="A93" s="34"/>
      <c r="B93" s="35"/>
      <c r="C93" s="36"/>
      <c r="D93" s="35"/>
      <c r="E93" s="35"/>
      <c r="F93" s="37"/>
      <c r="G93" s="38"/>
      <c r="H93" s="38"/>
      <c r="I93" s="38"/>
      <c r="J93" s="39"/>
      <c r="K93" s="38"/>
      <c r="L93" s="38"/>
      <c r="M93" s="38"/>
      <c r="Q93" s="36"/>
      <c r="R93" s="36"/>
      <c r="S93" s="48"/>
    </row>
    <row r="94" spans="1:19" ht="123" customHeight="1" x14ac:dyDescent="0.25">
      <c r="A94" s="34"/>
      <c r="B94" s="35"/>
      <c r="C94" s="36"/>
      <c r="D94" s="35"/>
      <c r="E94" s="35"/>
      <c r="F94" s="37"/>
      <c r="G94" s="38"/>
      <c r="H94" s="38"/>
      <c r="I94" s="38"/>
      <c r="J94" s="39"/>
      <c r="K94" s="38"/>
      <c r="L94" s="38"/>
      <c r="M94" s="38"/>
      <c r="Q94" s="36"/>
      <c r="R94" s="36"/>
      <c r="S94" s="48"/>
    </row>
    <row r="95" spans="1:19" ht="123" customHeight="1" x14ac:dyDescent="0.25">
      <c r="A95" s="34"/>
      <c r="B95" s="35"/>
      <c r="C95" s="36"/>
      <c r="D95" s="35"/>
      <c r="E95" s="35"/>
      <c r="F95" s="37"/>
      <c r="G95" s="38"/>
      <c r="H95" s="38"/>
      <c r="I95" s="38"/>
      <c r="J95" s="39"/>
      <c r="K95" s="38"/>
      <c r="L95" s="38"/>
      <c r="M95" s="38"/>
      <c r="Q95" s="36"/>
      <c r="R95" s="36"/>
      <c r="S95" s="48"/>
    </row>
    <row r="96" spans="1:19" ht="123" customHeight="1" x14ac:dyDescent="0.25">
      <c r="A96" s="34"/>
      <c r="B96" s="35"/>
      <c r="C96" s="36"/>
      <c r="D96" s="35"/>
      <c r="E96" s="35"/>
      <c r="F96" s="37"/>
      <c r="G96" s="38"/>
      <c r="H96" s="38"/>
      <c r="I96" s="38"/>
      <c r="J96" s="39"/>
      <c r="K96" s="38"/>
      <c r="L96" s="38"/>
      <c r="M96" s="38"/>
      <c r="Q96" s="36"/>
      <c r="R96" s="36"/>
      <c r="S96" s="48"/>
    </row>
    <row r="97" spans="1:19" ht="123" customHeight="1" x14ac:dyDescent="0.25">
      <c r="A97" s="34"/>
      <c r="B97" s="35"/>
      <c r="C97" s="36"/>
      <c r="D97" s="35"/>
      <c r="E97" s="35"/>
      <c r="F97" s="37"/>
      <c r="G97" s="38"/>
      <c r="H97" s="38"/>
      <c r="I97" s="38"/>
      <c r="J97" s="39"/>
      <c r="K97" s="38"/>
      <c r="L97" s="38"/>
      <c r="M97" s="38"/>
      <c r="Q97" s="36"/>
      <c r="R97" s="36"/>
      <c r="S97" s="48"/>
    </row>
    <row r="98" spans="1:19" ht="123" customHeight="1" x14ac:dyDescent="0.25">
      <c r="A98" s="34"/>
      <c r="B98" s="35"/>
      <c r="C98" s="36"/>
      <c r="D98" s="35"/>
      <c r="E98" s="35"/>
      <c r="F98" s="37"/>
      <c r="G98" s="38"/>
      <c r="H98" s="38"/>
      <c r="I98" s="38"/>
      <c r="J98" s="39"/>
      <c r="K98" s="38"/>
      <c r="L98" s="38"/>
      <c r="M98" s="38"/>
      <c r="Q98" s="36"/>
      <c r="R98" s="36"/>
      <c r="S98" s="48"/>
    </row>
    <row r="99" spans="1:19" ht="123" customHeight="1" x14ac:dyDescent="0.25">
      <c r="A99" s="34"/>
      <c r="B99" s="35"/>
      <c r="C99" s="36"/>
      <c r="D99" s="35"/>
      <c r="E99" s="35"/>
      <c r="F99" s="37"/>
      <c r="G99" s="38"/>
      <c r="H99" s="38"/>
      <c r="I99" s="38"/>
      <c r="J99" s="39"/>
      <c r="K99" s="38"/>
      <c r="L99" s="38"/>
      <c r="M99" s="38"/>
      <c r="Q99" s="36"/>
      <c r="R99" s="36"/>
      <c r="S99" s="48"/>
    </row>
    <row r="100" spans="1:19" ht="123" customHeight="1" x14ac:dyDescent="0.25">
      <c r="A100" s="34"/>
      <c r="B100" s="35"/>
      <c r="C100" s="36"/>
      <c r="D100" s="35"/>
      <c r="E100" s="35"/>
      <c r="F100" s="37"/>
      <c r="G100" s="38"/>
      <c r="H100" s="38"/>
      <c r="I100" s="38"/>
      <c r="J100" s="39"/>
      <c r="K100" s="38"/>
      <c r="L100" s="38"/>
      <c r="M100" s="38"/>
      <c r="Q100" s="36"/>
      <c r="R100" s="36"/>
      <c r="S100" s="48"/>
    </row>
    <row r="101" spans="1:19" ht="123" customHeight="1" x14ac:dyDescent="0.25">
      <c r="A101" s="34"/>
      <c r="B101" s="35"/>
      <c r="C101" s="36"/>
      <c r="D101" s="35"/>
      <c r="E101" s="35"/>
      <c r="F101" s="37"/>
      <c r="G101" s="38"/>
      <c r="H101" s="38"/>
      <c r="I101" s="38"/>
      <c r="J101" s="39"/>
      <c r="K101" s="38"/>
      <c r="L101" s="38"/>
      <c r="M101" s="38"/>
      <c r="Q101" s="36"/>
      <c r="R101" s="36"/>
      <c r="S101" s="48"/>
    </row>
    <row r="102" spans="1:19" ht="123" customHeight="1" x14ac:dyDescent="0.25">
      <c r="A102" s="34"/>
      <c r="B102" s="35"/>
      <c r="C102" s="36"/>
      <c r="D102" s="35"/>
      <c r="E102" s="35"/>
      <c r="F102" s="37"/>
      <c r="G102" s="38"/>
      <c r="H102" s="38"/>
      <c r="I102" s="38"/>
      <c r="J102" s="39"/>
      <c r="K102" s="38"/>
      <c r="L102" s="38"/>
      <c r="M102" s="38"/>
      <c r="Q102" s="36"/>
      <c r="R102" s="36"/>
      <c r="S102" s="48"/>
    </row>
    <row r="103" spans="1:19" ht="123" customHeight="1" x14ac:dyDescent="0.25">
      <c r="A103" s="34"/>
      <c r="B103" s="35"/>
      <c r="C103" s="36"/>
      <c r="D103" s="35"/>
      <c r="E103" s="35"/>
      <c r="F103" s="37"/>
      <c r="G103" s="38"/>
      <c r="H103" s="38"/>
      <c r="I103" s="38"/>
      <c r="J103" s="39"/>
      <c r="K103" s="38"/>
      <c r="L103" s="38"/>
      <c r="M103" s="38"/>
      <c r="Q103" s="36"/>
      <c r="R103" s="36"/>
      <c r="S103" s="48"/>
    </row>
    <row r="104" spans="1:19" ht="123" customHeight="1" x14ac:dyDescent="0.25">
      <c r="A104" s="34"/>
      <c r="B104" s="35"/>
      <c r="C104" s="36"/>
      <c r="D104" s="35"/>
      <c r="E104" s="35"/>
      <c r="F104" s="37"/>
      <c r="G104" s="38"/>
      <c r="H104" s="38"/>
      <c r="I104" s="38"/>
      <c r="J104" s="39"/>
      <c r="K104" s="38"/>
      <c r="L104" s="38"/>
      <c r="M104" s="38"/>
      <c r="Q104" s="36"/>
      <c r="R104" s="36"/>
      <c r="S104" s="48"/>
    </row>
    <row r="105" spans="1:19" ht="123" customHeight="1" x14ac:dyDescent="0.25">
      <c r="A105" s="34"/>
      <c r="B105" s="35"/>
      <c r="C105" s="36"/>
      <c r="Q105" s="36"/>
    </row>
    <row r="106" spans="1:19" ht="123" customHeight="1" x14ac:dyDescent="0.25">
      <c r="A106" s="34"/>
      <c r="B106" s="35"/>
      <c r="C106" s="36"/>
      <c r="Q106" s="36"/>
    </row>
    <row r="107" spans="1:19" ht="123" customHeight="1" x14ac:dyDescent="0.25">
      <c r="A107" s="34"/>
      <c r="B107" s="35"/>
      <c r="C107" s="36"/>
      <c r="Q107" s="36"/>
    </row>
    <row r="108" spans="1:19" ht="123" customHeight="1" x14ac:dyDescent="0.25">
      <c r="A108" s="34"/>
      <c r="B108" s="35"/>
      <c r="C108" s="36"/>
      <c r="Q108" s="36"/>
    </row>
    <row r="109" spans="1:19" ht="123" customHeight="1" x14ac:dyDescent="0.25">
      <c r="A109" s="34"/>
      <c r="B109" s="35"/>
      <c r="C109" s="36"/>
      <c r="Q109" s="36"/>
    </row>
    <row r="110" spans="1:19" ht="123" customHeight="1" x14ac:dyDescent="0.25">
      <c r="A110" s="34"/>
      <c r="B110" s="35"/>
      <c r="C110" s="36"/>
      <c r="Q110" s="36"/>
    </row>
    <row r="111" spans="1:19" ht="123" customHeight="1" x14ac:dyDescent="0.25">
      <c r="A111" s="34"/>
      <c r="B111" s="35"/>
      <c r="C111" s="36"/>
      <c r="Q111" s="36"/>
    </row>
    <row r="112" spans="1:19" ht="123" customHeight="1" x14ac:dyDescent="0.25">
      <c r="A112" s="34"/>
      <c r="B112" s="35"/>
      <c r="C112" s="36"/>
      <c r="Q112" s="36"/>
    </row>
    <row r="113" spans="1:17" ht="123" customHeight="1" x14ac:dyDescent="0.25">
      <c r="A113" s="34"/>
      <c r="B113" s="35"/>
      <c r="C113" s="36"/>
      <c r="Q113" s="36"/>
    </row>
    <row r="114" spans="1:17" ht="123" customHeight="1" x14ac:dyDescent="0.25">
      <c r="A114" s="34"/>
      <c r="B114" s="35"/>
      <c r="C114" s="36"/>
      <c r="Q114" s="36"/>
    </row>
    <row r="115" spans="1:17" ht="123" customHeight="1" x14ac:dyDescent="0.25">
      <c r="A115" s="34"/>
      <c r="B115" s="35"/>
      <c r="C115" s="36"/>
      <c r="Q115" s="36"/>
    </row>
    <row r="116" spans="1:17" ht="123" customHeight="1" x14ac:dyDescent="0.25">
      <c r="A116" s="34"/>
      <c r="B116" s="35"/>
      <c r="C116" s="36"/>
      <c r="Q116" s="36"/>
    </row>
    <row r="117" spans="1:17" ht="123" customHeight="1" x14ac:dyDescent="0.25">
      <c r="A117" s="34"/>
      <c r="B117" s="35"/>
      <c r="C117" s="36"/>
      <c r="Q117" s="36"/>
    </row>
    <row r="118" spans="1:17" ht="123" customHeight="1" x14ac:dyDescent="0.25">
      <c r="A118" s="34"/>
      <c r="B118" s="35"/>
      <c r="C118" s="36"/>
      <c r="Q118" s="36"/>
    </row>
    <row r="119" spans="1:17" ht="123" customHeight="1" x14ac:dyDescent="0.25">
      <c r="A119" s="34"/>
      <c r="B119" s="35"/>
      <c r="C119" s="36"/>
      <c r="Q119" s="36"/>
    </row>
    <row r="120" spans="1:17" ht="123" customHeight="1" x14ac:dyDescent="0.25">
      <c r="A120" s="34"/>
      <c r="B120" s="35"/>
      <c r="C120" s="36"/>
      <c r="Q120" s="36"/>
    </row>
    <row r="121" spans="1:17" ht="123" customHeight="1" x14ac:dyDescent="0.25">
      <c r="A121" s="34"/>
      <c r="B121" s="35"/>
      <c r="C121" s="36"/>
      <c r="Q121" s="36"/>
    </row>
    <row r="122" spans="1:17" ht="123" customHeight="1" x14ac:dyDescent="0.25">
      <c r="A122" s="34"/>
      <c r="B122" s="35"/>
      <c r="C122" s="36"/>
      <c r="Q122" s="36"/>
    </row>
    <row r="123" spans="1:17" ht="123" customHeight="1" x14ac:dyDescent="0.25">
      <c r="A123" s="34"/>
      <c r="B123" s="35"/>
      <c r="C123" s="36"/>
      <c r="Q123" s="36"/>
    </row>
    <row r="124" spans="1:17" ht="123" customHeight="1" x14ac:dyDescent="0.25">
      <c r="A124" s="34"/>
      <c r="B124" s="35"/>
      <c r="C124" s="36"/>
      <c r="Q124" s="36"/>
    </row>
    <row r="125" spans="1:17" ht="123" customHeight="1" x14ac:dyDescent="0.25">
      <c r="A125" s="34"/>
      <c r="B125" s="35"/>
      <c r="C125" s="36"/>
      <c r="Q125" s="36"/>
    </row>
    <row r="126" spans="1:17" ht="123" customHeight="1" x14ac:dyDescent="0.25">
      <c r="A126" s="34"/>
      <c r="B126" s="35"/>
      <c r="C126" s="36"/>
      <c r="Q126" s="36"/>
    </row>
    <row r="127" spans="1:17" ht="123" customHeight="1" x14ac:dyDescent="0.25">
      <c r="A127" s="34"/>
      <c r="B127" s="35"/>
      <c r="C127" s="36"/>
      <c r="Q127" s="36"/>
    </row>
    <row r="128" spans="1:17" ht="123" customHeight="1" x14ac:dyDescent="0.25">
      <c r="A128" s="34"/>
      <c r="B128" s="35"/>
      <c r="C128" s="36"/>
      <c r="Q128" s="36"/>
    </row>
    <row r="129" spans="1:17" ht="123" customHeight="1" x14ac:dyDescent="0.25">
      <c r="A129" s="34"/>
      <c r="B129" s="35"/>
      <c r="C129" s="36"/>
      <c r="Q129" s="36"/>
    </row>
    <row r="130" spans="1:17" ht="123" customHeight="1" x14ac:dyDescent="0.25">
      <c r="A130" s="34"/>
      <c r="B130" s="35"/>
      <c r="C130" s="36"/>
      <c r="Q130" s="36"/>
    </row>
    <row r="131" spans="1:17" ht="123" customHeight="1" x14ac:dyDescent="0.25">
      <c r="A131" s="34"/>
      <c r="B131" s="35"/>
      <c r="C131" s="36"/>
      <c r="Q131" s="36"/>
    </row>
    <row r="132" spans="1:17" ht="123" customHeight="1" x14ac:dyDescent="0.25">
      <c r="A132" s="34"/>
      <c r="B132" s="35"/>
      <c r="C132" s="36"/>
      <c r="Q132" s="36"/>
    </row>
    <row r="133" spans="1:17" ht="123" customHeight="1" x14ac:dyDescent="0.25">
      <c r="A133" s="34"/>
      <c r="B133" s="35"/>
      <c r="C133" s="36"/>
      <c r="Q133" s="36"/>
    </row>
    <row r="134" spans="1:17" ht="123" customHeight="1" x14ac:dyDescent="0.25">
      <c r="A134" s="34"/>
      <c r="B134" s="35"/>
      <c r="C134" s="36"/>
      <c r="Q134" s="36"/>
    </row>
    <row r="135" spans="1:17" ht="123" customHeight="1" x14ac:dyDescent="0.25">
      <c r="A135" s="34"/>
      <c r="B135" s="35"/>
      <c r="C135" s="36"/>
      <c r="Q135" s="36"/>
    </row>
    <row r="136" spans="1:17" ht="123" customHeight="1" x14ac:dyDescent="0.25">
      <c r="A136" s="34"/>
      <c r="B136" s="35"/>
      <c r="C136" s="36"/>
      <c r="Q136" s="36"/>
    </row>
    <row r="137" spans="1:17" ht="123" customHeight="1" x14ac:dyDescent="0.25">
      <c r="A137" s="34"/>
      <c r="B137" s="35"/>
      <c r="C137" s="36"/>
      <c r="Q137" s="36"/>
    </row>
    <row r="138" spans="1:17" ht="123" customHeight="1" x14ac:dyDescent="0.25">
      <c r="A138" s="34"/>
      <c r="B138" s="35"/>
      <c r="C138" s="36"/>
      <c r="Q138" s="36"/>
    </row>
    <row r="139" spans="1:17" ht="123" customHeight="1" x14ac:dyDescent="0.25">
      <c r="A139" s="34"/>
      <c r="B139" s="35"/>
      <c r="C139" s="36"/>
      <c r="Q139" s="36"/>
    </row>
    <row r="140" spans="1:17" ht="123" customHeight="1" x14ac:dyDescent="0.25">
      <c r="A140" s="34"/>
      <c r="B140" s="35"/>
      <c r="C140" s="36"/>
      <c r="Q140" s="36"/>
    </row>
    <row r="141" spans="1:17" ht="123" customHeight="1" x14ac:dyDescent="0.25">
      <c r="A141" s="34"/>
      <c r="B141" s="35"/>
      <c r="C141" s="36"/>
      <c r="Q141" s="36"/>
    </row>
    <row r="142" spans="1:17" ht="123" customHeight="1" x14ac:dyDescent="0.25">
      <c r="A142" s="34"/>
      <c r="B142" s="35"/>
      <c r="C142" s="36"/>
      <c r="Q142" s="36"/>
    </row>
    <row r="143" spans="1:17" ht="123" customHeight="1" x14ac:dyDescent="0.25">
      <c r="A143" s="34"/>
      <c r="B143" s="35"/>
      <c r="C143" s="36"/>
      <c r="Q143" s="36"/>
    </row>
    <row r="144" spans="1:17" ht="123" customHeight="1" x14ac:dyDescent="0.25">
      <c r="A144" s="34"/>
      <c r="B144" s="35"/>
      <c r="C144" s="36"/>
      <c r="Q144" s="36"/>
    </row>
    <row r="145" spans="1:17" ht="123" customHeight="1" x14ac:dyDescent="0.25">
      <c r="A145" s="34"/>
      <c r="B145" s="35"/>
      <c r="C145" s="36"/>
      <c r="Q145" s="36"/>
    </row>
    <row r="146" spans="1:17" ht="123" customHeight="1" x14ac:dyDescent="0.25">
      <c r="A146" s="34"/>
      <c r="B146" s="35"/>
      <c r="C146" s="36"/>
      <c r="Q146" s="36"/>
    </row>
    <row r="147" spans="1:17" ht="123" customHeight="1" x14ac:dyDescent="0.25">
      <c r="A147" s="34"/>
      <c r="B147" s="35"/>
      <c r="C147" s="36"/>
      <c r="Q147" s="36"/>
    </row>
    <row r="148" spans="1:17" ht="123" customHeight="1" x14ac:dyDescent="0.25">
      <c r="A148" s="34"/>
      <c r="B148" s="35"/>
      <c r="C148" s="36"/>
      <c r="Q148" s="36"/>
    </row>
    <row r="149" spans="1:17" ht="123" customHeight="1" x14ac:dyDescent="0.25">
      <c r="A149" s="34"/>
      <c r="B149" s="35"/>
      <c r="C149" s="36"/>
      <c r="Q149" s="36"/>
    </row>
    <row r="150" spans="1:17" ht="123" customHeight="1" x14ac:dyDescent="0.25">
      <c r="A150" s="34"/>
      <c r="B150" s="35"/>
      <c r="C150" s="36"/>
      <c r="Q150" s="36"/>
    </row>
    <row r="151" spans="1:17" ht="123" customHeight="1" x14ac:dyDescent="0.25">
      <c r="A151" s="34"/>
      <c r="B151" s="35"/>
      <c r="C151" s="36"/>
      <c r="Q151" s="36"/>
    </row>
    <row r="152" spans="1:17" ht="123" customHeight="1" x14ac:dyDescent="0.25">
      <c r="A152" s="34"/>
      <c r="B152" s="35"/>
      <c r="C152" s="36"/>
      <c r="Q152" s="36"/>
    </row>
    <row r="153" spans="1:17" ht="123" customHeight="1" x14ac:dyDescent="0.25">
      <c r="A153" s="34"/>
      <c r="B153" s="35"/>
      <c r="C153" s="36"/>
      <c r="Q153" s="36"/>
    </row>
    <row r="154" spans="1:17" ht="123" customHeight="1" x14ac:dyDescent="0.25">
      <c r="A154" s="34"/>
      <c r="B154" s="35"/>
      <c r="C154" s="36"/>
      <c r="Q154" s="36"/>
    </row>
    <row r="155" spans="1:17" ht="123" customHeight="1" x14ac:dyDescent="0.25">
      <c r="A155" s="34"/>
      <c r="B155" s="35"/>
      <c r="C155" s="36"/>
      <c r="Q155" s="36"/>
    </row>
    <row r="156" spans="1:17" ht="123" customHeight="1" x14ac:dyDescent="0.25">
      <c r="A156" s="34"/>
      <c r="B156" s="35"/>
      <c r="C156" s="36"/>
      <c r="Q156" s="36"/>
    </row>
    <row r="157" spans="1:17" ht="123" customHeight="1" x14ac:dyDescent="0.25">
      <c r="A157" s="34"/>
      <c r="B157" s="35"/>
      <c r="C157" s="36"/>
      <c r="Q157" s="36"/>
    </row>
    <row r="158" spans="1:17" ht="123" customHeight="1" x14ac:dyDescent="0.25">
      <c r="A158" s="34"/>
      <c r="B158" s="35"/>
      <c r="C158" s="36"/>
      <c r="Q158" s="36"/>
    </row>
    <row r="159" spans="1:17" ht="123" customHeight="1" x14ac:dyDescent="0.25">
      <c r="A159" s="34"/>
      <c r="B159" s="35"/>
      <c r="C159" s="36"/>
      <c r="Q159" s="36"/>
    </row>
    <row r="160" spans="1:17" ht="123" customHeight="1" x14ac:dyDescent="0.25">
      <c r="A160" s="34"/>
      <c r="B160" s="35"/>
      <c r="C160" s="36"/>
      <c r="Q160" s="36"/>
    </row>
    <row r="161" spans="1:17" ht="123" customHeight="1" x14ac:dyDescent="0.25">
      <c r="A161" s="34"/>
      <c r="B161" s="35"/>
      <c r="C161" s="36"/>
      <c r="Q161" s="36"/>
    </row>
    <row r="162" spans="1:17" ht="123" customHeight="1" x14ac:dyDescent="0.25">
      <c r="A162" s="34"/>
      <c r="B162" s="35"/>
      <c r="C162" s="36"/>
      <c r="Q162" s="36"/>
    </row>
    <row r="163" spans="1:17" ht="123" customHeight="1" x14ac:dyDescent="0.25">
      <c r="A163" s="34"/>
      <c r="B163" s="35"/>
      <c r="C163" s="36"/>
      <c r="Q163" s="36"/>
    </row>
    <row r="164" spans="1:17" ht="123" customHeight="1" x14ac:dyDescent="0.25">
      <c r="A164" s="34"/>
      <c r="B164" s="35"/>
      <c r="C164" s="36"/>
      <c r="Q164" s="36"/>
    </row>
    <row r="165" spans="1:17" ht="123" customHeight="1" x14ac:dyDescent="0.25">
      <c r="A165" s="34"/>
      <c r="B165" s="35"/>
      <c r="C165" s="36"/>
      <c r="Q165" s="36"/>
    </row>
    <row r="166" spans="1:17" ht="123" customHeight="1" x14ac:dyDescent="0.25">
      <c r="A166" s="34"/>
      <c r="B166" s="35"/>
      <c r="C166" s="36"/>
      <c r="Q166" s="36"/>
    </row>
    <row r="167" spans="1:17" ht="123" customHeight="1" x14ac:dyDescent="0.25">
      <c r="A167" s="34"/>
      <c r="B167" s="35"/>
      <c r="C167" s="36"/>
      <c r="Q167" s="36"/>
    </row>
    <row r="168" spans="1:17" ht="123" customHeight="1" x14ac:dyDescent="0.25">
      <c r="A168" s="34"/>
      <c r="B168" s="35"/>
      <c r="C168" s="36"/>
      <c r="Q168" s="36"/>
    </row>
    <row r="169" spans="1:17" ht="123" customHeight="1" x14ac:dyDescent="0.25">
      <c r="A169" s="34"/>
      <c r="B169" s="35"/>
      <c r="C169" s="36"/>
      <c r="Q169" s="36"/>
    </row>
    <row r="170" spans="1:17" ht="123" customHeight="1" x14ac:dyDescent="0.25">
      <c r="A170" s="34"/>
      <c r="B170" s="35"/>
      <c r="C170" s="36"/>
      <c r="Q170" s="36"/>
    </row>
    <row r="171" spans="1:17" ht="123" customHeight="1" x14ac:dyDescent="0.25">
      <c r="A171" s="34"/>
      <c r="B171" s="35"/>
      <c r="C171" s="36"/>
      <c r="Q171" s="36"/>
    </row>
    <row r="172" spans="1:17" ht="123" customHeight="1" x14ac:dyDescent="0.25">
      <c r="A172" s="34"/>
      <c r="B172" s="35"/>
      <c r="C172" s="36"/>
      <c r="Q172" s="36"/>
    </row>
    <row r="173" spans="1:17" ht="123" customHeight="1" x14ac:dyDescent="0.25">
      <c r="A173" s="34"/>
      <c r="B173" s="35"/>
      <c r="C173" s="36"/>
      <c r="Q173" s="36"/>
    </row>
    <row r="174" spans="1:17" ht="123" customHeight="1" x14ac:dyDescent="0.25">
      <c r="A174" s="34"/>
      <c r="B174" s="35"/>
      <c r="C174" s="36"/>
      <c r="Q174" s="36"/>
    </row>
    <row r="175" spans="1:17" ht="123" customHeight="1" x14ac:dyDescent="0.25">
      <c r="A175" s="34"/>
      <c r="B175" s="35"/>
      <c r="C175" s="36"/>
      <c r="Q175" s="36"/>
    </row>
    <row r="176" spans="1:17" ht="123" customHeight="1" x14ac:dyDescent="0.25">
      <c r="A176" s="34"/>
      <c r="B176" s="35"/>
      <c r="C176" s="36"/>
      <c r="Q176" s="36"/>
    </row>
    <row r="177" spans="1:17" ht="123" customHeight="1" x14ac:dyDescent="0.25">
      <c r="A177" s="34"/>
      <c r="B177" s="35"/>
      <c r="C177" s="36"/>
      <c r="Q177" s="36"/>
    </row>
    <row r="178" spans="1:17" ht="123" customHeight="1" x14ac:dyDescent="0.25">
      <c r="A178" s="34"/>
      <c r="B178" s="35"/>
      <c r="C178" s="36"/>
      <c r="Q178" s="36"/>
    </row>
    <row r="179" spans="1:17" ht="123" customHeight="1" x14ac:dyDescent="0.25">
      <c r="A179" s="34"/>
      <c r="B179" s="35"/>
      <c r="C179" s="36"/>
      <c r="Q179" s="36"/>
    </row>
    <row r="180" spans="1:17" ht="123" customHeight="1" x14ac:dyDescent="0.25">
      <c r="A180" s="34"/>
      <c r="B180" s="35"/>
      <c r="C180" s="36"/>
      <c r="Q180" s="36"/>
    </row>
    <row r="181" spans="1:17" ht="123" customHeight="1" x14ac:dyDescent="0.25">
      <c r="A181" s="34"/>
      <c r="B181" s="35"/>
      <c r="C181" s="36"/>
      <c r="Q181" s="36"/>
    </row>
    <row r="182" spans="1:17" ht="123" customHeight="1" x14ac:dyDescent="0.25">
      <c r="A182" s="34"/>
      <c r="B182" s="35"/>
      <c r="C182" s="36"/>
      <c r="Q182" s="36"/>
    </row>
    <row r="183" spans="1:17" ht="123" customHeight="1" x14ac:dyDescent="0.25">
      <c r="A183" s="34"/>
      <c r="B183" s="35"/>
      <c r="C183" s="36"/>
      <c r="Q183" s="36"/>
    </row>
    <row r="184" spans="1:17" ht="123" customHeight="1" x14ac:dyDescent="0.25">
      <c r="A184" s="34"/>
      <c r="B184" s="35"/>
      <c r="C184" s="36"/>
      <c r="Q184" s="36"/>
    </row>
    <row r="185" spans="1:17" ht="123" customHeight="1" x14ac:dyDescent="0.25">
      <c r="A185" s="34"/>
      <c r="B185" s="35"/>
      <c r="C185" s="36"/>
      <c r="Q185" s="36"/>
    </row>
    <row r="186" spans="1:17" ht="123" customHeight="1" x14ac:dyDescent="0.25">
      <c r="A186" s="34"/>
      <c r="B186" s="35"/>
      <c r="C186" s="36"/>
      <c r="Q186" s="36"/>
    </row>
    <row r="187" spans="1:17" ht="123" customHeight="1" x14ac:dyDescent="0.25">
      <c r="A187" s="34"/>
      <c r="B187" s="35"/>
      <c r="C187" s="36"/>
      <c r="Q187" s="36"/>
    </row>
    <row r="188" spans="1:17" ht="123" customHeight="1" x14ac:dyDescent="0.25">
      <c r="A188" s="34"/>
      <c r="B188" s="35"/>
      <c r="C188" s="36"/>
      <c r="Q188" s="36"/>
    </row>
    <row r="189" spans="1:17" ht="123" customHeight="1" x14ac:dyDescent="0.25">
      <c r="A189" s="34"/>
      <c r="B189" s="35"/>
      <c r="C189" s="36"/>
      <c r="Q189" s="36"/>
    </row>
    <row r="190" spans="1:17" ht="123" customHeight="1" x14ac:dyDescent="0.25">
      <c r="A190" s="34"/>
      <c r="B190" s="35"/>
      <c r="C190" s="36"/>
      <c r="Q190" s="36"/>
    </row>
    <row r="191" spans="1:17" ht="123" customHeight="1" x14ac:dyDescent="0.25">
      <c r="A191" s="34"/>
      <c r="B191" s="35"/>
      <c r="C191" s="36"/>
      <c r="Q191" s="36"/>
    </row>
    <row r="192" spans="1:17" ht="123" customHeight="1" x14ac:dyDescent="0.25">
      <c r="A192" s="34"/>
      <c r="B192" s="35"/>
      <c r="C192" s="36"/>
      <c r="Q192" s="36"/>
    </row>
    <row r="193" spans="1:17" ht="123" customHeight="1" x14ac:dyDescent="0.25">
      <c r="A193" s="34"/>
      <c r="B193" s="35"/>
      <c r="C193" s="36"/>
      <c r="Q193" s="36"/>
    </row>
    <row r="194" spans="1:17" ht="123" customHeight="1" x14ac:dyDescent="0.25">
      <c r="A194" s="34"/>
      <c r="B194" s="35"/>
      <c r="C194" s="36"/>
      <c r="Q194" s="36"/>
    </row>
    <row r="195" spans="1:17" ht="123" customHeight="1" x14ac:dyDescent="0.25">
      <c r="A195" s="34"/>
      <c r="B195" s="35"/>
      <c r="C195" s="36"/>
      <c r="Q195" s="36"/>
    </row>
    <row r="196" spans="1:17" ht="123" customHeight="1" x14ac:dyDescent="0.25">
      <c r="A196" s="34"/>
      <c r="B196" s="35"/>
      <c r="C196" s="36"/>
      <c r="Q196" s="36"/>
    </row>
    <row r="197" spans="1:17" ht="123" customHeight="1" x14ac:dyDescent="0.25">
      <c r="A197" s="34"/>
      <c r="B197" s="35"/>
      <c r="C197" s="36"/>
      <c r="Q197" s="36"/>
    </row>
    <row r="198" spans="1:17" ht="123" customHeight="1" x14ac:dyDescent="0.25">
      <c r="A198" s="34"/>
      <c r="B198" s="35"/>
      <c r="C198" s="36"/>
      <c r="Q198" s="36"/>
    </row>
    <row r="199" spans="1:17" ht="123" customHeight="1" x14ac:dyDescent="0.25">
      <c r="A199" s="34"/>
      <c r="B199" s="35"/>
      <c r="C199" s="36"/>
      <c r="Q199" s="36"/>
    </row>
    <row r="200" spans="1:17" ht="123" customHeight="1" x14ac:dyDescent="0.25">
      <c r="A200" s="34"/>
      <c r="B200" s="35"/>
      <c r="C200" s="36"/>
      <c r="Q200" s="36"/>
    </row>
    <row r="201" spans="1:17" ht="123" customHeight="1" x14ac:dyDescent="0.25">
      <c r="A201" s="34"/>
      <c r="B201" s="35"/>
      <c r="C201" s="36"/>
      <c r="Q201" s="36"/>
    </row>
    <row r="202" spans="1:17" ht="123" customHeight="1" x14ac:dyDescent="0.25">
      <c r="A202" s="34"/>
      <c r="B202" s="35"/>
      <c r="C202" s="36"/>
      <c r="Q202" s="36"/>
    </row>
    <row r="203" spans="1:17" ht="123" customHeight="1" x14ac:dyDescent="0.25">
      <c r="A203" s="34"/>
      <c r="B203" s="35"/>
      <c r="C203" s="36"/>
      <c r="Q203" s="36"/>
    </row>
    <row r="204" spans="1:17" ht="123" customHeight="1" x14ac:dyDescent="0.25">
      <c r="A204" s="34"/>
      <c r="B204" s="35"/>
      <c r="C204" s="36"/>
      <c r="Q204" s="36"/>
    </row>
    <row r="205" spans="1:17" ht="123" customHeight="1" x14ac:dyDescent="0.25">
      <c r="A205" s="34"/>
      <c r="B205" s="35"/>
      <c r="C205" s="36"/>
      <c r="Q205" s="36"/>
    </row>
    <row r="206" spans="1:17" ht="123" customHeight="1" x14ac:dyDescent="0.25">
      <c r="A206" s="34"/>
      <c r="B206" s="35"/>
      <c r="C206" s="36"/>
      <c r="Q206" s="36"/>
    </row>
    <row r="207" spans="1:17" ht="123" customHeight="1" x14ac:dyDescent="0.25">
      <c r="A207" s="34"/>
      <c r="B207" s="35"/>
      <c r="C207" s="36"/>
      <c r="Q207" s="36"/>
    </row>
    <row r="208" spans="1:17" ht="123" customHeight="1" x14ac:dyDescent="0.25">
      <c r="A208" s="34"/>
      <c r="B208" s="35"/>
      <c r="C208" s="36"/>
      <c r="Q208" s="36"/>
    </row>
    <row r="209" spans="1:17" ht="123" customHeight="1" x14ac:dyDescent="0.25">
      <c r="A209" s="34"/>
      <c r="B209" s="35"/>
      <c r="C209" s="36"/>
      <c r="Q209" s="36"/>
    </row>
    <row r="210" spans="1:17" ht="123" customHeight="1" x14ac:dyDescent="0.25">
      <c r="A210" s="34"/>
      <c r="B210" s="35"/>
      <c r="C210" s="36"/>
      <c r="Q210" s="36"/>
    </row>
    <row r="211" spans="1:17" ht="123" customHeight="1" x14ac:dyDescent="0.25">
      <c r="A211" s="34"/>
      <c r="B211" s="35"/>
      <c r="C211" s="36"/>
      <c r="Q211" s="36"/>
    </row>
    <row r="212" spans="1:17" ht="123" customHeight="1" x14ac:dyDescent="0.25">
      <c r="A212" s="34"/>
      <c r="B212" s="35"/>
      <c r="C212" s="36"/>
      <c r="Q212" s="36"/>
    </row>
    <row r="213" spans="1:17" ht="123" customHeight="1" x14ac:dyDescent="0.25">
      <c r="A213" s="34"/>
      <c r="B213" s="35"/>
      <c r="C213" s="36"/>
      <c r="Q213" s="36"/>
    </row>
    <row r="214" spans="1:17" ht="123" customHeight="1" x14ac:dyDescent="0.25">
      <c r="A214" s="34"/>
      <c r="B214" s="35"/>
      <c r="C214" s="36"/>
      <c r="Q214" s="36"/>
    </row>
    <row r="215" spans="1:17" ht="123" customHeight="1" x14ac:dyDescent="0.25">
      <c r="A215" s="34"/>
      <c r="B215" s="35"/>
      <c r="C215" s="36"/>
      <c r="Q215" s="36"/>
    </row>
    <row r="216" spans="1:17" ht="123" customHeight="1" x14ac:dyDescent="0.25">
      <c r="A216" s="34"/>
      <c r="B216" s="35"/>
      <c r="C216" s="36"/>
      <c r="Q216" s="36"/>
    </row>
    <row r="217" spans="1:17" ht="123" customHeight="1" x14ac:dyDescent="0.25">
      <c r="A217" s="34"/>
      <c r="B217" s="35"/>
      <c r="C217" s="36"/>
      <c r="Q217" s="36"/>
    </row>
    <row r="218" spans="1:17" ht="123" customHeight="1" x14ac:dyDescent="0.25">
      <c r="A218" s="34"/>
      <c r="B218" s="35"/>
      <c r="C218" s="36"/>
      <c r="Q218" s="36"/>
    </row>
    <row r="219" spans="1:17" ht="123" customHeight="1" x14ac:dyDescent="0.25">
      <c r="A219" s="34"/>
      <c r="B219" s="35"/>
      <c r="C219" s="36"/>
      <c r="Q219" s="36"/>
    </row>
    <row r="220" spans="1:17" ht="123" customHeight="1" x14ac:dyDescent="0.25">
      <c r="A220" s="34"/>
      <c r="B220" s="35"/>
      <c r="C220" s="36"/>
      <c r="Q220" s="36"/>
    </row>
    <row r="221" spans="1:17" ht="123" customHeight="1" x14ac:dyDescent="0.25">
      <c r="A221" s="34"/>
      <c r="B221" s="35"/>
      <c r="C221" s="36"/>
      <c r="Q221" s="36"/>
    </row>
    <row r="222" spans="1:17" ht="123" customHeight="1" x14ac:dyDescent="0.25">
      <c r="A222" s="34"/>
      <c r="B222" s="35"/>
      <c r="C222" s="36"/>
      <c r="Q222" s="36"/>
    </row>
    <row r="223" spans="1:17" ht="123" customHeight="1" x14ac:dyDescent="0.25">
      <c r="A223" s="34"/>
      <c r="B223" s="35"/>
      <c r="C223" s="36"/>
      <c r="Q223" s="36"/>
    </row>
    <row r="224" spans="1:17" ht="123" customHeight="1" x14ac:dyDescent="0.25">
      <c r="A224" s="34"/>
      <c r="B224" s="35"/>
      <c r="C224" s="36"/>
      <c r="Q224" s="36"/>
    </row>
    <row r="225" spans="1:17" ht="123" customHeight="1" x14ac:dyDescent="0.25">
      <c r="A225" s="34"/>
      <c r="B225" s="35"/>
      <c r="C225" s="36"/>
      <c r="Q225" s="36"/>
    </row>
    <row r="226" spans="1:17" ht="123" customHeight="1" x14ac:dyDescent="0.25">
      <c r="A226" s="34"/>
      <c r="B226" s="35"/>
      <c r="C226" s="36"/>
      <c r="Q226" s="36"/>
    </row>
    <row r="227" spans="1:17" ht="123" customHeight="1" x14ac:dyDescent="0.25">
      <c r="A227" s="34"/>
      <c r="B227" s="35"/>
      <c r="C227" s="36"/>
      <c r="Q227" s="36"/>
    </row>
    <row r="228" spans="1:17" ht="123" customHeight="1" x14ac:dyDescent="0.25">
      <c r="A228" s="34"/>
      <c r="B228" s="35"/>
      <c r="C228" s="36"/>
      <c r="Q228" s="36"/>
    </row>
    <row r="229" spans="1:17" ht="123" customHeight="1" x14ac:dyDescent="0.25">
      <c r="A229" s="34"/>
      <c r="B229" s="35"/>
      <c r="C229" s="36"/>
      <c r="Q229" s="36"/>
    </row>
    <row r="230" spans="1:17" ht="123" customHeight="1" x14ac:dyDescent="0.25">
      <c r="A230" s="34"/>
      <c r="B230" s="35"/>
      <c r="C230" s="36"/>
      <c r="Q230" s="36"/>
    </row>
    <row r="231" spans="1:17" ht="123" customHeight="1" x14ac:dyDescent="0.25">
      <c r="A231" s="34"/>
      <c r="B231" s="35"/>
      <c r="C231" s="36"/>
      <c r="Q231" s="36"/>
    </row>
    <row r="232" spans="1:17" ht="123" customHeight="1" x14ac:dyDescent="0.25">
      <c r="A232" s="34"/>
      <c r="B232" s="35"/>
      <c r="C232" s="36"/>
      <c r="Q232" s="36"/>
    </row>
    <row r="233" spans="1:17" ht="123" customHeight="1" x14ac:dyDescent="0.25">
      <c r="A233" s="34"/>
      <c r="B233" s="35"/>
      <c r="C233" s="36"/>
      <c r="Q233" s="36"/>
    </row>
    <row r="234" spans="1:17" ht="123" customHeight="1" x14ac:dyDescent="0.25">
      <c r="A234" s="34"/>
      <c r="B234" s="35"/>
      <c r="C234" s="36"/>
      <c r="Q234" s="36"/>
    </row>
    <row r="235" spans="1:17" ht="123" customHeight="1" x14ac:dyDescent="0.25">
      <c r="A235" s="34"/>
      <c r="B235" s="35"/>
      <c r="C235" s="36"/>
      <c r="Q235" s="36"/>
    </row>
    <row r="236" spans="1:17" ht="123" customHeight="1" x14ac:dyDescent="0.25">
      <c r="A236" s="34"/>
      <c r="B236" s="35"/>
      <c r="C236" s="36"/>
      <c r="Q236" s="36"/>
    </row>
    <row r="237" spans="1:17" ht="123" customHeight="1" x14ac:dyDescent="0.25">
      <c r="A237" s="34"/>
      <c r="B237" s="35"/>
      <c r="C237" s="36"/>
      <c r="Q237" s="36"/>
    </row>
    <row r="238" spans="1:17" ht="123" customHeight="1" x14ac:dyDescent="0.25">
      <c r="A238" s="34"/>
      <c r="B238" s="35"/>
      <c r="C238" s="36"/>
      <c r="Q238" s="36"/>
    </row>
    <row r="239" spans="1:17" ht="123" customHeight="1" x14ac:dyDescent="0.25">
      <c r="A239" s="34"/>
      <c r="B239" s="35"/>
      <c r="C239" s="36"/>
      <c r="Q239" s="36"/>
    </row>
    <row r="240" spans="1:17" ht="123" customHeight="1" x14ac:dyDescent="0.25">
      <c r="A240" s="34"/>
      <c r="B240" s="35"/>
      <c r="C240" s="36"/>
      <c r="Q240" s="36"/>
    </row>
    <row r="241" spans="1:17" ht="123" customHeight="1" x14ac:dyDescent="0.25">
      <c r="A241" s="34"/>
      <c r="B241" s="35"/>
      <c r="C241" s="36"/>
      <c r="Q241" s="36"/>
    </row>
    <row r="242" spans="1:17" ht="123" customHeight="1" x14ac:dyDescent="0.25">
      <c r="A242" s="34"/>
      <c r="B242" s="35"/>
      <c r="C242" s="36"/>
      <c r="Q242" s="36"/>
    </row>
    <row r="243" spans="1:17" ht="123" customHeight="1" x14ac:dyDescent="0.25">
      <c r="A243" s="34"/>
      <c r="B243" s="35"/>
      <c r="C243" s="36"/>
      <c r="Q243" s="36"/>
    </row>
    <row r="244" spans="1:17" ht="123" customHeight="1" x14ac:dyDescent="0.25">
      <c r="A244" s="34"/>
      <c r="B244" s="35"/>
      <c r="C244" s="36"/>
      <c r="Q244" s="36"/>
    </row>
    <row r="245" spans="1:17" ht="123" customHeight="1" x14ac:dyDescent="0.25">
      <c r="A245" s="34"/>
      <c r="B245" s="35"/>
      <c r="C245" s="36"/>
      <c r="Q245" s="36"/>
    </row>
    <row r="246" spans="1:17" ht="123" customHeight="1" x14ac:dyDescent="0.25">
      <c r="A246" s="34"/>
      <c r="B246" s="35"/>
      <c r="C246" s="36"/>
      <c r="Q246" s="36"/>
    </row>
    <row r="247" spans="1:17" ht="123" customHeight="1" x14ac:dyDescent="0.25">
      <c r="A247" s="34"/>
      <c r="B247" s="35"/>
      <c r="C247" s="36"/>
      <c r="Q247" s="36"/>
    </row>
    <row r="248" spans="1:17" ht="123" customHeight="1" x14ac:dyDescent="0.25">
      <c r="A248" s="34"/>
      <c r="B248" s="35"/>
      <c r="C248" s="36"/>
      <c r="Q248" s="36"/>
    </row>
    <row r="249" spans="1:17" ht="123" customHeight="1" x14ac:dyDescent="0.25">
      <c r="A249" s="34"/>
      <c r="B249" s="35"/>
      <c r="C249" s="36"/>
      <c r="Q249" s="36"/>
    </row>
    <row r="250" spans="1:17" ht="123" customHeight="1" x14ac:dyDescent="0.25">
      <c r="A250" s="34"/>
      <c r="B250" s="35"/>
      <c r="C250" s="36"/>
      <c r="Q250" s="36"/>
    </row>
    <row r="251" spans="1:17" ht="123" customHeight="1" x14ac:dyDescent="0.25">
      <c r="A251" s="34"/>
      <c r="B251" s="35"/>
      <c r="C251" s="36"/>
      <c r="Q251" s="36"/>
    </row>
    <row r="252" spans="1:17" ht="123" customHeight="1" x14ac:dyDescent="0.25">
      <c r="A252" s="34"/>
      <c r="B252" s="35"/>
      <c r="C252" s="36"/>
      <c r="Q252" s="36"/>
    </row>
    <row r="253" spans="1:17" ht="123" customHeight="1" x14ac:dyDescent="0.25">
      <c r="A253" s="34"/>
      <c r="B253" s="35"/>
      <c r="C253" s="36"/>
      <c r="Q253" s="36"/>
    </row>
    <row r="254" spans="1:17" ht="123" customHeight="1" x14ac:dyDescent="0.25">
      <c r="A254" s="34"/>
      <c r="B254" s="35"/>
      <c r="C254" s="36"/>
      <c r="Q254" s="36"/>
    </row>
    <row r="255" spans="1:17" ht="123" customHeight="1" x14ac:dyDescent="0.25">
      <c r="A255" s="34"/>
      <c r="B255" s="35"/>
      <c r="C255" s="36"/>
      <c r="Q255" s="36"/>
    </row>
    <row r="256" spans="1:17" ht="123" customHeight="1" x14ac:dyDescent="0.25">
      <c r="A256" s="34"/>
      <c r="B256" s="35"/>
      <c r="C256" s="36"/>
      <c r="Q256" s="36"/>
    </row>
    <row r="257" spans="1:17" ht="123" customHeight="1" x14ac:dyDescent="0.25">
      <c r="A257" s="34"/>
      <c r="B257" s="35"/>
      <c r="C257" s="36"/>
      <c r="Q257" s="36"/>
    </row>
    <row r="258" spans="1:17" ht="123" customHeight="1" x14ac:dyDescent="0.25">
      <c r="A258" s="34"/>
      <c r="B258" s="35"/>
      <c r="C258" s="36"/>
      <c r="Q258" s="36"/>
    </row>
    <row r="259" spans="1:17" ht="123" customHeight="1" x14ac:dyDescent="0.25">
      <c r="A259" s="34"/>
      <c r="B259" s="35"/>
      <c r="C259" s="36"/>
      <c r="Q259" s="36"/>
    </row>
    <row r="260" spans="1:17" ht="123" customHeight="1" x14ac:dyDescent="0.25">
      <c r="A260" s="34"/>
      <c r="B260" s="35"/>
      <c r="C260" s="36"/>
      <c r="Q260" s="36"/>
    </row>
    <row r="261" spans="1:17" ht="123" customHeight="1" x14ac:dyDescent="0.25">
      <c r="A261" s="34"/>
      <c r="B261" s="35"/>
      <c r="C261" s="36"/>
      <c r="Q261" s="36"/>
    </row>
    <row r="262" spans="1:17" ht="123" customHeight="1" x14ac:dyDescent="0.25">
      <c r="A262" s="34"/>
      <c r="B262" s="35"/>
      <c r="C262" s="36"/>
      <c r="Q262" s="36"/>
    </row>
    <row r="263" spans="1:17" ht="123" customHeight="1" x14ac:dyDescent="0.25">
      <c r="A263" s="34"/>
      <c r="B263" s="35"/>
      <c r="C263" s="36"/>
      <c r="Q263" s="36"/>
    </row>
    <row r="264" spans="1:17" ht="123" customHeight="1" x14ac:dyDescent="0.25">
      <c r="A264" s="34"/>
      <c r="B264" s="35"/>
      <c r="C264" s="36"/>
      <c r="Q264" s="36"/>
    </row>
    <row r="265" spans="1:17" ht="123" customHeight="1" x14ac:dyDescent="0.25">
      <c r="A265" s="34"/>
      <c r="B265" s="35"/>
      <c r="C265" s="36"/>
      <c r="Q265" s="36"/>
    </row>
    <row r="266" spans="1:17" ht="123" customHeight="1" x14ac:dyDescent="0.25">
      <c r="A266" s="34"/>
      <c r="B266" s="35"/>
      <c r="C266" s="36"/>
      <c r="Q266" s="36"/>
    </row>
    <row r="267" spans="1:17" ht="123" customHeight="1" x14ac:dyDescent="0.25">
      <c r="A267" s="34"/>
      <c r="B267" s="35"/>
      <c r="C267" s="36"/>
      <c r="Q267" s="36"/>
    </row>
    <row r="268" spans="1:17" ht="123" customHeight="1" x14ac:dyDescent="0.25">
      <c r="A268" s="34"/>
      <c r="B268" s="35"/>
      <c r="C268" s="36"/>
      <c r="Q268" s="36"/>
    </row>
    <row r="269" spans="1:17" ht="123" customHeight="1" x14ac:dyDescent="0.25">
      <c r="A269" s="34"/>
      <c r="B269" s="35"/>
      <c r="C269" s="36"/>
      <c r="Q269" s="36"/>
    </row>
    <row r="270" spans="1:17" ht="123" customHeight="1" x14ac:dyDescent="0.25">
      <c r="A270" s="34"/>
      <c r="B270" s="35"/>
      <c r="C270" s="36"/>
      <c r="Q270" s="36"/>
    </row>
    <row r="271" spans="1:17" ht="123" customHeight="1" x14ac:dyDescent="0.25">
      <c r="A271" s="34"/>
      <c r="B271" s="35"/>
      <c r="C271" s="36"/>
      <c r="Q271" s="36"/>
    </row>
    <row r="272" spans="1:17" ht="123" customHeight="1" x14ac:dyDescent="0.25">
      <c r="A272" s="34"/>
      <c r="B272" s="35"/>
      <c r="C272" s="36"/>
      <c r="Q272" s="36"/>
    </row>
    <row r="273" spans="1:17" ht="123" customHeight="1" x14ac:dyDescent="0.25">
      <c r="A273" s="34"/>
      <c r="B273" s="35"/>
      <c r="C273" s="36"/>
      <c r="Q273" s="36"/>
    </row>
    <row r="274" spans="1:17" ht="123" customHeight="1" x14ac:dyDescent="0.25">
      <c r="A274" s="34"/>
      <c r="B274" s="35"/>
      <c r="C274" s="36"/>
      <c r="Q274" s="36"/>
    </row>
    <row r="275" spans="1:17" ht="123" customHeight="1" x14ac:dyDescent="0.25">
      <c r="A275" s="34"/>
      <c r="B275" s="35"/>
      <c r="C275" s="36"/>
      <c r="Q275" s="36"/>
    </row>
    <row r="276" spans="1:17" ht="123" customHeight="1" x14ac:dyDescent="0.25">
      <c r="A276" s="34"/>
      <c r="B276" s="35"/>
      <c r="C276" s="36"/>
      <c r="Q276" s="36"/>
    </row>
    <row r="277" spans="1:17" ht="123" customHeight="1" x14ac:dyDescent="0.25">
      <c r="A277" s="34"/>
      <c r="B277" s="35"/>
      <c r="C277" s="36"/>
      <c r="Q277" s="36"/>
    </row>
    <row r="278" spans="1:17" ht="123" customHeight="1" x14ac:dyDescent="0.25">
      <c r="A278" s="34"/>
      <c r="B278" s="35"/>
      <c r="C278" s="36"/>
      <c r="Q278" s="36"/>
    </row>
    <row r="279" spans="1:17" ht="123" customHeight="1" x14ac:dyDescent="0.25">
      <c r="A279" s="34"/>
      <c r="B279" s="35"/>
      <c r="C279" s="36"/>
      <c r="Q279" s="36"/>
    </row>
    <row r="280" spans="1:17" ht="123" customHeight="1" x14ac:dyDescent="0.25">
      <c r="A280" s="34"/>
      <c r="B280" s="35"/>
      <c r="C280" s="36"/>
      <c r="Q280" s="36"/>
    </row>
    <row r="281" spans="1:17" ht="123" customHeight="1" x14ac:dyDescent="0.25">
      <c r="A281" s="34"/>
      <c r="B281" s="35"/>
      <c r="C281" s="36"/>
      <c r="Q281" s="36"/>
    </row>
    <row r="282" spans="1:17" ht="123" customHeight="1" x14ac:dyDescent="0.25">
      <c r="A282" s="34"/>
      <c r="B282" s="35"/>
      <c r="C282" s="36"/>
      <c r="Q282" s="36"/>
    </row>
    <row r="283" spans="1:17" ht="123" customHeight="1" x14ac:dyDescent="0.25">
      <c r="A283" s="34"/>
      <c r="B283" s="35"/>
      <c r="C283" s="36"/>
      <c r="Q283" s="36"/>
    </row>
    <row r="284" spans="1:17" ht="123" customHeight="1" x14ac:dyDescent="0.25">
      <c r="A284" s="34"/>
      <c r="B284" s="35"/>
      <c r="C284" s="36"/>
      <c r="Q284" s="36"/>
    </row>
    <row r="285" spans="1:17" ht="123" customHeight="1" x14ac:dyDescent="0.25">
      <c r="A285" s="34"/>
      <c r="B285" s="35"/>
      <c r="C285" s="36"/>
      <c r="Q285" s="36"/>
    </row>
    <row r="286" spans="1:17" ht="123" customHeight="1" x14ac:dyDescent="0.25">
      <c r="A286" s="34"/>
      <c r="B286" s="35"/>
      <c r="C286" s="36"/>
      <c r="Q286" s="36"/>
    </row>
    <row r="287" spans="1:17" ht="123" customHeight="1" x14ac:dyDescent="0.25">
      <c r="A287" s="34"/>
      <c r="B287" s="35"/>
      <c r="C287" s="36"/>
      <c r="Q287" s="36"/>
    </row>
    <row r="288" spans="1:17" ht="123" customHeight="1" x14ac:dyDescent="0.25">
      <c r="A288" s="34"/>
      <c r="B288" s="35"/>
      <c r="C288" s="36"/>
      <c r="Q288" s="36"/>
    </row>
    <row r="289" spans="1:17" ht="123" customHeight="1" x14ac:dyDescent="0.25">
      <c r="A289" s="34"/>
      <c r="B289" s="35"/>
      <c r="C289" s="36"/>
      <c r="Q289" s="36"/>
    </row>
    <row r="290" spans="1:17" ht="123" customHeight="1" x14ac:dyDescent="0.25">
      <c r="A290" s="34"/>
      <c r="B290" s="35"/>
      <c r="C290" s="36"/>
      <c r="Q290" s="36"/>
    </row>
    <row r="291" spans="1:17" ht="123" customHeight="1" x14ac:dyDescent="0.25">
      <c r="A291" s="34"/>
      <c r="B291" s="35"/>
      <c r="C291" s="36"/>
      <c r="Q291" s="36"/>
    </row>
    <row r="292" spans="1:17" ht="123" customHeight="1" x14ac:dyDescent="0.25">
      <c r="A292" s="34"/>
      <c r="B292" s="35"/>
      <c r="C292" s="36"/>
      <c r="Q292" s="36"/>
    </row>
    <row r="293" spans="1:17" ht="123" customHeight="1" x14ac:dyDescent="0.25">
      <c r="A293" s="34"/>
      <c r="B293" s="35"/>
      <c r="C293" s="36"/>
      <c r="Q293" s="36"/>
    </row>
    <row r="294" spans="1:17" ht="123" customHeight="1" x14ac:dyDescent="0.25">
      <c r="A294" s="34"/>
      <c r="B294" s="35"/>
      <c r="C294" s="36"/>
      <c r="Q294" s="36"/>
    </row>
    <row r="295" spans="1:17" ht="123" customHeight="1" x14ac:dyDescent="0.25">
      <c r="A295" s="34"/>
      <c r="B295" s="35"/>
      <c r="C295" s="36"/>
      <c r="Q295" s="36"/>
    </row>
    <row r="296" spans="1:17" ht="123" customHeight="1" x14ac:dyDescent="0.25">
      <c r="A296" s="34"/>
      <c r="B296" s="35"/>
      <c r="C296" s="36"/>
      <c r="Q296" s="36"/>
    </row>
    <row r="297" spans="1:17" ht="123" customHeight="1" x14ac:dyDescent="0.25">
      <c r="A297" s="34"/>
      <c r="B297" s="35"/>
      <c r="C297" s="36"/>
      <c r="Q297" s="36"/>
    </row>
    <row r="298" spans="1:17" ht="123" customHeight="1" x14ac:dyDescent="0.25">
      <c r="A298" s="34"/>
      <c r="B298" s="35"/>
      <c r="C298" s="36"/>
      <c r="Q298" s="36"/>
    </row>
    <row r="299" spans="1:17" ht="123" customHeight="1" x14ac:dyDescent="0.25">
      <c r="A299" s="34"/>
      <c r="B299" s="35"/>
      <c r="C299" s="36"/>
      <c r="Q299" s="36"/>
    </row>
    <row r="300" spans="1:17" ht="123" customHeight="1" x14ac:dyDescent="0.25">
      <c r="A300" s="34"/>
      <c r="B300" s="35"/>
      <c r="C300" s="36"/>
      <c r="Q300" s="36"/>
    </row>
  </sheetData>
  <sheetProtection formatCells="0" formatColumns="0" formatRows="0" insertColumns="0" insertRows="0" insertHyperlinks="0" deleteColumns="0" deleteRows="0" sort="0" autoFilter="0" pivotTables="0"/>
  <autoFilter ref="A4:S4" xr:uid="{00000000-0009-0000-0000-000000000000}">
    <sortState xmlns:xlrd2="http://schemas.microsoft.com/office/spreadsheetml/2017/richdata2" ref="A5:S12">
      <sortCondition ref="A4"/>
    </sortState>
  </autoFilter>
  <conditionalFormatting sqref="C5:C300">
    <cfRule type="dataBar" priority="3">
      <dataBar>
        <cfvo type="min"/>
        <cfvo type="num" val="500"/>
        <color theme="9" tint="0.39997558519241921"/>
      </dataBar>
      <extLst>
        <ext xmlns:x14="http://schemas.microsoft.com/office/spreadsheetml/2009/9/main" uri="{B025F937-C7B1-47D3-B67F-A62EFF666E3E}">
          <x14:id>{CCAB9563-10AB-4C49-9501-26FBFEDC0318}</x14:id>
        </ext>
      </extLst>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1">
              <controlPr defaultSize="0" print="0" disabled="1" autoFill="0" autoPict="0" macro="[0]!NovaCSingleFile">
                <anchor moveWithCells="1" sizeWithCells="1">
                  <from>
                    <xdr:col>9</xdr:col>
                    <xdr:colOff>9525</xdr:colOff>
                    <xdr:row>1</xdr:row>
                    <xdr:rowOff>0</xdr:rowOff>
                  </from>
                  <to>
                    <xdr:col>10</xdr:col>
                    <xdr:colOff>0</xdr:colOff>
                    <xdr:row>2</xdr:row>
                    <xdr:rowOff>9525</xdr:rowOff>
                  </to>
                </anchor>
              </controlPr>
            </control>
          </mc:Choice>
        </mc:AlternateContent>
        <mc:AlternateContent xmlns:mc="http://schemas.openxmlformats.org/markup-compatibility/2006">
          <mc:Choice Requires="x14">
            <control shapeId="1033" r:id="rId5" name="CheckBox1">
              <controlPr defaultSize="0" autoFill="0" autoLine="0" autoPict="0">
                <anchor moveWithCells="1">
                  <from>
                    <xdr:col>12</xdr:col>
                    <xdr:colOff>38100</xdr:colOff>
                    <xdr:row>4</xdr:row>
                    <xdr:rowOff>666750</xdr:rowOff>
                  </from>
                  <to>
                    <xdr:col>12</xdr:col>
                    <xdr:colOff>247650</xdr:colOff>
                    <xdr:row>4</xdr:row>
                    <xdr:rowOff>885825</xdr:rowOff>
                  </to>
                </anchor>
              </controlPr>
            </control>
          </mc:Choice>
        </mc:AlternateContent>
        <mc:AlternateContent xmlns:mc="http://schemas.openxmlformats.org/markup-compatibility/2006">
          <mc:Choice Requires="x14">
            <control shapeId="1034" r:id="rId6" name="CheckBox2">
              <controlPr defaultSize="0" autoFill="0" autoLine="0" autoPict="0">
                <anchor moveWithCells="1">
                  <from>
                    <xdr:col>12</xdr:col>
                    <xdr:colOff>38100</xdr:colOff>
                    <xdr:row>5</xdr:row>
                    <xdr:rowOff>666750</xdr:rowOff>
                  </from>
                  <to>
                    <xdr:col>12</xdr:col>
                    <xdr:colOff>247650</xdr:colOff>
                    <xdr:row>5</xdr:row>
                    <xdr:rowOff>885825</xdr:rowOff>
                  </to>
                </anchor>
              </controlPr>
            </control>
          </mc:Choice>
        </mc:AlternateContent>
        <mc:AlternateContent xmlns:mc="http://schemas.openxmlformats.org/markup-compatibility/2006">
          <mc:Choice Requires="x14">
            <control shapeId="1035" r:id="rId7" name="CheckBox3">
              <controlPr defaultSize="0" autoFill="0" autoLine="0" autoPict="0">
                <anchor moveWithCells="1">
                  <from>
                    <xdr:col>12</xdr:col>
                    <xdr:colOff>38100</xdr:colOff>
                    <xdr:row>6</xdr:row>
                    <xdr:rowOff>666750</xdr:rowOff>
                  </from>
                  <to>
                    <xdr:col>12</xdr:col>
                    <xdr:colOff>247650</xdr:colOff>
                    <xdr:row>6</xdr:row>
                    <xdr:rowOff>885825</xdr:rowOff>
                  </to>
                </anchor>
              </controlPr>
            </control>
          </mc:Choice>
        </mc:AlternateContent>
        <mc:AlternateContent xmlns:mc="http://schemas.openxmlformats.org/markup-compatibility/2006">
          <mc:Choice Requires="x14">
            <control shapeId="1036" r:id="rId8" name="CheckBox4">
              <controlPr defaultSize="0" autoFill="0" autoLine="0" autoPict="0">
                <anchor moveWithCells="1">
                  <from>
                    <xdr:col>12</xdr:col>
                    <xdr:colOff>38100</xdr:colOff>
                    <xdr:row>7</xdr:row>
                    <xdr:rowOff>666750</xdr:rowOff>
                  </from>
                  <to>
                    <xdr:col>12</xdr:col>
                    <xdr:colOff>247650</xdr:colOff>
                    <xdr:row>7</xdr:row>
                    <xdr:rowOff>885825</xdr:rowOff>
                  </to>
                </anchor>
              </controlPr>
            </control>
          </mc:Choice>
        </mc:AlternateContent>
        <mc:AlternateContent xmlns:mc="http://schemas.openxmlformats.org/markup-compatibility/2006">
          <mc:Choice Requires="x14">
            <control shapeId="1037" r:id="rId9" name="CheckBox5">
              <controlPr defaultSize="0" autoFill="0" autoLine="0" autoPict="0">
                <anchor moveWithCells="1">
                  <from>
                    <xdr:col>12</xdr:col>
                    <xdr:colOff>38100</xdr:colOff>
                    <xdr:row>8</xdr:row>
                    <xdr:rowOff>666750</xdr:rowOff>
                  </from>
                  <to>
                    <xdr:col>12</xdr:col>
                    <xdr:colOff>247650</xdr:colOff>
                    <xdr:row>8</xdr:row>
                    <xdr:rowOff>885825</xdr:rowOff>
                  </to>
                </anchor>
              </controlPr>
            </control>
          </mc:Choice>
        </mc:AlternateContent>
        <mc:AlternateContent xmlns:mc="http://schemas.openxmlformats.org/markup-compatibility/2006">
          <mc:Choice Requires="x14">
            <control shapeId="1038" r:id="rId10" name="CheckBox6">
              <controlPr defaultSize="0" autoFill="0" autoLine="0" autoPict="0">
                <anchor moveWithCells="1">
                  <from>
                    <xdr:col>12</xdr:col>
                    <xdr:colOff>38100</xdr:colOff>
                    <xdr:row>9</xdr:row>
                    <xdr:rowOff>666750</xdr:rowOff>
                  </from>
                  <to>
                    <xdr:col>12</xdr:col>
                    <xdr:colOff>247650</xdr:colOff>
                    <xdr:row>9</xdr:row>
                    <xdr:rowOff>885825</xdr:rowOff>
                  </to>
                </anchor>
              </controlPr>
            </control>
          </mc:Choice>
        </mc:AlternateContent>
        <mc:AlternateContent xmlns:mc="http://schemas.openxmlformats.org/markup-compatibility/2006">
          <mc:Choice Requires="x14">
            <control shapeId="1039" r:id="rId11" name="CheckBox7">
              <controlPr defaultSize="0" autoFill="0" autoLine="0" autoPict="0">
                <anchor moveWithCells="1">
                  <from>
                    <xdr:col>12</xdr:col>
                    <xdr:colOff>38100</xdr:colOff>
                    <xdr:row>10</xdr:row>
                    <xdr:rowOff>666750</xdr:rowOff>
                  </from>
                  <to>
                    <xdr:col>12</xdr:col>
                    <xdr:colOff>247650</xdr:colOff>
                    <xdr:row>10</xdr:row>
                    <xdr:rowOff>885825</xdr:rowOff>
                  </to>
                </anchor>
              </controlPr>
            </control>
          </mc:Choice>
        </mc:AlternateContent>
        <mc:AlternateContent xmlns:mc="http://schemas.openxmlformats.org/markup-compatibility/2006">
          <mc:Choice Requires="x14">
            <control shapeId="1040" r:id="rId12" name="CheckBox8">
              <controlPr defaultSize="0" autoFill="0" autoLine="0" autoPict="0">
                <anchor moveWithCells="1">
                  <from>
                    <xdr:col>12</xdr:col>
                    <xdr:colOff>38100</xdr:colOff>
                    <xdr:row>11</xdr:row>
                    <xdr:rowOff>666750</xdr:rowOff>
                  </from>
                  <to>
                    <xdr:col>12</xdr:col>
                    <xdr:colOff>247650</xdr:colOff>
                    <xdr:row>11</xdr:row>
                    <xdr:rowOff>885825</xdr:rowOff>
                  </to>
                </anchor>
              </controlPr>
            </control>
          </mc:Choice>
        </mc:AlternateContent>
        <mc:AlternateContent xmlns:mc="http://schemas.openxmlformats.org/markup-compatibility/2006">
          <mc:Choice Requires="x14">
            <control shapeId="1134" r:id="rId13" name="Button 110">
              <controlPr defaultSize="0" print="0" autoFill="0" autoPict="0" macro="[0]!Uncheckall">
                <anchor moveWithCells="1" sizeWithCells="1">
                  <from>
                    <xdr:col>12</xdr:col>
                    <xdr:colOff>19050</xdr:colOff>
                    <xdr:row>2</xdr:row>
                    <xdr:rowOff>9525</xdr:rowOff>
                  </from>
                  <to>
                    <xdr:col>13</xdr:col>
                    <xdr:colOff>647700</xdr:colOff>
                    <xdr:row>3</xdr:row>
                    <xdr:rowOff>0</xdr:rowOff>
                  </to>
                </anchor>
              </controlPr>
            </control>
          </mc:Choice>
        </mc:AlternateContent>
        <mc:AlternateContent xmlns:mc="http://schemas.openxmlformats.org/markup-compatibility/2006">
          <mc:Choice Requires="x14">
            <control shapeId="1135" r:id="rId14" name="Button 111">
              <controlPr defaultSize="0" print="0" autoFill="0" autoPict="0" macro="[0]!Checkall">
                <anchor moveWithCells="1" sizeWithCells="1">
                  <from>
                    <xdr:col>12</xdr:col>
                    <xdr:colOff>19050</xdr:colOff>
                    <xdr:row>1</xdr:row>
                    <xdr:rowOff>9525</xdr:rowOff>
                  </from>
                  <to>
                    <xdr:col>13</xdr:col>
                    <xdr:colOff>647700</xdr:colOff>
                    <xdr:row>2</xdr:row>
                    <xdr:rowOff>0</xdr:rowOff>
                  </to>
                </anchor>
              </controlPr>
            </control>
          </mc:Choice>
        </mc:AlternateContent>
        <mc:AlternateContent xmlns:mc="http://schemas.openxmlformats.org/markup-compatibility/2006">
          <mc:Choice Requires="x14">
            <control shapeId="1136" r:id="rId15" name="Button 112">
              <controlPr defaultSize="0" print="0" autoFill="0" autoPict="0" macro="[0]!HideChecked">
                <anchor moveWithCells="1" sizeWithCells="1">
                  <from>
                    <xdr:col>13</xdr:col>
                    <xdr:colOff>666750</xdr:colOff>
                    <xdr:row>1</xdr:row>
                    <xdr:rowOff>0</xdr:rowOff>
                  </from>
                  <to>
                    <xdr:col>13</xdr:col>
                    <xdr:colOff>1714500</xdr:colOff>
                    <xdr:row>2</xdr:row>
                    <xdr:rowOff>0</xdr:rowOff>
                  </to>
                </anchor>
              </controlPr>
            </control>
          </mc:Choice>
        </mc:AlternateContent>
        <mc:AlternateContent xmlns:mc="http://schemas.openxmlformats.org/markup-compatibility/2006">
          <mc:Choice Requires="x14">
            <control shapeId="1137" r:id="rId16" name="Button 113">
              <controlPr defaultSize="0" print="0" autoFill="0" autoPict="0" macro="[0]!UnhideAll">
                <anchor moveWithCells="1" sizeWithCells="1">
                  <from>
                    <xdr:col>13</xdr:col>
                    <xdr:colOff>1724025</xdr:colOff>
                    <xdr:row>1</xdr:row>
                    <xdr:rowOff>9525</xdr:rowOff>
                  </from>
                  <to>
                    <xdr:col>14</xdr:col>
                    <xdr:colOff>57150</xdr:colOff>
                    <xdr:row>3</xdr:row>
                    <xdr:rowOff>0</xdr:rowOff>
                  </to>
                </anchor>
              </controlPr>
            </control>
          </mc:Choice>
        </mc:AlternateContent>
        <mc:AlternateContent xmlns:mc="http://schemas.openxmlformats.org/markup-compatibility/2006">
          <mc:Choice Requires="x14">
            <control shapeId="1138" r:id="rId17" name="Button 114">
              <controlPr defaultSize="0" print="0" autoFill="0" autoPict="0" macro="[0]!Recalculate_Peaks">
                <anchor moveWithCells="1" sizeWithCells="1">
                  <from>
                    <xdr:col>5</xdr:col>
                    <xdr:colOff>19050</xdr:colOff>
                    <xdr:row>2</xdr:row>
                    <xdr:rowOff>0</xdr:rowOff>
                  </from>
                  <to>
                    <xdr:col>5</xdr:col>
                    <xdr:colOff>952500</xdr:colOff>
                    <xdr:row>2</xdr:row>
                    <xdr:rowOff>219075</xdr:rowOff>
                  </to>
                </anchor>
              </controlPr>
            </control>
          </mc:Choice>
        </mc:AlternateContent>
        <mc:AlternateContent xmlns:mc="http://schemas.openxmlformats.org/markup-compatibility/2006">
          <mc:Choice Requires="x14">
            <control shapeId="1139" r:id="rId18" name="Button 115">
              <controlPr defaultSize="0" print="0" autoFill="0" autoPict="0" macro="[0]!Cumulative_Area">
                <anchor moveWithCells="1" sizeWithCells="1">
                  <from>
                    <xdr:col>4</xdr:col>
                    <xdr:colOff>9525</xdr:colOff>
                    <xdr:row>2</xdr:row>
                    <xdr:rowOff>9525</xdr:rowOff>
                  </from>
                  <to>
                    <xdr:col>4</xdr:col>
                    <xdr:colOff>942975</xdr:colOff>
                    <xdr:row>2</xdr:row>
                    <xdr:rowOff>219075</xdr:rowOff>
                  </to>
                </anchor>
              </controlPr>
            </control>
          </mc:Choice>
        </mc:AlternateContent>
        <mc:AlternateContent xmlns:mc="http://schemas.openxmlformats.org/markup-compatibility/2006">
          <mc:Choice Requires="x14">
            <control shapeId="1142" r:id="rId19" name="Button 118">
              <controlPr defaultSize="0" print="0" autoFill="0" autoPict="0" macro="[0]!HideUV">
                <anchor moveWithCells="1" sizeWithCells="1">
                  <from>
                    <xdr:col>14</xdr:col>
                    <xdr:colOff>66675</xdr:colOff>
                    <xdr:row>1</xdr:row>
                    <xdr:rowOff>9525</xdr:rowOff>
                  </from>
                  <to>
                    <xdr:col>14</xdr:col>
                    <xdr:colOff>962025</xdr:colOff>
                    <xdr:row>2</xdr:row>
                    <xdr:rowOff>9525</xdr:rowOff>
                  </to>
                </anchor>
              </controlPr>
            </control>
          </mc:Choice>
        </mc:AlternateContent>
        <mc:AlternateContent xmlns:mc="http://schemas.openxmlformats.org/markup-compatibility/2006">
          <mc:Choice Requires="x14">
            <control shapeId="1143" r:id="rId20" name="Button 119">
              <controlPr defaultSize="0" print="0" autoFill="0" autoPict="0" macro="[0]!UnhideUV">
                <anchor moveWithCells="1" sizeWithCells="1">
                  <from>
                    <xdr:col>14</xdr:col>
                    <xdr:colOff>66675</xdr:colOff>
                    <xdr:row>2</xdr:row>
                    <xdr:rowOff>9525</xdr:rowOff>
                  </from>
                  <to>
                    <xdr:col>14</xdr:col>
                    <xdr:colOff>962025</xdr:colOff>
                    <xdr:row>3</xdr:row>
                    <xdr:rowOff>0</xdr:rowOff>
                  </to>
                </anchor>
              </controlPr>
            </control>
          </mc:Choice>
        </mc:AlternateContent>
        <mc:AlternateContent xmlns:mc="http://schemas.openxmlformats.org/markup-compatibility/2006">
          <mc:Choice Requires="x14">
            <control shapeId="1146" r:id="rId21" name="Button 122">
              <controlPr defaultSize="0" print="0" autoFill="0" autoPict="0" macro="[0]!Lock_Click">
                <anchor moveWithCells="1" sizeWithCells="1">
                  <from>
                    <xdr:col>9</xdr:col>
                    <xdr:colOff>9525</xdr:colOff>
                    <xdr:row>1</xdr:row>
                    <xdr:rowOff>0</xdr:rowOff>
                  </from>
                  <to>
                    <xdr:col>9</xdr:col>
                    <xdr:colOff>1114425</xdr:colOff>
                    <xdr:row>2</xdr:row>
                    <xdr:rowOff>9525</xdr:rowOff>
                  </to>
                </anchor>
              </controlPr>
            </control>
          </mc:Choice>
        </mc:AlternateContent>
        <mc:AlternateContent xmlns:mc="http://schemas.openxmlformats.org/markup-compatibility/2006">
          <mc:Choice Requires="x14">
            <control shapeId="1148" r:id="rId22" name="Button 124">
              <controlPr defaultSize="0" print="0" autoFill="0" autoPict="0" macro="[0]!UVSearchAll">
                <anchor moveWithCells="1" sizeWithCells="1">
                  <from>
                    <xdr:col>11</xdr:col>
                    <xdr:colOff>981075</xdr:colOff>
                    <xdr:row>2</xdr:row>
                    <xdr:rowOff>9525</xdr:rowOff>
                  </from>
                  <to>
                    <xdr:col>12</xdr:col>
                    <xdr:colOff>0</xdr:colOff>
                    <xdr:row>3</xdr:row>
                    <xdr:rowOff>0</xdr:rowOff>
                  </to>
                </anchor>
              </controlPr>
            </control>
          </mc:Choice>
        </mc:AlternateContent>
        <mc:AlternateContent xmlns:mc="http://schemas.openxmlformats.org/markup-compatibility/2006">
          <mc:Choice Requires="x14">
            <control shapeId="1149" r:id="rId23" name="Option Button 125">
              <controlPr defaultSize="0" autoFill="0" autoLine="0" autoPict="0">
                <anchor moveWithCells="1">
                  <from>
                    <xdr:col>8</xdr:col>
                    <xdr:colOff>95250</xdr:colOff>
                    <xdr:row>1</xdr:row>
                    <xdr:rowOff>9525</xdr:rowOff>
                  </from>
                  <to>
                    <xdr:col>8</xdr:col>
                    <xdr:colOff>533400</xdr:colOff>
                    <xdr:row>2</xdr:row>
                    <xdr:rowOff>0</xdr:rowOff>
                  </to>
                </anchor>
              </controlPr>
            </control>
          </mc:Choice>
        </mc:AlternateContent>
        <mc:AlternateContent xmlns:mc="http://schemas.openxmlformats.org/markup-compatibility/2006">
          <mc:Choice Requires="x14">
            <control shapeId="1150" r:id="rId24" name="Option Button 126">
              <controlPr defaultSize="0" autoFill="0" autoLine="0" autoPict="0">
                <anchor moveWithCells="1">
                  <from>
                    <xdr:col>8</xdr:col>
                    <xdr:colOff>619125</xdr:colOff>
                    <xdr:row>1</xdr:row>
                    <xdr:rowOff>9525</xdr:rowOff>
                  </from>
                  <to>
                    <xdr:col>8</xdr:col>
                    <xdr:colOff>1057275</xdr:colOff>
                    <xdr:row>1</xdr:row>
                    <xdr:rowOff>228600</xdr:rowOff>
                  </to>
                </anchor>
              </controlPr>
            </control>
          </mc:Choice>
        </mc:AlternateContent>
        <mc:AlternateContent xmlns:mc="http://schemas.openxmlformats.org/markup-compatibility/2006">
          <mc:Choice Requires="x14">
            <control shapeId="1151" r:id="rId25" name="Button 127">
              <controlPr defaultSize="0" print="0" disabled="1" autoFill="0" autoPict="0" macro="[0]!NovaCBatch">
                <anchor moveWithCells="1" sizeWithCells="1">
                  <from>
                    <xdr:col>10</xdr:col>
                    <xdr:colOff>0</xdr:colOff>
                    <xdr:row>1</xdr:row>
                    <xdr:rowOff>0</xdr:rowOff>
                  </from>
                  <to>
                    <xdr:col>11</xdr:col>
                    <xdr:colOff>0</xdr:colOff>
                    <xdr:row>2</xdr:row>
                    <xdr:rowOff>9525</xdr:rowOff>
                  </to>
                </anchor>
              </controlPr>
            </control>
          </mc:Choice>
        </mc:AlternateContent>
        <mc:AlternateContent xmlns:mc="http://schemas.openxmlformats.org/markup-compatibility/2006">
          <mc:Choice Requires="x14">
            <control shapeId="1152" r:id="rId26" name="Button 128">
              <controlPr defaultSize="0" print="0" autoFill="0" autoPict="0" macro="[0]!HideUnchecked">
                <anchor moveWithCells="1" sizeWithCells="1">
                  <from>
                    <xdr:col>13</xdr:col>
                    <xdr:colOff>657225</xdr:colOff>
                    <xdr:row>2</xdr:row>
                    <xdr:rowOff>9525</xdr:rowOff>
                  </from>
                  <to>
                    <xdr:col>13</xdr:col>
                    <xdr:colOff>1714500</xdr:colOff>
                    <xdr:row>3</xdr:row>
                    <xdr:rowOff>0</xdr:rowOff>
                  </to>
                </anchor>
              </controlPr>
            </control>
          </mc:Choice>
        </mc:AlternateContent>
        <mc:AlternateContent xmlns:mc="http://schemas.openxmlformats.org/markup-compatibility/2006">
          <mc:Choice Requires="x14">
            <control shapeId="1153" r:id="rId27" name="Button 129">
              <controlPr defaultSize="0" print="0" autoFill="0" autoPict="0" macro="[0]!MassSearch">
                <anchor moveWithCells="1" sizeWithCells="1">
                  <from>
                    <xdr:col>11</xdr:col>
                    <xdr:colOff>981075</xdr:colOff>
                    <xdr:row>1</xdr:row>
                    <xdr:rowOff>9525</xdr:rowOff>
                  </from>
                  <to>
                    <xdr:col>12</xdr:col>
                    <xdr:colOff>0</xdr:colOff>
                    <xdr:row>2</xdr:row>
                    <xdr:rowOff>0</xdr:rowOff>
                  </to>
                </anchor>
              </controlPr>
            </control>
          </mc:Choice>
        </mc:AlternateContent>
        <mc:AlternateContent xmlns:mc="http://schemas.openxmlformats.org/markup-compatibility/2006">
          <mc:Choice Requires="x14">
            <control shapeId="1154" r:id="rId28" name="Button 130">
              <controlPr defaultSize="0" print="0" autoFill="0" autoPict="0" macro="[0]!CopyTable_Click">
                <anchor moveWithCells="1" sizeWithCells="1">
                  <from>
                    <xdr:col>10</xdr:col>
                    <xdr:colOff>9525</xdr:colOff>
                    <xdr:row>1</xdr:row>
                    <xdr:rowOff>0</xdr:rowOff>
                  </from>
                  <to>
                    <xdr:col>10</xdr:col>
                    <xdr:colOff>1114425</xdr:colOff>
                    <xdr:row>2</xdr:row>
                    <xdr:rowOff>9525</xdr:rowOff>
                  </to>
                </anchor>
              </controlPr>
            </control>
          </mc:Choice>
        </mc:AlternateContent>
        <mc:AlternateContent xmlns:mc="http://schemas.openxmlformats.org/markup-compatibility/2006">
          <mc:Choice Requires="x14">
            <control shapeId="1155" r:id="rId29" name="Button 131">
              <controlPr defaultSize="0" print="0" autoFill="0" autoPict="0" macro="[0]!ClearPeakIds">
                <anchor moveWithCells="1" sizeWithCells="1">
                  <from>
                    <xdr:col>11</xdr:col>
                    <xdr:colOff>9525</xdr:colOff>
                    <xdr:row>2</xdr:row>
                    <xdr:rowOff>9525</xdr:rowOff>
                  </from>
                  <to>
                    <xdr:col>11</xdr:col>
                    <xdr:colOff>971550</xdr:colOff>
                    <xdr:row>3</xdr:row>
                    <xdr:rowOff>0</xdr:rowOff>
                  </to>
                </anchor>
              </controlPr>
            </control>
          </mc:Choice>
        </mc:AlternateContent>
        <mc:AlternateContent xmlns:mc="http://schemas.openxmlformats.org/markup-compatibility/2006">
          <mc:Choice Requires="x14">
            <control shapeId="1156" r:id="rId30" name="Button 132">
              <controlPr defaultSize="0" print="0" autoFill="0" autoPict="0" macro="[0]!AutoUVClass">
                <anchor moveWithCells="1" sizeWithCells="1">
                  <from>
                    <xdr:col>11</xdr:col>
                    <xdr:colOff>9525</xdr:colOff>
                    <xdr:row>1</xdr:row>
                    <xdr:rowOff>9525</xdr:rowOff>
                  </from>
                  <to>
                    <xdr:col>11</xdr:col>
                    <xdr:colOff>971550</xdr:colOff>
                    <xdr:row>2</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CCAB9563-10AB-4C49-9501-26FBFEDC0318}">
            <x14:dataBar minLength="0" maxLength="100" gradient="0">
              <x14:cfvo type="autoMin"/>
              <x14:cfvo type="num">
                <xm:f>500</xm:f>
              </x14:cfvo>
              <x14:negativeFillColor rgb="FFFF0000"/>
              <x14:axisColor rgb="FF000000"/>
            </x14:dataBar>
          </x14:cfRule>
          <xm:sqref>C5:C300</xm:sqref>
        </x14:conditionalFormatting>
        <x14:conditionalFormatting xmlns:xm="http://schemas.microsoft.com/office/excel/2006/main">
          <x14:cfRule type="cellIs" priority="1" operator="greaterThan" id="{337D6A85-7DC0-4A07-A82D-044471C809F8}">
            <xm:f>Summary!$A$14</xm:f>
            <x14:dxf>
              <fill>
                <patternFill>
                  <bgColor theme="4" tint="0.39994506668294322"/>
                </patternFill>
              </fill>
            </x14:dxf>
          </x14:cfRule>
          <x14:cfRule type="cellIs" priority="2" operator="between" id="{C4C5A8EB-6E3E-4F3D-BAD0-68F493139E29}">
            <xm:f>0.00001</xm:f>
            <xm:f>Summary!$A$10</xm:f>
            <x14:dxf>
              <fill>
                <patternFill>
                  <bgColor rgb="FFFF8989"/>
                </patternFill>
              </fill>
            </x14:dxf>
          </x14:cfRule>
          <xm:sqref>J5:J104</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N35"/>
  <sheetViews>
    <sheetView workbookViewId="0"/>
  </sheetViews>
  <sheetFormatPr defaultColWidth="9.140625" defaultRowHeight="15" x14ac:dyDescent="0.25"/>
  <cols>
    <col min="1" max="2" width="9.140625" style="63"/>
    <col min="3" max="3" width="32.85546875" style="63" customWidth="1"/>
    <col min="4" max="5" width="11" style="63" customWidth="1"/>
    <col min="6" max="6" width="9.140625" style="63"/>
    <col min="7" max="7" width="28.140625" style="63" customWidth="1"/>
    <col min="8" max="8" width="22.5703125" style="63" customWidth="1"/>
    <col min="9" max="9" width="13.5703125" style="63" customWidth="1"/>
    <col min="10" max="10" width="9.28515625" style="63" customWidth="1"/>
    <col min="11" max="11" width="19.5703125" style="63" customWidth="1"/>
    <col min="12" max="12" width="9.42578125" style="63" customWidth="1"/>
    <col min="13" max="13" width="21.7109375" style="63" customWidth="1"/>
    <col min="14" max="14" width="45.85546875" style="63" customWidth="1"/>
    <col min="15" max="16" width="9.28515625" style="63" customWidth="1"/>
    <col min="17" max="16384" width="9.140625" style="63"/>
  </cols>
  <sheetData>
    <row r="1" spans="1:14" ht="15.75" x14ac:dyDescent="0.25">
      <c r="D1" s="64" t="s">
        <v>18</v>
      </c>
      <c r="E1" s="64" t="s">
        <v>19</v>
      </c>
      <c r="H1" s="64" t="s">
        <v>18</v>
      </c>
      <c r="I1" s="64" t="s">
        <v>19</v>
      </c>
      <c r="L1" s="64" t="s">
        <v>18</v>
      </c>
      <c r="M1" s="64" t="s">
        <v>19</v>
      </c>
      <c r="N1" s="65" t="s">
        <v>64</v>
      </c>
    </row>
    <row r="2" spans="1:14" x14ac:dyDescent="0.25">
      <c r="A2" s="66" t="s">
        <v>20</v>
      </c>
      <c r="C2" s="67" t="s">
        <v>16</v>
      </c>
      <c r="D2" s="68">
        <v>8</v>
      </c>
      <c r="E2" s="69"/>
      <c r="G2" s="67" t="s">
        <v>17</v>
      </c>
      <c r="H2" s="70">
        <v>626.612060546875</v>
      </c>
      <c r="I2" s="69"/>
      <c r="K2" s="71" t="s">
        <v>91</v>
      </c>
      <c r="L2" s="72">
        <f>COUNTIF(Peaks!$L$5:$L$104,"*" &amp; K2 &amp; "*")</f>
        <v>0</v>
      </c>
      <c r="M2" s="73">
        <f>L2/$D$2</f>
        <v>0</v>
      </c>
      <c r="N2" s="68"/>
    </row>
    <row r="3" spans="1:14" x14ac:dyDescent="0.25">
      <c r="K3" s="71" t="s">
        <v>43</v>
      </c>
      <c r="L3" s="72">
        <f>COUNTIF(Peaks!$L$5:$L$104,"*" &amp; K3 &amp; "*")</f>
        <v>0</v>
      </c>
      <c r="M3" s="73">
        <f t="shared" ref="M3:M9" si="0">L3/$D$2</f>
        <v>0</v>
      </c>
      <c r="N3" s="68"/>
    </row>
    <row r="4" spans="1:14" x14ac:dyDescent="0.25">
      <c r="A4" s="82">
        <v>90</v>
      </c>
      <c r="C4" s="67" t="str">
        <f>CONCATENATE("Peaks - ",A4,"% cumulative")</f>
        <v>Peaks - 90% cumulative</v>
      </c>
      <c r="D4" s="68">
        <v>4</v>
      </c>
      <c r="E4" s="74">
        <f>D4/$D$2</f>
        <v>0.5</v>
      </c>
      <c r="G4" s="67" t="str">
        <f>CONCATENATE("Area - ",A4,"% cumulative")</f>
        <v>Area - 90% cumulative</v>
      </c>
      <c r="H4" s="70">
        <v>532.66839599609375</v>
      </c>
      <c r="I4" s="69"/>
      <c r="K4" s="71" t="s">
        <v>28</v>
      </c>
      <c r="L4" s="72">
        <f>COUNTIF(Peaks!$L$5:$L$104,"*" &amp; K4 &amp; "*")</f>
        <v>0</v>
      </c>
      <c r="M4" s="73">
        <f t="shared" si="0"/>
        <v>0</v>
      </c>
      <c r="N4" s="68"/>
    </row>
    <row r="5" spans="1:14" x14ac:dyDescent="0.25">
      <c r="A5" s="75"/>
      <c r="I5" s="76"/>
      <c r="K5" s="71" t="s">
        <v>49</v>
      </c>
      <c r="L5" s="72">
        <f>COUNTIF(Peaks!$L$5:$L$104,"*" &amp; K5 &amp; "*")</f>
        <v>0</v>
      </c>
      <c r="M5" s="73">
        <f t="shared" si="0"/>
        <v>0</v>
      </c>
      <c r="N5" s="68"/>
    </row>
    <row r="6" spans="1:14" x14ac:dyDescent="0.25">
      <c r="A6" s="82">
        <v>95</v>
      </c>
      <c r="C6" s="67" t="str">
        <f>CONCATENATE("Peaks - ",A6,"% cumulative")</f>
        <v>Peaks - 95% cumulative</v>
      </c>
      <c r="D6" s="68">
        <v>5</v>
      </c>
      <c r="E6" s="74">
        <f>D6/$D$2</f>
        <v>0.625</v>
      </c>
      <c r="G6" s="67" t="str">
        <f>CONCATENATE("Area - ",A6,"% cumulative")</f>
        <v>Area - 95% cumulative</v>
      </c>
      <c r="H6" s="70">
        <v>572.74676513671875</v>
      </c>
      <c r="I6" s="69"/>
      <c r="K6" s="71" t="s">
        <v>50</v>
      </c>
      <c r="L6" s="72">
        <f>COUNTIF(Peaks!$L$5:$L$104,"*" &amp; K6 &amp; "*")</f>
        <v>0</v>
      </c>
      <c r="M6" s="73">
        <f t="shared" si="0"/>
        <v>0</v>
      </c>
      <c r="N6" s="68"/>
    </row>
    <row r="7" spans="1:14" x14ac:dyDescent="0.25">
      <c r="A7" s="75"/>
      <c r="I7" s="76"/>
      <c r="K7" s="71" t="s">
        <v>51</v>
      </c>
      <c r="L7" s="72">
        <f>COUNTIF(Peaks!$L$5:$L$104,"*" &amp; K7 &amp; "*")</f>
        <v>0</v>
      </c>
      <c r="M7" s="73">
        <f t="shared" si="0"/>
        <v>0</v>
      </c>
      <c r="N7" s="68"/>
    </row>
    <row r="8" spans="1:14" x14ac:dyDescent="0.25">
      <c r="A8" s="82">
        <v>99</v>
      </c>
      <c r="C8" s="67" t="str">
        <f>CONCATENATE("Peaks - ",A8,"% cumulative")</f>
        <v>Peaks - 99% cumulative</v>
      </c>
      <c r="D8" s="68">
        <v>7</v>
      </c>
      <c r="E8" s="74">
        <f>D8/$D$2</f>
        <v>0.875</v>
      </c>
      <c r="G8" s="67" t="str">
        <f>CONCATENATE("Area - ",A8,"% cumulative")</f>
        <v>Area - 99% cumulative</v>
      </c>
      <c r="H8" s="70">
        <v>612.167724609375</v>
      </c>
      <c r="I8" s="69"/>
      <c r="K8" s="71" t="s">
        <v>52</v>
      </c>
      <c r="L8" s="72">
        <f>COUNTIF(Peaks!$L$5:$L$104,"*" &amp; K8 &amp; "*")</f>
        <v>0</v>
      </c>
      <c r="M8" s="73">
        <f t="shared" si="0"/>
        <v>0</v>
      </c>
      <c r="N8" s="68"/>
    </row>
    <row r="9" spans="1:14" x14ac:dyDescent="0.25">
      <c r="A9" s="75"/>
      <c r="K9" s="71" t="s">
        <v>53</v>
      </c>
      <c r="L9" s="72">
        <f>COUNTIF(Peaks!$L$5:$L$104,"*" &amp; K9 &amp; "*")</f>
        <v>0</v>
      </c>
      <c r="M9" s="73">
        <f t="shared" si="0"/>
        <v>0</v>
      </c>
      <c r="N9" s="68"/>
    </row>
    <row r="10" spans="1:14" x14ac:dyDescent="0.25">
      <c r="A10" s="82">
        <v>2</v>
      </c>
      <c r="C10" s="67" t="str">
        <f>CONCATENATE("Peaks - acidic (Ratio &lt; ",A10,")")</f>
        <v>Peaks - acidic (Ratio &lt; 2)</v>
      </c>
      <c r="D10" s="68">
        <v>8</v>
      </c>
      <c r="E10" s="74">
        <f>D10/$D$2</f>
        <v>1</v>
      </c>
      <c r="G10" s="67" t="str">
        <f>CONCATENATE("Area - acidic (Ratio &lt; ",A10,")")</f>
        <v>Area - acidic (Ratio &lt; 2)</v>
      </c>
      <c r="H10" s="70">
        <v>626.612060546875</v>
      </c>
      <c r="I10" s="74">
        <f>H10/$H$2</f>
        <v>1</v>
      </c>
      <c r="K10" s="71" t="s">
        <v>54</v>
      </c>
      <c r="L10" s="72">
        <f>COUNTIF(Peaks!$L$5:$L$104,"*" &amp; K10 &amp; "*")</f>
        <v>0</v>
      </c>
      <c r="M10" s="73">
        <f>L10/$D$2</f>
        <v>0</v>
      </c>
      <c r="N10" s="68"/>
    </row>
    <row r="11" spans="1:14" x14ac:dyDescent="0.25">
      <c r="A11" s="75"/>
      <c r="K11" s="71" t="s">
        <v>55</v>
      </c>
      <c r="L11" s="72">
        <f>COUNTIF(Peaks!$L$5:$L$104,"*" &amp; K11 &amp; "*")</f>
        <v>0</v>
      </c>
      <c r="M11" s="73">
        <f t="shared" ref="M11:M17" si="1">L11/$D$2</f>
        <v>0</v>
      </c>
      <c r="N11" s="68"/>
    </row>
    <row r="12" spans="1:14" x14ac:dyDescent="0.25">
      <c r="A12" s="77"/>
      <c r="C12" s="67" t="str">
        <f>CONCATENATE("Peaks - neutral (Ratio ",A10," - ",A14,")")</f>
        <v>Peaks - neutral (Ratio 2 - 50)</v>
      </c>
      <c r="D12" s="68">
        <v>0</v>
      </c>
      <c r="E12" s="74">
        <f>D12/$D$2</f>
        <v>0</v>
      </c>
      <c r="G12" s="67" t="str">
        <f>CONCATENATE("Area - neutral (Ratio ",A10," - ",A14,")")</f>
        <v>Area - neutral (Ratio 2 - 50)</v>
      </c>
      <c r="H12" s="70">
        <v>0</v>
      </c>
      <c r="I12" s="74">
        <f>H12/$H$2</f>
        <v>0</v>
      </c>
      <c r="K12" s="71" t="s">
        <v>56</v>
      </c>
      <c r="L12" s="72">
        <f>COUNTIF(Peaks!$L$5:$L$104,"*" &amp; K12 &amp; "*")</f>
        <v>0</v>
      </c>
      <c r="M12" s="73">
        <f t="shared" si="1"/>
        <v>0</v>
      </c>
      <c r="N12" s="68"/>
    </row>
    <row r="13" spans="1:14" x14ac:dyDescent="0.25">
      <c r="A13" s="75"/>
      <c r="K13" s="71" t="s">
        <v>57</v>
      </c>
      <c r="L13" s="72">
        <f>COUNTIF(Peaks!$L$5:$L$104,"*" &amp; K13 &amp; "*")</f>
        <v>0</v>
      </c>
      <c r="M13" s="73">
        <f t="shared" si="1"/>
        <v>0</v>
      </c>
      <c r="N13" s="68"/>
    </row>
    <row r="14" spans="1:14" x14ac:dyDescent="0.25">
      <c r="A14" s="82">
        <v>50</v>
      </c>
      <c r="C14" s="67" t="str">
        <f>CONCATENATE("Peaks - basic (Ratio &gt; ",A14,")")</f>
        <v>Peaks - basic (Ratio &gt; 50)</v>
      </c>
      <c r="D14" s="68">
        <v>0</v>
      </c>
      <c r="E14" s="74">
        <f>D14/$D$2</f>
        <v>0</v>
      </c>
      <c r="G14" s="67" t="str">
        <f>CONCATENATE("Area - basic (Ratio &gt; ",A14,")")</f>
        <v>Area - basic (Ratio &gt; 50)</v>
      </c>
      <c r="H14" s="70">
        <v>0</v>
      </c>
      <c r="I14" s="74">
        <f>H14/$H$2</f>
        <v>0</v>
      </c>
      <c r="K14" s="71" t="s">
        <v>58</v>
      </c>
      <c r="L14" s="72">
        <f>COUNTIF(Peaks!$L$5:$L$104,"*" &amp; K14 &amp; "*")</f>
        <v>0</v>
      </c>
      <c r="M14" s="73">
        <f t="shared" si="1"/>
        <v>0</v>
      </c>
      <c r="N14" s="68"/>
    </row>
    <row r="15" spans="1:14" x14ac:dyDescent="0.25">
      <c r="A15" s="75"/>
      <c r="K15" s="71" t="s">
        <v>59</v>
      </c>
      <c r="L15" s="72">
        <f>COUNTIF(Peaks!$L$5:$L$104,"*" &amp; K15 &amp; "*")</f>
        <v>0</v>
      </c>
      <c r="M15" s="73">
        <f t="shared" si="1"/>
        <v>0</v>
      </c>
      <c r="N15" s="68"/>
    </row>
    <row r="16" spans="1:14" x14ac:dyDescent="0.25">
      <c r="A16" s="82">
        <v>3</v>
      </c>
      <c r="C16" s="67" t="str">
        <f>CONCATENATE("Peaks - polar (&lt; ",A16," min)")</f>
        <v>Peaks - polar (&lt; 3 min)</v>
      </c>
      <c r="D16" s="68">
        <v>2</v>
      </c>
      <c r="E16" s="74">
        <f>D16/$D$2</f>
        <v>0.25</v>
      </c>
      <c r="G16" s="67" t="str">
        <f>CONCATENATE("Area- polar (&lt; ",A16," min)")</f>
        <v>Area- polar (&lt; 3 min)</v>
      </c>
      <c r="H16" s="70">
        <v>134.77786254882813</v>
      </c>
      <c r="I16" s="74">
        <f>H16/$H$2</f>
        <v>0.21508979963009472</v>
      </c>
      <c r="K16" s="71" t="s">
        <v>60</v>
      </c>
      <c r="L16" s="72">
        <f>COUNTIF(Peaks!$L$5:$L$104,"*" &amp; K16 &amp; "*")</f>
        <v>0</v>
      </c>
      <c r="M16" s="73">
        <f t="shared" si="1"/>
        <v>0</v>
      </c>
      <c r="N16" s="68"/>
    </row>
    <row r="17" spans="1:14" x14ac:dyDescent="0.25">
      <c r="A17" s="75"/>
      <c r="K17" s="71" t="s">
        <v>61</v>
      </c>
      <c r="L17" s="72">
        <f>COUNTIF(Peaks!$L$5:$L$104,"*" &amp; K17 &amp; "*")</f>
        <v>0</v>
      </c>
      <c r="M17" s="73">
        <f t="shared" si="1"/>
        <v>0</v>
      </c>
      <c r="N17" s="68"/>
    </row>
    <row r="18" spans="1:14" x14ac:dyDescent="0.25">
      <c r="A18" s="77"/>
      <c r="C18" s="67" t="str">
        <f>CONCATENATE("Peaks - intermediate (",A16," - ",A20," min)")</f>
        <v>Peaks - intermediate (3 - 6 min)</v>
      </c>
      <c r="D18" s="68">
        <v>5</v>
      </c>
      <c r="E18" s="74">
        <f>D18/$D$2</f>
        <v>0.625</v>
      </c>
      <c r="G18" s="67" t="str">
        <f>CONCATENATE("Area - intermediate (",A16," - ",A20," min)")</f>
        <v>Area - intermediate (3 - 6 min)</v>
      </c>
      <c r="H18" s="70">
        <v>336.2733154296875</v>
      </c>
      <c r="I18" s="74">
        <f>H18/$H$2</f>
        <v>0.53665311697991469</v>
      </c>
      <c r="K18" s="71" t="s">
        <v>62</v>
      </c>
      <c r="L18" s="72">
        <f>COUNTIF(Peaks!$L$5:$L$104,"*" &amp; K18 &amp; "*")</f>
        <v>0</v>
      </c>
      <c r="M18" s="73">
        <f>L18/$D$2</f>
        <v>0</v>
      </c>
      <c r="N18" s="68"/>
    </row>
    <row r="19" spans="1:14" x14ac:dyDescent="0.25">
      <c r="A19" s="75"/>
      <c r="K19" s="71" t="s">
        <v>63</v>
      </c>
      <c r="L19" s="72">
        <f>COUNTIF(Peaks!$L$5:$L$104,"*" &amp; K19 &amp; "*")</f>
        <v>0</v>
      </c>
      <c r="M19" s="73">
        <f t="shared" ref="M19:M25" si="2">L19/$D$2</f>
        <v>0</v>
      </c>
      <c r="N19" s="68"/>
    </row>
    <row r="20" spans="1:14" x14ac:dyDescent="0.25">
      <c r="A20" s="82">
        <v>6</v>
      </c>
      <c r="C20" s="67" t="str">
        <f>CONCATENATE("Peaks - non-polar (&gt; ",A20," min)")</f>
        <v>Peaks - non-polar (&gt; 6 min)</v>
      </c>
      <c r="D20" s="68">
        <v>1</v>
      </c>
      <c r="E20" s="74">
        <f>D20/$D$2</f>
        <v>0.125</v>
      </c>
      <c r="G20" s="67" t="str">
        <f>CONCATENATE("Area - non-polar (&gt; ",A20," min)")</f>
        <v>Area - non-polar (&gt; 6 min)</v>
      </c>
      <c r="H20" s="70">
        <v>155.56086730957031</v>
      </c>
      <c r="I20" s="74">
        <f>H20/$H$2</f>
        <v>0.24825705903873718</v>
      </c>
      <c r="K20" s="71" t="s">
        <v>65</v>
      </c>
      <c r="L20" s="72">
        <f>COUNTIF(Peaks!$L$5:$L$104,"*" &amp; K20 &amp; "*")</f>
        <v>0</v>
      </c>
      <c r="M20" s="73">
        <f t="shared" si="2"/>
        <v>0</v>
      </c>
      <c r="N20" s="68"/>
    </row>
    <row r="21" spans="1:14" x14ac:dyDescent="0.25">
      <c r="K21" s="71" t="s">
        <v>66</v>
      </c>
      <c r="L21" s="72">
        <f>COUNTIF(Peaks!$L$5:$L$104,"*" &amp; K21 &amp; "*")</f>
        <v>0</v>
      </c>
      <c r="M21" s="73">
        <f t="shared" si="2"/>
        <v>0</v>
      </c>
      <c r="N21" s="68"/>
    </row>
    <row r="22" spans="1:14" x14ac:dyDescent="0.25">
      <c r="C22" s="71" t="s">
        <v>21</v>
      </c>
      <c r="D22" s="68">
        <v>7</v>
      </c>
      <c r="E22" s="74">
        <f>D22/$D$2</f>
        <v>0.875</v>
      </c>
      <c r="G22" s="71" t="s">
        <v>22</v>
      </c>
      <c r="H22" s="70">
        <v>471.05117797851563</v>
      </c>
      <c r="I22" s="74">
        <f>H22/$H$2</f>
        <v>0.75174291661000947</v>
      </c>
      <c r="K22" s="71" t="s">
        <v>67</v>
      </c>
      <c r="L22" s="72">
        <f>COUNTIF(Peaks!$L$5:$L$104,"*" &amp; K22 &amp; "*")</f>
        <v>0</v>
      </c>
      <c r="M22" s="73">
        <f t="shared" si="2"/>
        <v>0</v>
      </c>
      <c r="N22" s="68"/>
    </row>
    <row r="23" spans="1:14" x14ac:dyDescent="0.25">
      <c r="K23" s="71" t="s">
        <v>68</v>
      </c>
      <c r="L23" s="72">
        <f>COUNTIF(Peaks!$L$5:$L$104,"*" &amp; K23 &amp; "*")</f>
        <v>0</v>
      </c>
      <c r="M23" s="73">
        <f t="shared" si="2"/>
        <v>0</v>
      </c>
      <c r="N23" s="68"/>
    </row>
    <row r="24" spans="1:14" x14ac:dyDescent="0.25">
      <c r="C24" s="71" t="s">
        <v>23</v>
      </c>
      <c r="D24" s="68">
        <v>1</v>
      </c>
      <c r="E24" s="74">
        <f>D24/$D$2</f>
        <v>0.125</v>
      </c>
      <c r="G24" s="71" t="s">
        <v>24</v>
      </c>
      <c r="H24" s="70">
        <v>155.56086730957031</v>
      </c>
      <c r="I24" s="74">
        <f>H24/$H$2</f>
        <v>0.24825705903873718</v>
      </c>
      <c r="K24" s="71" t="s">
        <v>69</v>
      </c>
      <c r="L24" s="72">
        <f>COUNTIF(Peaks!$L$5:$L$104,"*" &amp; K24 &amp; "*")</f>
        <v>0</v>
      </c>
      <c r="M24" s="73">
        <f t="shared" si="2"/>
        <v>0</v>
      </c>
      <c r="N24" s="68"/>
    </row>
    <row r="25" spans="1:14" x14ac:dyDescent="0.25">
      <c r="K25" s="71" t="s">
        <v>70</v>
      </c>
      <c r="L25" s="72">
        <f>COUNTIF(Peaks!$L$5:$L$104,"*" &amp; K25 &amp; "*")</f>
        <v>0</v>
      </c>
      <c r="M25" s="73">
        <f t="shared" si="2"/>
        <v>0</v>
      </c>
      <c r="N25" s="68"/>
    </row>
    <row r="26" spans="1:14" x14ac:dyDescent="0.25">
      <c r="C26" s="71" t="s">
        <v>46</v>
      </c>
      <c r="D26" s="68">
        <v>0</v>
      </c>
      <c r="K26" s="71" t="s">
        <v>71</v>
      </c>
      <c r="L26" s="72">
        <f>COUNTIF(Peaks!$L$5:$L$104,"*" &amp; K26 &amp; "*")</f>
        <v>0</v>
      </c>
      <c r="M26" s="73">
        <f>L26/$D$2</f>
        <v>0</v>
      </c>
      <c r="N26" s="68"/>
    </row>
    <row r="27" spans="1:14" x14ac:dyDescent="0.25">
      <c r="G27" s="78"/>
      <c r="H27" s="78" t="s">
        <v>86</v>
      </c>
      <c r="K27" s="71" t="s">
        <v>72</v>
      </c>
      <c r="L27" s="72">
        <f>COUNTIF(Peaks!$L$5:$L$104,"*" &amp; K27 &amp; "*")</f>
        <v>0</v>
      </c>
      <c r="M27" s="73">
        <f t="shared" ref="M27:M29" si="3">L27/$D$2</f>
        <v>0</v>
      </c>
      <c r="N27" s="68"/>
    </row>
    <row r="28" spans="1:14" x14ac:dyDescent="0.25">
      <c r="H28" s="63" t="s">
        <v>44</v>
      </c>
      <c r="K28" s="71" t="s">
        <v>73</v>
      </c>
      <c r="L28" s="72">
        <f>COUNTIF(Peaks!$L$5:$L$104,"*" &amp; K28 &amp; "*")</f>
        <v>0</v>
      </c>
      <c r="M28" s="73">
        <f t="shared" si="3"/>
        <v>0</v>
      </c>
      <c r="N28" s="68"/>
    </row>
    <row r="29" spans="1:14" x14ac:dyDescent="0.25">
      <c r="H29" s="63" t="s">
        <v>45</v>
      </c>
      <c r="K29" s="71" t="s">
        <v>74</v>
      </c>
      <c r="L29" s="72">
        <f>COUNTIF(Peaks!$L$5:$L$104,"*" &amp; K29 &amp; "*")</f>
        <v>0</v>
      </c>
      <c r="M29" s="73">
        <f t="shared" si="3"/>
        <v>0</v>
      </c>
      <c r="N29" s="68"/>
    </row>
    <row r="30" spans="1:14" x14ac:dyDescent="0.25">
      <c r="K30" s="79"/>
      <c r="L30" s="80"/>
      <c r="M30" s="81"/>
      <c r="N30" s="76"/>
    </row>
    <row r="31" spans="1:14" x14ac:dyDescent="0.25">
      <c r="C31" s="78"/>
      <c r="K31" s="79"/>
      <c r="L31" s="80"/>
      <c r="M31" s="81"/>
      <c r="N31" s="76"/>
    </row>
    <row r="32" spans="1:14" x14ac:dyDescent="0.25">
      <c r="K32" s="79"/>
      <c r="L32" s="80"/>
      <c r="M32" s="81"/>
      <c r="N32" s="76"/>
    </row>
    <row r="33" spans="6:14" ht="15.75" thickBot="1" x14ac:dyDescent="0.3">
      <c r="K33" s="79"/>
      <c r="L33" s="80"/>
      <c r="M33" s="81"/>
      <c r="N33" s="76"/>
    </row>
    <row r="34" spans="6:14" ht="15.75" thickBot="1" x14ac:dyDescent="0.3">
      <c r="F34" s="25">
        <v>20</v>
      </c>
      <c r="K34" s="79"/>
      <c r="L34" s="80"/>
      <c r="M34" s="81"/>
      <c r="N34" s="76"/>
    </row>
    <row r="35" spans="6:14" x14ac:dyDescent="0.25">
      <c r="K35" s="79"/>
      <c r="L35" s="80"/>
      <c r="M35" s="81"/>
      <c r="N35" s="76"/>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UpdateSummary">
                <anchor moveWithCells="1" sizeWithCells="1">
                  <from>
                    <xdr:col>2</xdr:col>
                    <xdr:colOff>66675</xdr:colOff>
                    <xdr:row>32</xdr:row>
                    <xdr:rowOff>9525</xdr:rowOff>
                  </from>
                  <to>
                    <xdr:col>2</xdr:col>
                    <xdr:colOff>2133600</xdr:colOff>
                    <xdr:row>34</xdr:row>
                    <xdr:rowOff>9525</xdr:rowOff>
                  </to>
                </anchor>
              </controlPr>
            </control>
          </mc:Choice>
        </mc:AlternateContent>
        <mc:AlternateContent xmlns:mc="http://schemas.openxmlformats.org/markup-compatibility/2006">
          <mc:Choice Requires="x14">
            <control shapeId="6146" r:id="rId5" name="Button 2">
              <controlPr defaultSize="0" print="0" autoFill="0" autoPict="0" macro="[0]!HideSpecificID">
                <anchor moveWithCells="1">
                  <from>
                    <xdr:col>7</xdr:col>
                    <xdr:colOff>295275</xdr:colOff>
                    <xdr:row>29</xdr:row>
                    <xdr:rowOff>76200</xdr:rowOff>
                  </from>
                  <to>
                    <xdr:col>8</xdr:col>
                    <xdr:colOff>266700</xdr:colOff>
                    <xdr:row>30</xdr:row>
                    <xdr:rowOff>123825</xdr:rowOff>
                  </to>
                </anchor>
              </controlPr>
            </control>
          </mc:Choice>
        </mc:AlternateContent>
        <mc:AlternateContent xmlns:mc="http://schemas.openxmlformats.org/markup-compatibility/2006">
          <mc:Choice Requires="x14">
            <control shapeId="6147" r:id="rId6" name="Button 3">
              <controlPr defaultSize="0" print="0" autoFill="0" autoPict="0" macro="[0]!UnhideSpecificID">
                <anchor moveWithCells="1">
                  <from>
                    <xdr:col>7</xdr:col>
                    <xdr:colOff>295275</xdr:colOff>
                    <xdr:row>31</xdr:row>
                    <xdr:rowOff>28575</xdr:rowOff>
                  </from>
                  <to>
                    <xdr:col>8</xdr:col>
                    <xdr:colOff>266700</xdr:colOff>
                    <xdr:row>32</xdr:row>
                    <xdr:rowOff>76200</xdr:rowOff>
                  </to>
                </anchor>
              </controlPr>
            </control>
          </mc:Choice>
        </mc:AlternateContent>
        <mc:AlternateContent xmlns:mc="http://schemas.openxmlformats.org/markup-compatibility/2006">
          <mc:Choice Requires="x14">
            <control shapeId="6148" r:id="rId7" name="Button 4">
              <controlPr defaultSize="0" print="0" autoFill="0" autoPict="0" macro="[0]!UnhideAll">
                <anchor moveWithCells="1" sizeWithCells="1">
                  <from>
                    <xdr:col>7</xdr:col>
                    <xdr:colOff>295275</xdr:colOff>
                    <xdr:row>36</xdr:row>
                    <xdr:rowOff>76200</xdr:rowOff>
                  </from>
                  <to>
                    <xdr:col>8</xdr:col>
                    <xdr:colOff>266700</xdr:colOff>
                    <xdr:row>37</xdr:row>
                    <xdr:rowOff>123825</xdr:rowOff>
                  </to>
                </anchor>
              </controlPr>
            </control>
          </mc:Choice>
        </mc:AlternateContent>
        <mc:AlternateContent xmlns:mc="http://schemas.openxmlformats.org/markup-compatibility/2006">
          <mc:Choice Requires="x14">
            <control shapeId="6149" r:id="rId8" name="Check Box 5">
              <controlPr defaultSize="0" autoFill="0" autoLine="0" autoPict="0">
                <anchor moveWithCells="1">
                  <from>
                    <xdr:col>2</xdr:col>
                    <xdr:colOff>28575</xdr:colOff>
                    <xdr:row>34</xdr:row>
                    <xdr:rowOff>190500</xdr:rowOff>
                  </from>
                  <to>
                    <xdr:col>2</xdr:col>
                    <xdr:colOff>2181225</xdr:colOff>
                    <xdr:row>36</xdr:row>
                    <xdr:rowOff>9525</xdr:rowOff>
                  </to>
                </anchor>
              </controlPr>
            </control>
          </mc:Choice>
        </mc:AlternateContent>
        <mc:AlternateContent xmlns:mc="http://schemas.openxmlformats.org/markup-compatibility/2006">
          <mc:Choice Requires="x14">
            <control shapeId="6150" r:id="rId9" name="Button 6">
              <controlPr defaultSize="0" print="0" autoFill="0" autoPict="0" macro="[0]!ShowOnlyID">
                <anchor moveWithCells="1">
                  <from>
                    <xdr:col>7</xdr:col>
                    <xdr:colOff>295275</xdr:colOff>
                    <xdr:row>32</xdr:row>
                    <xdr:rowOff>171450</xdr:rowOff>
                  </from>
                  <to>
                    <xdr:col>8</xdr:col>
                    <xdr:colOff>266700</xdr:colOff>
                    <xdr:row>34</xdr:row>
                    <xdr:rowOff>9525</xdr:rowOff>
                  </to>
                </anchor>
              </controlPr>
            </control>
          </mc:Choice>
        </mc:AlternateContent>
        <mc:AlternateContent xmlns:mc="http://schemas.openxmlformats.org/markup-compatibility/2006">
          <mc:Choice Requires="x14">
            <control shapeId="6151" r:id="rId10" name="Button 7">
              <controlPr defaultSize="0" print="0" autoFill="0" autoPict="0" macro="[0]!ShowOnlyCumulative">
                <anchor moveWithCells="1">
                  <from>
                    <xdr:col>1</xdr:col>
                    <xdr:colOff>66675</xdr:colOff>
                    <xdr:row>0</xdr:row>
                    <xdr:rowOff>19050</xdr:rowOff>
                  </from>
                  <to>
                    <xdr:col>1</xdr:col>
                    <xdr:colOff>504825</xdr:colOff>
                    <xdr:row>2</xdr:row>
                    <xdr:rowOff>85725</xdr:rowOff>
                  </to>
                </anchor>
              </controlPr>
            </control>
          </mc:Choice>
        </mc:AlternateContent>
        <mc:AlternateContent xmlns:mc="http://schemas.openxmlformats.org/markup-compatibility/2006">
          <mc:Choice Requires="x14">
            <control shapeId="6153" r:id="rId11" name="Button 9">
              <controlPr defaultSize="0" print="0" autoFill="0" autoPict="0" macro="[0]!ShowOnlyTop">
                <anchor moveWithCells="1">
                  <from>
                    <xdr:col>6</xdr:col>
                    <xdr:colOff>28575</xdr:colOff>
                    <xdr:row>32</xdr:row>
                    <xdr:rowOff>161925</xdr:rowOff>
                  </from>
                  <to>
                    <xdr:col>7</xdr:col>
                    <xdr:colOff>0</xdr:colOff>
                    <xdr:row>34</xdr:row>
                    <xdr:rowOff>0</xdr:rowOff>
                  </to>
                </anchor>
              </controlPr>
            </control>
          </mc:Choice>
        </mc:AlternateContent>
        <mc:AlternateContent xmlns:mc="http://schemas.openxmlformats.org/markup-compatibility/2006">
          <mc:Choice Requires="x14">
            <control shapeId="6154" r:id="rId12" name="Button 10">
              <controlPr defaultSize="0" print="0" autoFill="0" autoPict="0" macro="[0]!HideUnlabelled">
                <anchor moveWithCells="1">
                  <from>
                    <xdr:col>7</xdr:col>
                    <xdr:colOff>295275</xdr:colOff>
                    <xdr:row>34</xdr:row>
                    <xdr:rowOff>123825</xdr:rowOff>
                  </from>
                  <to>
                    <xdr:col>8</xdr:col>
                    <xdr:colOff>266700</xdr:colOff>
                    <xdr:row>35</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dimension ref="Z1:AB21"/>
  <sheetViews>
    <sheetView zoomScaleNormal="100" workbookViewId="0">
      <selection activeCell="AA21" sqref="AA21"/>
    </sheetView>
  </sheetViews>
  <sheetFormatPr defaultRowHeight="15" x14ac:dyDescent="0.25"/>
  <sheetData>
    <row r="1" spans="26:28" ht="15.75" thickBot="1" x14ac:dyDescent="0.3">
      <c r="Z1" s="10" t="s">
        <v>30</v>
      </c>
      <c r="AB1" s="10" t="s">
        <v>19</v>
      </c>
    </row>
    <row r="2" spans="26:28" ht="15.75" thickBot="1" x14ac:dyDescent="0.3">
      <c r="Z2" s="2">
        <v>2</v>
      </c>
      <c r="AB2" s="2">
        <v>20</v>
      </c>
    </row>
    <row r="3" spans="26:28" ht="15.75" thickBot="1" x14ac:dyDescent="0.3"/>
    <row r="4" spans="26:28" ht="15.75" thickBot="1" x14ac:dyDescent="0.3">
      <c r="AA4" s="11"/>
    </row>
    <row r="5" spans="26:28" ht="15.75" thickBot="1" x14ac:dyDescent="0.3"/>
    <row r="6" spans="26:28" ht="15.75" thickBot="1" x14ac:dyDescent="0.3">
      <c r="AA6" s="12"/>
    </row>
    <row r="8" spans="26:28" x14ac:dyDescent="0.25">
      <c r="AA8" s="1"/>
    </row>
    <row r="9" spans="26:28" x14ac:dyDescent="0.25">
      <c r="AA9" s="1"/>
    </row>
    <row r="10" spans="26:28" x14ac:dyDescent="0.25">
      <c r="AA10" s="1"/>
    </row>
    <row r="11" spans="26:28" ht="15.75" thickBot="1" x14ac:dyDescent="0.3"/>
    <row r="12" spans="26:28" ht="15.75" thickBot="1" x14ac:dyDescent="0.3">
      <c r="Z12" s="2">
        <v>100</v>
      </c>
    </row>
    <row r="14" spans="26:28" ht="15.75" thickBot="1" x14ac:dyDescent="0.3">
      <c r="Z14" s="40"/>
    </row>
    <row r="15" spans="26:28" ht="15.75" thickBot="1" x14ac:dyDescent="0.3">
      <c r="Z15" s="2">
        <v>0.5</v>
      </c>
      <c r="AA15" s="2">
        <v>10</v>
      </c>
    </row>
    <row r="17" spans="26:28" ht="15.75" thickBot="1" x14ac:dyDescent="0.3"/>
    <row r="18" spans="26:28" ht="15.75" thickBot="1" x14ac:dyDescent="0.3">
      <c r="Z18" s="105" t="s">
        <v>42</v>
      </c>
      <c r="AA18" s="106"/>
      <c r="AB18" s="41"/>
    </row>
    <row r="20" spans="26:28" ht="15.75" thickBot="1" x14ac:dyDescent="0.3"/>
    <row r="21" spans="26:28" ht="15.75" thickBot="1" x14ac:dyDescent="0.3">
      <c r="AA21" s="2">
        <v>0</v>
      </c>
    </row>
  </sheetData>
  <mergeCells count="1">
    <mergeCell ref="Z18:AA18"/>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nchor moveWithCells="1">
                  <from>
                    <xdr:col>26</xdr:col>
                    <xdr:colOff>9525</xdr:colOff>
                    <xdr:row>3</xdr:row>
                    <xdr:rowOff>9525</xdr:rowOff>
                  </from>
                  <to>
                    <xdr:col>26</xdr:col>
                    <xdr:colOff>600075</xdr:colOff>
                    <xdr:row>3</xdr:row>
                    <xdr:rowOff>190500</xdr:rowOff>
                  </to>
                </anchor>
              </controlPr>
            </control>
          </mc:Choice>
        </mc:AlternateContent>
        <mc:AlternateContent xmlns:mc="http://schemas.openxmlformats.org/markup-compatibility/2006">
          <mc:Choice Requires="x14">
            <control shapeId="9218" r:id="rId5" name="Check Box 2">
              <controlPr defaultSize="0" autoFill="0" autoLine="0" autoPict="0">
                <anchor moveWithCells="1">
                  <from>
                    <xdr:col>26</xdr:col>
                    <xdr:colOff>9525</xdr:colOff>
                    <xdr:row>4</xdr:row>
                    <xdr:rowOff>180975</xdr:rowOff>
                  </from>
                  <to>
                    <xdr:col>26</xdr:col>
                    <xdr:colOff>600075</xdr:colOff>
                    <xdr:row>5</xdr:row>
                    <xdr:rowOff>180975</xdr:rowOff>
                  </to>
                </anchor>
              </controlPr>
            </control>
          </mc:Choice>
        </mc:AlternateContent>
        <mc:AlternateContent xmlns:mc="http://schemas.openxmlformats.org/markup-compatibility/2006">
          <mc:Choice Requires="x14">
            <control shapeId="9219" r:id="rId6" name="Check Box 3">
              <controlPr defaultSize="0" autoFill="0" autoLine="0" autoPict="0">
                <anchor moveWithCells="1">
                  <from>
                    <xdr:col>26</xdr:col>
                    <xdr:colOff>9525</xdr:colOff>
                    <xdr:row>7</xdr:row>
                    <xdr:rowOff>0</xdr:rowOff>
                  </from>
                  <to>
                    <xdr:col>26</xdr:col>
                    <xdr:colOff>600075</xdr:colOff>
                    <xdr:row>8</xdr:row>
                    <xdr:rowOff>0</xdr:rowOff>
                  </to>
                </anchor>
              </controlPr>
            </control>
          </mc:Choice>
        </mc:AlternateContent>
        <mc:AlternateContent xmlns:mc="http://schemas.openxmlformats.org/markup-compatibility/2006">
          <mc:Choice Requires="x14">
            <control shapeId="9220" r:id="rId7" name="Check Box 4">
              <controlPr defaultSize="0" autoFill="0" autoLine="0" autoPict="0">
                <anchor moveWithCells="1">
                  <from>
                    <xdr:col>26</xdr:col>
                    <xdr:colOff>9525</xdr:colOff>
                    <xdr:row>9</xdr:row>
                    <xdr:rowOff>0</xdr:rowOff>
                  </from>
                  <to>
                    <xdr:col>26</xdr:col>
                    <xdr:colOff>600075</xdr:colOff>
                    <xdr:row>10</xdr:row>
                    <xdr:rowOff>0</xdr:rowOff>
                  </to>
                </anchor>
              </controlPr>
            </control>
          </mc:Choice>
        </mc:AlternateContent>
        <mc:AlternateContent xmlns:mc="http://schemas.openxmlformats.org/markup-compatibility/2006">
          <mc:Choice Requires="x14">
            <control shapeId="9221" r:id="rId8" name="Button 5">
              <controlPr defaultSize="0" print="0" autoFill="0" autoPict="0" macro="[0]!Chromatograms_Click">
                <anchor moveWithCells="1" sizeWithCells="1">
                  <from>
                    <xdr:col>25</xdr:col>
                    <xdr:colOff>0</xdr:colOff>
                    <xdr:row>15</xdr:row>
                    <xdr:rowOff>47625</xdr:rowOff>
                  </from>
                  <to>
                    <xdr:col>27</xdr:col>
                    <xdr:colOff>0</xdr:colOff>
                    <xdr:row>16</xdr:row>
                    <xdr:rowOff>104775</xdr:rowOff>
                  </to>
                </anchor>
              </controlPr>
            </control>
          </mc:Choice>
        </mc:AlternateContent>
        <mc:AlternateContent xmlns:mc="http://schemas.openxmlformats.org/markup-compatibility/2006">
          <mc:Choice Requires="x14">
            <control shapeId="9222" r:id="rId9" name="Button 6">
              <controlPr defaultSize="0" print="0" autoFill="0" autoPict="0" macro="[0]!DAD_A_Small">
                <anchor moveWithCells="1" sizeWithCells="1">
                  <from>
                    <xdr:col>25</xdr:col>
                    <xdr:colOff>0</xdr:colOff>
                    <xdr:row>3</xdr:row>
                    <xdr:rowOff>0</xdr:rowOff>
                  </from>
                  <to>
                    <xdr:col>25</xdr:col>
                    <xdr:colOff>285750</xdr:colOff>
                    <xdr:row>4</xdr:row>
                    <xdr:rowOff>0</xdr:rowOff>
                  </to>
                </anchor>
              </controlPr>
            </control>
          </mc:Choice>
        </mc:AlternateContent>
        <mc:AlternateContent xmlns:mc="http://schemas.openxmlformats.org/markup-compatibility/2006">
          <mc:Choice Requires="x14">
            <control shapeId="9223" r:id="rId10" name="Button 7">
              <controlPr defaultSize="0" print="0" autoFill="0" autoPict="0" macro="[0]!DAD_A_Big">
                <anchor moveWithCells="1" sizeWithCells="1">
                  <from>
                    <xdr:col>25</xdr:col>
                    <xdr:colOff>323850</xdr:colOff>
                    <xdr:row>3</xdr:row>
                    <xdr:rowOff>0</xdr:rowOff>
                  </from>
                  <to>
                    <xdr:col>25</xdr:col>
                    <xdr:colOff>609600</xdr:colOff>
                    <xdr:row>4</xdr:row>
                    <xdr:rowOff>0</xdr:rowOff>
                  </to>
                </anchor>
              </controlPr>
            </control>
          </mc:Choice>
        </mc:AlternateContent>
        <mc:AlternateContent xmlns:mc="http://schemas.openxmlformats.org/markup-compatibility/2006">
          <mc:Choice Requires="x14">
            <control shapeId="9224" r:id="rId11" name="Button 8">
              <controlPr defaultSize="0" print="0" autoFill="0" autoPict="0" macro="[0]!DAD_B_Small">
                <anchor moveWithCells="1" sizeWithCells="1">
                  <from>
                    <xdr:col>24</xdr:col>
                    <xdr:colOff>609600</xdr:colOff>
                    <xdr:row>5</xdr:row>
                    <xdr:rowOff>0</xdr:rowOff>
                  </from>
                  <to>
                    <xdr:col>25</xdr:col>
                    <xdr:colOff>285750</xdr:colOff>
                    <xdr:row>6</xdr:row>
                    <xdr:rowOff>0</xdr:rowOff>
                  </to>
                </anchor>
              </controlPr>
            </control>
          </mc:Choice>
        </mc:AlternateContent>
        <mc:AlternateContent xmlns:mc="http://schemas.openxmlformats.org/markup-compatibility/2006">
          <mc:Choice Requires="x14">
            <control shapeId="9225" r:id="rId12" name="Button 9">
              <controlPr defaultSize="0" print="0" autoFill="0" autoPict="0" macro="[0]!DAD_B_Big">
                <anchor moveWithCells="1" sizeWithCells="1">
                  <from>
                    <xdr:col>25</xdr:col>
                    <xdr:colOff>323850</xdr:colOff>
                    <xdr:row>5</xdr:row>
                    <xdr:rowOff>0</xdr:rowOff>
                  </from>
                  <to>
                    <xdr:col>25</xdr:col>
                    <xdr:colOff>609600</xdr:colOff>
                    <xdr:row>6</xdr:row>
                    <xdr:rowOff>0</xdr:rowOff>
                  </to>
                </anchor>
              </controlPr>
            </control>
          </mc:Choice>
        </mc:AlternateContent>
        <mc:AlternateContent xmlns:mc="http://schemas.openxmlformats.org/markup-compatibility/2006">
          <mc:Choice Requires="x14">
            <control shapeId="9230" r:id="rId13" name="Button 14">
              <controlPr defaultSize="0" print="0" autoFill="0" autoPict="0" macro="[0]!DAD_A_Down">
                <anchor moveWithCells="1" sizeWithCells="1">
                  <from>
                    <xdr:col>27</xdr:col>
                    <xdr:colOff>9525</xdr:colOff>
                    <xdr:row>2</xdr:row>
                    <xdr:rowOff>190500</xdr:rowOff>
                  </from>
                  <to>
                    <xdr:col>27</xdr:col>
                    <xdr:colOff>295275</xdr:colOff>
                    <xdr:row>3</xdr:row>
                    <xdr:rowOff>190500</xdr:rowOff>
                  </to>
                </anchor>
              </controlPr>
            </control>
          </mc:Choice>
        </mc:AlternateContent>
        <mc:AlternateContent xmlns:mc="http://schemas.openxmlformats.org/markup-compatibility/2006">
          <mc:Choice Requires="x14">
            <control shapeId="9231" r:id="rId14" name="Button 15">
              <controlPr defaultSize="0" print="0" autoFill="0" autoPict="0" macro="[0]!DAD_A_Up">
                <anchor moveWithCells="1" sizeWithCells="1">
                  <from>
                    <xdr:col>27</xdr:col>
                    <xdr:colOff>323850</xdr:colOff>
                    <xdr:row>2</xdr:row>
                    <xdr:rowOff>190500</xdr:rowOff>
                  </from>
                  <to>
                    <xdr:col>28</xdr:col>
                    <xdr:colOff>0</xdr:colOff>
                    <xdr:row>3</xdr:row>
                    <xdr:rowOff>190500</xdr:rowOff>
                  </to>
                </anchor>
              </controlPr>
            </control>
          </mc:Choice>
        </mc:AlternateContent>
        <mc:AlternateContent xmlns:mc="http://schemas.openxmlformats.org/markup-compatibility/2006">
          <mc:Choice Requires="x14">
            <control shapeId="9232" r:id="rId15" name="Button 16">
              <controlPr defaultSize="0" print="0" autoFill="0" autoPict="0" macro="[0]!DAD_B_Down">
                <anchor moveWithCells="1" sizeWithCells="1">
                  <from>
                    <xdr:col>27</xdr:col>
                    <xdr:colOff>9525</xdr:colOff>
                    <xdr:row>4</xdr:row>
                    <xdr:rowOff>200025</xdr:rowOff>
                  </from>
                  <to>
                    <xdr:col>27</xdr:col>
                    <xdr:colOff>295275</xdr:colOff>
                    <xdr:row>5</xdr:row>
                    <xdr:rowOff>200025</xdr:rowOff>
                  </to>
                </anchor>
              </controlPr>
            </control>
          </mc:Choice>
        </mc:AlternateContent>
        <mc:AlternateContent xmlns:mc="http://schemas.openxmlformats.org/markup-compatibility/2006">
          <mc:Choice Requires="x14">
            <control shapeId="9233" r:id="rId16" name="Button 17">
              <controlPr defaultSize="0" print="0" autoFill="0" autoPict="0" macro="[0]!DAD_B_Up">
                <anchor moveWithCells="1" sizeWithCells="1">
                  <from>
                    <xdr:col>27</xdr:col>
                    <xdr:colOff>323850</xdr:colOff>
                    <xdr:row>4</xdr:row>
                    <xdr:rowOff>200025</xdr:rowOff>
                  </from>
                  <to>
                    <xdr:col>28</xdr:col>
                    <xdr:colOff>0</xdr:colOff>
                    <xdr:row>6</xdr:row>
                    <xdr:rowOff>0</xdr:rowOff>
                  </to>
                </anchor>
              </controlPr>
            </control>
          </mc:Choice>
        </mc:AlternateContent>
        <mc:AlternateContent xmlns:mc="http://schemas.openxmlformats.org/markup-compatibility/2006">
          <mc:Choice Requires="x14">
            <control shapeId="9238" r:id="rId17" name="Check Box 22">
              <controlPr defaultSize="0" autoFill="0" autoLine="0" autoPict="0">
                <anchor moveWithCells="1">
                  <from>
                    <xdr:col>26</xdr:col>
                    <xdr:colOff>19050</xdr:colOff>
                    <xdr:row>11</xdr:row>
                    <xdr:rowOff>0</xdr:rowOff>
                  </from>
                  <to>
                    <xdr:col>27</xdr:col>
                    <xdr:colOff>0</xdr:colOff>
                    <xdr:row>11</xdr:row>
                    <xdr:rowOff>190500</xdr:rowOff>
                  </to>
                </anchor>
              </controlPr>
            </control>
          </mc:Choice>
        </mc:AlternateContent>
        <mc:AlternateContent xmlns:mc="http://schemas.openxmlformats.org/markup-compatibility/2006">
          <mc:Choice Requires="x14">
            <control shapeId="9239" r:id="rId18" name="Button 23">
              <controlPr defaultSize="0" print="0" autoFill="0" autoPict="0" macro="[0]!PeakNumDOWN">
                <anchor moveWithCells="1" sizeWithCells="1">
                  <from>
                    <xdr:col>27</xdr:col>
                    <xdr:colOff>9525</xdr:colOff>
                    <xdr:row>10</xdr:row>
                    <xdr:rowOff>180975</xdr:rowOff>
                  </from>
                  <to>
                    <xdr:col>27</xdr:col>
                    <xdr:colOff>295275</xdr:colOff>
                    <xdr:row>12</xdr:row>
                    <xdr:rowOff>0</xdr:rowOff>
                  </to>
                </anchor>
              </controlPr>
            </control>
          </mc:Choice>
        </mc:AlternateContent>
        <mc:AlternateContent xmlns:mc="http://schemas.openxmlformats.org/markup-compatibility/2006">
          <mc:Choice Requires="x14">
            <control shapeId="9240" r:id="rId19" name="Button 24">
              <controlPr defaultSize="0" print="0" autoFill="0" autoPict="0" macro="[0]!PeakNumUP">
                <anchor moveWithCells="1" sizeWithCells="1">
                  <from>
                    <xdr:col>27</xdr:col>
                    <xdr:colOff>323850</xdr:colOff>
                    <xdr:row>10</xdr:row>
                    <xdr:rowOff>180975</xdr:rowOff>
                  </from>
                  <to>
                    <xdr:col>28</xdr:col>
                    <xdr:colOff>0</xdr:colOff>
                    <xdr:row>12</xdr:row>
                    <xdr:rowOff>0</xdr:rowOff>
                  </to>
                </anchor>
              </controlPr>
            </control>
          </mc:Choice>
        </mc:AlternateContent>
        <mc:AlternateContent xmlns:mc="http://schemas.openxmlformats.org/markup-compatibility/2006">
          <mc:Choice Requires="x14">
            <control shapeId="9241" r:id="rId20" name="Button 25">
              <controlPr defaultSize="0" print="0" autoFill="0" autoPict="0" macro="[0]!NextTraceOne">
                <anchor moveWithCells="1" sizeWithCells="1">
                  <from>
                    <xdr:col>27</xdr:col>
                    <xdr:colOff>19050</xdr:colOff>
                    <xdr:row>19</xdr:row>
                    <xdr:rowOff>104775</xdr:rowOff>
                  </from>
                  <to>
                    <xdr:col>27</xdr:col>
                    <xdr:colOff>381000</xdr:colOff>
                    <xdr:row>21</xdr:row>
                    <xdr:rowOff>95250</xdr:rowOff>
                  </to>
                </anchor>
              </controlPr>
            </control>
          </mc:Choice>
        </mc:AlternateContent>
        <mc:AlternateContent xmlns:mc="http://schemas.openxmlformats.org/markup-compatibility/2006">
          <mc:Choice Requires="x14">
            <control shapeId="9242" r:id="rId21" name="Button 26">
              <controlPr defaultSize="0" print="0" autoFill="0" autoPict="0" macro="[0]!PreviousTraceOne">
                <anchor moveWithCells="1" sizeWithCells="1">
                  <from>
                    <xdr:col>25</xdr:col>
                    <xdr:colOff>238125</xdr:colOff>
                    <xdr:row>19</xdr:row>
                    <xdr:rowOff>104775</xdr:rowOff>
                  </from>
                  <to>
                    <xdr:col>25</xdr:col>
                    <xdr:colOff>600075</xdr:colOff>
                    <xdr:row>21</xdr:row>
                    <xdr:rowOff>85725</xdr:rowOff>
                  </to>
                </anchor>
              </controlPr>
            </control>
          </mc:Choice>
        </mc:AlternateContent>
        <mc:AlternateContent xmlns:mc="http://schemas.openxmlformats.org/markup-compatibility/2006">
          <mc:Choice Requires="x14">
            <control shapeId="9243" r:id="rId22" name="Button 27">
              <controlPr defaultSize="0" print="0" autoFill="0" autoPict="0" macro="[0]!Clear_Inset">
                <anchor moveWithCells="1" sizeWithCells="1">
                  <from>
                    <xdr:col>28</xdr:col>
                    <xdr:colOff>9525</xdr:colOff>
                    <xdr:row>13</xdr:row>
                    <xdr:rowOff>142875</xdr:rowOff>
                  </from>
                  <to>
                    <xdr:col>29</xdr:col>
                    <xdr:colOff>9525</xdr:colOff>
                    <xdr:row>15</xdr:row>
                    <xdr:rowOff>38100</xdr:rowOff>
                  </to>
                </anchor>
              </controlPr>
            </control>
          </mc:Choice>
        </mc:AlternateContent>
        <mc:AlternateContent xmlns:mc="http://schemas.openxmlformats.org/markup-compatibility/2006">
          <mc:Choice Requires="x14">
            <control shapeId="9244" r:id="rId23" name="Button 28">
              <controlPr defaultSize="0" print="0" autoFill="0" autoPict="0" macro="[0]!Reset_Allchromatograms">
                <anchor moveWithCells="1" sizeWithCells="1">
                  <from>
                    <xdr:col>28</xdr:col>
                    <xdr:colOff>38100</xdr:colOff>
                    <xdr:row>0</xdr:row>
                    <xdr:rowOff>57150</xdr:rowOff>
                  </from>
                  <to>
                    <xdr:col>28</xdr:col>
                    <xdr:colOff>457200</xdr:colOff>
                    <xdr:row>2</xdr:row>
                    <xdr:rowOff>66675</xdr:rowOff>
                  </to>
                </anchor>
              </controlPr>
            </control>
          </mc:Choice>
        </mc:AlternateContent>
        <mc:AlternateContent xmlns:mc="http://schemas.openxmlformats.org/markup-compatibility/2006">
          <mc:Choice Requires="x14">
            <control shapeId="9245" r:id="rId24" name="Button 29">
              <controlPr defaultSize="0" print="0" autoFill="0" autoPict="0" macro="[0]!Reset_210">
                <anchor moveWithCells="1" sizeWithCells="1">
                  <from>
                    <xdr:col>28</xdr:col>
                    <xdr:colOff>38100</xdr:colOff>
                    <xdr:row>3</xdr:row>
                    <xdr:rowOff>0</xdr:rowOff>
                  </from>
                  <to>
                    <xdr:col>28</xdr:col>
                    <xdr:colOff>457200</xdr:colOff>
                    <xdr:row>4</xdr:row>
                    <xdr:rowOff>0</xdr:rowOff>
                  </to>
                </anchor>
              </controlPr>
            </control>
          </mc:Choice>
        </mc:AlternateContent>
        <mc:AlternateContent xmlns:mc="http://schemas.openxmlformats.org/markup-compatibility/2006">
          <mc:Choice Requires="x14">
            <control shapeId="9246" r:id="rId25" name="Button 30">
              <controlPr defaultSize="0" print="0" autoFill="0" autoPict="0" macro="[0]!Reset_254">
                <anchor moveWithCells="1" sizeWithCells="1">
                  <from>
                    <xdr:col>28</xdr:col>
                    <xdr:colOff>38100</xdr:colOff>
                    <xdr:row>5</xdr:row>
                    <xdr:rowOff>0</xdr:rowOff>
                  </from>
                  <to>
                    <xdr:col>28</xdr:col>
                    <xdr:colOff>457200</xdr:colOff>
                    <xdr:row>6</xdr:row>
                    <xdr:rowOff>0</xdr:rowOff>
                  </to>
                </anchor>
              </controlPr>
            </control>
          </mc:Choice>
        </mc:AlternateContent>
        <mc:AlternateContent xmlns:mc="http://schemas.openxmlformats.org/markup-compatibility/2006">
          <mc:Choice Requires="x14">
            <control shapeId="9249" r:id="rId26" name="Button 33">
              <controlPr defaultSize="0" print="0" autoFill="0" autoPict="0" macro="[0]!Reset_Labels">
                <anchor moveWithCells="1" sizeWithCells="1">
                  <from>
                    <xdr:col>28</xdr:col>
                    <xdr:colOff>38100</xdr:colOff>
                    <xdr:row>11</xdr:row>
                    <xdr:rowOff>0</xdr:rowOff>
                  </from>
                  <to>
                    <xdr:col>28</xdr:col>
                    <xdr:colOff>457200</xdr:colOff>
                    <xdr:row>12</xdr:row>
                    <xdr:rowOff>0</xdr:rowOff>
                  </to>
                </anchor>
              </controlPr>
            </control>
          </mc:Choice>
        </mc:AlternateContent>
        <mc:AlternateContent xmlns:mc="http://schemas.openxmlformats.org/markup-compatibility/2006">
          <mc:Choice Requires="x14">
            <control shapeId="9250" r:id="rId27" name="Button 34">
              <controlPr defaultSize="0" print="0" autoFill="0" autoPict="0" macro="[0]!LabelID_From_Chromatogram">
                <anchor moveWithCells="1" sizeWithCells="1">
                  <from>
                    <xdr:col>26</xdr:col>
                    <xdr:colOff>9525</xdr:colOff>
                    <xdr:row>18</xdr:row>
                    <xdr:rowOff>76200</xdr:rowOff>
                  </from>
                  <to>
                    <xdr:col>27</xdr:col>
                    <xdr:colOff>9525</xdr:colOff>
                    <xdr:row>19</xdr:row>
                    <xdr:rowOff>95250</xdr:rowOff>
                  </to>
                </anchor>
              </controlPr>
            </control>
          </mc:Choice>
        </mc:AlternateContent>
        <mc:AlternateContent xmlns:mc="http://schemas.openxmlformats.org/markup-compatibility/2006">
          <mc:Choice Requires="x14">
            <control shapeId="9252" r:id="rId28" name="Button 36">
              <controlPr defaultSize="0" print="0" autoFill="0" autoPict="0" macro="[0]!HideID_From_Chromatogram">
                <anchor moveWithCells="1" sizeWithCells="1">
                  <from>
                    <xdr:col>25</xdr:col>
                    <xdr:colOff>0</xdr:colOff>
                    <xdr:row>18</xdr:row>
                    <xdr:rowOff>76200</xdr:rowOff>
                  </from>
                  <to>
                    <xdr:col>25</xdr:col>
                    <xdr:colOff>609600</xdr:colOff>
                    <xdr:row>19</xdr:row>
                    <xdr:rowOff>95250</xdr:rowOff>
                  </to>
                </anchor>
              </controlPr>
            </control>
          </mc:Choice>
        </mc:AlternateContent>
        <mc:AlternateContent xmlns:mc="http://schemas.openxmlformats.org/markup-compatibility/2006">
          <mc:Choice Requires="x14">
            <control shapeId="9253" r:id="rId29" name="Button 37">
              <controlPr defaultSize="0" print="0" autoFill="0" autoPict="0" macro="[0]!LabelandHide">
                <anchor moveWithCells="1" sizeWithCells="1">
                  <from>
                    <xdr:col>27</xdr:col>
                    <xdr:colOff>19050</xdr:colOff>
                    <xdr:row>18</xdr:row>
                    <xdr:rowOff>76200</xdr:rowOff>
                  </from>
                  <to>
                    <xdr:col>29</xdr:col>
                    <xdr:colOff>0</xdr:colOff>
                    <xdr:row>19</xdr:row>
                    <xdr:rowOff>95250</xdr:rowOff>
                  </to>
                </anchor>
              </controlPr>
            </control>
          </mc:Choice>
        </mc:AlternateContent>
        <mc:AlternateContent xmlns:mc="http://schemas.openxmlformats.org/markup-compatibility/2006">
          <mc:Choice Requires="x14">
            <control shapeId="9254" r:id="rId30" name="Button 38">
              <controlPr defaultSize="0" print="0" autoFill="0" autoPict="0" macro="[0]!UnhideID_From_Chromatogram">
                <anchor moveWithCells="1" sizeWithCells="1">
                  <from>
                    <xdr:col>25</xdr:col>
                    <xdr:colOff>9525</xdr:colOff>
                    <xdr:row>21</xdr:row>
                    <xdr:rowOff>114300</xdr:rowOff>
                  </from>
                  <to>
                    <xdr:col>25</xdr:col>
                    <xdr:colOff>600075</xdr:colOff>
                    <xdr:row>22</xdr:row>
                    <xdr:rowOff>114300</xdr:rowOff>
                  </to>
                </anchor>
              </controlPr>
            </control>
          </mc:Choice>
        </mc:AlternateContent>
        <mc:AlternateContent xmlns:mc="http://schemas.openxmlformats.org/markup-compatibility/2006">
          <mc:Choice Requires="x14">
            <control shapeId="9255" r:id="rId31" name="Check Box 39">
              <controlPr defaultSize="0" autoFill="0" autoLine="0" autoPict="0">
                <anchor moveWithCells="1">
                  <from>
                    <xdr:col>28</xdr:col>
                    <xdr:colOff>9525</xdr:colOff>
                    <xdr:row>20</xdr:row>
                    <xdr:rowOff>9525</xdr:rowOff>
                  </from>
                  <to>
                    <xdr:col>29</xdr:col>
                    <xdr:colOff>152400</xdr:colOff>
                    <xdr:row>21</xdr:row>
                    <xdr:rowOff>0</xdr:rowOff>
                  </to>
                </anchor>
              </controlPr>
            </control>
          </mc:Choice>
        </mc:AlternateContent>
        <mc:AlternateContent xmlns:mc="http://schemas.openxmlformats.org/markup-compatibility/2006">
          <mc:Choice Requires="x14">
            <control shapeId="9256" r:id="rId32" name="Button 40">
              <controlPr defaultSize="0" print="0" autoFill="0" autoPict="0" macro="[0]!UnhideAll_From_Chromatogram">
                <anchor moveWithCells="1" sizeWithCells="1">
                  <from>
                    <xdr:col>27</xdr:col>
                    <xdr:colOff>19050</xdr:colOff>
                    <xdr:row>21</xdr:row>
                    <xdr:rowOff>104775</xdr:rowOff>
                  </from>
                  <to>
                    <xdr:col>28</xdr:col>
                    <xdr:colOff>600075</xdr:colOff>
                    <xdr:row>22</xdr:row>
                    <xdr:rowOff>114300</xdr:rowOff>
                  </to>
                </anchor>
              </controlPr>
            </control>
          </mc:Choice>
        </mc:AlternateContent>
        <mc:AlternateContent xmlns:mc="http://schemas.openxmlformats.org/markup-compatibility/2006">
          <mc:Choice Requires="x14">
            <control shapeId="9257" r:id="rId33" name="Check Box 41">
              <controlPr defaultSize="0" autoFill="0" autoLine="0" autoPict="0">
                <anchor moveWithCells="1">
                  <from>
                    <xdr:col>25</xdr:col>
                    <xdr:colOff>9525</xdr:colOff>
                    <xdr:row>12</xdr:row>
                    <xdr:rowOff>85725</xdr:rowOff>
                  </from>
                  <to>
                    <xdr:col>25</xdr:col>
                    <xdr:colOff>600075</xdr:colOff>
                    <xdr:row>13</xdr:row>
                    <xdr:rowOff>85725</xdr:rowOff>
                  </to>
                </anchor>
              </controlPr>
            </control>
          </mc:Choice>
        </mc:AlternateContent>
        <mc:AlternateContent xmlns:mc="http://schemas.openxmlformats.org/markup-compatibility/2006">
          <mc:Choice Requires="x14">
            <control shapeId="9258" r:id="rId34" name="Check Box 42">
              <controlPr defaultSize="0" autoFill="0" autoLine="0" autoPict="0">
                <anchor moveWithCells="1">
                  <from>
                    <xdr:col>25</xdr:col>
                    <xdr:colOff>600075</xdr:colOff>
                    <xdr:row>12</xdr:row>
                    <xdr:rowOff>85725</xdr:rowOff>
                  </from>
                  <to>
                    <xdr:col>26</xdr:col>
                    <xdr:colOff>581025</xdr:colOff>
                    <xdr:row>13</xdr:row>
                    <xdr:rowOff>85725</xdr:rowOff>
                  </to>
                </anchor>
              </controlPr>
            </control>
          </mc:Choice>
        </mc:AlternateContent>
        <mc:AlternateContent xmlns:mc="http://schemas.openxmlformats.org/markup-compatibility/2006">
          <mc:Choice Requires="x14">
            <control shapeId="9259" r:id="rId35" name="Check Box 43">
              <controlPr defaultSize="0" autoFill="0" autoLine="0" autoPict="0">
                <anchor moveWithCells="1">
                  <from>
                    <xdr:col>27</xdr:col>
                    <xdr:colOff>0</xdr:colOff>
                    <xdr:row>12</xdr:row>
                    <xdr:rowOff>85725</xdr:rowOff>
                  </from>
                  <to>
                    <xdr:col>27</xdr:col>
                    <xdr:colOff>590550</xdr:colOff>
                    <xdr:row>13</xdr:row>
                    <xdr:rowOff>85725</xdr:rowOff>
                  </to>
                </anchor>
              </controlPr>
            </control>
          </mc:Choice>
        </mc:AlternateContent>
        <mc:AlternateContent xmlns:mc="http://schemas.openxmlformats.org/markup-compatibility/2006">
          <mc:Choice Requires="x14">
            <control shapeId="9260" r:id="rId36" name="Button 44">
              <controlPr defaultSize="0" print="0" autoFill="0" autoPict="0" macro="[0]!CopyChromatogram">
                <anchor moveWithCells="1" sizeWithCells="1">
                  <from>
                    <xdr:col>27</xdr:col>
                    <xdr:colOff>9525</xdr:colOff>
                    <xdr:row>13</xdr:row>
                    <xdr:rowOff>142875</xdr:rowOff>
                  </from>
                  <to>
                    <xdr:col>28</xdr:col>
                    <xdr:colOff>0</xdr:colOff>
                    <xdr:row>15</xdr:row>
                    <xdr:rowOff>38100</xdr:rowOff>
                  </to>
                </anchor>
              </controlPr>
            </control>
          </mc:Choice>
        </mc:AlternateContent>
        <mc:AlternateContent xmlns:mc="http://schemas.openxmlformats.org/markup-compatibility/2006">
          <mc:Choice Requires="x14">
            <control shapeId="9261" r:id="rId37" name="Button 45">
              <controlPr defaultSize="0" print="0" autoFill="0" autoPict="0" macro="[0]!ChromatogramsUnlabel">
                <anchor moveWithCells="1" sizeWithCells="1">
                  <from>
                    <xdr:col>26</xdr:col>
                    <xdr:colOff>0</xdr:colOff>
                    <xdr:row>21</xdr:row>
                    <xdr:rowOff>104775</xdr:rowOff>
                  </from>
                  <to>
                    <xdr:col>27</xdr:col>
                    <xdr:colOff>0</xdr:colOff>
                    <xdr:row>22</xdr:row>
                    <xdr:rowOff>114300</xdr:rowOff>
                  </to>
                </anchor>
              </controlPr>
            </control>
          </mc:Choice>
        </mc:AlternateContent>
        <mc:AlternateContent xmlns:mc="http://schemas.openxmlformats.org/markup-compatibility/2006">
          <mc:Choice Requires="x14">
            <control shapeId="9263" r:id="rId38" name="Button 47">
              <controlPr defaultSize="0" print="0" autoFill="0" autoPict="0" macro="[0]!ChromatogramsKillLabels">
                <anchor moveWithCells="1" sizeWithCells="1">
                  <from>
                    <xdr:col>27</xdr:col>
                    <xdr:colOff>314325</xdr:colOff>
                    <xdr:row>17</xdr:row>
                    <xdr:rowOff>0</xdr:rowOff>
                  </from>
                  <to>
                    <xdr:col>28</xdr:col>
                    <xdr:colOff>609600</xdr:colOff>
                    <xdr:row>17</xdr:row>
                    <xdr:rowOff>200025</xdr:rowOff>
                  </to>
                </anchor>
              </controlPr>
            </control>
          </mc:Choice>
        </mc:AlternateContent>
        <mc:AlternateContent xmlns:mc="http://schemas.openxmlformats.org/markup-compatibility/2006">
          <mc:Choice Requires="x14">
            <control shapeId="9264" r:id="rId39" name="Button 48">
              <controlPr defaultSize="0" print="0" autoFill="0" autoPict="0" macro="[0]!ChromatogramsKillAllLabels">
                <anchor moveWithCells="1" sizeWithCells="1">
                  <from>
                    <xdr:col>27</xdr:col>
                    <xdr:colOff>9525</xdr:colOff>
                    <xdr:row>15</xdr:row>
                    <xdr:rowOff>57150</xdr:rowOff>
                  </from>
                  <to>
                    <xdr:col>29</xdr:col>
                    <xdr:colOff>0</xdr:colOff>
                    <xdr:row>16</xdr:row>
                    <xdr:rowOff>104775</xdr:rowOff>
                  </to>
                </anchor>
              </controlPr>
            </control>
          </mc:Choice>
        </mc:AlternateContent>
        <mc:AlternateContent xmlns:mc="http://schemas.openxmlformats.org/markup-compatibility/2006">
          <mc:Choice Requires="x14">
            <control shapeId="9265" r:id="rId40" name="Button 49">
              <controlPr defaultSize="0" print="0" autoFill="0" autoPict="0" macro="[0]!CoA">
                <anchor moveWithCells="1" sizeWithCells="1">
                  <from>
                    <xdr:col>28</xdr:col>
                    <xdr:colOff>9525</xdr:colOff>
                    <xdr:row>12</xdr:row>
                    <xdr:rowOff>76200</xdr:rowOff>
                  </from>
                  <to>
                    <xdr:col>29</xdr:col>
                    <xdr:colOff>9525</xdr:colOff>
                    <xdr:row>13</xdr:row>
                    <xdr:rowOff>95250</xdr:rowOff>
                  </to>
                </anchor>
              </controlPr>
            </control>
          </mc:Choice>
        </mc:AlternateContent>
        <mc:AlternateContent xmlns:mc="http://schemas.openxmlformats.org/markup-compatibility/2006">
          <mc:Choice Requires="x14">
            <control shapeId="9266" r:id="rId41" name="Button 50">
              <controlPr defaultSize="0" print="0" autoFill="0" autoPict="0" macro="[0]!Base_Allchromatograms">
                <anchor moveWithCells="1" sizeWithCells="1">
                  <from>
                    <xdr:col>28</xdr:col>
                    <xdr:colOff>476250</xdr:colOff>
                    <xdr:row>0</xdr:row>
                    <xdr:rowOff>57150</xdr:rowOff>
                  </from>
                  <to>
                    <xdr:col>29</xdr:col>
                    <xdr:colOff>295275</xdr:colOff>
                    <xdr:row>2</xdr:row>
                    <xdr:rowOff>66675</xdr:rowOff>
                  </to>
                </anchor>
              </controlPr>
            </control>
          </mc:Choice>
        </mc:AlternateContent>
        <mc:AlternateContent xmlns:mc="http://schemas.openxmlformats.org/markup-compatibility/2006">
          <mc:Choice Requires="x14">
            <control shapeId="9267" r:id="rId42" name="Button 51">
              <controlPr defaultSize="0" print="0" autoFill="0" autoPict="0" macro="[0]!Base_210">
                <anchor moveWithCells="1" sizeWithCells="1">
                  <from>
                    <xdr:col>28</xdr:col>
                    <xdr:colOff>476250</xdr:colOff>
                    <xdr:row>3</xdr:row>
                    <xdr:rowOff>0</xdr:rowOff>
                  </from>
                  <to>
                    <xdr:col>29</xdr:col>
                    <xdr:colOff>285750</xdr:colOff>
                    <xdr:row>4</xdr:row>
                    <xdr:rowOff>0</xdr:rowOff>
                  </to>
                </anchor>
              </controlPr>
            </control>
          </mc:Choice>
        </mc:AlternateContent>
        <mc:AlternateContent xmlns:mc="http://schemas.openxmlformats.org/markup-compatibility/2006">
          <mc:Choice Requires="x14">
            <control shapeId="9268" r:id="rId43" name="Button 52">
              <controlPr defaultSize="0" print="0" autoFill="0" autoPict="0" macro="[0]!Base_254">
                <anchor moveWithCells="1" sizeWithCells="1">
                  <from>
                    <xdr:col>28</xdr:col>
                    <xdr:colOff>476250</xdr:colOff>
                    <xdr:row>5</xdr:row>
                    <xdr:rowOff>0</xdr:rowOff>
                  </from>
                  <to>
                    <xdr:col>29</xdr:col>
                    <xdr:colOff>285750</xdr:colOff>
                    <xdr:row>6</xdr:row>
                    <xdr:rowOff>0</xdr:rowOff>
                  </to>
                </anchor>
              </controlPr>
            </control>
          </mc:Choice>
        </mc:AlternateContent>
        <mc:AlternateContent xmlns:mc="http://schemas.openxmlformats.org/markup-compatibility/2006">
          <mc:Choice Requires="x14">
            <control shapeId="9271" r:id="rId44" name="Button 55">
              <controlPr defaultSize="0" print="0" autoFill="0" autoPict="0" macro="[0]!Base_Labels">
                <anchor moveWithCells="1" sizeWithCells="1">
                  <from>
                    <xdr:col>28</xdr:col>
                    <xdr:colOff>476250</xdr:colOff>
                    <xdr:row>11</xdr:row>
                    <xdr:rowOff>0</xdr:rowOff>
                  </from>
                  <to>
                    <xdr:col>29</xdr:col>
                    <xdr:colOff>285750</xdr:colOff>
                    <xdr:row>12</xdr:row>
                    <xdr:rowOff>0</xdr:rowOff>
                  </to>
                </anchor>
              </controlPr>
            </control>
          </mc:Choice>
        </mc:AlternateContent>
        <mc:AlternateContent xmlns:mc="http://schemas.openxmlformats.org/markup-compatibility/2006">
          <mc:Choice Requires="x14">
            <control shapeId="9272" r:id="rId45" name="Button 56">
              <controlPr defaultSize="0" print="0" autoFill="0" autoPict="0" macro="[0]!PreviousTraceTen">
                <anchor moveWithCells="1" sizeWithCells="1">
                  <from>
                    <xdr:col>25</xdr:col>
                    <xdr:colOff>9525</xdr:colOff>
                    <xdr:row>19</xdr:row>
                    <xdr:rowOff>104775</xdr:rowOff>
                  </from>
                  <to>
                    <xdr:col>25</xdr:col>
                    <xdr:colOff>228600</xdr:colOff>
                    <xdr:row>21</xdr:row>
                    <xdr:rowOff>85725</xdr:rowOff>
                  </to>
                </anchor>
              </controlPr>
            </control>
          </mc:Choice>
        </mc:AlternateContent>
        <mc:AlternateContent xmlns:mc="http://schemas.openxmlformats.org/markup-compatibility/2006">
          <mc:Choice Requires="x14">
            <control shapeId="9273" r:id="rId46" name="Button 57">
              <controlPr defaultSize="0" print="0" autoFill="0" autoPict="0" macro="[0]!NextTraceTen">
                <anchor moveWithCells="1" sizeWithCells="1">
                  <from>
                    <xdr:col>27</xdr:col>
                    <xdr:colOff>390525</xdr:colOff>
                    <xdr:row>19</xdr:row>
                    <xdr:rowOff>104775</xdr:rowOff>
                  </from>
                  <to>
                    <xdr:col>28</xdr:col>
                    <xdr:colOff>0</xdr:colOff>
                    <xdr:row>21</xdr:row>
                    <xdr:rowOff>95250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xr:uid="{00000000-0002-0000-0200-000000000000}">
          <x14:formula1>
            <xm:f>Summary!$K$2:$K$9</xm:f>
          </x14:formula1>
          <xm:sqref>AB18</xm:sqref>
        </x14:dataValidation>
        <x14:dataValidation type="list" allowBlank="1" showInputMessage="1" xr:uid="{00000000-0002-0000-0200-000001000000}">
          <x14:formula1>
            <xm:f>Summary!$K$2:$K$29</xm:f>
          </x14:formula1>
          <xm:sqref>Z18:AA18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V1:AB37"/>
  <sheetViews>
    <sheetView zoomScaleNormal="100" workbookViewId="0">
      <selection activeCell="Z11" sqref="Z11:Z12"/>
    </sheetView>
  </sheetViews>
  <sheetFormatPr defaultColWidth="9.140625" defaultRowHeight="15" x14ac:dyDescent="0.25"/>
  <cols>
    <col min="1" max="22" width="9.140625" style="9"/>
    <col min="23" max="23" width="9.140625" style="9" customWidth="1"/>
    <col min="24" max="24" width="9" style="9" customWidth="1"/>
    <col min="25" max="25" width="9.140625" hidden="1" customWidth="1"/>
    <col min="26" max="26" width="18" customWidth="1"/>
    <col min="27" max="28" width="8.85546875" customWidth="1"/>
    <col min="29" max="16384" width="9.140625" style="9"/>
  </cols>
  <sheetData>
    <row r="1" spans="22:28" ht="15.75" thickBot="1" x14ac:dyDescent="0.3">
      <c r="W1" s="17"/>
    </row>
    <row r="2" spans="22:28" ht="15.75" thickBot="1" x14ac:dyDescent="0.3">
      <c r="V2" s="16"/>
      <c r="W2" s="18"/>
      <c r="AB2" s="6">
        <v>1</v>
      </c>
    </row>
    <row r="3" spans="22:28" x14ac:dyDescent="0.25">
      <c r="V3" s="15"/>
      <c r="W3" s="19"/>
    </row>
    <row r="4" spans="22:28" ht="15.75" thickBot="1" x14ac:dyDescent="0.3">
      <c r="AB4" s="6">
        <v>1</v>
      </c>
    </row>
    <row r="5" spans="22:28" ht="16.5" thickBot="1" x14ac:dyDescent="0.3">
      <c r="Z5" s="14" t="s">
        <v>28</v>
      </c>
      <c r="AA5" s="13"/>
      <c r="AB5" s="6">
        <v>1</v>
      </c>
    </row>
    <row r="8" spans="22:28" ht="15" customHeight="1" x14ac:dyDescent="0.25">
      <c r="Z8" s="8"/>
      <c r="AB8" s="6">
        <v>1</v>
      </c>
    </row>
    <row r="9" spans="22:28" ht="15" customHeight="1" x14ac:dyDescent="0.25">
      <c r="Z9" s="8"/>
    </row>
    <row r="10" spans="22:28" ht="15" customHeight="1" thickBot="1" x14ac:dyDescent="0.3">
      <c r="AB10" s="6">
        <v>1</v>
      </c>
    </row>
    <row r="11" spans="22:28" x14ac:dyDescent="0.25">
      <c r="Z11" s="109">
        <v>0</v>
      </c>
      <c r="AB11" s="6">
        <v>1</v>
      </c>
    </row>
    <row r="12" spans="22:28" ht="15.75" thickBot="1" x14ac:dyDescent="0.3">
      <c r="Z12" s="110"/>
    </row>
    <row r="14" spans="22:28" x14ac:dyDescent="0.25">
      <c r="AB14" s="6">
        <v>1</v>
      </c>
    </row>
    <row r="16" spans="22:28" x14ac:dyDescent="0.25">
      <c r="AB16" s="6">
        <v>1</v>
      </c>
    </row>
    <row r="17" spans="28:28" x14ac:dyDescent="0.25">
      <c r="AB17" s="6">
        <v>1</v>
      </c>
    </row>
    <row r="20" spans="28:28" x14ac:dyDescent="0.25">
      <c r="AB20" s="6">
        <v>1</v>
      </c>
    </row>
    <row r="22" spans="28:28" x14ac:dyDescent="0.25">
      <c r="AB22" s="6">
        <v>1</v>
      </c>
    </row>
    <row r="23" spans="28:28" x14ac:dyDescent="0.25">
      <c r="AB23" s="6">
        <v>1</v>
      </c>
    </row>
    <row r="26" spans="28:28" x14ac:dyDescent="0.25">
      <c r="AB26" s="6">
        <v>3</v>
      </c>
    </row>
    <row r="27" spans="28:28" x14ac:dyDescent="0.25">
      <c r="AB27" s="107" t="s">
        <v>26</v>
      </c>
    </row>
    <row r="28" spans="28:28" x14ac:dyDescent="0.25">
      <c r="AB28" s="108"/>
    </row>
    <row r="29" spans="28:28" x14ac:dyDescent="0.25">
      <c r="AB29" s="6">
        <v>6</v>
      </c>
    </row>
    <row r="32" spans="28:28" x14ac:dyDescent="0.25">
      <c r="AB32" s="6">
        <v>1</v>
      </c>
    </row>
    <row r="33" spans="26:28" x14ac:dyDescent="0.25">
      <c r="AB33" s="107" t="s">
        <v>27</v>
      </c>
    </row>
    <row r="34" spans="26:28" x14ac:dyDescent="0.25">
      <c r="AB34" s="108"/>
    </row>
    <row r="35" spans="26:28" x14ac:dyDescent="0.25">
      <c r="AB35" s="6">
        <v>50</v>
      </c>
    </row>
    <row r="37" spans="26:28" x14ac:dyDescent="0.25">
      <c r="Z37" s="7" t="s">
        <v>25</v>
      </c>
    </row>
  </sheetData>
  <mergeCells count="3">
    <mergeCell ref="AB27:AB28"/>
    <mergeCell ref="AB33:AB34"/>
    <mergeCell ref="Z11:Z1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Overlay_Click">
                <anchor moveWithCells="1" sizeWithCells="1">
                  <from>
                    <xdr:col>23</xdr:col>
                    <xdr:colOff>457200</xdr:colOff>
                    <xdr:row>0</xdr:row>
                    <xdr:rowOff>38100</xdr:rowOff>
                  </from>
                  <to>
                    <xdr:col>26</xdr:col>
                    <xdr:colOff>161925</xdr:colOff>
                    <xdr:row>1</xdr:row>
                    <xdr:rowOff>114300</xdr:rowOff>
                  </to>
                </anchor>
              </controlPr>
            </control>
          </mc:Choice>
        </mc:AlternateContent>
        <mc:AlternateContent xmlns:mc="http://schemas.openxmlformats.org/markup-compatibility/2006">
          <mc:Choice Requires="x14">
            <control shapeId="4099" r:id="rId5" name="Button 3">
              <controlPr defaultSize="0" print="0" autoFill="0" autoPict="0" macro="[0]!Checkallandoverlay">
                <anchor moveWithCells="1" sizeWithCells="1">
                  <from>
                    <xdr:col>23</xdr:col>
                    <xdr:colOff>457200</xdr:colOff>
                    <xdr:row>30</xdr:row>
                    <xdr:rowOff>171450</xdr:rowOff>
                  </from>
                  <to>
                    <xdr:col>26</xdr:col>
                    <xdr:colOff>171450</xdr:colOff>
                    <xdr:row>32</xdr:row>
                    <xdr:rowOff>180975</xdr:rowOff>
                  </to>
                </anchor>
              </controlPr>
            </control>
          </mc:Choice>
        </mc:AlternateContent>
        <mc:AlternateContent xmlns:mc="http://schemas.openxmlformats.org/markup-compatibility/2006">
          <mc:Choice Requires="x14">
            <control shapeId="4100" r:id="rId6" name="Button 4">
              <controlPr defaultSize="0" print="0" autoFill="0" autoPict="0" macro="[0]!Uncheckallandoverlay">
                <anchor moveWithCells="1" sizeWithCells="1">
                  <from>
                    <xdr:col>23</xdr:col>
                    <xdr:colOff>457200</xdr:colOff>
                    <xdr:row>34</xdr:row>
                    <xdr:rowOff>0</xdr:rowOff>
                  </from>
                  <to>
                    <xdr:col>26</xdr:col>
                    <xdr:colOff>171450</xdr:colOff>
                    <xdr:row>35</xdr:row>
                    <xdr:rowOff>180975</xdr:rowOff>
                  </to>
                </anchor>
              </controlPr>
            </control>
          </mc:Choice>
        </mc:AlternateContent>
        <mc:AlternateContent xmlns:mc="http://schemas.openxmlformats.org/markup-compatibility/2006">
          <mc:Choice Requires="x14">
            <control shapeId="4102" r:id="rId7" name="Button 6">
              <controlPr defaultSize="0" print="0" autoFill="0" autoPict="0" macro="[0]!NotSelected">
                <anchor moveWithCells="1" sizeWithCells="1">
                  <from>
                    <xdr:col>23</xdr:col>
                    <xdr:colOff>457200</xdr:colOff>
                    <xdr:row>28</xdr:row>
                    <xdr:rowOff>104775</xdr:rowOff>
                  </from>
                  <to>
                    <xdr:col>26</xdr:col>
                    <xdr:colOff>171450</xdr:colOff>
                    <xdr:row>29</xdr:row>
                    <xdr:rowOff>180975</xdr:rowOff>
                  </to>
                </anchor>
              </controlPr>
            </control>
          </mc:Choice>
        </mc:AlternateContent>
        <mc:AlternateContent xmlns:mc="http://schemas.openxmlformats.org/markup-compatibility/2006">
          <mc:Choice Requires="x14">
            <control shapeId="4103" r:id="rId8" name="Button 7">
              <controlPr defaultSize="0" print="0" autoFill="0" autoPict="0" macro="[0]!OnlySelected">
                <anchor moveWithCells="1" sizeWithCells="1">
                  <from>
                    <xdr:col>23</xdr:col>
                    <xdr:colOff>457200</xdr:colOff>
                    <xdr:row>26</xdr:row>
                    <xdr:rowOff>114300</xdr:rowOff>
                  </from>
                  <to>
                    <xdr:col>26</xdr:col>
                    <xdr:colOff>171450</xdr:colOff>
                    <xdr:row>28</xdr:row>
                    <xdr:rowOff>0</xdr:rowOff>
                  </to>
                </anchor>
              </controlPr>
            </control>
          </mc:Choice>
        </mc:AlternateContent>
        <mc:AlternateContent xmlns:mc="http://schemas.openxmlformats.org/markup-compatibility/2006">
          <mc:Choice Requires="x14">
            <control shapeId="4104" r:id="rId9" name="Button 8">
              <controlPr defaultSize="0" print="0" autoFill="0" autoPict="0" macro="[0]!Showonly">
                <anchor moveWithCells="1" sizeWithCells="1">
                  <from>
                    <xdr:col>28</xdr:col>
                    <xdr:colOff>28575</xdr:colOff>
                    <xdr:row>12</xdr:row>
                    <xdr:rowOff>152400</xdr:rowOff>
                  </from>
                  <to>
                    <xdr:col>28</xdr:col>
                    <xdr:colOff>600075</xdr:colOff>
                    <xdr:row>14</xdr:row>
                    <xdr:rowOff>19050</xdr:rowOff>
                  </to>
                </anchor>
              </controlPr>
            </control>
          </mc:Choice>
        </mc:AlternateContent>
        <mc:AlternateContent xmlns:mc="http://schemas.openxmlformats.org/markup-compatibility/2006">
          <mc:Choice Requires="x14">
            <control shapeId="4105" r:id="rId10" name="Button 9">
              <controlPr defaultSize="0" print="0" autoFill="0" autoPict="0" macro="[0]!Showonlyrange">
                <anchor moveWithCells="1" sizeWithCells="1">
                  <from>
                    <xdr:col>28</xdr:col>
                    <xdr:colOff>28575</xdr:colOff>
                    <xdr:row>14</xdr:row>
                    <xdr:rowOff>180975</xdr:rowOff>
                  </from>
                  <to>
                    <xdr:col>28</xdr:col>
                    <xdr:colOff>600075</xdr:colOff>
                    <xdr:row>17</xdr:row>
                    <xdr:rowOff>9525</xdr:rowOff>
                  </to>
                </anchor>
              </controlPr>
            </control>
          </mc:Choice>
        </mc:AlternateContent>
        <mc:AlternateContent xmlns:mc="http://schemas.openxmlformats.org/markup-compatibility/2006">
          <mc:Choice Requires="x14">
            <control shapeId="4106" r:id="rId11" name="Button 10">
              <controlPr defaultSize="0" print="0" autoFill="0" autoPict="0" macro="[0]!NotShow">
                <anchor moveWithCells="1" sizeWithCells="1">
                  <from>
                    <xdr:col>28</xdr:col>
                    <xdr:colOff>28575</xdr:colOff>
                    <xdr:row>18</xdr:row>
                    <xdr:rowOff>152400</xdr:rowOff>
                  </from>
                  <to>
                    <xdr:col>28</xdr:col>
                    <xdr:colOff>600075</xdr:colOff>
                    <xdr:row>20</xdr:row>
                    <xdr:rowOff>28575</xdr:rowOff>
                  </to>
                </anchor>
              </controlPr>
            </control>
          </mc:Choice>
        </mc:AlternateContent>
        <mc:AlternateContent xmlns:mc="http://schemas.openxmlformats.org/markup-compatibility/2006">
          <mc:Choice Requires="x14">
            <control shapeId="4107" r:id="rId12" name="Button 11">
              <controlPr defaultSize="0" print="0" autoFill="0" autoPict="0" macro="[0]!NotShowRange">
                <anchor moveWithCells="1" sizeWithCells="1">
                  <from>
                    <xdr:col>28</xdr:col>
                    <xdr:colOff>28575</xdr:colOff>
                    <xdr:row>20</xdr:row>
                    <xdr:rowOff>180975</xdr:rowOff>
                  </from>
                  <to>
                    <xdr:col>28</xdr:col>
                    <xdr:colOff>600075</xdr:colOff>
                    <xdr:row>23</xdr:row>
                    <xdr:rowOff>9525</xdr:rowOff>
                  </to>
                </anchor>
              </controlPr>
            </control>
          </mc:Choice>
        </mc:AlternateContent>
        <mc:AlternateContent xmlns:mc="http://schemas.openxmlformats.org/markup-compatibility/2006">
          <mc:Choice Requires="x14">
            <control shapeId="4110" r:id="rId13" name="Button 14">
              <controlPr defaultSize="0" print="0" autoFill="0" autoPict="0" macro="[0]!AddOverlay">
                <anchor moveWithCells="1" sizeWithCells="1">
                  <from>
                    <xdr:col>28</xdr:col>
                    <xdr:colOff>28575</xdr:colOff>
                    <xdr:row>0</xdr:row>
                    <xdr:rowOff>161925</xdr:rowOff>
                  </from>
                  <to>
                    <xdr:col>28</xdr:col>
                    <xdr:colOff>600075</xdr:colOff>
                    <xdr:row>2</xdr:row>
                    <xdr:rowOff>28575</xdr:rowOff>
                  </to>
                </anchor>
              </controlPr>
            </control>
          </mc:Choice>
        </mc:AlternateContent>
        <mc:AlternateContent xmlns:mc="http://schemas.openxmlformats.org/markup-compatibility/2006">
          <mc:Choice Requires="x14">
            <control shapeId="4111" r:id="rId14" name="Button 15">
              <controlPr defaultSize="0" print="0" autoFill="0" autoPict="0" macro="[0]!AddOverlayRange">
                <anchor moveWithCells="1" sizeWithCells="1">
                  <from>
                    <xdr:col>28</xdr:col>
                    <xdr:colOff>28575</xdr:colOff>
                    <xdr:row>3</xdr:row>
                    <xdr:rowOff>0</xdr:rowOff>
                  </from>
                  <to>
                    <xdr:col>28</xdr:col>
                    <xdr:colOff>600075</xdr:colOff>
                    <xdr:row>5</xdr:row>
                    <xdr:rowOff>0</xdr:rowOff>
                  </to>
                </anchor>
              </controlPr>
            </control>
          </mc:Choice>
        </mc:AlternateContent>
        <mc:AlternateContent xmlns:mc="http://schemas.openxmlformats.org/markup-compatibility/2006">
          <mc:Choice Requires="x14">
            <control shapeId="4112" r:id="rId15" name="Button 16">
              <controlPr defaultSize="0" print="0" autoFill="0" autoPict="0" macro="[0]!RemoveOverlay">
                <anchor moveWithCells="1" sizeWithCells="1">
                  <from>
                    <xdr:col>28</xdr:col>
                    <xdr:colOff>28575</xdr:colOff>
                    <xdr:row>6</xdr:row>
                    <xdr:rowOff>152400</xdr:rowOff>
                  </from>
                  <to>
                    <xdr:col>28</xdr:col>
                    <xdr:colOff>600075</xdr:colOff>
                    <xdr:row>8</xdr:row>
                    <xdr:rowOff>28575</xdr:rowOff>
                  </to>
                </anchor>
              </controlPr>
            </control>
          </mc:Choice>
        </mc:AlternateContent>
        <mc:AlternateContent xmlns:mc="http://schemas.openxmlformats.org/markup-compatibility/2006">
          <mc:Choice Requires="x14">
            <control shapeId="4113" r:id="rId16" name="Button 17">
              <controlPr defaultSize="0" print="0" autoFill="0" autoPict="0" macro="[0]!RemoveOverlayRange">
                <anchor moveWithCells="1" sizeWithCells="1">
                  <from>
                    <xdr:col>28</xdr:col>
                    <xdr:colOff>28575</xdr:colOff>
                    <xdr:row>8</xdr:row>
                    <xdr:rowOff>180975</xdr:rowOff>
                  </from>
                  <to>
                    <xdr:col>28</xdr:col>
                    <xdr:colOff>600075</xdr:colOff>
                    <xdr:row>11</xdr:row>
                    <xdr:rowOff>9525</xdr:rowOff>
                  </to>
                </anchor>
              </controlPr>
            </control>
          </mc:Choice>
        </mc:AlternateContent>
        <mc:AlternateContent xmlns:mc="http://schemas.openxmlformats.org/markup-compatibility/2006">
          <mc:Choice Requires="x14">
            <control shapeId="4114" r:id="rId17" name="Button 18">
              <controlPr defaultSize="0" print="0" autoFill="0" autoPict="0" macro="[0]!RemoveSelected">
                <anchor moveWithCells="1" sizeWithCells="1">
                  <from>
                    <xdr:col>23</xdr:col>
                    <xdr:colOff>457200</xdr:colOff>
                    <xdr:row>24</xdr:row>
                    <xdr:rowOff>114300</xdr:rowOff>
                  </from>
                  <to>
                    <xdr:col>26</xdr:col>
                    <xdr:colOff>171450</xdr:colOff>
                    <xdr:row>26</xdr:row>
                    <xdr:rowOff>0</xdr:rowOff>
                  </to>
                </anchor>
              </controlPr>
            </control>
          </mc:Choice>
        </mc:AlternateContent>
        <mc:AlternateContent xmlns:mc="http://schemas.openxmlformats.org/markup-compatibility/2006">
          <mc:Choice Requires="x14">
            <control shapeId="4115" r:id="rId18" name="Button 19">
              <controlPr defaultSize="0" print="0" autoFill="0" autoPict="0" macro="[0]!ShowPolar">
                <anchor moveWithCells="1" sizeWithCells="1">
                  <from>
                    <xdr:col>28</xdr:col>
                    <xdr:colOff>28575</xdr:colOff>
                    <xdr:row>25</xdr:row>
                    <xdr:rowOff>0</xdr:rowOff>
                  </from>
                  <to>
                    <xdr:col>28</xdr:col>
                    <xdr:colOff>600075</xdr:colOff>
                    <xdr:row>26</xdr:row>
                    <xdr:rowOff>9525</xdr:rowOff>
                  </to>
                </anchor>
              </controlPr>
            </control>
          </mc:Choice>
        </mc:AlternateContent>
        <mc:AlternateContent xmlns:mc="http://schemas.openxmlformats.org/markup-compatibility/2006">
          <mc:Choice Requires="x14">
            <control shapeId="4116" r:id="rId19" name="Button 20">
              <controlPr defaultSize="0" print="0" autoFill="0" autoPict="0" macro="[0]!ShowNonpolar">
                <anchor moveWithCells="1" sizeWithCells="1">
                  <from>
                    <xdr:col>28</xdr:col>
                    <xdr:colOff>38100</xdr:colOff>
                    <xdr:row>28</xdr:row>
                    <xdr:rowOff>0</xdr:rowOff>
                  </from>
                  <to>
                    <xdr:col>29</xdr:col>
                    <xdr:colOff>0</xdr:colOff>
                    <xdr:row>29</xdr:row>
                    <xdr:rowOff>0</xdr:rowOff>
                  </to>
                </anchor>
              </controlPr>
            </control>
          </mc:Choice>
        </mc:AlternateContent>
        <mc:AlternateContent xmlns:mc="http://schemas.openxmlformats.org/markup-compatibility/2006">
          <mc:Choice Requires="x14">
            <control shapeId="4117" r:id="rId20" name="Button 21">
              <controlPr defaultSize="0" print="0" autoFill="0" autoPict="0" macro="[0]!ShowIntermediate">
                <anchor moveWithCells="1" sizeWithCells="1">
                  <from>
                    <xdr:col>28</xdr:col>
                    <xdr:colOff>28575</xdr:colOff>
                    <xdr:row>26</xdr:row>
                    <xdr:rowOff>95250</xdr:rowOff>
                  </from>
                  <to>
                    <xdr:col>28</xdr:col>
                    <xdr:colOff>600075</xdr:colOff>
                    <xdr:row>27</xdr:row>
                    <xdr:rowOff>95250</xdr:rowOff>
                  </to>
                </anchor>
              </controlPr>
            </control>
          </mc:Choice>
        </mc:AlternateContent>
        <mc:AlternateContent xmlns:mc="http://schemas.openxmlformats.org/markup-compatibility/2006">
          <mc:Choice Requires="x14">
            <control shapeId="4118" r:id="rId21" name="Button 22">
              <controlPr defaultSize="0" print="0" autoFill="0" autoPict="0" macro="[0]!ShowAcidic">
                <anchor moveWithCells="1" sizeWithCells="1">
                  <from>
                    <xdr:col>28</xdr:col>
                    <xdr:colOff>28575</xdr:colOff>
                    <xdr:row>30</xdr:row>
                    <xdr:rowOff>180975</xdr:rowOff>
                  </from>
                  <to>
                    <xdr:col>28</xdr:col>
                    <xdr:colOff>600075</xdr:colOff>
                    <xdr:row>32</xdr:row>
                    <xdr:rowOff>0</xdr:rowOff>
                  </to>
                </anchor>
              </controlPr>
            </control>
          </mc:Choice>
        </mc:AlternateContent>
        <mc:AlternateContent xmlns:mc="http://schemas.openxmlformats.org/markup-compatibility/2006">
          <mc:Choice Requires="x14">
            <control shapeId="4119" r:id="rId22" name="Button 23">
              <controlPr defaultSize="0" print="0" autoFill="0" autoPict="0" macro="[0]!ShowBasic">
                <anchor moveWithCells="1" sizeWithCells="1">
                  <from>
                    <xdr:col>28</xdr:col>
                    <xdr:colOff>28575</xdr:colOff>
                    <xdr:row>34</xdr:row>
                    <xdr:rowOff>0</xdr:rowOff>
                  </from>
                  <to>
                    <xdr:col>28</xdr:col>
                    <xdr:colOff>600075</xdr:colOff>
                    <xdr:row>35</xdr:row>
                    <xdr:rowOff>0</xdr:rowOff>
                  </to>
                </anchor>
              </controlPr>
            </control>
          </mc:Choice>
        </mc:AlternateContent>
        <mc:AlternateContent xmlns:mc="http://schemas.openxmlformats.org/markup-compatibility/2006">
          <mc:Choice Requires="x14">
            <control shapeId="4120" r:id="rId23" name="Button 24">
              <controlPr defaultSize="0" print="0" autoFill="0" autoPict="0" macro="[0]!ShowNeutral">
                <anchor moveWithCells="1" sizeWithCells="1">
                  <from>
                    <xdr:col>28</xdr:col>
                    <xdr:colOff>28575</xdr:colOff>
                    <xdr:row>32</xdr:row>
                    <xdr:rowOff>85725</xdr:rowOff>
                  </from>
                  <to>
                    <xdr:col>28</xdr:col>
                    <xdr:colOff>600075</xdr:colOff>
                    <xdr:row>33</xdr:row>
                    <xdr:rowOff>104775</xdr:rowOff>
                  </to>
                </anchor>
              </controlPr>
            </control>
          </mc:Choice>
        </mc:AlternateContent>
        <mc:AlternateContent xmlns:mc="http://schemas.openxmlformats.org/markup-compatibility/2006">
          <mc:Choice Requires="x14">
            <control shapeId="4124" r:id="rId24" name="Button 28">
              <controlPr defaultSize="0" print="0" autoFill="0" autoPict="0" macro="[0]!ShowPreviousTrace">
                <anchor moveWithCells="1" sizeWithCells="1">
                  <from>
                    <xdr:col>25</xdr:col>
                    <xdr:colOff>0</xdr:colOff>
                    <xdr:row>7</xdr:row>
                    <xdr:rowOff>9525</xdr:rowOff>
                  </from>
                  <to>
                    <xdr:col>26</xdr:col>
                    <xdr:colOff>9525</xdr:colOff>
                    <xdr:row>9</xdr:row>
                    <xdr:rowOff>0</xdr:rowOff>
                  </to>
                </anchor>
              </controlPr>
            </control>
          </mc:Choice>
        </mc:AlternateContent>
        <mc:AlternateContent xmlns:mc="http://schemas.openxmlformats.org/markup-compatibility/2006">
          <mc:Choice Requires="x14">
            <control shapeId="4125" r:id="rId25" name="Button 29">
              <controlPr defaultSize="0" print="0" autoFill="0" autoPict="0" macro="[0]!ShowNextTrace">
                <anchor moveWithCells="1" sizeWithCells="1">
                  <from>
                    <xdr:col>24</xdr:col>
                    <xdr:colOff>0</xdr:colOff>
                    <xdr:row>13</xdr:row>
                    <xdr:rowOff>0</xdr:rowOff>
                  </from>
                  <to>
                    <xdr:col>26</xdr:col>
                    <xdr:colOff>0</xdr:colOff>
                    <xdr:row>15</xdr:row>
                    <xdr:rowOff>0</xdr:rowOff>
                  </to>
                </anchor>
              </controlPr>
            </control>
          </mc:Choice>
        </mc:AlternateContent>
        <mc:AlternateContent xmlns:mc="http://schemas.openxmlformats.org/markup-compatibility/2006">
          <mc:Choice Requires="x14">
            <control shapeId="4127" r:id="rId26" name="Button 31">
              <controlPr defaultSize="0" print="0" autoFill="0" autoPict="0" macro="[0]!KeepTrace">
                <anchor moveWithCells="1" sizeWithCells="1">
                  <from>
                    <xdr:col>24</xdr:col>
                    <xdr:colOff>0</xdr:colOff>
                    <xdr:row>15</xdr:row>
                    <xdr:rowOff>180975</xdr:rowOff>
                  </from>
                  <to>
                    <xdr:col>26</xdr:col>
                    <xdr:colOff>0</xdr:colOff>
                    <xdr:row>17</xdr:row>
                    <xdr:rowOff>190500</xdr:rowOff>
                  </to>
                </anchor>
              </controlPr>
            </control>
          </mc:Choice>
        </mc:AlternateContent>
        <mc:AlternateContent xmlns:mc="http://schemas.openxmlformats.org/markup-compatibility/2006">
          <mc:Choice Requires="x14">
            <control shapeId="4130" r:id="rId27" name="Check Box 34">
              <controlPr defaultSize="0" autoFill="0" autoLine="0" autoPict="0">
                <anchor moveWithCells="1">
                  <from>
                    <xdr:col>25</xdr:col>
                    <xdr:colOff>152400</xdr:colOff>
                    <xdr:row>5</xdr:row>
                    <xdr:rowOff>66675</xdr:rowOff>
                  </from>
                  <to>
                    <xdr:col>25</xdr:col>
                    <xdr:colOff>1104900</xdr:colOff>
                    <xdr:row>6</xdr:row>
                    <xdr:rowOff>114300</xdr:rowOff>
                  </to>
                </anchor>
              </controlPr>
            </control>
          </mc:Choice>
        </mc:AlternateContent>
        <mc:AlternateContent xmlns:mc="http://schemas.openxmlformats.org/markup-compatibility/2006">
          <mc:Choice Requires="x14">
            <control shapeId="4131" r:id="rId28" name="Button 35">
              <controlPr defaultSize="0" print="0" autoFill="0" autoPict="0" macro="[0]!LabelAndCopy">
                <anchor moveWithCells="1" sizeWithCells="1">
                  <from>
                    <xdr:col>23</xdr:col>
                    <xdr:colOff>590550</xdr:colOff>
                    <xdr:row>19</xdr:row>
                    <xdr:rowOff>95250</xdr:rowOff>
                  </from>
                  <to>
                    <xdr:col>26</xdr:col>
                    <xdr:colOff>0</xdr:colOff>
                    <xdr:row>22</xdr:row>
                    <xdr:rowOff>104775</xdr:rowOff>
                  </to>
                </anchor>
              </controlPr>
            </control>
          </mc:Choice>
        </mc:AlternateContent>
        <mc:AlternateContent xmlns:mc="http://schemas.openxmlformats.org/markup-compatibility/2006">
          <mc:Choice Requires="x14">
            <control shapeId="4132" r:id="rId29" name="Check Box 36">
              <controlPr defaultSize="0" autoFill="0" autoLine="0" autoPict="0">
                <anchor moveWithCells="1">
                  <from>
                    <xdr:col>21</xdr:col>
                    <xdr:colOff>9525</xdr:colOff>
                    <xdr:row>1</xdr:row>
                    <xdr:rowOff>9525</xdr:rowOff>
                  </from>
                  <to>
                    <xdr:col>21</xdr:col>
                    <xdr:colOff>600075</xdr:colOff>
                    <xdr:row>1</xdr:row>
                    <xdr:rowOff>190500</xdr:rowOff>
                  </to>
                </anchor>
              </controlPr>
            </control>
          </mc:Choice>
        </mc:AlternateContent>
        <mc:AlternateContent xmlns:mc="http://schemas.openxmlformats.org/markup-compatibility/2006">
          <mc:Choice Requires="x14">
            <control shapeId="4133" r:id="rId30" name="Check Box 37">
              <controlPr defaultSize="0" autoFill="0" autoLine="0" autoPict="0">
                <anchor moveWithCells="1">
                  <from>
                    <xdr:col>22</xdr:col>
                    <xdr:colOff>9525</xdr:colOff>
                    <xdr:row>1</xdr:row>
                    <xdr:rowOff>0</xdr:rowOff>
                  </from>
                  <to>
                    <xdr:col>22</xdr:col>
                    <xdr:colOff>600075</xdr:colOff>
                    <xdr:row>2</xdr:row>
                    <xdr:rowOff>0</xdr:rowOff>
                  </to>
                </anchor>
              </controlPr>
            </control>
          </mc:Choice>
        </mc:AlternateContent>
        <mc:AlternateContent xmlns:mc="http://schemas.openxmlformats.org/markup-compatibility/2006">
          <mc:Choice Requires="x14">
            <control shapeId="4134" r:id="rId31" name="Button 38">
              <controlPr defaultSize="0" print="0" autoFill="0" autoPict="0" macro="[0]!Chromatogram_Inset_DAD_A_Small">
                <anchor moveWithCells="1" sizeWithCells="1">
                  <from>
                    <xdr:col>21</xdr:col>
                    <xdr:colOff>9525</xdr:colOff>
                    <xdr:row>3</xdr:row>
                    <xdr:rowOff>0</xdr:rowOff>
                  </from>
                  <to>
                    <xdr:col>21</xdr:col>
                    <xdr:colOff>295275</xdr:colOff>
                    <xdr:row>4</xdr:row>
                    <xdr:rowOff>0</xdr:rowOff>
                  </to>
                </anchor>
              </controlPr>
            </control>
          </mc:Choice>
        </mc:AlternateContent>
        <mc:AlternateContent xmlns:mc="http://schemas.openxmlformats.org/markup-compatibility/2006">
          <mc:Choice Requires="x14">
            <control shapeId="4135" r:id="rId32" name="Button 39">
              <controlPr defaultSize="0" print="0" autoFill="0" autoPict="0" macro="[0]!Chromatogram_Inset_DAD_A_Big">
                <anchor moveWithCells="1" sizeWithCells="1">
                  <from>
                    <xdr:col>21</xdr:col>
                    <xdr:colOff>314325</xdr:colOff>
                    <xdr:row>2</xdr:row>
                    <xdr:rowOff>180975</xdr:rowOff>
                  </from>
                  <to>
                    <xdr:col>21</xdr:col>
                    <xdr:colOff>600075</xdr:colOff>
                    <xdr:row>3</xdr:row>
                    <xdr:rowOff>190500</xdr:rowOff>
                  </to>
                </anchor>
              </controlPr>
            </control>
          </mc:Choice>
        </mc:AlternateContent>
        <mc:AlternateContent xmlns:mc="http://schemas.openxmlformats.org/markup-compatibility/2006">
          <mc:Choice Requires="x14">
            <control shapeId="4136" r:id="rId33" name="Button 40">
              <controlPr defaultSize="0" print="0" autoFill="0" autoPict="0" macro="[0]!Chromatogram_Inset_DAD_B_Small">
                <anchor moveWithCells="1" sizeWithCells="1">
                  <from>
                    <xdr:col>22</xdr:col>
                    <xdr:colOff>9525</xdr:colOff>
                    <xdr:row>3</xdr:row>
                    <xdr:rowOff>0</xdr:rowOff>
                  </from>
                  <to>
                    <xdr:col>22</xdr:col>
                    <xdr:colOff>295275</xdr:colOff>
                    <xdr:row>4</xdr:row>
                    <xdr:rowOff>0</xdr:rowOff>
                  </to>
                </anchor>
              </controlPr>
            </control>
          </mc:Choice>
        </mc:AlternateContent>
        <mc:AlternateContent xmlns:mc="http://schemas.openxmlformats.org/markup-compatibility/2006">
          <mc:Choice Requires="x14">
            <control shapeId="4137" r:id="rId34" name="Button 41">
              <controlPr defaultSize="0" print="0" autoFill="0" autoPict="0" macro="[0]!Chromatogram_Inset_DAD_B_Big">
                <anchor moveWithCells="1" sizeWithCells="1">
                  <from>
                    <xdr:col>22</xdr:col>
                    <xdr:colOff>314325</xdr:colOff>
                    <xdr:row>2</xdr:row>
                    <xdr:rowOff>180975</xdr:rowOff>
                  </from>
                  <to>
                    <xdr:col>22</xdr:col>
                    <xdr:colOff>600075</xdr:colOff>
                    <xdr:row>3</xdr:row>
                    <xdr:rowOff>190500</xdr:rowOff>
                  </to>
                </anchor>
              </controlPr>
            </control>
          </mc:Choice>
        </mc:AlternateContent>
        <mc:AlternateContent xmlns:mc="http://schemas.openxmlformats.org/markup-compatibility/2006">
          <mc:Choice Requires="x14">
            <control shapeId="4138" r:id="rId35" name="Button 42">
              <controlPr defaultSize="0" print="0" autoFill="0" autoPict="0" macro="[0]!Chromatogram_Inset_DAD_A_Down">
                <anchor moveWithCells="1" sizeWithCells="1">
                  <from>
                    <xdr:col>21</xdr:col>
                    <xdr:colOff>9525</xdr:colOff>
                    <xdr:row>4</xdr:row>
                    <xdr:rowOff>0</xdr:rowOff>
                  </from>
                  <to>
                    <xdr:col>21</xdr:col>
                    <xdr:colOff>295275</xdr:colOff>
                    <xdr:row>4</xdr:row>
                    <xdr:rowOff>209550</xdr:rowOff>
                  </to>
                </anchor>
              </controlPr>
            </control>
          </mc:Choice>
        </mc:AlternateContent>
        <mc:AlternateContent xmlns:mc="http://schemas.openxmlformats.org/markup-compatibility/2006">
          <mc:Choice Requires="x14">
            <control shapeId="4139" r:id="rId36" name="Button 43">
              <controlPr defaultSize="0" print="0" autoFill="0" autoPict="0" macro="[0]!Chromatogram_Inset_DAD_A_Up">
                <anchor moveWithCells="1" sizeWithCells="1">
                  <from>
                    <xdr:col>21</xdr:col>
                    <xdr:colOff>314325</xdr:colOff>
                    <xdr:row>4</xdr:row>
                    <xdr:rowOff>0</xdr:rowOff>
                  </from>
                  <to>
                    <xdr:col>21</xdr:col>
                    <xdr:colOff>600075</xdr:colOff>
                    <xdr:row>4</xdr:row>
                    <xdr:rowOff>209550</xdr:rowOff>
                  </to>
                </anchor>
              </controlPr>
            </control>
          </mc:Choice>
        </mc:AlternateContent>
        <mc:AlternateContent xmlns:mc="http://schemas.openxmlformats.org/markup-compatibility/2006">
          <mc:Choice Requires="x14">
            <control shapeId="4140" r:id="rId37" name="Button 44">
              <controlPr defaultSize="0" print="0" autoFill="0" autoPict="0" macro="[0]!Chromatogram_Inset_DAD_B_Down">
                <anchor moveWithCells="1" sizeWithCells="1">
                  <from>
                    <xdr:col>22</xdr:col>
                    <xdr:colOff>9525</xdr:colOff>
                    <xdr:row>4</xdr:row>
                    <xdr:rowOff>0</xdr:rowOff>
                  </from>
                  <to>
                    <xdr:col>22</xdr:col>
                    <xdr:colOff>295275</xdr:colOff>
                    <xdr:row>4</xdr:row>
                    <xdr:rowOff>200025</xdr:rowOff>
                  </to>
                </anchor>
              </controlPr>
            </control>
          </mc:Choice>
        </mc:AlternateContent>
        <mc:AlternateContent xmlns:mc="http://schemas.openxmlformats.org/markup-compatibility/2006">
          <mc:Choice Requires="x14">
            <control shapeId="4141" r:id="rId38" name="Button 45">
              <controlPr defaultSize="0" print="0" autoFill="0" autoPict="0" macro="[0]!Chromatogram_Inset_DAD_B_Up">
                <anchor moveWithCells="1" sizeWithCells="1">
                  <from>
                    <xdr:col>22</xdr:col>
                    <xdr:colOff>314325</xdr:colOff>
                    <xdr:row>4</xdr:row>
                    <xdr:rowOff>0</xdr:rowOff>
                  </from>
                  <to>
                    <xdr:col>22</xdr:col>
                    <xdr:colOff>600075</xdr:colOff>
                    <xdr:row>4</xdr:row>
                    <xdr:rowOff>200025</xdr:rowOff>
                  </to>
                </anchor>
              </controlPr>
            </control>
          </mc:Choice>
        </mc:AlternateContent>
        <mc:AlternateContent xmlns:mc="http://schemas.openxmlformats.org/markup-compatibility/2006">
          <mc:Choice Requires="x14">
            <control shapeId="4142" r:id="rId39" name="Button 46">
              <controlPr defaultSize="0" print="0" autoFill="0" autoPict="0" macro="[0]!Chromatogram_Inset_DAD_A_Reset">
                <anchor moveWithCells="1" sizeWithCells="1">
                  <from>
                    <xdr:col>21</xdr:col>
                    <xdr:colOff>9525</xdr:colOff>
                    <xdr:row>5</xdr:row>
                    <xdr:rowOff>0</xdr:rowOff>
                  </from>
                  <to>
                    <xdr:col>21</xdr:col>
                    <xdr:colOff>600075</xdr:colOff>
                    <xdr:row>6</xdr:row>
                    <xdr:rowOff>9525</xdr:rowOff>
                  </to>
                </anchor>
              </controlPr>
            </control>
          </mc:Choice>
        </mc:AlternateContent>
        <mc:AlternateContent xmlns:mc="http://schemas.openxmlformats.org/markup-compatibility/2006">
          <mc:Choice Requires="x14">
            <control shapeId="4143" r:id="rId40" name="Button 47">
              <controlPr defaultSize="0" print="0" autoFill="0" autoPict="0" macro="[0]!Chromatogram_Inset_DAD_B_Reset">
                <anchor moveWithCells="1" sizeWithCells="1">
                  <from>
                    <xdr:col>22</xdr:col>
                    <xdr:colOff>9525</xdr:colOff>
                    <xdr:row>5</xdr:row>
                    <xdr:rowOff>0</xdr:rowOff>
                  </from>
                  <to>
                    <xdr:col>22</xdr:col>
                    <xdr:colOff>609600</xdr:colOff>
                    <xdr:row>6</xdr:row>
                    <xdr:rowOff>9525</xdr:rowOff>
                  </to>
                </anchor>
              </controlPr>
            </control>
          </mc:Choice>
        </mc:AlternateContent>
        <mc:AlternateContent xmlns:mc="http://schemas.openxmlformats.org/markup-compatibility/2006">
          <mc:Choice Requires="x14">
            <control shapeId="4144" r:id="rId41" name="Button 48">
              <controlPr defaultSize="0" print="0" autoFill="0" autoPict="0" macro="[0]!Chromatogram_Inset_Click">
                <anchor moveWithCells="1" sizeWithCells="1">
                  <from>
                    <xdr:col>21</xdr:col>
                    <xdr:colOff>9525</xdr:colOff>
                    <xdr:row>2</xdr:row>
                    <xdr:rowOff>9525</xdr:rowOff>
                  </from>
                  <to>
                    <xdr:col>22</xdr:col>
                    <xdr:colOff>600075</xdr:colOff>
                    <xdr:row>3</xdr:row>
                    <xdr:rowOff>0</xdr:rowOff>
                  </to>
                </anchor>
              </controlPr>
            </control>
          </mc:Choice>
        </mc:AlternateContent>
        <mc:AlternateContent xmlns:mc="http://schemas.openxmlformats.org/markup-compatibility/2006">
          <mc:Choice Requires="x14">
            <control shapeId="4145" r:id="rId42" name="Button 49">
              <controlPr defaultSize="0" print="0" autoFill="0" autoPict="0" macro="[0]!ShowSelectedClass">
                <anchor moveWithCells="1" sizeWithCells="1">
                  <from>
                    <xdr:col>23</xdr:col>
                    <xdr:colOff>457200</xdr:colOff>
                    <xdr:row>1</xdr:row>
                    <xdr:rowOff>171450</xdr:rowOff>
                  </from>
                  <to>
                    <xdr:col>26</xdr:col>
                    <xdr:colOff>161925</xdr:colOff>
                    <xdr:row>3</xdr:row>
                    <xdr:rowOff>57150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xr:uid="{00000000-0002-0000-0300-000000000000}">
          <x14:formula1>
            <xm:f>Summary!$K$2:$K$29</xm:f>
          </x14:formula1>
          <xm:sqref>Z5</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dimension ref="Z1:AB27"/>
  <sheetViews>
    <sheetView zoomScaleNormal="100" workbookViewId="0">
      <pane ySplit="10" topLeftCell="A11" activePane="bottomLeft" state="frozen"/>
      <selection pane="bottomLeft" activeCell="AA21" sqref="AA21"/>
    </sheetView>
  </sheetViews>
  <sheetFormatPr defaultColWidth="9.140625" defaultRowHeight="15" x14ac:dyDescent="0.25"/>
  <cols>
    <col min="1" max="16384" width="9.140625" style="24"/>
  </cols>
  <sheetData>
    <row r="1" spans="26:28" ht="15.75" thickBot="1" x14ac:dyDescent="0.3">
      <c r="Z1" s="42" t="s">
        <v>30</v>
      </c>
      <c r="AB1" s="42" t="s">
        <v>19</v>
      </c>
    </row>
    <row r="2" spans="26:28" ht="15.75" thickBot="1" x14ac:dyDescent="0.3">
      <c r="Z2" s="25">
        <v>1.5</v>
      </c>
      <c r="AB2" s="25">
        <v>5</v>
      </c>
    </row>
    <row r="3" spans="26:28" ht="15.75" thickBot="1" x14ac:dyDescent="0.3"/>
    <row r="4" spans="26:28" ht="15.75" thickBot="1" x14ac:dyDescent="0.3">
      <c r="AA4" s="43"/>
    </row>
    <row r="5" spans="26:28" ht="15.75" thickBot="1" x14ac:dyDescent="0.3"/>
    <row r="6" spans="26:28" ht="15.75" thickBot="1" x14ac:dyDescent="0.3">
      <c r="AA6" s="44"/>
    </row>
    <row r="8" spans="26:28" x14ac:dyDescent="0.25">
      <c r="AA8" s="23"/>
    </row>
    <row r="9" spans="26:28" x14ac:dyDescent="0.25">
      <c r="AA9" s="23"/>
    </row>
    <row r="10" spans="26:28" x14ac:dyDescent="0.25">
      <c r="AA10" s="23"/>
    </row>
    <row r="11" spans="26:28" ht="15.75" thickBot="1" x14ac:dyDescent="0.3"/>
    <row r="12" spans="26:28" ht="15.75" thickBot="1" x14ac:dyDescent="0.3">
      <c r="Z12" s="25">
        <v>100</v>
      </c>
    </row>
    <row r="14" spans="26:28" ht="15.75" thickBot="1" x14ac:dyDescent="0.3">
      <c r="Z14" s="45"/>
    </row>
    <row r="15" spans="26:28" ht="15.75" thickBot="1" x14ac:dyDescent="0.3">
      <c r="Z15" s="25">
        <v>0.5</v>
      </c>
      <c r="AA15" s="25">
        <v>10</v>
      </c>
    </row>
    <row r="17" spans="26:28" ht="15.75" thickBot="1" x14ac:dyDescent="0.3"/>
    <row r="18" spans="26:28" ht="15.75" thickBot="1" x14ac:dyDescent="0.3">
      <c r="Z18" s="111" t="s">
        <v>42</v>
      </c>
      <c r="AA18" s="112"/>
      <c r="AB18" s="46"/>
    </row>
    <row r="20" spans="26:28" ht="15.75" thickBot="1" x14ac:dyDescent="0.3"/>
    <row r="21" spans="26:28" ht="15.75" thickBot="1" x14ac:dyDescent="0.3">
      <c r="AA21" s="25">
        <v>0</v>
      </c>
    </row>
    <row r="25" spans="26:28" x14ac:dyDescent="0.25">
      <c r="Z25" s="46"/>
      <c r="AA25" s="41"/>
    </row>
    <row r="27" spans="26:28" x14ac:dyDescent="0.25">
      <c r="Z27" s="47" t="s">
        <v>75</v>
      </c>
      <c r="AB27" s="47" t="s">
        <v>95</v>
      </c>
    </row>
  </sheetData>
  <mergeCells count="1">
    <mergeCell ref="Z18:AA18"/>
  </mergeCells>
  <pageMargins left="0.7" right="0.7" top="0.75" bottom="0.75" header="0.3" footer="0.3"/>
  <pageSetup paperSize="0" orientation="portrait" horizontalDpi="0" verticalDpi="0" copies="0"/>
  <drawing r:id="rId1"/>
  <legacyDrawing r:id="rId2"/>
  <mc:AlternateContent xmlns:mc="http://schemas.openxmlformats.org/markup-compatibility/2006">
    <mc:Choice Requires="x14">
      <controls>
        <mc:AlternateContent xmlns:mc="http://schemas.openxmlformats.org/markup-compatibility/2006">
          <mc:Choice Requires="x14">
            <control shapeId="12289" r:id="rId3" name="Check Box 1">
              <controlPr defaultSize="0" autoFill="0" autoLine="0" autoPict="0">
                <anchor moveWithCells="1">
                  <from>
                    <xdr:col>26</xdr:col>
                    <xdr:colOff>9525</xdr:colOff>
                    <xdr:row>3</xdr:row>
                    <xdr:rowOff>9525</xdr:rowOff>
                  </from>
                  <to>
                    <xdr:col>26</xdr:col>
                    <xdr:colOff>600075</xdr:colOff>
                    <xdr:row>3</xdr:row>
                    <xdr:rowOff>190500</xdr:rowOff>
                  </to>
                </anchor>
              </controlPr>
            </control>
          </mc:Choice>
        </mc:AlternateContent>
        <mc:AlternateContent xmlns:mc="http://schemas.openxmlformats.org/markup-compatibility/2006">
          <mc:Choice Requires="x14">
            <control shapeId="12290" r:id="rId4" name="Check Box 2">
              <controlPr defaultSize="0" autoFill="0" autoLine="0" autoPict="0">
                <anchor moveWithCells="1">
                  <from>
                    <xdr:col>26</xdr:col>
                    <xdr:colOff>9525</xdr:colOff>
                    <xdr:row>4</xdr:row>
                    <xdr:rowOff>180975</xdr:rowOff>
                  </from>
                  <to>
                    <xdr:col>26</xdr:col>
                    <xdr:colOff>600075</xdr:colOff>
                    <xdr:row>5</xdr:row>
                    <xdr:rowOff>180975</xdr:rowOff>
                  </to>
                </anchor>
              </controlPr>
            </control>
          </mc:Choice>
        </mc:AlternateContent>
        <mc:AlternateContent xmlns:mc="http://schemas.openxmlformats.org/markup-compatibility/2006">
          <mc:Choice Requires="x14">
            <control shapeId="12291" r:id="rId5" name="Check Box 3">
              <controlPr defaultSize="0" autoFill="0" autoLine="0" autoPict="0">
                <anchor moveWithCells="1">
                  <from>
                    <xdr:col>26</xdr:col>
                    <xdr:colOff>9525</xdr:colOff>
                    <xdr:row>7</xdr:row>
                    <xdr:rowOff>0</xdr:rowOff>
                  </from>
                  <to>
                    <xdr:col>26</xdr:col>
                    <xdr:colOff>600075</xdr:colOff>
                    <xdr:row>8</xdr:row>
                    <xdr:rowOff>0</xdr:rowOff>
                  </to>
                </anchor>
              </controlPr>
            </control>
          </mc:Choice>
        </mc:AlternateContent>
        <mc:AlternateContent xmlns:mc="http://schemas.openxmlformats.org/markup-compatibility/2006">
          <mc:Choice Requires="x14">
            <control shapeId="12292" r:id="rId6" name="Check Box 4">
              <controlPr defaultSize="0" autoFill="0" autoLine="0" autoPict="0">
                <anchor moveWithCells="1">
                  <from>
                    <xdr:col>26</xdr:col>
                    <xdr:colOff>9525</xdr:colOff>
                    <xdr:row>9</xdr:row>
                    <xdr:rowOff>0</xdr:rowOff>
                  </from>
                  <to>
                    <xdr:col>26</xdr:col>
                    <xdr:colOff>600075</xdr:colOff>
                    <xdr:row>10</xdr:row>
                    <xdr:rowOff>0</xdr:rowOff>
                  </to>
                </anchor>
              </controlPr>
            </control>
          </mc:Choice>
        </mc:AlternateContent>
        <mc:AlternateContent xmlns:mc="http://schemas.openxmlformats.org/markup-compatibility/2006">
          <mc:Choice Requires="x14">
            <control shapeId="12293" r:id="rId7" name="Button 5">
              <controlPr defaultSize="0" print="0" autoFill="0" autoPict="0" macro="[0]!Chromatograms_Click">
                <anchor moveWithCells="1" sizeWithCells="1">
                  <from>
                    <xdr:col>25</xdr:col>
                    <xdr:colOff>0</xdr:colOff>
                    <xdr:row>15</xdr:row>
                    <xdr:rowOff>19050</xdr:rowOff>
                  </from>
                  <to>
                    <xdr:col>27</xdr:col>
                    <xdr:colOff>0</xdr:colOff>
                    <xdr:row>16</xdr:row>
                    <xdr:rowOff>104775</xdr:rowOff>
                  </to>
                </anchor>
              </controlPr>
            </control>
          </mc:Choice>
        </mc:AlternateContent>
        <mc:AlternateContent xmlns:mc="http://schemas.openxmlformats.org/markup-compatibility/2006">
          <mc:Choice Requires="x14">
            <control shapeId="12294" r:id="rId8" name="Button 6">
              <controlPr defaultSize="0" print="0" autoFill="0" autoPict="0" macro="[0]!DAD_A_Small">
                <anchor moveWithCells="1" sizeWithCells="1">
                  <from>
                    <xdr:col>25</xdr:col>
                    <xdr:colOff>0</xdr:colOff>
                    <xdr:row>3</xdr:row>
                    <xdr:rowOff>0</xdr:rowOff>
                  </from>
                  <to>
                    <xdr:col>25</xdr:col>
                    <xdr:colOff>285750</xdr:colOff>
                    <xdr:row>4</xdr:row>
                    <xdr:rowOff>0</xdr:rowOff>
                  </to>
                </anchor>
              </controlPr>
            </control>
          </mc:Choice>
        </mc:AlternateContent>
        <mc:AlternateContent xmlns:mc="http://schemas.openxmlformats.org/markup-compatibility/2006">
          <mc:Choice Requires="x14">
            <control shapeId="12295" r:id="rId9" name="Button 7">
              <controlPr defaultSize="0" print="0" autoFill="0" autoPict="0" macro="[0]!DAD_A_Big">
                <anchor moveWithCells="1" sizeWithCells="1">
                  <from>
                    <xdr:col>25</xdr:col>
                    <xdr:colOff>323850</xdr:colOff>
                    <xdr:row>3</xdr:row>
                    <xdr:rowOff>0</xdr:rowOff>
                  </from>
                  <to>
                    <xdr:col>25</xdr:col>
                    <xdr:colOff>609600</xdr:colOff>
                    <xdr:row>4</xdr:row>
                    <xdr:rowOff>0</xdr:rowOff>
                  </to>
                </anchor>
              </controlPr>
            </control>
          </mc:Choice>
        </mc:AlternateContent>
        <mc:AlternateContent xmlns:mc="http://schemas.openxmlformats.org/markup-compatibility/2006">
          <mc:Choice Requires="x14">
            <control shapeId="12296" r:id="rId10" name="Button 8">
              <controlPr defaultSize="0" print="0" autoFill="0" autoPict="0" macro="[0]!DAD_B_Small">
                <anchor moveWithCells="1" sizeWithCells="1">
                  <from>
                    <xdr:col>24</xdr:col>
                    <xdr:colOff>609600</xdr:colOff>
                    <xdr:row>5</xdr:row>
                    <xdr:rowOff>0</xdr:rowOff>
                  </from>
                  <to>
                    <xdr:col>25</xdr:col>
                    <xdr:colOff>285750</xdr:colOff>
                    <xdr:row>6</xdr:row>
                    <xdr:rowOff>0</xdr:rowOff>
                  </to>
                </anchor>
              </controlPr>
            </control>
          </mc:Choice>
        </mc:AlternateContent>
        <mc:AlternateContent xmlns:mc="http://schemas.openxmlformats.org/markup-compatibility/2006">
          <mc:Choice Requires="x14">
            <control shapeId="12297" r:id="rId11" name="Button 9">
              <controlPr defaultSize="0" print="0" autoFill="0" autoPict="0" macro="[0]!DAD_B_Big">
                <anchor moveWithCells="1" sizeWithCells="1">
                  <from>
                    <xdr:col>25</xdr:col>
                    <xdr:colOff>323850</xdr:colOff>
                    <xdr:row>5</xdr:row>
                    <xdr:rowOff>0</xdr:rowOff>
                  </from>
                  <to>
                    <xdr:col>25</xdr:col>
                    <xdr:colOff>609600</xdr:colOff>
                    <xdr:row>6</xdr:row>
                    <xdr:rowOff>0</xdr:rowOff>
                  </to>
                </anchor>
              </controlPr>
            </control>
          </mc:Choice>
        </mc:AlternateContent>
        <mc:AlternateContent xmlns:mc="http://schemas.openxmlformats.org/markup-compatibility/2006">
          <mc:Choice Requires="x14">
            <control shapeId="12302" r:id="rId12" name="Button 14">
              <controlPr defaultSize="0" print="0" autoFill="0" autoPict="0" macro="[0]!DAD_A_Down">
                <anchor moveWithCells="1" sizeWithCells="1">
                  <from>
                    <xdr:col>27</xdr:col>
                    <xdr:colOff>9525</xdr:colOff>
                    <xdr:row>2</xdr:row>
                    <xdr:rowOff>190500</xdr:rowOff>
                  </from>
                  <to>
                    <xdr:col>27</xdr:col>
                    <xdr:colOff>295275</xdr:colOff>
                    <xdr:row>3</xdr:row>
                    <xdr:rowOff>190500</xdr:rowOff>
                  </to>
                </anchor>
              </controlPr>
            </control>
          </mc:Choice>
        </mc:AlternateContent>
        <mc:AlternateContent xmlns:mc="http://schemas.openxmlformats.org/markup-compatibility/2006">
          <mc:Choice Requires="x14">
            <control shapeId="12303" r:id="rId13" name="Button 15">
              <controlPr defaultSize="0" print="0" autoFill="0" autoPict="0" macro="[0]!DAD_A_Up">
                <anchor moveWithCells="1" sizeWithCells="1">
                  <from>
                    <xdr:col>27</xdr:col>
                    <xdr:colOff>323850</xdr:colOff>
                    <xdr:row>2</xdr:row>
                    <xdr:rowOff>190500</xdr:rowOff>
                  </from>
                  <to>
                    <xdr:col>28</xdr:col>
                    <xdr:colOff>0</xdr:colOff>
                    <xdr:row>3</xdr:row>
                    <xdr:rowOff>190500</xdr:rowOff>
                  </to>
                </anchor>
              </controlPr>
            </control>
          </mc:Choice>
        </mc:AlternateContent>
        <mc:AlternateContent xmlns:mc="http://schemas.openxmlformats.org/markup-compatibility/2006">
          <mc:Choice Requires="x14">
            <control shapeId="12304" r:id="rId14" name="Button 16">
              <controlPr defaultSize="0" print="0" autoFill="0" autoPict="0" macro="[0]!DAD_B_Down">
                <anchor moveWithCells="1" sizeWithCells="1">
                  <from>
                    <xdr:col>27</xdr:col>
                    <xdr:colOff>9525</xdr:colOff>
                    <xdr:row>4</xdr:row>
                    <xdr:rowOff>200025</xdr:rowOff>
                  </from>
                  <to>
                    <xdr:col>27</xdr:col>
                    <xdr:colOff>295275</xdr:colOff>
                    <xdr:row>5</xdr:row>
                    <xdr:rowOff>200025</xdr:rowOff>
                  </to>
                </anchor>
              </controlPr>
            </control>
          </mc:Choice>
        </mc:AlternateContent>
        <mc:AlternateContent xmlns:mc="http://schemas.openxmlformats.org/markup-compatibility/2006">
          <mc:Choice Requires="x14">
            <control shapeId="12305" r:id="rId15" name="Button 17">
              <controlPr defaultSize="0" print="0" autoFill="0" autoPict="0" macro="[0]!DAD_B_Up">
                <anchor moveWithCells="1" sizeWithCells="1">
                  <from>
                    <xdr:col>27</xdr:col>
                    <xdr:colOff>323850</xdr:colOff>
                    <xdr:row>4</xdr:row>
                    <xdr:rowOff>200025</xdr:rowOff>
                  </from>
                  <to>
                    <xdr:col>28</xdr:col>
                    <xdr:colOff>0</xdr:colOff>
                    <xdr:row>6</xdr:row>
                    <xdr:rowOff>0</xdr:rowOff>
                  </to>
                </anchor>
              </controlPr>
            </control>
          </mc:Choice>
        </mc:AlternateContent>
        <mc:AlternateContent xmlns:mc="http://schemas.openxmlformats.org/markup-compatibility/2006">
          <mc:Choice Requires="x14">
            <control shapeId="12310" r:id="rId16" name="Check Box 22">
              <controlPr defaultSize="0" autoFill="0" autoLine="0" autoPict="0">
                <anchor moveWithCells="1">
                  <from>
                    <xdr:col>26</xdr:col>
                    <xdr:colOff>19050</xdr:colOff>
                    <xdr:row>11</xdr:row>
                    <xdr:rowOff>0</xdr:rowOff>
                  </from>
                  <to>
                    <xdr:col>27</xdr:col>
                    <xdr:colOff>0</xdr:colOff>
                    <xdr:row>11</xdr:row>
                    <xdr:rowOff>190500</xdr:rowOff>
                  </to>
                </anchor>
              </controlPr>
            </control>
          </mc:Choice>
        </mc:AlternateContent>
        <mc:AlternateContent xmlns:mc="http://schemas.openxmlformats.org/markup-compatibility/2006">
          <mc:Choice Requires="x14">
            <control shapeId="12311" r:id="rId17" name="Button 23">
              <controlPr defaultSize="0" print="0" autoFill="0" autoPict="0" macro="[0]!PeakNumDOWN">
                <anchor moveWithCells="1" sizeWithCells="1">
                  <from>
                    <xdr:col>27</xdr:col>
                    <xdr:colOff>9525</xdr:colOff>
                    <xdr:row>10</xdr:row>
                    <xdr:rowOff>180975</xdr:rowOff>
                  </from>
                  <to>
                    <xdr:col>27</xdr:col>
                    <xdr:colOff>295275</xdr:colOff>
                    <xdr:row>12</xdr:row>
                    <xdr:rowOff>0</xdr:rowOff>
                  </to>
                </anchor>
              </controlPr>
            </control>
          </mc:Choice>
        </mc:AlternateContent>
        <mc:AlternateContent xmlns:mc="http://schemas.openxmlformats.org/markup-compatibility/2006">
          <mc:Choice Requires="x14">
            <control shapeId="12312" r:id="rId18" name="Button 24">
              <controlPr defaultSize="0" print="0" autoFill="0" autoPict="0" macro="[0]!PeakNumUP">
                <anchor moveWithCells="1" sizeWithCells="1">
                  <from>
                    <xdr:col>27</xdr:col>
                    <xdr:colOff>323850</xdr:colOff>
                    <xdr:row>10</xdr:row>
                    <xdr:rowOff>180975</xdr:rowOff>
                  </from>
                  <to>
                    <xdr:col>28</xdr:col>
                    <xdr:colOff>0</xdr:colOff>
                    <xdr:row>12</xdr:row>
                    <xdr:rowOff>0</xdr:rowOff>
                  </to>
                </anchor>
              </controlPr>
            </control>
          </mc:Choice>
        </mc:AlternateContent>
        <mc:AlternateContent xmlns:mc="http://schemas.openxmlformats.org/markup-compatibility/2006">
          <mc:Choice Requires="x14">
            <control shapeId="12315" r:id="rId19" name="Button 27">
              <controlPr defaultSize="0" print="0" autoFill="0" autoPict="0" macro="[0]!Clear_Inset">
                <anchor moveWithCells="1" sizeWithCells="1">
                  <from>
                    <xdr:col>25</xdr:col>
                    <xdr:colOff>600075</xdr:colOff>
                    <xdr:row>22</xdr:row>
                    <xdr:rowOff>180975</xdr:rowOff>
                  </from>
                  <to>
                    <xdr:col>26</xdr:col>
                    <xdr:colOff>600075</xdr:colOff>
                    <xdr:row>25</xdr:row>
                    <xdr:rowOff>0</xdr:rowOff>
                  </to>
                </anchor>
              </controlPr>
            </control>
          </mc:Choice>
        </mc:AlternateContent>
        <mc:AlternateContent xmlns:mc="http://schemas.openxmlformats.org/markup-compatibility/2006">
          <mc:Choice Requires="x14">
            <control shapeId="12316" r:id="rId20" name="Button 28">
              <controlPr defaultSize="0" print="0" autoFill="0" autoPict="0" macro="[0]!Reset_Allchromatograms">
                <anchor moveWithCells="1" sizeWithCells="1">
                  <from>
                    <xdr:col>28</xdr:col>
                    <xdr:colOff>28575</xdr:colOff>
                    <xdr:row>0</xdr:row>
                    <xdr:rowOff>57150</xdr:rowOff>
                  </from>
                  <to>
                    <xdr:col>28</xdr:col>
                    <xdr:colOff>447675</xdr:colOff>
                    <xdr:row>2</xdr:row>
                    <xdr:rowOff>66675</xdr:rowOff>
                  </to>
                </anchor>
              </controlPr>
            </control>
          </mc:Choice>
        </mc:AlternateContent>
        <mc:AlternateContent xmlns:mc="http://schemas.openxmlformats.org/markup-compatibility/2006">
          <mc:Choice Requires="x14">
            <control shapeId="12317" r:id="rId21" name="Button 29">
              <controlPr defaultSize="0" print="0" autoFill="0" autoPict="0" macro="[0]!Reset_210">
                <anchor moveWithCells="1" sizeWithCells="1">
                  <from>
                    <xdr:col>28</xdr:col>
                    <xdr:colOff>28575</xdr:colOff>
                    <xdr:row>2</xdr:row>
                    <xdr:rowOff>190500</xdr:rowOff>
                  </from>
                  <to>
                    <xdr:col>28</xdr:col>
                    <xdr:colOff>447675</xdr:colOff>
                    <xdr:row>3</xdr:row>
                    <xdr:rowOff>190500</xdr:rowOff>
                  </to>
                </anchor>
              </controlPr>
            </control>
          </mc:Choice>
        </mc:AlternateContent>
        <mc:AlternateContent xmlns:mc="http://schemas.openxmlformats.org/markup-compatibility/2006">
          <mc:Choice Requires="x14">
            <control shapeId="12318" r:id="rId22" name="Button 30">
              <controlPr defaultSize="0" print="0" autoFill="0" autoPict="0" macro="[0]!Reset_254">
                <anchor moveWithCells="1" sizeWithCells="1">
                  <from>
                    <xdr:col>28</xdr:col>
                    <xdr:colOff>28575</xdr:colOff>
                    <xdr:row>4</xdr:row>
                    <xdr:rowOff>200025</xdr:rowOff>
                  </from>
                  <to>
                    <xdr:col>28</xdr:col>
                    <xdr:colOff>447675</xdr:colOff>
                    <xdr:row>6</xdr:row>
                    <xdr:rowOff>0</xdr:rowOff>
                  </to>
                </anchor>
              </controlPr>
            </control>
          </mc:Choice>
        </mc:AlternateContent>
        <mc:AlternateContent xmlns:mc="http://schemas.openxmlformats.org/markup-compatibility/2006">
          <mc:Choice Requires="x14">
            <control shapeId="12321" r:id="rId23" name="Button 33">
              <controlPr defaultSize="0" print="0" autoFill="0" autoPict="0" macro="[0]!Reset_Labels">
                <anchor moveWithCells="1" sizeWithCells="1">
                  <from>
                    <xdr:col>28</xdr:col>
                    <xdr:colOff>28575</xdr:colOff>
                    <xdr:row>11</xdr:row>
                    <xdr:rowOff>0</xdr:rowOff>
                  </from>
                  <to>
                    <xdr:col>28</xdr:col>
                    <xdr:colOff>447675</xdr:colOff>
                    <xdr:row>12</xdr:row>
                    <xdr:rowOff>0</xdr:rowOff>
                  </to>
                </anchor>
              </controlPr>
            </control>
          </mc:Choice>
        </mc:AlternateContent>
        <mc:AlternateContent xmlns:mc="http://schemas.openxmlformats.org/markup-compatibility/2006">
          <mc:Choice Requires="x14">
            <control shapeId="12322" r:id="rId24" name="Button 34">
              <controlPr defaultSize="0" print="0" autoFill="0" autoPict="0" macro="[0]!LabelID_From_Chromatogram">
                <anchor moveWithCells="1" sizeWithCells="1">
                  <from>
                    <xdr:col>26</xdr:col>
                    <xdr:colOff>9525</xdr:colOff>
                    <xdr:row>18</xdr:row>
                    <xdr:rowOff>76200</xdr:rowOff>
                  </from>
                  <to>
                    <xdr:col>27</xdr:col>
                    <xdr:colOff>9525</xdr:colOff>
                    <xdr:row>19</xdr:row>
                    <xdr:rowOff>95250</xdr:rowOff>
                  </to>
                </anchor>
              </controlPr>
            </control>
          </mc:Choice>
        </mc:AlternateContent>
        <mc:AlternateContent xmlns:mc="http://schemas.openxmlformats.org/markup-compatibility/2006">
          <mc:Choice Requires="x14">
            <control shapeId="12323" r:id="rId25" name="Button 35">
              <controlPr defaultSize="0" print="0" autoFill="0" autoPict="0" macro="[0]!HideID_From_Chromatogram">
                <anchor moveWithCells="1" sizeWithCells="1">
                  <from>
                    <xdr:col>25</xdr:col>
                    <xdr:colOff>0</xdr:colOff>
                    <xdr:row>18</xdr:row>
                    <xdr:rowOff>76200</xdr:rowOff>
                  </from>
                  <to>
                    <xdr:col>25</xdr:col>
                    <xdr:colOff>609600</xdr:colOff>
                    <xdr:row>19</xdr:row>
                    <xdr:rowOff>95250</xdr:rowOff>
                  </to>
                </anchor>
              </controlPr>
            </control>
          </mc:Choice>
        </mc:AlternateContent>
        <mc:AlternateContent xmlns:mc="http://schemas.openxmlformats.org/markup-compatibility/2006">
          <mc:Choice Requires="x14">
            <control shapeId="12324" r:id="rId26" name="Button 36">
              <controlPr defaultSize="0" print="0" autoFill="0" autoPict="0" macro="[0]!LabelandHide">
                <anchor moveWithCells="1" sizeWithCells="1">
                  <from>
                    <xdr:col>27</xdr:col>
                    <xdr:colOff>19050</xdr:colOff>
                    <xdr:row>18</xdr:row>
                    <xdr:rowOff>76200</xdr:rowOff>
                  </from>
                  <to>
                    <xdr:col>29</xdr:col>
                    <xdr:colOff>0</xdr:colOff>
                    <xdr:row>19</xdr:row>
                    <xdr:rowOff>95250</xdr:rowOff>
                  </to>
                </anchor>
              </controlPr>
            </control>
          </mc:Choice>
        </mc:AlternateContent>
        <mc:AlternateContent xmlns:mc="http://schemas.openxmlformats.org/markup-compatibility/2006">
          <mc:Choice Requires="x14">
            <control shapeId="12325" r:id="rId27" name="Button 37">
              <controlPr defaultSize="0" print="0" autoFill="0" autoPict="0" macro="[0]!UnhideID_From_Chromatogram">
                <anchor moveWithCells="1" sizeWithCells="1">
                  <from>
                    <xdr:col>25</xdr:col>
                    <xdr:colOff>9525</xdr:colOff>
                    <xdr:row>21</xdr:row>
                    <xdr:rowOff>104775</xdr:rowOff>
                  </from>
                  <to>
                    <xdr:col>25</xdr:col>
                    <xdr:colOff>600075</xdr:colOff>
                    <xdr:row>22</xdr:row>
                    <xdr:rowOff>123825</xdr:rowOff>
                  </to>
                </anchor>
              </controlPr>
            </control>
          </mc:Choice>
        </mc:AlternateContent>
        <mc:AlternateContent xmlns:mc="http://schemas.openxmlformats.org/markup-compatibility/2006">
          <mc:Choice Requires="x14">
            <control shapeId="12326" r:id="rId28" name="Check Box 39">
              <controlPr defaultSize="0" autoFill="0" autoLine="0" autoPict="0">
                <anchor moveWithCells="1">
                  <from>
                    <xdr:col>28</xdr:col>
                    <xdr:colOff>9525</xdr:colOff>
                    <xdr:row>20</xdr:row>
                    <xdr:rowOff>9525</xdr:rowOff>
                  </from>
                  <to>
                    <xdr:col>29</xdr:col>
                    <xdr:colOff>152400</xdr:colOff>
                    <xdr:row>21</xdr:row>
                    <xdr:rowOff>0</xdr:rowOff>
                  </to>
                </anchor>
              </controlPr>
            </control>
          </mc:Choice>
        </mc:AlternateContent>
        <mc:AlternateContent xmlns:mc="http://schemas.openxmlformats.org/markup-compatibility/2006">
          <mc:Choice Requires="x14">
            <control shapeId="12327" r:id="rId29" name="Button 39">
              <controlPr defaultSize="0" print="0" autoFill="0" autoPict="0" macro="[0]!UnhideAll_From_Chromatogram">
                <anchor moveWithCells="1" sizeWithCells="1">
                  <from>
                    <xdr:col>27</xdr:col>
                    <xdr:colOff>19050</xdr:colOff>
                    <xdr:row>21</xdr:row>
                    <xdr:rowOff>104775</xdr:rowOff>
                  </from>
                  <to>
                    <xdr:col>29</xdr:col>
                    <xdr:colOff>0</xdr:colOff>
                    <xdr:row>22</xdr:row>
                    <xdr:rowOff>123825</xdr:rowOff>
                  </to>
                </anchor>
              </controlPr>
            </control>
          </mc:Choice>
        </mc:AlternateContent>
        <mc:AlternateContent xmlns:mc="http://schemas.openxmlformats.org/markup-compatibility/2006">
          <mc:Choice Requires="x14">
            <control shapeId="12332" r:id="rId30" name="Button 44">
              <controlPr defaultSize="0" print="0" autoFill="0" autoPict="0" macro="[0]!ChromatogramsUnlabel">
                <anchor moveWithCells="1" sizeWithCells="1">
                  <from>
                    <xdr:col>26</xdr:col>
                    <xdr:colOff>0</xdr:colOff>
                    <xdr:row>21</xdr:row>
                    <xdr:rowOff>104775</xdr:rowOff>
                  </from>
                  <to>
                    <xdr:col>27</xdr:col>
                    <xdr:colOff>19050</xdr:colOff>
                    <xdr:row>22</xdr:row>
                    <xdr:rowOff>123825</xdr:rowOff>
                  </to>
                </anchor>
              </controlPr>
            </control>
          </mc:Choice>
        </mc:AlternateContent>
        <mc:AlternateContent xmlns:mc="http://schemas.openxmlformats.org/markup-compatibility/2006">
          <mc:Choice Requires="x14">
            <control shapeId="12333" r:id="rId31" name="Button 45">
              <controlPr defaultSize="0" print="0" autoFill="0" autoPict="0" macro="[0]!ChromatogramsKillLabels">
                <anchor moveWithCells="1" sizeWithCells="1">
                  <from>
                    <xdr:col>27</xdr:col>
                    <xdr:colOff>9525</xdr:colOff>
                    <xdr:row>13</xdr:row>
                    <xdr:rowOff>152400</xdr:rowOff>
                  </from>
                  <to>
                    <xdr:col>29</xdr:col>
                    <xdr:colOff>9525</xdr:colOff>
                    <xdr:row>15</xdr:row>
                    <xdr:rowOff>28575</xdr:rowOff>
                  </to>
                </anchor>
              </controlPr>
            </control>
          </mc:Choice>
        </mc:AlternateContent>
        <mc:AlternateContent xmlns:mc="http://schemas.openxmlformats.org/markup-compatibility/2006">
          <mc:Choice Requires="x14">
            <control shapeId="12334" r:id="rId32" name="Button 46">
              <controlPr defaultSize="0" print="0" autoFill="0" autoPict="0" macro="[0]!ChromatogramsKillAllLabels">
                <anchor moveWithCells="1" sizeWithCells="1">
                  <from>
                    <xdr:col>27</xdr:col>
                    <xdr:colOff>9525</xdr:colOff>
                    <xdr:row>15</xdr:row>
                    <xdr:rowOff>38100</xdr:rowOff>
                  </from>
                  <to>
                    <xdr:col>29</xdr:col>
                    <xdr:colOff>0</xdr:colOff>
                    <xdr:row>16</xdr:row>
                    <xdr:rowOff>104775</xdr:rowOff>
                  </to>
                </anchor>
              </controlPr>
            </control>
          </mc:Choice>
        </mc:AlternateContent>
        <mc:AlternateContent xmlns:mc="http://schemas.openxmlformats.org/markup-compatibility/2006">
          <mc:Choice Requires="x14">
            <control shapeId="12335" r:id="rId33" name="Button 1">
              <controlPr defaultSize="0" print="0" autoFill="0" autoPict="0" macro="[0]!GenerateUVGrid">
                <anchor moveWithCells="1" sizeWithCells="1">
                  <from>
                    <xdr:col>25</xdr:col>
                    <xdr:colOff>9525</xdr:colOff>
                    <xdr:row>34</xdr:row>
                    <xdr:rowOff>142875</xdr:rowOff>
                  </from>
                  <to>
                    <xdr:col>29</xdr:col>
                    <xdr:colOff>0</xdr:colOff>
                    <xdr:row>36</xdr:row>
                    <xdr:rowOff>0</xdr:rowOff>
                  </to>
                </anchor>
              </controlPr>
            </control>
          </mc:Choice>
        </mc:AlternateContent>
        <mc:AlternateContent xmlns:mc="http://schemas.openxmlformats.org/markup-compatibility/2006">
          <mc:Choice Requires="x14">
            <control shapeId="12336" r:id="rId34" name="Check Box 41">
              <controlPr defaultSize="0" autoFill="0" autoLine="0" autoPict="0">
                <anchor moveWithCells="1">
                  <from>
                    <xdr:col>25</xdr:col>
                    <xdr:colOff>9525</xdr:colOff>
                    <xdr:row>12</xdr:row>
                    <xdr:rowOff>85725</xdr:rowOff>
                  </from>
                  <to>
                    <xdr:col>25</xdr:col>
                    <xdr:colOff>600075</xdr:colOff>
                    <xdr:row>13</xdr:row>
                    <xdr:rowOff>85725</xdr:rowOff>
                  </to>
                </anchor>
              </controlPr>
            </control>
          </mc:Choice>
        </mc:AlternateContent>
        <mc:AlternateContent xmlns:mc="http://schemas.openxmlformats.org/markup-compatibility/2006">
          <mc:Choice Requires="x14">
            <control shapeId="12337" r:id="rId35" name="Check Box 42">
              <controlPr defaultSize="0" autoFill="0" autoLine="0" autoPict="0">
                <anchor moveWithCells="1">
                  <from>
                    <xdr:col>25</xdr:col>
                    <xdr:colOff>600075</xdr:colOff>
                    <xdr:row>12</xdr:row>
                    <xdr:rowOff>85725</xdr:rowOff>
                  </from>
                  <to>
                    <xdr:col>26</xdr:col>
                    <xdr:colOff>581025</xdr:colOff>
                    <xdr:row>13</xdr:row>
                    <xdr:rowOff>85725</xdr:rowOff>
                  </to>
                </anchor>
              </controlPr>
            </control>
          </mc:Choice>
        </mc:AlternateContent>
        <mc:AlternateContent xmlns:mc="http://schemas.openxmlformats.org/markup-compatibility/2006">
          <mc:Choice Requires="x14">
            <control shapeId="12338" r:id="rId36" name="Check Box 43">
              <controlPr defaultSize="0" autoFill="0" autoLine="0" autoPict="0">
                <anchor moveWithCells="1">
                  <from>
                    <xdr:col>27</xdr:col>
                    <xdr:colOff>0</xdr:colOff>
                    <xdr:row>12</xdr:row>
                    <xdr:rowOff>85725</xdr:rowOff>
                  </from>
                  <to>
                    <xdr:col>27</xdr:col>
                    <xdr:colOff>590550</xdr:colOff>
                    <xdr:row>13</xdr:row>
                    <xdr:rowOff>85725</xdr:rowOff>
                  </to>
                </anchor>
              </controlPr>
            </control>
          </mc:Choice>
        </mc:AlternateContent>
        <mc:AlternateContent xmlns:mc="http://schemas.openxmlformats.org/markup-compatibility/2006">
          <mc:Choice Requires="x14">
            <control shapeId="12341" r:id="rId37" name="Option Button 53">
              <controlPr defaultSize="0" autoFill="0" autoLine="0" autoPict="0">
                <anchor moveWithCells="1">
                  <from>
                    <xdr:col>24</xdr:col>
                    <xdr:colOff>600075</xdr:colOff>
                    <xdr:row>27</xdr:row>
                    <xdr:rowOff>0</xdr:rowOff>
                  </from>
                  <to>
                    <xdr:col>26</xdr:col>
                    <xdr:colOff>600075</xdr:colOff>
                    <xdr:row>28</xdr:row>
                    <xdr:rowOff>9525</xdr:rowOff>
                  </to>
                </anchor>
              </controlPr>
            </control>
          </mc:Choice>
        </mc:AlternateContent>
        <mc:AlternateContent xmlns:mc="http://schemas.openxmlformats.org/markup-compatibility/2006">
          <mc:Choice Requires="x14">
            <control shapeId="12342" r:id="rId38" name="Option Button 54">
              <controlPr defaultSize="0" autoFill="0" autoLine="0" autoPict="0">
                <anchor moveWithCells="1">
                  <from>
                    <xdr:col>24</xdr:col>
                    <xdr:colOff>600075</xdr:colOff>
                    <xdr:row>28</xdr:row>
                    <xdr:rowOff>0</xdr:rowOff>
                  </from>
                  <to>
                    <xdr:col>26</xdr:col>
                    <xdr:colOff>600075</xdr:colOff>
                    <xdr:row>29</xdr:row>
                    <xdr:rowOff>9525</xdr:rowOff>
                  </to>
                </anchor>
              </controlPr>
            </control>
          </mc:Choice>
        </mc:AlternateContent>
        <mc:AlternateContent xmlns:mc="http://schemas.openxmlformats.org/markup-compatibility/2006">
          <mc:Choice Requires="x14">
            <control shapeId="12343" r:id="rId39" name="Option Button 55">
              <controlPr defaultSize="0" autoFill="0" autoLine="0" autoPict="0">
                <anchor moveWithCells="1">
                  <from>
                    <xdr:col>24</xdr:col>
                    <xdr:colOff>600075</xdr:colOff>
                    <xdr:row>29</xdr:row>
                    <xdr:rowOff>9525</xdr:rowOff>
                  </from>
                  <to>
                    <xdr:col>26</xdr:col>
                    <xdr:colOff>600075</xdr:colOff>
                    <xdr:row>30</xdr:row>
                    <xdr:rowOff>9525</xdr:rowOff>
                  </to>
                </anchor>
              </controlPr>
            </control>
          </mc:Choice>
        </mc:AlternateContent>
        <mc:AlternateContent xmlns:mc="http://schemas.openxmlformats.org/markup-compatibility/2006">
          <mc:Choice Requires="x14">
            <control shapeId="12344" r:id="rId40" name="Option Button 56">
              <controlPr defaultSize="0" autoFill="0" autoLine="0" autoPict="0">
                <anchor moveWithCells="1">
                  <from>
                    <xdr:col>24</xdr:col>
                    <xdr:colOff>600075</xdr:colOff>
                    <xdr:row>30</xdr:row>
                    <xdr:rowOff>19050</xdr:rowOff>
                  </from>
                  <to>
                    <xdr:col>26</xdr:col>
                    <xdr:colOff>600075</xdr:colOff>
                    <xdr:row>31</xdr:row>
                    <xdr:rowOff>19050</xdr:rowOff>
                  </to>
                </anchor>
              </controlPr>
            </control>
          </mc:Choice>
        </mc:AlternateContent>
        <mc:AlternateContent xmlns:mc="http://schemas.openxmlformats.org/markup-compatibility/2006">
          <mc:Choice Requires="x14">
            <control shapeId="12346" r:id="rId41" name="Button 58">
              <controlPr defaultSize="0" print="0" autoFill="0" autoPict="0" macro="[0]!NextClass">
                <anchor moveWithCells="1" sizeWithCells="1">
                  <from>
                    <xdr:col>27</xdr:col>
                    <xdr:colOff>304800</xdr:colOff>
                    <xdr:row>17</xdr:row>
                    <xdr:rowOff>9525</xdr:rowOff>
                  </from>
                  <to>
                    <xdr:col>28</xdr:col>
                    <xdr:colOff>600075</xdr:colOff>
                    <xdr:row>18</xdr:row>
                    <xdr:rowOff>0</xdr:rowOff>
                  </to>
                </anchor>
              </controlPr>
            </control>
          </mc:Choice>
        </mc:AlternateContent>
        <mc:AlternateContent xmlns:mc="http://schemas.openxmlformats.org/markup-compatibility/2006">
          <mc:Choice Requires="x14">
            <control shapeId="12347" r:id="rId42" name="Check Box 59">
              <controlPr defaultSize="0" autoFill="0" autoLine="0" autoPict="0">
                <anchor moveWithCells="1">
                  <from>
                    <xdr:col>27</xdr:col>
                    <xdr:colOff>9525</xdr:colOff>
                    <xdr:row>26</xdr:row>
                    <xdr:rowOff>171450</xdr:rowOff>
                  </from>
                  <to>
                    <xdr:col>29</xdr:col>
                    <xdr:colOff>9525</xdr:colOff>
                    <xdr:row>28</xdr:row>
                    <xdr:rowOff>19050</xdr:rowOff>
                  </to>
                </anchor>
              </controlPr>
            </control>
          </mc:Choice>
        </mc:AlternateContent>
        <mc:AlternateContent xmlns:mc="http://schemas.openxmlformats.org/markup-compatibility/2006">
          <mc:Choice Requires="x14">
            <control shapeId="12350" r:id="rId43" name="Button 62">
              <controlPr defaultSize="0" print="0" autoFill="0" autoPict="0" macro="[0]!UpdateUVGrid">
                <anchor moveWithCells="1" sizeWithCells="1">
                  <from>
                    <xdr:col>25</xdr:col>
                    <xdr:colOff>19050</xdr:colOff>
                    <xdr:row>31</xdr:row>
                    <xdr:rowOff>171450</xdr:rowOff>
                  </from>
                  <to>
                    <xdr:col>29</xdr:col>
                    <xdr:colOff>0</xdr:colOff>
                    <xdr:row>34</xdr:row>
                    <xdr:rowOff>57150</xdr:rowOff>
                  </to>
                </anchor>
              </controlPr>
            </control>
          </mc:Choice>
        </mc:AlternateContent>
        <mc:AlternateContent xmlns:mc="http://schemas.openxmlformats.org/markup-compatibility/2006">
          <mc:Choice Requires="x14">
            <control shapeId="12351" r:id="rId44" name="Button 63">
              <controlPr defaultSize="0" print="0" autoFill="0" autoPict="0" macro="[0]!Base_Allchromatograms">
                <anchor moveWithCells="1" sizeWithCells="1">
                  <from>
                    <xdr:col>28</xdr:col>
                    <xdr:colOff>457200</xdr:colOff>
                    <xdr:row>0</xdr:row>
                    <xdr:rowOff>57150</xdr:rowOff>
                  </from>
                  <to>
                    <xdr:col>29</xdr:col>
                    <xdr:colOff>266700</xdr:colOff>
                    <xdr:row>2</xdr:row>
                    <xdr:rowOff>66675</xdr:rowOff>
                  </to>
                </anchor>
              </controlPr>
            </control>
          </mc:Choice>
        </mc:AlternateContent>
        <mc:AlternateContent xmlns:mc="http://schemas.openxmlformats.org/markup-compatibility/2006">
          <mc:Choice Requires="x14">
            <control shapeId="12352" r:id="rId45" name="Button 64">
              <controlPr defaultSize="0" print="0" autoFill="0" autoPict="0" macro="[0]!Base_210">
                <anchor moveWithCells="1" sizeWithCells="1">
                  <from>
                    <xdr:col>28</xdr:col>
                    <xdr:colOff>457200</xdr:colOff>
                    <xdr:row>2</xdr:row>
                    <xdr:rowOff>190500</xdr:rowOff>
                  </from>
                  <to>
                    <xdr:col>29</xdr:col>
                    <xdr:colOff>266700</xdr:colOff>
                    <xdr:row>3</xdr:row>
                    <xdr:rowOff>190500</xdr:rowOff>
                  </to>
                </anchor>
              </controlPr>
            </control>
          </mc:Choice>
        </mc:AlternateContent>
        <mc:AlternateContent xmlns:mc="http://schemas.openxmlformats.org/markup-compatibility/2006">
          <mc:Choice Requires="x14">
            <control shapeId="12353" r:id="rId46" name="Button 65">
              <controlPr defaultSize="0" print="0" autoFill="0" autoPict="0" macro="[0]!Base_254">
                <anchor moveWithCells="1" sizeWithCells="1">
                  <from>
                    <xdr:col>28</xdr:col>
                    <xdr:colOff>457200</xdr:colOff>
                    <xdr:row>4</xdr:row>
                    <xdr:rowOff>200025</xdr:rowOff>
                  </from>
                  <to>
                    <xdr:col>29</xdr:col>
                    <xdr:colOff>266700</xdr:colOff>
                    <xdr:row>6</xdr:row>
                    <xdr:rowOff>0</xdr:rowOff>
                  </to>
                </anchor>
              </controlPr>
            </control>
          </mc:Choice>
        </mc:AlternateContent>
        <mc:AlternateContent xmlns:mc="http://schemas.openxmlformats.org/markup-compatibility/2006">
          <mc:Choice Requires="x14">
            <control shapeId="12356" r:id="rId47" name="Button 68">
              <controlPr defaultSize="0" print="0" autoFill="0" autoPict="0" macro="[0]!Base_Labels">
                <anchor moveWithCells="1" sizeWithCells="1">
                  <from>
                    <xdr:col>28</xdr:col>
                    <xdr:colOff>466725</xdr:colOff>
                    <xdr:row>11</xdr:row>
                    <xdr:rowOff>0</xdr:rowOff>
                  </from>
                  <to>
                    <xdr:col>29</xdr:col>
                    <xdr:colOff>276225</xdr:colOff>
                    <xdr:row>12</xdr:row>
                    <xdr:rowOff>0</xdr:rowOff>
                  </to>
                </anchor>
              </controlPr>
            </control>
          </mc:Choice>
        </mc:AlternateContent>
        <mc:AlternateContent xmlns:mc="http://schemas.openxmlformats.org/markup-compatibility/2006">
          <mc:Choice Requires="x14">
            <control shapeId="12357" r:id="rId48" name="Check Box 69">
              <controlPr defaultSize="0" autoFill="0" autoLine="0" autoPict="0">
                <anchor moveWithCells="1">
                  <from>
                    <xdr:col>27</xdr:col>
                    <xdr:colOff>209550</xdr:colOff>
                    <xdr:row>27</xdr:row>
                    <xdr:rowOff>180975</xdr:rowOff>
                  </from>
                  <to>
                    <xdr:col>29</xdr:col>
                    <xdr:colOff>0</xdr:colOff>
                    <xdr:row>29</xdr:row>
                    <xdr:rowOff>9525</xdr:rowOff>
                  </to>
                </anchor>
              </controlPr>
            </control>
          </mc:Choice>
        </mc:AlternateContent>
        <mc:AlternateContent xmlns:mc="http://schemas.openxmlformats.org/markup-compatibility/2006">
          <mc:Choice Requires="x14">
            <control shapeId="12358" r:id="rId49" name="Check Box 70">
              <controlPr defaultSize="0" autoFill="0" autoLine="0" autoPict="0">
                <anchor moveWithCells="1">
                  <from>
                    <xdr:col>27</xdr:col>
                    <xdr:colOff>209550</xdr:colOff>
                    <xdr:row>29</xdr:row>
                    <xdr:rowOff>0</xdr:rowOff>
                  </from>
                  <to>
                    <xdr:col>29</xdr:col>
                    <xdr:colOff>0</xdr:colOff>
                    <xdr:row>30</xdr:row>
                    <xdr:rowOff>19050</xdr:rowOff>
                  </to>
                </anchor>
              </controlPr>
            </control>
          </mc:Choice>
        </mc:AlternateContent>
        <mc:AlternateContent xmlns:mc="http://schemas.openxmlformats.org/markup-compatibility/2006">
          <mc:Choice Requires="x14">
            <control shapeId="12359" r:id="rId50" name="Button 71">
              <controlPr defaultSize="0" print="0" autoFill="0" autoPict="0" macro="[0]!NextTraceOne">
                <anchor moveWithCells="1" sizeWithCells="1">
                  <from>
                    <xdr:col>27</xdr:col>
                    <xdr:colOff>19050</xdr:colOff>
                    <xdr:row>19</xdr:row>
                    <xdr:rowOff>114300</xdr:rowOff>
                  </from>
                  <to>
                    <xdr:col>27</xdr:col>
                    <xdr:colOff>381000</xdr:colOff>
                    <xdr:row>21</xdr:row>
                    <xdr:rowOff>104775</xdr:rowOff>
                  </to>
                </anchor>
              </controlPr>
            </control>
          </mc:Choice>
        </mc:AlternateContent>
        <mc:AlternateContent xmlns:mc="http://schemas.openxmlformats.org/markup-compatibility/2006">
          <mc:Choice Requires="x14">
            <control shapeId="12360" r:id="rId51" name="Button 72">
              <controlPr defaultSize="0" print="0" autoFill="0" autoPict="0" macro="[0]!PreviousTraceOne">
                <anchor moveWithCells="1" sizeWithCells="1">
                  <from>
                    <xdr:col>25</xdr:col>
                    <xdr:colOff>238125</xdr:colOff>
                    <xdr:row>19</xdr:row>
                    <xdr:rowOff>114300</xdr:rowOff>
                  </from>
                  <to>
                    <xdr:col>25</xdr:col>
                    <xdr:colOff>600075</xdr:colOff>
                    <xdr:row>21</xdr:row>
                    <xdr:rowOff>95250</xdr:rowOff>
                  </to>
                </anchor>
              </controlPr>
            </control>
          </mc:Choice>
        </mc:AlternateContent>
        <mc:AlternateContent xmlns:mc="http://schemas.openxmlformats.org/markup-compatibility/2006">
          <mc:Choice Requires="x14">
            <control shapeId="12361" r:id="rId52" name="Button 73">
              <controlPr defaultSize="0" print="0" autoFill="0" autoPict="0" macro="[0]!PreviousTraceTen">
                <anchor moveWithCells="1" sizeWithCells="1">
                  <from>
                    <xdr:col>25</xdr:col>
                    <xdr:colOff>9525</xdr:colOff>
                    <xdr:row>19</xdr:row>
                    <xdr:rowOff>114300</xdr:rowOff>
                  </from>
                  <to>
                    <xdr:col>25</xdr:col>
                    <xdr:colOff>228600</xdr:colOff>
                    <xdr:row>21</xdr:row>
                    <xdr:rowOff>95250</xdr:rowOff>
                  </to>
                </anchor>
              </controlPr>
            </control>
          </mc:Choice>
        </mc:AlternateContent>
        <mc:AlternateContent xmlns:mc="http://schemas.openxmlformats.org/markup-compatibility/2006">
          <mc:Choice Requires="x14">
            <control shapeId="12362" r:id="rId53" name="Button 74">
              <controlPr defaultSize="0" print="0" autoFill="0" autoPict="0" macro="[0]!NextTraceTen">
                <anchor moveWithCells="1" sizeWithCells="1">
                  <from>
                    <xdr:col>27</xdr:col>
                    <xdr:colOff>390525</xdr:colOff>
                    <xdr:row>19</xdr:row>
                    <xdr:rowOff>114300</xdr:rowOff>
                  </from>
                  <to>
                    <xdr:col>28</xdr:col>
                    <xdr:colOff>0</xdr:colOff>
                    <xdr:row>21</xdr:row>
                    <xdr:rowOff>104775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xr:uid="{00000000-0002-0000-0400-000000000000}">
          <x14:formula1>
            <xm:f>Summary!$K$2:$K$9</xm:f>
          </x14:formula1>
          <xm:sqref>AB18</xm:sqref>
        </x14:dataValidation>
        <x14:dataValidation type="list" allowBlank="1" showInputMessage="1" xr:uid="{00000000-0002-0000-0400-000001000000}">
          <x14:formula1>
            <xm:f>Summary!$K$2:$K$29</xm:f>
          </x14:formula1>
          <xm:sqref>Z18:AA18</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dimension ref="T1:AC27"/>
  <sheetViews>
    <sheetView zoomScaleNormal="100" workbookViewId="0">
      <selection activeCell="AA21" sqref="AA21"/>
    </sheetView>
  </sheetViews>
  <sheetFormatPr defaultColWidth="9.140625" defaultRowHeight="15" x14ac:dyDescent="0.25"/>
  <cols>
    <col min="1" max="16384" width="9.140625" style="24"/>
  </cols>
  <sheetData>
    <row r="1" spans="22:28" ht="15.75" thickBot="1" x14ac:dyDescent="0.3">
      <c r="Z1" s="42" t="s">
        <v>30</v>
      </c>
      <c r="AB1" s="42" t="s">
        <v>19</v>
      </c>
    </row>
    <row r="2" spans="22:28" ht="15.75" thickBot="1" x14ac:dyDescent="0.3">
      <c r="Z2" s="25">
        <v>1.5</v>
      </c>
      <c r="AB2" s="25">
        <v>5</v>
      </c>
    </row>
    <row r="3" spans="22:28" ht="15.75" thickBot="1" x14ac:dyDescent="0.3"/>
    <row r="4" spans="22:28" ht="15.75" thickBot="1" x14ac:dyDescent="0.3">
      <c r="AA4" s="43"/>
    </row>
    <row r="5" spans="22:28" ht="15.75" thickBot="1" x14ac:dyDescent="0.3"/>
    <row r="6" spans="22:28" ht="15.75" thickBot="1" x14ac:dyDescent="0.3">
      <c r="AA6" s="44"/>
    </row>
    <row r="8" spans="22:28" x14ac:dyDescent="0.25">
      <c r="AA8" s="23"/>
    </row>
    <row r="9" spans="22:28" x14ac:dyDescent="0.25">
      <c r="AA9" s="23"/>
    </row>
    <row r="10" spans="22:28" x14ac:dyDescent="0.25">
      <c r="AA10" s="23"/>
    </row>
    <row r="11" spans="22:28" ht="15.75" thickBot="1" x14ac:dyDescent="0.3"/>
    <row r="12" spans="22:28" ht="15.75" thickBot="1" x14ac:dyDescent="0.3">
      <c r="Z12" s="25">
        <v>100</v>
      </c>
    </row>
    <row r="13" spans="22:28" ht="15.75" thickBot="1" x14ac:dyDescent="0.3">
      <c r="V13" s="89" t="s">
        <v>116</v>
      </c>
      <c r="W13" s="1"/>
      <c r="X13" s="1"/>
      <c r="Y13" s="1"/>
    </row>
    <row r="14" spans="22:28" ht="15.75" thickBot="1" x14ac:dyDescent="0.3">
      <c r="V14" s="88" t="s">
        <v>104</v>
      </c>
      <c r="W14" s="2">
        <v>200</v>
      </c>
      <c r="X14" s="2">
        <v>500</v>
      </c>
      <c r="Y14" s="50" t="s">
        <v>83</v>
      </c>
      <c r="Z14" s="45"/>
    </row>
    <row r="15" spans="22:28" ht="15.75" thickBot="1" x14ac:dyDescent="0.3">
      <c r="Y15" s="91" t="s">
        <v>111</v>
      </c>
      <c r="Z15" s="25">
        <v>0.5</v>
      </c>
      <c r="AA15" s="25">
        <v>10</v>
      </c>
      <c r="AB15" s="47" t="s">
        <v>108</v>
      </c>
    </row>
    <row r="16" spans="22:28" ht="15.75" thickBot="1" x14ac:dyDescent="0.3">
      <c r="V16" s="42" t="s">
        <v>114</v>
      </c>
      <c r="W16" s="42" t="s">
        <v>115</v>
      </c>
      <c r="X16" s="42" t="s">
        <v>109</v>
      </c>
      <c r="Y16" s="92" t="s">
        <v>113</v>
      </c>
      <c r="Z16" s="25">
        <v>200</v>
      </c>
      <c r="AA16" s="25">
        <v>600</v>
      </c>
      <c r="AB16" s="47" t="s">
        <v>83</v>
      </c>
    </row>
    <row r="17" spans="20:29" ht="15.75" thickBot="1" x14ac:dyDescent="0.3">
      <c r="V17" s="25">
        <v>-20</v>
      </c>
      <c r="W17" s="25">
        <v>20</v>
      </c>
      <c r="X17" s="25">
        <v>4</v>
      </c>
      <c r="Y17" s="47" t="s">
        <v>83</v>
      </c>
    </row>
    <row r="18" spans="20:29" ht="15.75" thickBot="1" x14ac:dyDescent="0.3">
      <c r="Z18" s="90"/>
      <c r="AA18" s="90"/>
      <c r="AB18" s="46"/>
    </row>
    <row r="19" spans="20:29" ht="15.75" thickBot="1" x14ac:dyDescent="0.3">
      <c r="V19" s="25">
        <v>-20</v>
      </c>
      <c r="W19" s="25">
        <v>20</v>
      </c>
      <c r="X19" s="25">
        <v>5</v>
      </c>
      <c r="Y19" s="47" t="s">
        <v>19</v>
      </c>
    </row>
    <row r="20" spans="20:29" ht="15.75" thickBot="1" x14ac:dyDescent="0.3"/>
    <row r="21" spans="20:29" ht="15.75" thickBot="1" x14ac:dyDescent="0.3">
      <c r="V21" s="93">
        <v>0.9</v>
      </c>
      <c r="W21" s="93">
        <v>1.1000000000000001</v>
      </c>
      <c r="X21" s="25">
        <v>0.05</v>
      </c>
      <c r="Y21" s="47" t="s">
        <v>30</v>
      </c>
      <c r="AA21" s="25">
        <v>0</v>
      </c>
    </row>
    <row r="23" spans="20:29" x14ac:dyDescent="0.25">
      <c r="T23" s="47" t="s">
        <v>112</v>
      </c>
      <c r="U23" s="47" t="s">
        <v>9</v>
      </c>
      <c r="V23" s="47" t="s">
        <v>111</v>
      </c>
      <c r="W23" s="47" t="s">
        <v>90</v>
      </c>
      <c r="Z23" s="47"/>
      <c r="AC23" s="47" t="s">
        <v>130</v>
      </c>
    </row>
    <row r="25" spans="20:29" x14ac:dyDescent="0.25">
      <c r="Z25" s="46"/>
      <c r="AA25" s="41"/>
    </row>
    <row r="27" spans="20:29" x14ac:dyDescent="0.25">
      <c r="Z27" s="47"/>
      <c r="AB27" s="47"/>
    </row>
  </sheetData>
  <pageMargins left="0.7" right="0.7" top="0.75" bottom="0.75" header="0.3" footer="0.3"/>
  <pageSetup paperSize="0" orientation="portrait" horizontalDpi="0" verticalDpi="0" copies="0"/>
  <drawing r:id="rId1"/>
  <legacyDrawing r:id="rId2"/>
  <controls>
    <mc:AlternateContent xmlns:mc="http://schemas.openxmlformats.org/markup-compatibility/2006">
      <mc:Choice Requires="x14">
        <control shapeId="16448" r:id="rId3" name="ListBox1">
          <controlPr defaultSize="0" autoLine="0" autoPict="0" r:id="rId4">
            <anchor moveWithCells="1">
              <from>
                <xdr:col>18</xdr:col>
                <xdr:colOff>552450</xdr:colOff>
                <xdr:row>23</xdr:row>
                <xdr:rowOff>9525</xdr:rowOff>
              </from>
              <to>
                <xdr:col>28</xdr:col>
                <xdr:colOff>542925</xdr:colOff>
                <xdr:row>35</xdr:row>
                <xdr:rowOff>180975</xdr:rowOff>
              </to>
            </anchor>
          </controlPr>
        </control>
      </mc:Choice>
      <mc:Fallback>
        <control shapeId="16448" r:id="rId3" name="ListBox1"/>
      </mc:Fallback>
    </mc:AlternateContent>
    <mc:AlternateContent xmlns:mc="http://schemas.openxmlformats.org/markup-compatibility/2006">
      <mc:Choice Requires="x14">
        <control shapeId="16385" r:id="rId5" name="Check Box 1">
          <controlPr defaultSize="0" autoFill="0" autoLine="0" autoPict="0">
            <anchor moveWithCells="1">
              <from>
                <xdr:col>26</xdr:col>
                <xdr:colOff>9525</xdr:colOff>
                <xdr:row>3</xdr:row>
                <xdr:rowOff>9525</xdr:rowOff>
              </from>
              <to>
                <xdr:col>26</xdr:col>
                <xdr:colOff>600075</xdr:colOff>
                <xdr:row>3</xdr:row>
                <xdr:rowOff>190500</xdr:rowOff>
              </to>
            </anchor>
          </controlPr>
        </control>
      </mc:Choice>
    </mc:AlternateContent>
    <mc:AlternateContent xmlns:mc="http://schemas.openxmlformats.org/markup-compatibility/2006">
      <mc:Choice Requires="x14">
        <control shapeId="16386" r:id="rId6" name="Check Box 2">
          <controlPr defaultSize="0" autoFill="0" autoLine="0" autoPict="0">
            <anchor moveWithCells="1">
              <from>
                <xdr:col>26</xdr:col>
                <xdr:colOff>9525</xdr:colOff>
                <xdr:row>4</xdr:row>
                <xdr:rowOff>180975</xdr:rowOff>
              </from>
              <to>
                <xdr:col>26</xdr:col>
                <xdr:colOff>600075</xdr:colOff>
                <xdr:row>5</xdr:row>
                <xdr:rowOff>180975</xdr:rowOff>
              </to>
            </anchor>
          </controlPr>
        </control>
      </mc:Choice>
    </mc:AlternateContent>
    <mc:AlternateContent xmlns:mc="http://schemas.openxmlformats.org/markup-compatibility/2006">
      <mc:Choice Requires="x14">
        <control shapeId="16387" r:id="rId7" name="Check Box 3">
          <controlPr defaultSize="0" autoFill="0" autoLine="0" autoPict="0">
            <anchor moveWithCells="1">
              <from>
                <xdr:col>26</xdr:col>
                <xdr:colOff>9525</xdr:colOff>
                <xdr:row>7</xdr:row>
                <xdr:rowOff>0</xdr:rowOff>
              </from>
              <to>
                <xdr:col>26</xdr:col>
                <xdr:colOff>600075</xdr:colOff>
                <xdr:row>8</xdr:row>
                <xdr:rowOff>0</xdr:rowOff>
              </to>
            </anchor>
          </controlPr>
        </control>
      </mc:Choice>
    </mc:AlternateContent>
    <mc:AlternateContent xmlns:mc="http://schemas.openxmlformats.org/markup-compatibility/2006">
      <mc:Choice Requires="x14">
        <control shapeId="16388" r:id="rId8" name="Check Box 4">
          <controlPr defaultSize="0" autoFill="0" autoLine="0" autoPict="0">
            <anchor moveWithCells="1">
              <from>
                <xdr:col>26</xdr:col>
                <xdr:colOff>9525</xdr:colOff>
                <xdr:row>9</xdr:row>
                <xdr:rowOff>0</xdr:rowOff>
              </from>
              <to>
                <xdr:col>26</xdr:col>
                <xdr:colOff>600075</xdr:colOff>
                <xdr:row>10</xdr:row>
                <xdr:rowOff>0</xdr:rowOff>
              </to>
            </anchor>
          </controlPr>
        </control>
      </mc:Choice>
    </mc:AlternateContent>
    <mc:AlternateContent xmlns:mc="http://schemas.openxmlformats.org/markup-compatibility/2006">
      <mc:Choice Requires="x14">
        <control shapeId="16389" r:id="rId9" name="Button 5">
          <controlPr defaultSize="0" print="0" autoFill="0" autoPict="0" macro="[0]!Chromatograms_Click">
            <anchor moveWithCells="1" sizeWithCells="1">
              <from>
                <xdr:col>28</xdr:col>
                <xdr:colOff>0</xdr:colOff>
                <xdr:row>14</xdr:row>
                <xdr:rowOff>9525</xdr:rowOff>
              </from>
              <to>
                <xdr:col>29</xdr:col>
                <xdr:colOff>133350</xdr:colOff>
                <xdr:row>16</xdr:row>
                <xdr:rowOff>0</xdr:rowOff>
              </to>
            </anchor>
          </controlPr>
        </control>
      </mc:Choice>
    </mc:AlternateContent>
    <mc:AlternateContent xmlns:mc="http://schemas.openxmlformats.org/markup-compatibility/2006">
      <mc:Choice Requires="x14">
        <control shapeId="16390" r:id="rId10" name="Button 6">
          <controlPr defaultSize="0" print="0" autoFill="0" autoPict="0" macro="[0]!DAD_A_Small">
            <anchor moveWithCells="1" sizeWithCells="1">
              <from>
                <xdr:col>25</xdr:col>
                <xdr:colOff>0</xdr:colOff>
                <xdr:row>3</xdr:row>
                <xdr:rowOff>0</xdr:rowOff>
              </from>
              <to>
                <xdr:col>25</xdr:col>
                <xdr:colOff>285750</xdr:colOff>
                <xdr:row>4</xdr:row>
                <xdr:rowOff>0</xdr:rowOff>
              </to>
            </anchor>
          </controlPr>
        </control>
      </mc:Choice>
    </mc:AlternateContent>
    <mc:AlternateContent xmlns:mc="http://schemas.openxmlformats.org/markup-compatibility/2006">
      <mc:Choice Requires="x14">
        <control shapeId="16391" r:id="rId11" name="Button 7">
          <controlPr defaultSize="0" print="0" autoFill="0" autoPict="0" macro="[0]!DAD_A_Big">
            <anchor moveWithCells="1" sizeWithCells="1">
              <from>
                <xdr:col>25</xdr:col>
                <xdr:colOff>323850</xdr:colOff>
                <xdr:row>3</xdr:row>
                <xdr:rowOff>0</xdr:rowOff>
              </from>
              <to>
                <xdr:col>25</xdr:col>
                <xdr:colOff>609600</xdr:colOff>
                <xdr:row>4</xdr:row>
                <xdr:rowOff>0</xdr:rowOff>
              </to>
            </anchor>
          </controlPr>
        </control>
      </mc:Choice>
    </mc:AlternateContent>
    <mc:AlternateContent xmlns:mc="http://schemas.openxmlformats.org/markup-compatibility/2006">
      <mc:Choice Requires="x14">
        <control shapeId="16392" r:id="rId12" name="Button 8">
          <controlPr defaultSize="0" print="0" autoFill="0" autoPict="0" macro="[0]!DAD_B_Small">
            <anchor moveWithCells="1" sizeWithCells="1">
              <from>
                <xdr:col>24</xdr:col>
                <xdr:colOff>609600</xdr:colOff>
                <xdr:row>5</xdr:row>
                <xdr:rowOff>0</xdr:rowOff>
              </from>
              <to>
                <xdr:col>25</xdr:col>
                <xdr:colOff>285750</xdr:colOff>
                <xdr:row>6</xdr:row>
                <xdr:rowOff>0</xdr:rowOff>
              </to>
            </anchor>
          </controlPr>
        </control>
      </mc:Choice>
    </mc:AlternateContent>
    <mc:AlternateContent xmlns:mc="http://schemas.openxmlformats.org/markup-compatibility/2006">
      <mc:Choice Requires="x14">
        <control shapeId="16393" r:id="rId13" name="Button 9">
          <controlPr defaultSize="0" print="0" autoFill="0" autoPict="0" macro="[0]!DAD_B_Big">
            <anchor moveWithCells="1" sizeWithCells="1">
              <from>
                <xdr:col>25</xdr:col>
                <xdr:colOff>323850</xdr:colOff>
                <xdr:row>5</xdr:row>
                <xdr:rowOff>0</xdr:rowOff>
              </from>
              <to>
                <xdr:col>25</xdr:col>
                <xdr:colOff>609600</xdr:colOff>
                <xdr:row>6</xdr:row>
                <xdr:rowOff>0</xdr:rowOff>
              </to>
            </anchor>
          </controlPr>
        </control>
      </mc:Choice>
    </mc:AlternateContent>
    <mc:AlternateContent xmlns:mc="http://schemas.openxmlformats.org/markup-compatibility/2006">
      <mc:Choice Requires="x14">
        <control shapeId="16398" r:id="rId14" name="Button 14">
          <controlPr defaultSize="0" print="0" autoFill="0" autoPict="0" macro="[0]!DAD_A_Down">
            <anchor moveWithCells="1" sizeWithCells="1">
              <from>
                <xdr:col>27</xdr:col>
                <xdr:colOff>9525</xdr:colOff>
                <xdr:row>2</xdr:row>
                <xdr:rowOff>190500</xdr:rowOff>
              </from>
              <to>
                <xdr:col>27</xdr:col>
                <xdr:colOff>295275</xdr:colOff>
                <xdr:row>3</xdr:row>
                <xdr:rowOff>190500</xdr:rowOff>
              </to>
            </anchor>
          </controlPr>
        </control>
      </mc:Choice>
    </mc:AlternateContent>
    <mc:AlternateContent xmlns:mc="http://schemas.openxmlformats.org/markup-compatibility/2006">
      <mc:Choice Requires="x14">
        <control shapeId="16399" r:id="rId15" name="Button 15">
          <controlPr defaultSize="0" print="0" autoFill="0" autoPict="0" macro="[0]!DAD_A_Up">
            <anchor moveWithCells="1" sizeWithCells="1">
              <from>
                <xdr:col>27</xdr:col>
                <xdr:colOff>323850</xdr:colOff>
                <xdr:row>2</xdr:row>
                <xdr:rowOff>190500</xdr:rowOff>
              </from>
              <to>
                <xdr:col>28</xdr:col>
                <xdr:colOff>0</xdr:colOff>
                <xdr:row>3</xdr:row>
                <xdr:rowOff>190500</xdr:rowOff>
              </to>
            </anchor>
          </controlPr>
        </control>
      </mc:Choice>
    </mc:AlternateContent>
    <mc:AlternateContent xmlns:mc="http://schemas.openxmlformats.org/markup-compatibility/2006">
      <mc:Choice Requires="x14">
        <control shapeId="16400" r:id="rId16" name="Button 16">
          <controlPr defaultSize="0" print="0" autoFill="0" autoPict="0" macro="[0]!DAD_B_Down">
            <anchor moveWithCells="1" sizeWithCells="1">
              <from>
                <xdr:col>27</xdr:col>
                <xdr:colOff>9525</xdr:colOff>
                <xdr:row>4</xdr:row>
                <xdr:rowOff>200025</xdr:rowOff>
              </from>
              <to>
                <xdr:col>27</xdr:col>
                <xdr:colOff>295275</xdr:colOff>
                <xdr:row>5</xdr:row>
                <xdr:rowOff>200025</xdr:rowOff>
              </to>
            </anchor>
          </controlPr>
        </control>
      </mc:Choice>
    </mc:AlternateContent>
    <mc:AlternateContent xmlns:mc="http://schemas.openxmlformats.org/markup-compatibility/2006">
      <mc:Choice Requires="x14">
        <control shapeId="16401" r:id="rId17" name="Button 17">
          <controlPr defaultSize="0" print="0" autoFill="0" autoPict="0" macro="[0]!DAD_B_Up">
            <anchor moveWithCells="1" sizeWithCells="1">
              <from>
                <xdr:col>27</xdr:col>
                <xdr:colOff>323850</xdr:colOff>
                <xdr:row>4</xdr:row>
                <xdr:rowOff>200025</xdr:rowOff>
              </from>
              <to>
                <xdr:col>28</xdr:col>
                <xdr:colOff>0</xdr:colOff>
                <xdr:row>6</xdr:row>
                <xdr:rowOff>0</xdr:rowOff>
              </to>
            </anchor>
          </controlPr>
        </control>
      </mc:Choice>
    </mc:AlternateContent>
    <mc:AlternateContent xmlns:mc="http://schemas.openxmlformats.org/markup-compatibility/2006">
      <mc:Choice Requires="x14">
        <control shapeId="16406" r:id="rId18" name="Check Box 22">
          <controlPr defaultSize="0" autoFill="0" autoLine="0" autoPict="0">
            <anchor moveWithCells="1">
              <from>
                <xdr:col>26</xdr:col>
                <xdr:colOff>19050</xdr:colOff>
                <xdr:row>11</xdr:row>
                <xdr:rowOff>0</xdr:rowOff>
              </from>
              <to>
                <xdr:col>27</xdr:col>
                <xdr:colOff>0</xdr:colOff>
                <xdr:row>11</xdr:row>
                <xdr:rowOff>190500</xdr:rowOff>
              </to>
            </anchor>
          </controlPr>
        </control>
      </mc:Choice>
    </mc:AlternateContent>
    <mc:AlternateContent xmlns:mc="http://schemas.openxmlformats.org/markup-compatibility/2006">
      <mc:Choice Requires="x14">
        <control shapeId="16407" r:id="rId19" name="Button 23">
          <controlPr defaultSize="0" print="0" autoFill="0" autoPict="0" macro="[0]!PeakNumDOWN">
            <anchor moveWithCells="1" sizeWithCells="1">
              <from>
                <xdr:col>27</xdr:col>
                <xdr:colOff>9525</xdr:colOff>
                <xdr:row>10</xdr:row>
                <xdr:rowOff>180975</xdr:rowOff>
              </from>
              <to>
                <xdr:col>27</xdr:col>
                <xdr:colOff>295275</xdr:colOff>
                <xdr:row>12</xdr:row>
                <xdr:rowOff>0</xdr:rowOff>
              </to>
            </anchor>
          </controlPr>
        </control>
      </mc:Choice>
    </mc:AlternateContent>
    <mc:AlternateContent xmlns:mc="http://schemas.openxmlformats.org/markup-compatibility/2006">
      <mc:Choice Requires="x14">
        <control shapeId="16408" r:id="rId20" name="Button 24">
          <controlPr defaultSize="0" print="0" autoFill="0" autoPict="0" macro="[0]!PeakNumUP">
            <anchor moveWithCells="1" sizeWithCells="1">
              <from>
                <xdr:col>27</xdr:col>
                <xdr:colOff>323850</xdr:colOff>
                <xdr:row>10</xdr:row>
                <xdr:rowOff>180975</xdr:rowOff>
              </from>
              <to>
                <xdr:col>28</xdr:col>
                <xdr:colOff>0</xdr:colOff>
                <xdr:row>12</xdr:row>
                <xdr:rowOff>0</xdr:rowOff>
              </to>
            </anchor>
          </controlPr>
        </control>
      </mc:Choice>
    </mc:AlternateContent>
    <mc:AlternateContent xmlns:mc="http://schemas.openxmlformats.org/markup-compatibility/2006">
      <mc:Choice Requires="x14">
        <control shapeId="16410" r:id="rId21" name="Button 28">
          <controlPr defaultSize="0" print="0" autoFill="0" autoPict="0" macro="[0]!Reset_Allchromatograms">
            <anchor moveWithCells="1" sizeWithCells="1">
              <from>
                <xdr:col>28</xdr:col>
                <xdr:colOff>28575</xdr:colOff>
                <xdr:row>0</xdr:row>
                <xdr:rowOff>57150</xdr:rowOff>
              </from>
              <to>
                <xdr:col>28</xdr:col>
                <xdr:colOff>447675</xdr:colOff>
                <xdr:row>2</xdr:row>
                <xdr:rowOff>66675</xdr:rowOff>
              </to>
            </anchor>
          </controlPr>
        </control>
      </mc:Choice>
    </mc:AlternateContent>
    <mc:AlternateContent xmlns:mc="http://schemas.openxmlformats.org/markup-compatibility/2006">
      <mc:Choice Requires="x14">
        <control shapeId="16411" r:id="rId22" name="Button 29">
          <controlPr defaultSize="0" print="0" autoFill="0" autoPict="0" macro="[0]!Reset_210">
            <anchor moveWithCells="1" sizeWithCells="1">
              <from>
                <xdr:col>28</xdr:col>
                <xdr:colOff>28575</xdr:colOff>
                <xdr:row>2</xdr:row>
                <xdr:rowOff>190500</xdr:rowOff>
              </from>
              <to>
                <xdr:col>28</xdr:col>
                <xdr:colOff>447675</xdr:colOff>
                <xdr:row>3</xdr:row>
                <xdr:rowOff>190500</xdr:rowOff>
              </to>
            </anchor>
          </controlPr>
        </control>
      </mc:Choice>
    </mc:AlternateContent>
    <mc:AlternateContent xmlns:mc="http://schemas.openxmlformats.org/markup-compatibility/2006">
      <mc:Choice Requires="x14">
        <control shapeId="16412" r:id="rId23" name="Button 30">
          <controlPr defaultSize="0" print="0" autoFill="0" autoPict="0" macro="[0]!Reset_254">
            <anchor moveWithCells="1" sizeWithCells="1">
              <from>
                <xdr:col>28</xdr:col>
                <xdr:colOff>28575</xdr:colOff>
                <xdr:row>4</xdr:row>
                <xdr:rowOff>200025</xdr:rowOff>
              </from>
              <to>
                <xdr:col>28</xdr:col>
                <xdr:colOff>447675</xdr:colOff>
                <xdr:row>6</xdr:row>
                <xdr:rowOff>0</xdr:rowOff>
              </to>
            </anchor>
          </controlPr>
        </control>
      </mc:Choice>
    </mc:AlternateContent>
    <mc:AlternateContent xmlns:mc="http://schemas.openxmlformats.org/markup-compatibility/2006">
      <mc:Choice Requires="x14">
        <control shapeId="16415" r:id="rId24" name="Button 33">
          <controlPr defaultSize="0" print="0" autoFill="0" autoPict="0" macro="[0]!Reset_Labels">
            <anchor moveWithCells="1" sizeWithCells="1">
              <from>
                <xdr:col>28</xdr:col>
                <xdr:colOff>28575</xdr:colOff>
                <xdr:row>11</xdr:row>
                <xdr:rowOff>0</xdr:rowOff>
              </from>
              <to>
                <xdr:col>28</xdr:col>
                <xdr:colOff>447675</xdr:colOff>
                <xdr:row>12</xdr:row>
                <xdr:rowOff>0</xdr:rowOff>
              </to>
            </anchor>
          </controlPr>
        </control>
      </mc:Choice>
    </mc:AlternateContent>
    <mc:AlternateContent xmlns:mc="http://schemas.openxmlformats.org/markup-compatibility/2006">
      <mc:Choice Requires="x14">
        <control shapeId="16420" r:id="rId25" name="Check Box 39">
          <controlPr defaultSize="0" autoFill="0" autoLine="0" autoPict="0">
            <anchor moveWithCells="1">
              <from>
                <xdr:col>28</xdr:col>
                <xdr:colOff>9525</xdr:colOff>
                <xdr:row>20</xdr:row>
                <xdr:rowOff>9525</xdr:rowOff>
              </from>
              <to>
                <xdr:col>29</xdr:col>
                <xdr:colOff>152400</xdr:colOff>
                <xdr:row>21</xdr:row>
                <xdr:rowOff>0</xdr:rowOff>
              </to>
            </anchor>
          </controlPr>
        </control>
      </mc:Choice>
    </mc:AlternateContent>
    <mc:AlternateContent xmlns:mc="http://schemas.openxmlformats.org/markup-compatibility/2006">
      <mc:Choice Requires="x14">
        <control shapeId="16426" r:id="rId26" name="Check Box 41">
          <controlPr defaultSize="0" autoFill="0" autoLine="0" autoPict="0">
            <anchor moveWithCells="1">
              <from>
                <xdr:col>25</xdr:col>
                <xdr:colOff>9525</xdr:colOff>
                <xdr:row>12</xdr:row>
                <xdr:rowOff>85725</xdr:rowOff>
              </from>
              <to>
                <xdr:col>25</xdr:col>
                <xdr:colOff>600075</xdr:colOff>
                <xdr:row>13</xdr:row>
                <xdr:rowOff>76200</xdr:rowOff>
              </to>
            </anchor>
          </controlPr>
        </control>
      </mc:Choice>
    </mc:AlternateContent>
    <mc:AlternateContent xmlns:mc="http://schemas.openxmlformats.org/markup-compatibility/2006">
      <mc:Choice Requires="x14">
        <control shapeId="16427" r:id="rId27" name="Check Box 42">
          <controlPr defaultSize="0" autoFill="0" autoLine="0" autoPict="0">
            <anchor moveWithCells="1">
              <from>
                <xdr:col>25</xdr:col>
                <xdr:colOff>600075</xdr:colOff>
                <xdr:row>12</xdr:row>
                <xdr:rowOff>85725</xdr:rowOff>
              </from>
              <to>
                <xdr:col>26</xdr:col>
                <xdr:colOff>581025</xdr:colOff>
                <xdr:row>13</xdr:row>
                <xdr:rowOff>76200</xdr:rowOff>
              </to>
            </anchor>
          </controlPr>
        </control>
      </mc:Choice>
    </mc:AlternateContent>
    <mc:AlternateContent xmlns:mc="http://schemas.openxmlformats.org/markup-compatibility/2006">
      <mc:Choice Requires="x14">
        <control shapeId="16428" r:id="rId28" name="Check Box 43">
          <controlPr defaultSize="0" autoFill="0" autoLine="0" autoPict="0">
            <anchor moveWithCells="1">
              <from>
                <xdr:col>27</xdr:col>
                <xdr:colOff>0</xdr:colOff>
                <xdr:row>12</xdr:row>
                <xdr:rowOff>85725</xdr:rowOff>
              </from>
              <to>
                <xdr:col>27</xdr:col>
                <xdr:colOff>590550</xdr:colOff>
                <xdr:row>13</xdr:row>
                <xdr:rowOff>76200</xdr:rowOff>
              </to>
            </anchor>
          </controlPr>
        </control>
      </mc:Choice>
    </mc:AlternateContent>
    <mc:AlternateContent xmlns:mc="http://schemas.openxmlformats.org/markup-compatibility/2006">
      <mc:Choice Requires="x14">
        <control shapeId="16436" r:id="rId29" name="Button 50">
          <controlPr defaultSize="0" print="0" autoFill="0" autoPict="0" macro="[0]!Base_Allchromatograms">
            <anchor moveWithCells="1" sizeWithCells="1">
              <from>
                <xdr:col>28</xdr:col>
                <xdr:colOff>457200</xdr:colOff>
                <xdr:row>0</xdr:row>
                <xdr:rowOff>57150</xdr:rowOff>
              </from>
              <to>
                <xdr:col>29</xdr:col>
                <xdr:colOff>266700</xdr:colOff>
                <xdr:row>2</xdr:row>
                <xdr:rowOff>66675</xdr:rowOff>
              </to>
            </anchor>
          </controlPr>
        </control>
      </mc:Choice>
    </mc:AlternateContent>
    <mc:AlternateContent xmlns:mc="http://schemas.openxmlformats.org/markup-compatibility/2006">
      <mc:Choice Requires="x14">
        <control shapeId="16437" r:id="rId30" name="Button 51">
          <controlPr defaultSize="0" print="0" autoFill="0" autoPict="0" macro="[0]!Base_210">
            <anchor moveWithCells="1" sizeWithCells="1">
              <from>
                <xdr:col>28</xdr:col>
                <xdr:colOff>457200</xdr:colOff>
                <xdr:row>2</xdr:row>
                <xdr:rowOff>190500</xdr:rowOff>
              </from>
              <to>
                <xdr:col>29</xdr:col>
                <xdr:colOff>266700</xdr:colOff>
                <xdr:row>3</xdr:row>
                <xdr:rowOff>190500</xdr:rowOff>
              </to>
            </anchor>
          </controlPr>
        </control>
      </mc:Choice>
    </mc:AlternateContent>
    <mc:AlternateContent xmlns:mc="http://schemas.openxmlformats.org/markup-compatibility/2006">
      <mc:Choice Requires="x14">
        <control shapeId="16438" r:id="rId31" name="Button 52">
          <controlPr defaultSize="0" print="0" autoFill="0" autoPict="0" macro="[0]!Base_254">
            <anchor moveWithCells="1" sizeWithCells="1">
              <from>
                <xdr:col>28</xdr:col>
                <xdr:colOff>457200</xdr:colOff>
                <xdr:row>4</xdr:row>
                <xdr:rowOff>200025</xdr:rowOff>
              </from>
              <to>
                <xdr:col>29</xdr:col>
                <xdr:colOff>266700</xdr:colOff>
                <xdr:row>6</xdr:row>
                <xdr:rowOff>0</xdr:rowOff>
              </to>
            </anchor>
          </controlPr>
        </control>
      </mc:Choice>
    </mc:AlternateContent>
    <mc:AlternateContent xmlns:mc="http://schemas.openxmlformats.org/markup-compatibility/2006">
      <mc:Choice Requires="x14">
        <control shapeId="16441" r:id="rId32" name="Button 55">
          <controlPr defaultSize="0" print="0" autoFill="0" autoPict="0" macro="[0]!Base_Labels">
            <anchor moveWithCells="1" sizeWithCells="1">
              <from>
                <xdr:col>28</xdr:col>
                <xdr:colOff>466725</xdr:colOff>
                <xdr:row>11</xdr:row>
                <xdr:rowOff>0</xdr:rowOff>
              </from>
              <to>
                <xdr:col>29</xdr:col>
                <xdr:colOff>276225</xdr:colOff>
                <xdr:row>12</xdr:row>
                <xdr:rowOff>0</xdr:rowOff>
              </to>
            </anchor>
          </controlPr>
        </control>
      </mc:Choice>
    </mc:AlternateContent>
    <mc:AlternateContent xmlns:mc="http://schemas.openxmlformats.org/markup-compatibility/2006">
      <mc:Choice Requires="x14">
        <control shapeId="16444" r:id="rId33" name="Button 60">
          <controlPr defaultSize="0" print="0" autoFill="0" autoPict="0" macro="[0]!NextTraceOne">
            <anchor moveWithCells="1" sizeWithCells="1">
              <from>
                <xdr:col>27</xdr:col>
                <xdr:colOff>19050</xdr:colOff>
                <xdr:row>19</xdr:row>
                <xdr:rowOff>114300</xdr:rowOff>
              </from>
              <to>
                <xdr:col>27</xdr:col>
                <xdr:colOff>381000</xdr:colOff>
                <xdr:row>21</xdr:row>
                <xdr:rowOff>104775</xdr:rowOff>
              </to>
            </anchor>
          </controlPr>
        </control>
      </mc:Choice>
    </mc:AlternateContent>
    <mc:AlternateContent xmlns:mc="http://schemas.openxmlformats.org/markup-compatibility/2006">
      <mc:Choice Requires="x14">
        <control shapeId="16445" r:id="rId34" name="Button 61">
          <controlPr defaultSize="0" print="0" autoFill="0" autoPict="0" macro="[0]!PreviousTraceOne">
            <anchor moveWithCells="1" sizeWithCells="1">
              <from>
                <xdr:col>25</xdr:col>
                <xdr:colOff>238125</xdr:colOff>
                <xdr:row>19</xdr:row>
                <xdr:rowOff>114300</xdr:rowOff>
              </from>
              <to>
                <xdr:col>25</xdr:col>
                <xdr:colOff>600075</xdr:colOff>
                <xdr:row>21</xdr:row>
                <xdr:rowOff>95250</xdr:rowOff>
              </to>
            </anchor>
          </controlPr>
        </control>
      </mc:Choice>
    </mc:AlternateContent>
    <mc:AlternateContent xmlns:mc="http://schemas.openxmlformats.org/markup-compatibility/2006">
      <mc:Choice Requires="x14">
        <control shapeId="16446" r:id="rId35" name="Button 62">
          <controlPr defaultSize="0" print="0" autoFill="0" autoPict="0" macro="[0]!PreviousTraceTen">
            <anchor moveWithCells="1" sizeWithCells="1">
              <from>
                <xdr:col>25</xdr:col>
                <xdr:colOff>9525</xdr:colOff>
                <xdr:row>19</xdr:row>
                <xdr:rowOff>114300</xdr:rowOff>
              </from>
              <to>
                <xdr:col>25</xdr:col>
                <xdr:colOff>228600</xdr:colOff>
                <xdr:row>21</xdr:row>
                <xdr:rowOff>95250</xdr:rowOff>
              </to>
            </anchor>
          </controlPr>
        </control>
      </mc:Choice>
    </mc:AlternateContent>
    <mc:AlternateContent xmlns:mc="http://schemas.openxmlformats.org/markup-compatibility/2006">
      <mc:Choice Requires="x14">
        <control shapeId="16447" r:id="rId36" name="Button 63">
          <controlPr defaultSize="0" print="0" autoFill="0" autoPict="0" macro="[0]!NextTraceTen">
            <anchor moveWithCells="1" sizeWithCells="1">
              <from>
                <xdr:col>27</xdr:col>
                <xdr:colOff>390525</xdr:colOff>
                <xdr:row>19</xdr:row>
                <xdr:rowOff>114300</xdr:rowOff>
              </from>
              <to>
                <xdr:col>28</xdr:col>
                <xdr:colOff>0</xdr:colOff>
                <xdr:row>21</xdr:row>
                <xdr:rowOff>104775</xdr:rowOff>
              </to>
            </anchor>
          </controlPr>
        </control>
      </mc:Choice>
    </mc:AlternateContent>
    <mc:AlternateContent xmlns:mc="http://schemas.openxmlformats.org/markup-compatibility/2006">
      <mc:Choice Requires="x14">
        <control shapeId="16450" r:id="rId37" name="Button 66">
          <controlPr defaultSize="0" print="0" autoFill="0" autoPict="0" macro="[0]!UVSearchOne">
            <anchor moveWithCells="1" sizeWithCells="1">
              <from>
                <xdr:col>25</xdr:col>
                <xdr:colOff>609600</xdr:colOff>
                <xdr:row>17</xdr:row>
                <xdr:rowOff>0</xdr:rowOff>
              </from>
              <to>
                <xdr:col>26</xdr:col>
                <xdr:colOff>609600</xdr:colOff>
                <xdr:row>19</xdr:row>
                <xdr:rowOff>9525</xdr:rowOff>
              </to>
            </anchor>
          </controlPr>
        </control>
      </mc:Choice>
    </mc:AlternateContent>
    <mc:AlternateContent xmlns:mc="http://schemas.openxmlformats.org/markup-compatibility/2006">
      <mc:Choice Requires="x14">
        <control shapeId="16451" r:id="rId38" name="Button 67">
          <controlPr defaultSize="0" print="0" autoFill="0" autoPict="0" macro="[0]!Clear_Inset">
            <anchor moveWithCells="1" sizeWithCells="1">
              <from>
                <xdr:col>27</xdr:col>
                <xdr:colOff>19050</xdr:colOff>
                <xdr:row>17</xdr:row>
                <xdr:rowOff>0</xdr:rowOff>
              </from>
              <to>
                <xdr:col>28</xdr:col>
                <xdr:colOff>0</xdr:colOff>
                <xdr:row>19</xdr:row>
                <xdr:rowOff>9525</xdr:rowOff>
              </to>
            </anchor>
          </controlPr>
        </control>
      </mc:Choice>
    </mc:AlternateContent>
    <mc:AlternateContent xmlns:mc="http://schemas.openxmlformats.org/markup-compatibility/2006">
      <mc:Choice Requires="x14">
        <control shapeId="16452" r:id="rId39" name="Button 68">
          <controlPr defaultSize="0" print="0" autoFill="0" autoPict="0" macro="[0]!KeepDbaseTrace">
            <anchor moveWithCells="1" sizeWithCells="1">
              <from>
                <xdr:col>25</xdr:col>
                <xdr:colOff>9525</xdr:colOff>
                <xdr:row>17</xdr:row>
                <xdr:rowOff>0</xdr:rowOff>
              </from>
              <to>
                <xdr:col>25</xdr:col>
                <xdr:colOff>590550</xdr:colOff>
                <xdr:row>19</xdr:row>
                <xdr:rowOff>9525</xdr:rowOff>
              </to>
            </anchor>
          </controlPr>
        </control>
      </mc:Choice>
    </mc:AlternateContent>
    <mc:AlternateContent xmlns:mc="http://schemas.openxmlformats.org/markup-compatibility/2006">
      <mc:Choice Requires="x14">
        <control shapeId="16457" r:id="rId40" name="Check Box 73">
          <controlPr defaultSize="0" autoFill="0" autoLine="0" autoPict="0">
            <anchor moveWithCells="1">
              <from>
                <xdr:col>19</xdr:col>
                <xdr:colOff>0</xdr:colOff>
                <xdr:row>16</xdr:row>
                <xdr:rowOff>0</xdr:rowOff>
              </from>
              <to>
                <xdr:col>20</xdr:col>
                <xdr:colOff>466725</xdr:colOff>
                <xdr:row>17</xdr:row>
                <xdr:rowOff>0</xdr:rowOff>
              </to>
            </anchor>
          </controlPr>
        </control>
      </mc:Choice>
    </mc:AlternateContent>
    <mc:AlternateContent xmlns:mc="http://schemas.openxmlformats.org/markup-compatibility/2006">
      <mc:Choice Requires="x14">
        <control shapeId="16458" r:id="rId41" name="Check Box 74">
          <controlPr defaultSize="0" autoFill="0" autoLine="0" autoPict="0">
            <anchor moveWithCells="1">
              <from>
                <xdr:col>19</xdr:col>
                <xdr:colOff>0</xdr:colOff>
                <xdr:row>18</xdr:row>
                <xdr:rowOff>0</xdr:rowOff>
              </from>
              <to>
                <xdr:col>20</xdr:col>
                <xdr:colOff>476250</xdr:colOff>
                <xdr:row>19</xdr:row>
                <xdr:rowOff>9525</xdr:rowOff>
              </to>
            </anchor>
          </controlPr>
        </control>
      </mc:Choice>
    </mc:AlternateContent>
    <mc:AlternateContent xmlns:mc="http://schemas.openxmlformats.org/markup-compatibility/2006">
      <mc:Choice Requires="x14">
        <control shapeId="16459" r:id="rId42" name="Check Box 75">
          <controlPr defaultSize="0" autoFill="0" autoLine="0" autoPict="0">
            <anchor moveWithCells="1">
              <from>
                <xdr:col>19</xdr:col>
                <xdr:colOff>0</xdr:colOff>
                <xdr:row>20</xdr:row>
                <xdr:rowOff>0</xdr:rowOff>
              </from>
              <to>
                <xdr:col>20</xdr:col>
                <xdr:colOff>476250</xdr:colOff>
                <xdr:row>21</xdr:row>
                <xdr:rowOff>0</xdr:rowOff>
              </to>
            </anchor>
          </controlPr>
        </control>
      </mc:Choice>
    </mc:AlternateContent>
    <mc:AlternateContent xmlns:mc="http://schemas.openxmlformats.org/markup-compatibility/2006">
      <mc:Choice Requires="x14">
        <control shapeId="16460" r:id="rId43" name="Check Box 76">
          <controlPr defaultSize="0" autoFill="0" autoLine="0" autoPict="0">
            <anchor moveWithCells="1">
              <from>
                <xdr:col>28</xdr:col>
                <xdr:colOff>9525</xdr:colOff>
                <xdr:row>17</xdr:row>
                <xdr:rowOff>0</xdr:rowOff>
              </from>
              <to>
                <xdr:col>29</xdr:col>
                <xdr:colOff>266700</xdr:colOff>
                <xdr:row>18</xdr:row>
                <xdr:rowOff>9525</xdr:rowOff>
              </to>
            </anchor>
          </controlPr>
        </control>
      </mc:Choice>
    </mc:AlternateContent>
    <mc:AlternateContent xmlns:mc="http://schemas.openxmlformats.org/markup-compatibility/2006">
      <mc:Choice Requires="x14">
        <control shapeId="16461" r:id="rId44" name="Check Box 77">
          <controlPr defaultSize="0" autoFill="0" autoLine="0" autoPict="0">
            <anchor moveWithCells="1">
              <from>
                <xdr:col>28</xdr:col>
                <xdr:colOff>9525</xdr:colOff>
                <xdr:row>18</xdr:row>
                <xdr:rowOff>0</xdr:rowOff>
              </from>
              <to>
                <xdr:col>29</xdr:col>
                <xdr:colOff>266700</xdr:colOff>
                <xdr:row>19</xdr:row>
                <xdr:rowOff>9525</xdr:rowOff>
              </to>
            </anchor>
          </controlPr>
        </control>
      </mc:Choice>
    </mc:AlternateContent>
  </controls>
  <extLst>
    <ext xmlns:x14="http://schemas.microsoft.com/office/spreadsheetml/2009/9/main" uri="{CCE6A557-97BC-4b89-ADB6-D9C93CAAB3DF}">
      <x14:dataValidations xmlns:xm="http://schemas.microsoft.com/office/excel/2006/main" disablePrompts="1" count="1">
        <x14:dataValidation type="list" allowBlank="1" showInputMessage="1" xr:uid="{00000000-0002-0000-0500-000000000000}">
          <x14:formula1>
            <xm:f>Summary!$K$2:$K$9</xm:f>
          </x14:formula1>
          <xm:sqref>AB18</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HX1"/>
  <sheetViews>
    <sheetView workbookViewId="0"/>
  </sheetViews>
  <sheetFormatPr defaultRowHeight="15" x14ac:dyDescent="0.25"/>
  <cols>
    <col min="1" max="1" width="56.5703125" customWidth="1"/>
    <col min="2" max="2" width="13.28515625" customWidth="1"/>
    <col min="3" max="4" width="43.140625" customWidth="1"/>
    <col min="5" max="5" width="17.42578125" customWidth="1"/>
    <col min="232" max="232" width="23.140625" customWidth="1"/>
  </cols>
  <sheetData>
    <row r="1" spans="1:232" x14ac:dyDescent="0.25">
      <c r="A1" s="104"/>
      <c r="B1" s="5" t="s">
        <v>93</v>
      </c>
      <c r="C1" s="5" t="s">
        <v>90</v>
      </c>
      <c r="D1" s="5" t="s">
        <v>130</v>
      </c>
      <c r="E1" s="5" t="s">
        <v>92</v>
      </c>
      <c r="F1" s="84">
        <v>190</v>
      </c>
      <c r="G1" s="84">
        <v>192</v>
      </c>
      <c r="H1" s="84">
        <v>194</v>
      </c>
      <c r="I1" s="84">
        <v>196</v>
      </c>
      <c r="J1" s="84">
        <v>198</v>
      </c>
      <c r="K1" s="84">
        <v>200</v>
      </c>
      <c r="L1" s="84">
        <v>202</v>
      </c>
      <c r="M1" s="84">
        <v>204</v>
      </c>
      <c r="N1" s="84">
        <v>206</v>
      </c>
      <c r="O1" s="84">
        <v>208</v>
      </c>
      <c r="P1" s="84">
        <v>210</v>
      </c>
      <c r="Q1" s="84">
        <v>212</v>
      </c>
      <c r="R1" s="84">
        <v>214</v>
      </c>
      <c r="S1" s="84">
        <v>216</v>
      </c>
      <c r="T1" s="84">
        <v>218</v>
      </c>
      <c r="U1" s="84">
        <v>220</v>
      </c>
      <c r="V1" s="84">
        <v>222</v>
      </c>
      <c r="W1" s="84">
        <v>224</v>
      </c>
      <c r="X1" s="84">
        <v>226</v>
      </c>
      <c r="Y1" s="84">
        <v>228</v>
      </c>
      <c r="Z1" s="84">
        <v>230</v>
      </c>
      <c r="AA1" s="84">
        <v>232</v>
      </c>
      <c r="AB1" s="84">
        <v>234</v>
      </c>
      <c r="AC1" s="84">
        <v>236</v>
      </c>
      <c r="AD1" s="84">
        <v>238</v>
      </c>
      <c r="AE1" s="84">
        <v>240</v>
      </c>
      <c r="AF1" s="84">
        <v>242</v>
      </c>
      <c r="AG1" s="84">
        <v>244</v>
      </c>
      <c r="AH1" s="84">
        <v>246</v>
      </c>
      <c r="AI1" s="84">
        <v>248</v>
      </c>
      <c r="AJ1" s="84">
        <v>250</v>
      </c>
      <c r="AK1" s="84">
        <v>252</v>
      </c>
      <c r="AL1" s="84">
        <v>254</v>
      </c>
      <c r="AM1" s="84">
        <v>256</v>
      </c>
      <c r="AN1" s="84">
        <v>258</v>
      </c>
      <c r="AO1" s="84">
        <v>260</v>
      </c>
      <c r="AP1" s="84">
        <v>262</v>
      </c>
      <c r="AQ1" s="84">
        <v>264</v>
      </c>
      <c r="AR1" s="84">
        <v>266</v>
      </c>
      <c r="AS1" s="84">
        <v>268</v>
      </c>
      <c r="AT1" s="84">
        <v>270</v>
      </c>
      <c r="AU1" s="84">
        <v>272</v>
      </c>
      <c r="AV1" s="84">
        <v>274</v>
      </c>
      <c r="AW1" s="84">
        <v>276</v>
      </c>
      <c r="AX1" s="84">
        <v>278</v>
      </c>
      <c r="AY1" s="84">
        <v>280</v>
      </c>
      <c r="AZ1" s="84">
        <v>282</v>
      </c>
      <c r="BA1" s="84">
        <v>284</v>
      </c>
      <c r="BB1" s="84">
        <v>286</v>
      </c>
      <c r="BC1" s="84">
        <v>288</v>
      </c>
      <c r="BD1" s="84">
        <v>290</v>
      </c>
      <c r="BE1" s="84">
        <v>292</v>
      </c>
      <c r="BF1" s="84">
        <v>294</v>
      </c>
      <c r="BG1" s="84">
        <v>296</v>
      </c>
      <c r="BH1" s="84">
        <v>298</v>
      </c>
      <c r="BI1" s="84">
        <v>300</v>
      </c>
      <c r="BJ1" s="84">
        <v>302</v>
      </c>
      <c r="BK1" s="84">
        <v>304</v>
      </c>
      <c r="BL1" s="84">
        <v>306</v>
      </c>
      <c r="BM1" s="84">
        <v>308</v>
      </c>
      <c r="BN1" s="84">
        <v>310</v>
      </c>
      <c r="BO1" s="84">
        <v>312</v>
      </c>
      <c r="BP1" s="84">
        <v>314</v>
      </c>
      <c r="BQ1" s="84">
        <v>316</v>
      </c>
      <c r="BR1" s="84">
        <v>318</v>
      </c>
      <c r="BS1" s="84">
        <v>320</v>
      </c>
      <c r="BT1" s="84">
        <v>322</v>
      </c>
      <c r="BU1" s="84">
        <v>324</v>
      </c>
      <c r="BV1" s="84">
        <v>326</v>
      </c>
      <c r="BW1" s="84">
        <v>328</v>
      </c>
      <c r="BX1" s="84">
        <v>330</v>
      </c>
      <c r="BY1" s="84">
        <v>332</v>
      </c>
      <c r="BZ1" s="84">
        <v>334</v>
      </c>
      <c r="CA1" s="84">
        <v>336</v>
      </c>
      <c r="CB1" s="84">
        <v>338</v>
      </c>
      <c r="CC1" s="84">
        <v>340</v>
      </c>
      <c r="CD1" s="84">
        <v>342</v>
      </c>
      <c r="CE1" s="84">
        <v>344</v>
      </c>
      <c r="CF1" s="84">
        <v>346</v>
      </c>
      <c r="CG1" s="84">
        <v>348</v>
      </c>
      <c r="CH1" s="84">
        <v>350</v>
      </c>
      <c r="CI1" s="84">
        <v>352</v>
      </c>
      <c r="CJ1" s="84">
        <v>354</v>
      </c>
      <c r="CK1" s="84">
        <v>356</v>
      </c>
      <c r="CL1" s="84">
        <v>358</v>
      </c>
      <c r="CM1" s="84">
        <v>360</v>
      </c>
      <c r="CN1" s="84">
        <v>362</v>
      </c>
      <c r="CO1" s="84">
        <v>364</v>
      </c>
      <c r="CP1" s="84">
        <v>366</v>
      </c>
      <c r="CQ1" s="84">
        <v>368</v>
      </c>
      <c r="CR1" s="84">
        <v>370</v>
      </c>
      <c r="CS1" s="84">
        <v>372</v>
      </c>
      <c r="CT1" s="84">
        <v>374</v>
      </c>
      <c r="CU1" s="84">
        <v>376</v>
      </c>
      <c r="CV1" s="84">
        <v>378</v>
      </c>
      <c r="CW1" s="84">
        <v>380</v>
      </c>
      <c r="CX1" s="84">
        <v>382</v>
      </c>
      <c r="CY1" s="84">
        <v>384</v>
      </c>
      <c r="CZ1" s="84">
        <v>386</v>
      </c>
      <c r="DA1" s="84">
        <v>388</v>
      </c>
      <c r="DB1" s="84">
        <v>390</v>
      </c>
      <c r="DC1" s="84">
        <v>392</v>
      </c>
      <c r="DD1" s="84">
        <v>394</v>
      </c>
      <c r="DE1" s="84">
        <v>396</v>
      </c>
      <c r="DF1" s="84">
        <v>398</v>
      </c>
      <c r="DG1" s="84">
        <v>400</v>
      </c>
      <c r="DH1" s="84">
        <v>402</v>
      </c>
      <c r="DI1" s="84">
        <v>404</v>
      </c>
      <c r="DJ1" s="84">
        <v>406</v>
      </c>
      <c r="DK1" s="84">
        <v>408</v>
      </c>
      <c r="DL1" s="84">
        <v>410</v>
      </c>
      <c r="DM1" s="84">
        <v>412</v>
      </c>
      <c r="DN1" s="84">
        <v>414</v>
      </c>
      <c r="DO1" s="84">
        <v>416</v>
      </c>
      <c r="DP1" s="84">
        <v>418</v>
      </c>
      <c r="DQ1" s="84">
        <v>420</v>
      </c>
      <c r="DR1" s="84">
        <v>422</v>
      </c>
      <c r="DS1" s="84">
        <v>424</v>
      </c>
      <c r="DT1" s="84">
        <v>426</v>
      </c>
      <c r="DU1" s="84">
        <v>428</v>
      </c>
      <c r="DV1" s="84">
        <v>430</v>
      </c>
      <c r="DW1" s="84">
        <v>432</v>
      </c>
      <c r="DX1" s="84">
        <v>434</v>
      </c>
      <c r="DY1" s="84">
        <v>436</v>
      </c>
      <c r="DZ1" s="84">
        <v>438</v>
      </c>
      <c r="EA1" s="84">
        <v>440</v>
      </c>
      <c r="EB1" s="84">
        <v>442</v>
      </c>
      <c r="EC1" s="84">
        <v>444</v>
      </c>
      <c r="ED1" s="84">
        <v>446</v>
      </c>
      <c r="EE1" s="84">
        <v>448</v>
      </c>
      <c r="EF1" s="84">
        <v>450</v>
      </c>
      <c r="EG1" s="84">
        <v>452</v>
      </c>
      <c r="EH1" s="84">
        <v>454</v>
      </c>
      <c r="EI1" s="84">
        <v>456</v>
      </c>
      <c r="EJ1" s="84">
        <v>458</v>
      </c>
      <c r="EK1" s="84">
        <v>460</v>
      </c>
      <c r="EL1" s="84">
        <v>462</v>
      </c>
      <c r="EM1" s="84">
        <v>464</v>
      </c>
      <c r="EN1" s="84">
        <v>466</v>
      </c>
      <c r="EO1" s="84">
        <v>468</v>
      </c>
      <c r="EP1" s="84">
        <v>470</v>
      </c>
      <c r="EQ1" s="84">
        <v>472</v>
      </c>
      <c r="ER1" s="84">
        <v>474</v>
      </c>
      <c r="ES1" s="84">
        <v>476</v>
      </c>
      <c r="ET1" s="84">
        <v>478</v>
      </c>
      <c r="EU1" s="84">
        <v>480</v>
      </c>
      <c r="EV1" s="84">
        <v>482</v>
      </c>
      <c r="EW1" s="84">
        <v>484</v>
      </c>
      <c r="EX1" s="84">
        <v>486</v>
      </c>
      <c r="EY1" s="84">
        <v>488</v>
      </c>
      <c r="EZ1" s="84">
        <v>490</v>
      </c>
      <c r="FA1" s="84">
        <v>492</v>
      </c>
      <c r="FB1" s="84">
        <v>494</v>
      </c>
      <c r="FC1" s="84">
        <v>496</v>
      </c>
      <c r="FD1" s="84">
        <v>498</v>
      </c>
      <c r="FE1" s="84">
        <v>500</v>
      </c>
      <c r="FF1" s="84">
        <v>502</v>
      </c>
      <c r="FG1" s="84">
        <v>504</v>
      </c>
      <c r="FH1" s="84">
        <v>506</v>
      </c>
      <c r="FI1" s="84">
        <v>508</v>
      </c>
      <c r="FJ1" s="84">
        <v>510</v>
      </c>
      <c r="FK1" s="84">
        <v>512</v>
      </c>
      <c r="FL1" s="84">
        <v>514</v>
      </c>
      <c r="FM1" s="84">
        <v>516</v>
      </c>
      <c r="FN1" s="84">
        <v>518</v>
      </c>
      <c r="FO1" s="84">
        <v>520</v>
      </c>
      <c r="FP1" s="84">
        <v>522</v>
      </c>
      <c r="FQ1" s="84">
        <v>524</v>
      </c>
      <c r="FR1" s="84">
        <v>526</v>
      </c>
      <c r="FS1" s="84">
        <v>528</v>
      </c>
      <c r="FT1" s="84">
        <v>530</v>
      </c>
      <c r="FU1" s="84">
        <v>532</v>
      </c>
      <c r="FV1" s="84">
        <v>534</v>
      </c>
      <c r="FW1" s="84">
        <v>536</v>
      </c>
      <c r="FX1" s="84">
        <v>538</v>
      </c>
      <c r="FY1" s="84">
        <v>540</v>
      </c>
      <c r="FZ1" s="84">
        <v>542</v>
      </c>
      <c r="GA1" s="84">
        <v>544</v>
      </c>
      <c r="GB1" s="84">
        <v>546</v>
      </c>
      <c r="GC1" s="84">
        <v>548</v>
      </c>
      <c r="GD1" s="84">
        <v>550</v>
      </c>
      <c r="GE1" s="84">
        <v>552</v>
      </c>
      <c r="GF1" s="84">
        <v>554</v>
      </c>
      <c r="GG1" s="84">
        <v>556</v>
      </c>
      <c r="GH1" s="84">
        <v>558</v>
      </c>
      <c r="GI1" s="84">
        <v>560</v>
      </c>
      <c r="GJ1" s="84">
        <v>562</v>
      </c>
      <c r="GK1" s="84">
        <v>564</v>
      </c>
      <c r="GL1" s="84">
        <v>566</v>
      </c>
      <c r="GM1" s="84">
        <v>568</v>
      </c>
      <c r="GN1" s="84">
        <v>570</v>
      </c>
      <c r="GO1" s="84">
        <v>572</v>
      </c>
      <c r="GP1" s="84">
        <v>574</v>
      </c>
      <c r="GQ1" s="84">
        <v>576</v>
      </c>
      <c r="GR1" s="84">
        <v>578</v>
      </c>
      <c r="GS1" s="84">
        <v>580</v>
      </c>
      <c r="GT1" s="84">
        <v>582</v>
      </c>
      <c r="GU1" s="84">
        <v>584</v>
      </c>
      <c r="GV1" s="84">
        <v>586</v>
      </c>
      <c r="GW1" s="84">
        <v>588</v>
      </c>
      <c r="GX1" s="84">
        <v>590</v>
      </c>
      <c r="GY1" s="84">
        <v>592</v>
      </c>
      <c r="GZ1" s="84">
        <v>594</v>
      </c>
      <c r="HA1" s="84">
        <v>596</v>
      </c>
      <c r="HB1" s="84">
        <v>598</v>
      </c>
      <c r="HC1" s="84">
        <v>600</v>
      </c>
      <c r="HD1" s="84">
        <v>602</v>
      </c>
      <c r="HE1" s="84">
        <v>604</v>
      </c>
      <c r="HF1" s="84">
        <v>606</v>
      </c>
      <c r="HG1" s="84">
        <v>608</v>
      </c>
      <c r="HH1" s="84">
        <v>610</v>
      </c>
      <c r="HI1" s="84">
        <v>612</v>
      </c>
      <c r="HJ1" s="84">
        <v>614</v>
      </c>
      <c r="HK1" s="84">
        <v>616</v>
      </c>
      <c r="HL1" s="84">
        <v>618</v>
      </c>
      <c r="HM1" s="84">
        <v>620</v>
      </c>
      <c r="HN1" s="84">
        <v>622</v>
      </c>
      <c r="HO1" s="84">
        <v>624</v>
      </c>
      <c r="HP1" s="84">
        <v>626</v>
      </c>
      <c r="HQ1" s="84">
        <v>628</v>
      </c>
      <c r="HR1" s="84">
        <v>630</v>
      </c>
      <c r="HS1" s="84">
        <v>632</v>
      </c>
      <c r="HT1" s="84">
        <v>634</v>
      </c>
      <c r="HU1" s="84">
        <v>636</v>
      </c>
      <c r="HV1" s="84">
        <v>638</v>
      </c>
      <c r="HW1" s="84">
        <v>640</v>
      </c>
      <c r="HX1" s="5" t="s">
        <v>97</v>
      </c>
    </row>
  </sheetData>
  <autoFilter ref="B1:HX1" xr:uid="{00000000-0009-0000-0000-00000600000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DbaseLoad">
                <anchor moveWithCells="1" sizeWithCells="1">
                  <from>
                    <xdr:col>0</xdr:col>
                    <xdr:colOff>1390650</xdr:colOff>
                    <xdr:row>4</xdr:row>
                    <xdr:rowOff>180975</xdr:rowOff>
                  </from>
                  <to>
                    <xdr:col>0</xdr:col>
                    <xdr:colOff>2371725</xdr:colOff>
                    <xdr:row>7</xdr:row>
                    <xdr:rowOff>0</xdr:rowOff>
                  </to>
                </anchor>
              </controlPr>
            </control>
          </mc:Choice>
        </mc:AlternateContent>
        <mc:AlternateContent xmlns:mc="http://schemas.openxmlformats.org/markup-compatibility/2006">
          <mc:Choice Requires="x14">
            <control shapeId="14338" r:id="rId4" name="Button 2">
              <controlPr defaultSize="0" print="0" autoFill="0" autoPict="0" macro="[0]!DbaseAppend">
                <anchor moveWithCells="1" sizeWithCells="1">
                  <from>
                    <xdr:col>0</xdr:col>
                    <xdr:colOff>1390650</xdr:colOff>
                    <xdr:row>8</xdr:row>
                    <xdr:rowOff>0</xdr:rowOff>
                  </from>
                  <to>
                    <xdr:col>0</xdr:col>
                    <xdr:colOff>2371725</xdr:colOff>
                    <xdr:row>10</xdr:row>
                    <xdr:rowOff>9525</xdr:rowOff>
                  </to>
                </anchor>
              </controlPr>
            </control>
          </mc:Choice>
        </mc:AlternateContent>
        <mc:AlternateContent xmlns:mc="http://schemas.openxmlformats.org/markup-compatibility/2006">
          <mc:Choice Requires="x14">
            <control shapeId="14339" r:id="rId5" name="Button 3">
              <controlPr defaultSize="0" print="0" autoFill="0" autoPict="0" macro="[0]!DbaseSave">
                <anchor moveWithCells="1" sizeWithCells="1">
                  <from>
                    <xdr:col>0</xdr:col>
                    <xdr:colOff>1390650</xdr:colOff>
                    <xdr:row>11</xdr:row>
                    <xdr:rowOff>0</xdr:rowOff>
                  </from>
                  <to>
                    <xdr:col>0</xdr:col>
                    <xdr:colOff>2371725</xdr:colOff>
                    <xdr:row>13</xdr:row>
                    <xdr:rowOff>9525</xdr:rowOff>
                  </to>
                </anchor>
              </controlPr>
            </control>
          </mc:Choice>
        </mc:AlternateContent>
        <mc:AlternateContent xmlns:mc="http://schemas.openxmlformats.org/markup-compatibility/2006">
          <mc:Choice Requires="x14">
            <control shapeId="14340" r:id="rId6" name="Button 4">
              <controlPr defaultSize="0" print="0" autoFill="0" autoPict="0" macro="[0]!DbaseClear">
                <anchor moveWithCells="1" sizeWithCells="1">
                  <from>
                    <xdr:col>0</xdr:col>
                    <xdr:colOff>1390650</xdr:colOff>
                    <xdr:row>14</xdr:row>
                    <xdr:rowOff>9525</xdr:rowOff>
                  </from>
                  <to>
                    <xdr:col>0</xdr:col>
                    <xdr:colOff>2371725</xdr:colOff>
                    <xdr:row>16</xdr:row>
                    <xdr:rowOff>19050</xdr:rowOff>
                  </to>
                </anchor>
              </controlPr>
            </control>
          </mc:Choice>
        </mc:AlternateContent>
        <mc:AlternateContent xmlns:mc="http://schemas.openxmlformats.org/markup-compatibility/2006">
          <mc:Choice Requires="x14">
            <control shapeId="14341" r:id="rId7" name="Button 5">
              <controlPr defaultSize="0" print="0" autoFill="0" autoPict="0" macro="[0]!DbaseAdd">
                <anchor moveWithCells="1" sizeWithCells="1">
                  <from>
                    <xdr:col>0</xdr:col>
                    <xdr:colOff>1390650</xdr:colOff>
                    <xdr:row>1</xdr:row>
                    <xdr:rowOff>171450</xdr:rowOff>
                  </from>
                  <to>
                    <xdr:col>0</xdr:col>
                    <xdr:colOff>2371725</xdr:colOff>
                    <xdr:row>3</xdr:row>
                    <xdr:rowOff>180975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U37"/>
  <sheetViews>
    <sheetView zoomScaleNormal="100" workbookViewId="0"/>
  </sheetViews>
  <sheetFormatPr defaultRowHeight="15" x14ac:dyDescent="0.25"/>
  <cols>
    <col min="1" max="10" width="11" customWidth="1"/>
  </cols>
  <sheetData>
    <row r="1" spans="1:18" x14ac:dyDescent="0.25">
      <c r="A1" s="117"/>
      <c r="B1" s="118"/>
      <c r="C1" s="118"/>
      <c r="D1" s="118"/>
      <c r="E1" s="118"/>
      <c r="F1" s="118"/>
      <c r="G1" s="118"/>
      <c r="H1" s="119"/>
      <c r="I1" s="119"/>
      <c r="J1" s="119"/>
      <c r="K1" s="120"/>
      <c r="L1" s="120"/>
      <c r="M1" s="120"/>
      <c r="N1" s="120"/>
      <c r="O1" s="120"/>
      <c r="P1" s="53" t="s">
        <v>94</v>
      </c>
    </row>
    <row r="2" spans="1:18" x14ac:dyDescent="0.25">
      <c r="A2" s="118"/>
      <c r="B2" s="117"/>
      <c r="C2" s="117"/>
      <c r="D2" s="117"/>
      <c r="E2" s="117"/>
      <c r="F2" s="117"/>
      <c r="G2" s="117"/>
      <c r="H2" s="117"/>
      <c r="I2" s="117"/>
      <c r="J2" s="117"/>
      <c r="K2" s="120"/>
      <c r="L2" s="120"/>
      <c r="M2" s="120"/>
      <c r="N2" s="120"/>
      <c r="O2" s="120"/>
    </row>
    <row r="3" spans="1:18" x14ac:dyDescent="0.25">
      <c r="A3" s="118"/>
      <c r="B3" s="117"/>
      <c r="C3" s="117"/>
      <c r="D3" s="117"/>
      <c r="E3" s="117"/>
      <c r="F3" s="117"/>
      <c r="G3" s="117"/>
      <c r="H3" s="117"/>
      <c r="I3" s="117"/>
      <c r="J3" s="117"/>
      <c r="K3" s="120"/>
      <c r="L3" s="120"/>
      <c r="M3" s="120"/>
      <c r="N3" s="120"/>
      <c r="O3" s="120"/>
    </row>
    <row r="4" spans="1:18" ht="15.75" thickBot="1" x14ac:dyDescent="0.3">
      <c r="A4" s="118"/>
      <c r="B4" s="117"/>
      <c r="C4" s="117"/>
      <c r="D4" s="117"/>
      <c r="E4" s="117"/>
      <c r="F4" s="117"/>
      <c r="G4" s="117"/>
      <c r="H4" s="117"/>
      <c r="I4" s="117"/>
      <c r="J4" s="117"/>
      <c r="K4" s="120"/>
      <c r="L4" s="120"/>
      <c r="M4" s="120"/>
      <c r="N4" s="120"/>
      <c r="O4" s="120"/>
    </row>
    <row r="5" spans="1:18" ht="15.75" thickBot="1" x14ac:dyDescent="0.3">
      <c r="A5" s="118"/>
      <c r="B5" s="117"/>
      <c r="C5" s="117"/>
      <c r="D5" s="117"/>
      <c r="E5" s="117"/>
      <c r="F5" s="117"/>
      <c r="G5" s="117"/>
      <c r="H5" s="117"/>
      <c r="I5" s="117"/>
      <c r="J5" s="117"/>
      <c r="K5" s="120"/>
      <c r="L5" s="120"/>
      <c r="M5" s="120"/>
      <c r="N5" s="120"/>
      <c r="O5" s="120"/>
      <c r="P5" s="62" t="s">
        <v>32</v>
      </c>
      <c r="Q5" s="49"/>
      <c r="R5" s="2">
        <v>1</v>
      </c>
    </row>
    <row r="6" spans="1:18" ht="15.75" thickBot="1" x14ac:dyDescent="0.3">
      <c r="A6" s="118"/>
      <c r="B6" s="117"/>
      <c r="C6" s="117"/>
      <c r="D6" s="117"/>
      <c r="E6" s="117"/>
      <c r="F6" s="117"/>
      <c r="G6" s="117"/>
      <c r="H6" s="117"/>
      <c r="I6" s="117"/>
      <c r="J6" s="117"/>
      <c r="K6" s="120"/>
      <c r="L6" s="120"/>
      <c r="M6" s="120"/>
      <c r="N6" s="120"/>
      <c r="O6" s="120"/>
      <c r="P6" s="62" t="s">
        <v>0</v>
      </c>
      <c r="Q6" s="49"/>
      <c r="R6" s="2">
        <v>1</v>
      </c>
    </row>
    <row r="7" spans="1:18" ht="15.75" thickBot="1" x14ac:dyDescent="0.3">
      <c r="A7" s="118"/>
      <c r="B7" s="117"/>
      <c r="C7" s="117"/>
      <c r="D7" s="117"/>
      <c r="E7" s="117"/>
      <c r="F7" s="117"/>
      <c r="G7" s="117"/>
      <c r="H7" s="117"/>
      <c r="I7" s="117"/>
      <c r="J7" s="117"/>
      <c r="K7" s="120"/>
      <c r="L7" s="120"/>
      <c r="M7" s="120"/>
      <c r="N7" s="120"/>
      <c r="O7" s="120"/>
      <c r="P7" s="62" t="s">
        <v>1</v>
      </c>
      <c r="Q7" s="49"/>
      <c r="R7" s="2">
        <v>1</v>
      </c>
    </row>
    <row r="8" spans="1:18" ht="15.75" thickBot="1" x14ac:dyDescent="0.3">
      <c r="A8" s="119"/>
      <c r="B8" s="117"/>
      <c r="C8" s="117"/>
      <c r="D8" s="117"/>
      <c r="E8" s="117"/>
      <c r="F8" s="117"/>
      <c r="G8" s="117"/>
      <c r="H8" s="117"/>
      <c r="I8" s="117"/>
      <c r="J8" s="117"/>
      <c r="K8" s="120"/>
      <c r="L8" s="120"/>
      <c r="M8" s="120"/>
      <c r="N8" s="120"/>
      <c r="O8" s="120"/>
      <c r="P8" s="62" t="s">
        <v>2</v>
      </c>
      <c r="Q8" s="49"/>
      <c r="R8" s="2"/>
    </row>
    <row r="9" spans="1:18" ht="15.75" thickBot="1" x14ac:dyDescent="0.3">
      <c r="A9" s="119"/>
      <c r="B9" s="117"/>
      <c r="C9" s="117"/>
      <c r="D9" s="117"/>
      <c r="E9" s="117"/>
      <c r="F9" s="117"/>
      <c r="G9" s="117"/>
      <c r="H9" s="117"/>
      <c r="I9" s="117"/>
      <c r="J9" s="117"/>
      <c r="K9" s="120"/>
      <c r="L9" s="120"/>
      <c r="M9" s="120"/>
      <c r="N9" s="120"/>
      <c r="O9" s="120"/>
      <c r="P9" s="62" t="s">
        <v>3</v>
      </c>
      <c r="Q9" s="49"/>
      <c r="R9" s="2"/>
    </row>
    <row r="10" spans="1:18" ht="15.75" thickBot="1" x14ac:dyDescent="0.3">
      <c r="A10" s="119"/>
      <c r="B10" s="117"/>
      <c r="C10" s="117"/>
      <c r="D10" s="117"/>
      <c r="E10" s="117"/>
      <c r="F10" s="117"/>
      <c r="G10" s="117"/>
      <c r="H10" s="117"/>
      <c r="I10" s="117"/>
      <c r="J10" s="117"/>
      <c r="K10" s="120"/>
      <c r="L10" s="120"/>
      <c r="M10" s="120"/>
      <c r="N10" s="120"/>
      <c r="O10" s="120"/>
      <c r="P10" s="62" t="s">
        <v>14</v>
      </c>
      <c r="Q10" s="49"/>
      <c r="R10" s="2"/>
    </row>
    <row r="11" spans="1:18" ht="15.75" thickBot="1" x14ac:dyDescent="0.3">
      <c r="A11" s="120"/>
      <c r="B11" s="120"/>
      <c r="C11" s="120"/>
      <c r="D11" s="120"/>
      <c r="E11" s="120"/>
      <c r="F11" s="120"/>
      <c r="G11" s="120"/>
      <c r="H11" s="120"/>
      <c r="I11" s="120"/>
      <c r="J11" s="120"/>
      <c r="K11" s="120"/>
      <c r="L11" s="120"/>
      <c r="M11" s="120"/>
      <c r="N11" s="120"/>
      <c r="O11" s="120"/>
      <c r="P11" s="62"/>
      <c r="Q11" s="49"/>
      <c r="R11" s="2"/>
    </row>
    <row r="12" spans="1:18" ht="15.75" thickBot="1" x14ac:dyDescent="0.3">
      <c r="A12" s="120"/>
      <c r="B12" s="120"/>
      <c r="C12" s="120"/>
      <c r="D12" s="120"/>
      <c r="E12" s="120"/>
      <c r="F12" s="120"/>
      <c r="G12" s="120"/>
      <c r="H12" s="120"/>
      <c r="I12" s="120"/>
      <c r="J12" s="120"/>
      <c r="K12" s="120"/>
      <c r="L12" s="120"/>
      <c r="M12" s="120"/>
      <c r="N12" s="120"/>
      <c r="O12" s="120"/>
      <c r="P12" s="62"/>
      <c r="Q12" s="49"/>
      <c r="R12" s="2"/>
    </row>
    <row r="13" spans="1:18" ht="15.75" thickBot="1" x14ac:dyDescent="0.3">
      <c r="A13" s="121"/>
      <c r="B13" s="120"/>
      <c r="C13" s="120"/>
      <c r="D13" s="118"/>
      <c r="E13" s="118"/>
      <c r="F13" s="122"/>
      <c r="G13" s="53" t="s">
        <v>96</v>
      </c>
      <c r="H13" s="54"/>
      <c r="I13" s="54"/>
      <c r="J13" s="54"/>
      <c r="K13" s="54"/>
      <c r="L13" s="54"/>
      <c r="M13" s="54"/>
      <c r="N13" s="54"/>
      <c r="O13" s="85"/>
      <c r="P13" s="62" t="s">
        <v>9</v>
      </c>
      <c r="Q13" s="49"/>
      <c r="R13" s="2"/>
    </row>
    <row r="14" spans="1:18" ht="15.75" thickBot="1" x14ac:dyDescent="0.3">
      <c r="A14" s="120"/>
      <c r="B14" s="120"/>
      <c r="C14" s="120"/>
      <c r="D14" s="119"/>
      <c r="E14" s="119"/>
      <c r="F14" s="120"/>
      <c r="G14" s="124" t="s">
        <v>105</v>
      </c>
      <c r="H14" s="1"/>
      <c r="I14" s="1"/>
      <c r="J14" s="87" t="s">
        <v>103</v>
      </c>
      <c r="K14" s="1"/>
      <c r="L14" s="89" t="s">
        <v>106</v>
      </c>
      <c r="M14" s="1"/>
      <c r="N14" s="1"/>
      <c r="O14" s="1"/>
      <c r="P14" s="62"/>
      <c r="Q14" s="49"/>
      <c r="R14" s="2"/>
    </row>
    <row r="15" spans="1:18" ht="15.75" thickBot="1" x14ac:dyDescent="0.3">
      <c r="A15" s="120"/>
      <c r="B15" s="120"/>
      <c r="C15" s="120"/>
      <c r="D15" s="120"/>
      <c r="E15" s="120"/>
      <c r="F15" s="120"/>
      <c r="G15" s="125" t="s">
        <v>102</v>
      </c>
      <c r="H15" s="4"/>
      <c r="I15" s="49"/>
      <c r="J15" s="2">
        <v>500</v>
      </c>
      <c r="K15" s="1"/>
      <c r="L15" s="88" t="s">
        <v>104</v>
      </c>
      <c r="M15" s="2">
        <v>200</v>
      </c>
      <c r="N15" s="2">
        <v>500</v>
      </c>
      <c r="O15" s="50" t="s">
        <v>83</v>
      </c>
      <c r="P15" s="62" t="s">
        <v>12</v>
      </c>
      <c r="Q15" s="49"/>
      <c r="R15" s="2">
        <v>1</v>
      </c>
    </row>
    <row r="16" spans="1:18" ht="15.75" thickBot="1" x14ac:dyDescent="0.3">
      <c r="A16" s="123"/>
      <c r="B16" s="120"/>
      <c r="C16" s="120"/>
      <c r="D16" s="120"/>
      <c r="E16" s="120"/>
      <c r="F16" s="120"/>
      <c r="G16" s="125" t="s">
        <v>98</v>
      </c>
      <c r="H16" s="4"/>
      <c r="I16" s="49"/>
      <c r="J16" s="2">
        <v>1.5</v>
      </c>
      <c r="K16" s="1"/>
      <c r="L16" s="1"/>
      <c r="M16" s="1"/>
      <c r="N16" s="1"/>
      <c r="O16" s="1"/>
      <c r="P16" s="62" t="s">
        <v>6</v>
      </c>
      <c r="Q16" s="49"/>
      <c r="R16" s="2">
        <v>1</v>
      </c>
    </row>
    <row r="17" spans="1:20" ht="15.75" thickBot="1" x14ac:dyDescent="0.3">
      <c r="A17" s="120"/>
      <c r="B17" s="120"/>
      <c r="C17" s="120"/>
      <c r="D17" s="120"/>
      <c r="E17" s="120"/>
      <c r="F17" s="120"/>
      <c r="G17" s="125" t="s">
        <v>99</v>
      </c>
      <c r="H17" s="4"/>
      <c r="I17" s="49"/>
      <c r="J17" s="2">
        <v>300</v>
      </c>
      <c r="K17" s="1"/>
      <c r="L17" s="1"/>
      <c r="M17" s="1"/>
      <c r="N17" s="1"/>
      <c r="O17" s="1"/>
      <c r="P17" s="62" t="s">
        <v>15</v>
      </c>
      <c r="Q17" s="49"/>
      <c r="R17" s="2"/>
    </row>
    <row r="18" spans="1:20" ht="15.75" thickBot="1" x14ac:dyDescent="0.3">
      <c r="A18" s="59"/>
      <c r="B18" s="60"/>
      <c r="C18" s="60"/>
      <c r="D18" s="60"/>
      <c r="E18" s="60"/>
      <c r="F18" s="60"/>
      <c r="G18" s="125" t="s">
        <v>100</v>
      </c>
      <c r="H18" s="4"/>
      <c r="I18" s="49"/>
      <c r="J18" s="2">
        <v>300</v>
      </c>
      <c r="K18" s="1"/>
      <c r="L18" s="1"/>
      <c r="M18" s="1"/>
      <c r="N18" s="1"/>
      <c r="O18" s="1"/>
      <c r="P18" s="62" t="s">
        <v>4</v>
      </c>
      <c r="Q18" s="49"/>
      <c r="R18" s="2">
        <v>1</v>
      </c>
    </row>
    <row r="19" spans="1:20" ht="15.75" thickBot="1" x14ac:dyDescent="0.3">
      <c r="A19" s="53" t="s">
        <v>87</v>
      </c>
      <c r="B19" s="54"/>
      <c r="C19" s="54"/>
      <c r="D19" s="54"/>
      <c r="E19" s="54"/>
      <c r="F19" s="54"/>
      <c r="G19" s="125" t="s">
        <v>101</v>
      </c>
      <c r="H19" s="4"/>
      <c r="I19" s="49"/>
      <c r="J19" s="2">
        <v>10</v>
      </c>
      <c r="K19" s="88" t="s">
        <v>110</v>
      </c>
      <c r="L19" s="2">
        <v>2</v>
      </c>
      <c r="M19" s="88" t="s">
        <v>109</v>
      </c>
      <c r="N19" s="2">
        <v>2</v>
      </c>
      <c r="O19" s="86"/>
      <c r="P19" s="62"/>
      <c r="Q19" s="49"/>
      <c r="R19" s="2"/>
    </row>
    <row r="20" spans="1:20" ht="15.75" thickBot="1" x14ac:dyDescent="0.3">
      <c r="A20" s="55"/>
      <c r="B20" s="1"/>
      <c r="C20" s="1"/>
      <c r="D20" s="1"/>
      <c r="E20" s="1"/>
      <c r="F20" s="1"/>
      <c r="G20" s="126"/>
      <c r="H20" s="1"/>
      <c r="I20" s="1"/>
      <c r="J20" s="1"/>
      <c r="K20" s="1"/>
      <c r="L20" s="1"/>
      <c r="M20" s="1"/>
      <c r="N20" s="1"/>
      <c r="O20" s="1"/>
      <c r="P20" s="62"/>
      <c r="Q20" s="49"/>
      <c r="R20" s="2"/>
    </row>
    <row r="21" spans="1:20" ht="15.75" thickBot="1" x14ac:dyDescent="0.3">
      <c r="A21" s="57" t="s">
        <v>76</v>
      </c>
      <c r="B21" s="4"/>
      <c r="C21" s="49"/>
      <c r="D21" s="2">
        <v>5</v>
      </c>
      <c r="E21" s="50" t="s">
        <v>19</v>
      </c>
      <c r="F21" s="1"/>
      <c r="G21" s="125" t="s">
        <v>88</v>
      </c>
      <c r="H21" s="4"/>
      <c r="I21" s="49"/>
      <c r="J21" s="2">
        <v>10</v>
      </c>
      <c r="K21" s="50" t="s">
        <v>19</v>
      </c>
      <c r="L21" s="1"/>
      <c r="M21" s="1"/>
      <c r="N21" s="1"/>
      <c r="O21" s="1"/>
      <c r="P21" s="62" t="s">
        <v>31</v>
      </c>
      <c r="Q21" s="49"/>
      <c r="R21" s="2"/>
    </row>
    <row r="22" spans="1:20" ht="15.75" thickBot="1" x14ac:dyDescent="0.3">
      <c r="A22" s="57" t="s">
        <v>77</v>
      </c>
      <c r="B22" s="4"/>
      <c r="C22" s="49"/>
      <c r="D22" s="2">
        <v>0.1</v>
      </c>
      <c r="E22" s="50" t="s">
        <v>82</v>
      </c>
      <c r="F22" s="1"/>
      <c r="G22" s="125" t="s">
        <v>89</v>
      </c>
      <c r="H22" s="4"/>
      <c r="I22" s="49"/>
      <c r="J22" s="105" t="s">
        <v>43</v>
      </c>
      <c r="K22" s="106"/>
      <c r="L22" s="1"/>
      <c r="M22" s="1"/>
      <c r="N22" s="1"/>
      <c r="O22" s="56"/>
      <c r="P22" s="62" t="s">
        <v>41</v>
      </c>
      <c r="Q22" s="49"/>
      <c r="R22" s="2"/>
    </row>
    <row r="23" spans="1:20" ht="15.75" thickBot="1" x14ac:dyDescent="0.3">
      <c r="A23" s="57" t="s">
        <v>78</v>
      </c>
      <c r="B23" s="4"/>
      <c r="C23" s="49"/>
      <c r="D23" s="2">
        <v>5</v>
      </c>
      <c r="E23" s="50" t="s">
        <v>83</v>
      </c>
      <c r="F23" s="1"/>
      <c r="G23" s="126"/>
      <c r="L23" s="41"/>
      <c r="M23" s="1"/>
      <c r="N23" s="1"/>
      <c r="O23" s="56"/>
      <c r="P23" s="62" t="s">
        <v>48</v>
      </c>
      <c r="Q23" s="49"/>
      <c r="R23" s="2"/>
    </row>
    <row r="24" spans="1:20" ht="15.75" thickBot="1" x14ac:dyDescent="0.3">
      <c r="A24" s="58"/>
      <c r="B24" s="1"/>
      <c r="C24" s="1"/>
      <c r="D24" s="1"/>
      <c r="E24" s="50"/>
      <c r="F24" s="1"/>
      <c r="G24" s="127"/>
      <c r="H24" s="120"/>
      <c r="I24" s="120"/>
      <c r="J24" s="119"/>
      <c r="K24" s="1"/>
      <c r="L24" s="1"/>
      <c r="M24" s="1"/>
      <c r="N24" s="1"/>
      <c r="O24" s="56"/>
    </row>
    <row r="25" spans="1:20" ht="15.75" thickBot="1" x14ac:dyDescent="0.3">
      <c r="A25" s="57" t="s">
        <v>79</v>
      </c>
      <c r="B25" s="4"/>
      <c r="C25" s="49"/>
      <c r="D25" s="2">
        <v>5</v>
      </c>
      <c r="E25" s="50" t="s">
        <v>19</v>
      </c>
      <c r="F25" s="1"/>
      <c r="G25" s="127"/>
      <c r="H25" s="120"/>
      <c r="I25" s="120"/>
      <c r="J25" s="119"/>
      <c r="K25" s="41"/>
      <c r="L25" s="50"/>
      <c r="M25" s="1"/>
      <c r="N25" s="1"/>
      <c r="O25" s="1"/>
      <c r="P25" s="94" t="s">
        <v>128</v>
      </c>
    </row>
    <row r="26" spans="1:20" ht="15.75" thickBot="1" x14ac:dyDescent="0.3">
      <c r="A26" s="57" t="s">
        <v>80</v>
      </c>
      <c r="B26" s="4"/>
      <c r="C26" s="49"/>
      <c r="D26" s="2">
        <v>0.1</v>
      </c>
      <c r="E26" s="50" t="s">
        <v>82</v>
      </c>
      <c r="F26" s="1"/>
      <c r="G26" s="127"/>
      <c r="H26" s="120"/>
      <c r="I26" s="120"/>
      <c r="J26" s="119"/>
      <c r="K26" s="1"/>
      <c r="L26" s="1"/>
      <c r="M26" s="1"/>
      <c r="N26" s="1"/>
      <c r="O26" s="56"/>
    </row>
    <row r="27" spans="1:20" ht="15.75" thickBot="1" x14ac:dyDescent="0.3">
      <c r="A27" s="57" t="s">
        <v>81</v>
      </c>
      <c r="B27" s="4"/>
      <c r="C27" s="49"/>
      <c r="D27" s="2">
        <v>5</v>
      </c>
      <c r="E27" s="50" t="s">
        <v>83</v>
      </c>
      <c r="F27" s="1"/>
      <c r="G27" s="128"/>
      <c r="H27" s="120"/>
      <c r="I27" s="120"/>
      <c r="J27" s="120"/>
      <c r="K27" s="1"/>
      <c r="L27" s="1"/>
      <c r="M27" s="1"/>
      <c r="N27" s="1"/>
      <c r="O27" s="1"/>
      <c r="P27" s="115" t="s">
        <v>117</v>
      </c>
      <c r="Q27" s="116"/>
      <c r="R27" s="2">
        <v>100</v>
      </c>
      <c r="T27" t="s">
        <v>118</v>
      </c>
    </row>
    <row r="28" spans="1:20" ht="15.75" thickBot="1" x14ac:dyDescent="0.3">
      <c r="A28" s="57" t="s">
        <v>84</v>
      </c>
      <c r="B28" s="4"/>
      <c r="C28" s="49"/>
      <c r="D28" s="2">
        <v>1</v>
      </c>
      <c r="E28" s="50"/>
      <c r="F28" s="1"/>
      <c r="G28" s="62" t="s">
        <v>107</v>
      </c>
      <c r="H28" s="4"/>
      <c r="I28" s="49"/>
      <c r="J28" s="2">
        <v>1</v>
      </c>
      <c r="K28" s="50" t="s">
        <v>108</v>
      </c>
      <c r="L28" s="1"/>
      <c r="M28" s="1"/>
      <c r="N28" s="1"/>
      <c r="O28" s="1"/>
      <c r="P28" s="115" t="s">
        <v>1</v>
      </c>
      <c r="Q28" s="116"/>
      <c r="R28" s="2">
        <v>0</v>
      </c>
      <c r="T28" t="s">
        <v>119</v>
      </c>
    </row>
    <row r="29" spans="1:20" ht="15.75" thickBot="1" x14ac:dyDescent="0.3">
      <c r="A29" s="57" t="s">
        <v>85</v>
      </c>
      <c r="B29" s="4"/>
      <c r="C29" s="49"/>
      <c r="D29" s="2">
        <v>1</v>
      </c>
      <c r="E29" s="50"/>
      <c r="F29" s="1"/>
      <c r="G29" s="55"/>
      <c r="K29" s="1"/>
      <c r="L29" s="1"/>
      <c r="M29" s="1"/>
      <c r="N29" s="1"/>
      <c r="O29" s="1"/>
      <c r="P29" s="115" t="s">
        <v>120</v>
      </c>
      <c r="Q29" s="116"/>
      <c r="R29" s="2">
        <v>0</v>
      </c>
      <c r="S29" t="s">
        <v>19</v>
      </c>
      <c r="T29" t="s">
        <v>121</v>
      </c>
    </row>
    <row r="30" spans="1:20" ht="15.75" thickBot="1" x14ac:dyDescent="0.3">
      <c r="A30" s="58"/>
      <c r="B30" s="1"/>
      <c r="C30" s="1"/>
      <c r="D30" s="1"/>
      <c r="E30" s="50"/>
      <c r="F30" s="1"/>
      <c r="G30" s="62" t="s">
        <v>129</v>
      </c>
      <c r="H30" s="4"/>
      <c r="I30" s="49"/>
      <c r="J30" s="2">
        <v>100</v>
      </c>
      <c r="K30" s="1"/>
      <c r="L30" s="1"/>
      <c r="M30" s="1"/>
      <c r="N30" s="1"/>
      <c r="O30" s="1"/>
      <c r="P30" s="115" t="s">
        <v>31</v>
      </c>
      <c r="Q30" s="116"/>
      <c r="R30" s="2">
        <v>0</v>
      </c>
      <c r="T30" t="s">
        <v>122</v>
      </c>
    </row>
    <row r="31" spans="1:20" ht="15.75" thickBot="1" x14ac:dyDescent="0.3">
      <c r="A31" s="50"/>
      <c r="B31" s="1"/>
      <c r="C31" s="1"/>
      <c r="D31" s="41"/>
      <c r="E31" s="50"/>
      <c r="F31" s="56"/>
      <c r="G31" s="55"/>
      <c r="H31" s="1"/>
      <c r="I31" s="1"/>
      <c r="J31" s="1"/>
      <c r="K31" s="1"/>
      <c r="L31" s="1"/>
      <c r="M31" s="1"/>
      <c r="N31" s="1"/>
      <c r="O31" s="1"/>
      <c r="P31" s="113" t="s">
        <v>41</v>
      </c>
      <c r="Q31" s="114"/>
      <c r="R31" s="2">
        <v>0</v>
      </c>
      <c r="S31" t="s">
        <v>19</v>
      </c>
      <c r="T31" t="s">
        <v>123</v>
      </c>
    </row>
    <row r="32" spans="1:20" ht="15.75" thickBot="1" x14ac:dyDescent="0.3">
      <c r="A32" s="50"/>
      <c r="B32" s="1"/>
      <c r="C32" s="1"/>
      <c r="D32" s="41"/>
      <c r="E32" s="50"/>
      <c r="F32" s="56"/>
      <c r="G32" s="55"/>
      <c r="H32" s="1"/>
      <c r="I32" s="1"/>
      <c r="J32" s="1"/>
      <c r="K32" s="1"/>
      <c r="L32" s="1"/>
      <c r="M32" s="1"/>
      <c r="N32" s="1"/>
      <c r="O32" s="1"/>
      <c r="P32" s="113" t="s">
        <v>124</v>
      </c>
      <c r="Q32" s="114"/>
      <c r="R32" s="95">
        <v>0.5</v>
      </c>
      <c r="S32" t="s">
        <v>108</v>
      </c>
      <c r="T32" t="s">
        <v>125</v>
      </c>
    </row>
    <row r="33" spans="1:21" ht="15.75" thickBot="1" x14ac:dyDescent="0.3">
      <c r="A33" s="50"/>
      <c r="B33" s="1"/>
      <c r="C33" s="1"/>
      <c r="D33" s="41"/>
      <c r="E33" s="50"/>
      <c r="F33" s="56"/>
      <c r="G33" s="55"/>
      <c r="H33" s="1"/>
      <c r="I33" s="1"/>
      <c r="J33" s="1"/>
      <c r="K33" s="1"/>
      <c r="L33" s="1"/>
      <c r="M33" s="1"/>
      <c r="N33" s="1"/>
      <c r="O33" s="1"/>
      <c r="P33" s="113" t="s">
        <v>126</v>
      </c>
      <c r="Q33" s="114"/>
      <c r="R33" s="96">
        <v>14</v>
      </c>
      <c r="S33" t="s">
        <v>108</v>
      </c>
      <c r="T33" t="s">
        <v>127</v>
      </c>
    </row>
    <row r="34" spans="1:21" ht="8.25" customHeight="1" x14ac:dyDescent="0.25">
      <c r="A34" s="55"/>
      <c r="B34" s="1"/>
      <c r="C34" s="1"/>
      <c r="D34" s="1"/>
      <c r="E34" s="1"/>
      <c r="F34" s="56"/>
      <c r="G34" s="55"/>
      <c r="H34" s="1"/>
      <c r="I34" s="1"/>
      <c r="J34" s="1"/>
      <c r="K34" s="1"/>
      <c r="L34" s="1"/>
      <c r="M34" s="1"/>
      <c r="N34" s="1"/>
      <c r="O34" s="56"/>
    </row>
    <row r="35" spans="1:21" ht="15.75" thickBot="1" x14ac:dyDescent="0.3">
      <c r="A35" s="55"/>
      <c r="B35" s="1"/>
      <c r="C35" s="1"/>
      <c r="D35" s="1"/>
      <c r="E35" s="1"/>
      <c r="F35" s="56"/>
      <c r="G35" s="55"/>
      <c r="H35" s="1"/>
      <c r="I35" s="1"/>
      <c r="J35" s="1"/>
      <c r="K35" s="1"/>
      <c r="L35" s="1"/>
      <c r="M35" s="1"/>
      <c r="N35" s="1"/>
      <c r="O35" s="56"/>
      <c r="P35" s="94" t="s">
        <v>131</v>
      </c>
      <c r="T35" s="103" t="s">
        <v>132</v>
      </c>
    </row>
    <row r="36" spans="1:21" x14ac:dyDescent="0.25">
      <c r="A36" s="55"/>
      <c r="B36" s="1"/>
      <c r="C36" s="1"/>
      <c r="D36" s="1"/>
      <c r="E36" s="1"/>
      <c r="F36" s="56"/>
      <c r="G36" s="55"/>
      <c r="H36" s="1"/>
      <c r="I36" s="1"/>
      <c r="J36" s="1"/>
      <c r="K36" s="1"/>
      <c r="L36" s="1"/>
      <c r="M36" s="1"/>
      <c r="N36" s="1"/>
      <c r="O36" s="1"/>
      <c r="P36" s="97"/>
      <c r="Q36" s="98"/>
      <c r="R36" s="99"/>
      <c r="T36" s="97"/>
      <c r="U36" s="99"/>
    </row>
    <row r="37" spans="1:21" ht="15.75" thickBot="1" x14ac:dyDescent="0.3">
      <c r="A37" s="59"/>
      <c r="B37" s="60"/>
      <c r="C37" s="60"/>
      <c r="D37" s="60"/>
      <c r="E37" s="60"/>
      <c r="F37" s="61"/>
      <c r="G37" s="59"/>
      <c r="H37" s="60"/>
      <c r="I37" s="60"/>
      <c r="J37" s="60"/>
      <c r="K37" s="60"/>
      <c r="L37" s="60"/>
      <c r="M37" s="60"/>
      <c r="N37" s="60"/>
      <c r="O37" s="60"/>
      <c r="P37" s="100"/>
      <c r="Q37" s="101"/>
      <c r="R37" s="102"/>
      <c r="T37" s="100"/>
      <c r="U37" s="102"/>
    </row>
  </sheetData>
  <mergeCells count="8">
    <mergeCell ref="P31:Q31"/>
    <mergeCell ref="P32:Q32"/>
    <mergeCell ref="P33:Q33"/>
    <mergeCell ref="J22:K22"/>
    <mergeCell ref="P27:Q27"/>
    <mergeCell ref="P28:Q28"/>
    <mergeCell ref="P29:Q29"/>
    <mergeCell ref="P30:Q30"/>
  </mergeCells>
  <dataValidations disablePrompts="1" count="1">
    <dataValidation allowBlank="1" showInputMessage="1" sqref="L23" xr:uid="{00000000-0002-0000-0700-000000000000}"/>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UpdatePeakLabels_Peaksheet">
                <anchor moveWithCells="1" sizeWithCells="1">
                  <from>
                    <xdr:col>0</xdr:col>
                    <xdr:colOff>114300</xdr:colOff>
                    <xdr:row>34</xdr:row>
                    <xdr:rowOff>28575</xdr:rowOff>
                  </from>
                  <to>
                    <xdr:col>1</xdr:col>
                    <xdr:colOff>600075</xdr:colOff>
                    <xdr:row>35</xdr:row>
                    <xdr:rowOff>161925</xdr:rowOff>
                  </to>
                </anchor>
              </controlPr>
            </control>
          </mc:Choice>
        </mc:AlternateContent>
        <mc:AlternateContent xmlns:mc="http://schemas.openxmlformats.org/markup-compatibility/2006">
          <mc:Choice Requires="x14">
            <control shapeId="2052" r:id="rId5" name="Check Box 4">
              <controlPr defaultSize="0" autoFill="0" autoLine="0" autoPict="0">
                <anchor moveWithCells="1">
                  <from>
                    <xdr:col>11</xdr:col>
                    <xdr:colOff>9525</xdr:colOff>
                    <xdr:row>20</xdr:row>
                    <xdr:rowOff>0</xdr:rowOff>
                  </from>
                  <to>
                    <xdr:col>13</xdr:col>
                    <xdr:colOff>581025</xdr:colOff>
                    <xdr:row>21</xdr:row>
                    <xdr:rowOff>0</xdr:rowOff>
                  </to>
                </anchor>
              </controlPr>
            </control>
          </mc:Choice>
        </mc:AlternateContent>
        <mc:AlternateContent xmlns:mc="http://schemas.openxmlformats.org/markup-compatibility/2006">
          <mc:Choice Requires="x14">
            <control shapeId="2053" r:id="rId6" name="Check Box 5">
              <controlPr defaultSize="0" autoFill="0" autoLine="0" autoPict="0">
                <anchor moveWithCells="1">
                  <from>
                    <xdr:col>11</xdr:col>
                    <xdr:colOff>0</xdr:colOff>
                    <xdr:row>23</xdr:row>
                    <xdr:rowOff>9525</xdr:rowOff>
                  </from>
                  <to>
                    <xdr:col>13</xdr:col>
                    <xdr:colOff>600075</xdr:colOff>
                    <xdr:row>24</xdr:row>
                    <xdr:rowOff>9525</xdr:rowOff>
                  </to>
                </anchor>
              </controlPr>
            </control>
          </mc:Choice>
        </mc:AlternateContent>
        <mc:AlternateContent xmlns:mc="http://schemas.openxmlformats.org/markup-compatibility/2006">
          <mc:Choice Requires="x14">
            <control shapeId="2054" r:id="rId7" name="Check Box 6">
              <controlPr defaultSize="0" autoFill="0" autoLine="0" autoPict="0">
                <anchor moveWithCells="1">
                  <from>
                    <xdr:col>11</xdr:col>
                    <xdr:colOff>0</xdr:colOff>
                    <xdr:row>24</xdr:row>
                    <xdr:rowOff>9525</xdr:rowOff>
                  </from>
                  <to>
                    <xdr:col>13</xdr:col>
                    <xdr:colOff>600075</xdr:colOff>
                    <xdr:row>25</xdr:row>
                    <xdr:rowOff>9525</xdr:rowOff>
                  </to>
                </anchor>
              </controlPr>
            </control>
          </mc:Choice>
        </mc:AlternateContent>
        <mc:AlternateContent xmlns:mc="http://schemas.openxmlformats.org/markup-compatibility/2006">
          <mc:Choice Requires="x14">
            <control shapeId="2055" r:id="rId8" name="Check Box 7">
              <controlPr defaultSize="0" autoFill="0" autoLine="0" autoPict="0">
                <anchor moveWithCells="1">
                  <from>
                    <xdr:col>15</xdr:col>
                    <xdr:colOff>28575</xdr:colOff>
                    <xdr:row>1</xdr:row>
                    <xdr:rowOff>180975</xdr:rowOff>
                  </from>
                  <to>
                    <xdr:col>17</xdr:col>
                    <xdr:colOff>600075</xdr:colOff>
                    <xdr:row>3</xdr:row>
                    <xdr:rowOff>0</xdr:rowOff>
                  </to>
                </anchor>
              </controlPr>
            </control>
          </mc:Choice>
        </mc:AlternateContent>
        <mc:AlternateContent xmlns:mc="http://schemas.openxmlformats.org/markup-compatibility/2006">
          <mc:Choice Requires="x14">
            <control shapeId="2056" r:id="rId9" name="Option Button 8">
              <controlPr defaultSize="0" autoFill="0" autoLine="0" autoPict="0">
                <anchor moveWithCells="1">
                  <from>
                    <xdr:col>8</xdr:col>
                    <xdr:colOff>247650</xdr:colOff>
                    <xdr:row>14</xdr:row>
                    <xdr:rowOff>0</xdr:rowOff>
                  </from>
                  <to>
                    <xdr:col>8</xdr:col>
                    <xdr:colOff>466725</xdr:colOff>
                    <xdr:row>15</xdr:row>
                    <xdr:rowOff>0</xdr:rowOff>
                  </to>
                </anchor>
              </controlPr>
            </control>
          </mc:Choice>
        </mc:AlternateContent>
        <mc:AlternateContent xmlns:mc="http://schemas.openxmlformats.org/markup-compatibility/2006">
          <mc:Choice Requires="x14">
            <control shapeId="2057" r:id="rId10" name="Option Button 9">
              <controlPr defaultSize="0" autoFill="0" autoLine="0" autoPict="0">
                <anchor moveWithCells="1">
                  <from>
                    <xdr:col>8</xdr:col>
                    <xdr:colOff>247650</xdr:colOff>
                    <xdr:row>15</xdr:row>
                    <xdr:rowOff>0</xdr:rowOff>
                  </from>
                  <to>
                    <xdr:col>8</xdr:col>
                    <xdr:colOff>466725</xdr:colOff>
                    <xdr:row>16</xdr:row>
                    <xdr:rowOff>0</xdr:rowOff>
                  </to>
                </anchor>
              </controlPr>
            </control>
          </mc:Choice>
        </mc:AlternateContent>
        <mc:AlternateContent xmlns:mc="http://schemas.openxmlformats.org/markup-compatibility/2006">
          <mc:Choice Requires="x14">
            <control shapeId="2058" r:id="rId11" name="Option Button 10">
              <controlPr defaultSize="0" autoFill="0" autoLine="0" autoPict="0">
                <anchor moveWithCells="1">
                  <from>
                    <xdr:col>8</xdr:col>
                    <xdr:colOff>247650</xdr:colOff>
                    <xdr:row>15</xdr:row>
                    <xdr:rowOff>190500</xdr:rowOff>
                  </from>
                  <to>
                    <xdr:col>8</xdr:col>
                    <xdr:colOff>466725</xdr:colOff>
                    <xdr:row>16</xdr:row>
                    <xdr:rowOff>190500</xdr:rowOff>
                  </to>
                </anchor>
              </controlPr>
            </control>
          </mc:Choice>
        </mc:AlternateContent>
        <mc:AlternateContent xmlns:mc="http://schemas.openxmlformats.org/markup-compatibility/2006">
          <mc:Choice Requires="x14">
            <control shapeId="2059" r:id="rId12" name="Option Button 11">
              <controlPr defaultSize="0" autoFill="0" autoLine="0" autoPict="0">
                <anchor moveWithCells="1">
                  <from>
                    <xdr:col>8</xdr:col>
                    <xdr:colOff>247650</xdr:colOff>
                    <xdr:row>16</xdr:row>
                    <xdr:rowOff>180975</xdr:rowOff>
                  </from>
                  <to>
                    <xdr:col>8</xdr:col>
                    <xdr:colOff>466725</xdr:colOff>
                    <xdr:row>17</xdr:row>
                    <xdr:rowOff>180975</xdr:rowOff>
                  </to>
                </anchor>
              </controlPr>
            </control>
          </mc:Choice>
        </mc:AlternateContent>
        <mc:AlternateContent xmlns:mc="http://schemas.openxmlformats.org/markup-compatibility/2006">
          <mc:Choice Requires="x14">
            <control shapeId="2060" r:id="rId13" name="Option Button 12">
              <controlPr defaultSize="0" autoFill="0" autoLine="0" autoPict="0">
                <anchor moveWithCells="1">
                  <from>
                    <xdr:col>8</xdr:col>
                    <xdr:colOff>247650</xdr:colOff>
                    <xdr:row>17</xdr:row>
                    <xdr:rowOff>190500</xdr:rowOff>
                  </from>
                  <to>
                    <xdr:col>8</xdr:col>
                    <xdr:colOff>466725</xdr:colOff>
                    <xdr:row>18</xdr:row>
                    <xdr:rowOff>190500</xdr:rowOff>
                  </to>
                </anchor>
              </controlPr>
            </control>
          </mc:Choice>
        </mc:AlternateContent>
        <mc:AlternateContent xmlns:mc="http://schemas.openxmlformats.org/markup-compatibility/2006">
          <mc:Choice Requires="x14">
            <control shapeId="2061" r:id="rId14" name="Check Box 13">
              <controlPr defaultSize="0" autoFill="0" autoLine="0" autoPict="0">
                <anchor moveWithCells="1">
                  <from>
                    <xdr:col>11</xdr:col>
                    <xdr:colOff>0</xdr:colOff>
                    <xdr:row>25</xdr:row>
                    <xdr:rowOff>9525</xdr:rowOff>
                  </from>
                  <to>
                    <xdr:col>14</xdr:col>
                    <xdr:colOff>276225</xdr:colOff>
                    <xdr:row>26</xdr:row>
                    <xdr:rowOff>19050</xdr:rowOff>
                  </to>
                </anchor>
              </controlPr>
            </control>
          </mc:Choice>
        </mc:AlternateContent>
        <mc:AlternateContent xmlns:mc="http://schemas.openxmlformats.org/markup-compatibility/2006">
          <mc:Choice Requires="x14">
            <control shapeId="2063" r:id="rId15" name="Check Box 15">
              <controlPr defaultSize="0" autoFill="0" autoLine="0" autoPict="0">
                <anchor moveWithCells="1">
                  <from>
                    <xdr:col>11</xdr:col>
                    <xdr:colOff>0</xdr:colOff>
                    <xdr:row>26</xdr:row>
                    <xdr:rowOff>190500</xdr:rowOff>
                  </from>
                  <to>
                    <xdr:col>14</xdr:col>
                    <xdr:colOff>38100</xdr:colOff>
                    <xdr:row>28</xdr:row>
                    <xdr:rowOff>0</xdr:rowOff>
                  </to>
                </anchor>
              </controlPr>
            </control>
          </mc:Choice>
        </mc:AlternateContent>
        <mc:AlternateContent xmlns:mc="http://schemas.openxmlformats.org/markup-compatibility/2006">
          <mc:Choice Requires="x14">
            <control shapeId="2064" r:id="rId16" name="Check Box 16">
              <controlPr defaultSize="0" autoFill="0" autoLine="0" autoPict="0">
                <anchor moveWithCells="1">
                  <from>
                    <xdr:col>11</xdr:col>
                    <xdr:colOff>0</xdr:colOff>
                    <xdr:row>27</xdr:row>
                    <xdr:rowOff>190500</xdr:rowOff>
                  </from>
                  <to>
                    <xdr:col>14</xdr:col>
                    <xdr:colOff>38100</xdr:colOff>
                    <xdr:row>29</xdr:row>
                    <xdr:rowOff>0</xdr:rowOff>
                  </to>
                </anchor>
              </controlPr>
            </control>
          </mc:Choice>
        </mc:AlternateContent>
        <mc:AlternateContent xmlns:mc="http://schemas.openxmlformats.org/markup-compatibility/2006">
          <mc:Choice Requires="x14">
            <control shapeId="2065" r:id="rId17" name="Check Box 17">
              <controlPr defaultSize="0" autoFill="0" autoLine="0" autoPict="0">
                <anchor moveWithCells="1">
                  <from>
                    <xdr:col>11</xdr:col>
                    <xdr:colOff>9525</xdr:colOff>
                    <xdr:row>16</xdr:row>
                    <xdr:rowOff>104775</xdr:rowOff>
                  </from>
                  <to>
                    <xdr:col>14</xdr:col>
                    <xdr:colOff>285750</xdr:colOff>
                    <xdr:row>17</xdr:row>
                    <xdr:rowOff>114300</xdr:rowOff>
                  </to>
                </anchor>
              </controlPr>
            </control>
          </mc:Choice>
        </mc:AlternateContent>
        <mc:AlternateContent xmlns:mc="http://schemas.openxmlformats.org/markup-compatibility/2006">
          <mc:Choice Requires="x14">
            <control shapeId="2066" r:id="rId18" name="Check Box 18">
              <controlPr defaultSize="0" autoFill="0" autoLine="0" autoPict="0">
                <anchor moveWithCells="1">
                  <from>
                    <xdr:col>11</xdr:col>
                    <xdr:colOff>9525</xdr:colOff>
                    <xdr:row>15</xdr:row>
                    <xdr:rowOff>85725</xdr:rowOff>
                  </from>
                  <to>
                    <xdr:col>14</xdr:col>
                    <xdr:colOff>285750</xdr:colOff>
                    <xdr:row>16</xdr:row>
                    <xdr:rowOff>95250</xdr:rowOff>
                  </to>
                </anchor>
              </controlPr>
            </control>
          </mc:Choice>
        </mc:AlternateContent>
        <mc:AlternateContent xmlns:mc="http://schemas.openxmlformats.org/markup-compatibility/2006">
          <mc:Choice Requires="x14">
            <control shapeId="2067" r:id="rId19" name="Check Box 19">
              <controlPr defaultSize="0" autoFill="0" autoLine="0" autoPict="0">
                <anchor moveWithCells="1">
                  <from>
                    <xdr:col>15</xdr:col>
                    <xdr:colOff>9525</xdr:colOff>
                    <xdr:row>24</xdr:row>
                    <xdr:rowOff>180975</xdr:rowOff>
                  </from>
                  <to>
                    <xdr:col>17</xdr:col>
                    <xdr:colOff>581025</xdr:colOff>
                    <xdr:row>25</xdr:row>
                    <xdr:rowOff>180975</xdr:rowOff>
                  </to>
                </anchor>
              </controlPr>
            </control>
          </mc:Choice>
        </mc:AlternateContent>
        <mc:AlternateContent xmlns:mc="http://schemas.openxmlformats.org/markup-compatibility/2006">
          <mc:Choice Requires="x14">
            <control shapeId="2068" r:id="rId20" name="Option Button 20">
              <controlPr defaultSize="0" autoFill="0" autoLine="0" autoPict="0">
                <anchor moveWithCells="1" sizeWithCells="1">
                  <from>
                    <xdr:col>19</xdr:col>
                    <xdr:colOff>9525</xdr:colOff>
                    <xdr:row>35</xdr:row>
                    <xdr:rowOff>19050</xdr:rowOff>
                  </from>
                  <to>
                    <xdr:col>20</xdr:col>
                    <xdr:colOff>581025</xdr:colOff>
                    <xdr:row>35</xdr:row>
                    <xdr:rowOff>180975</xdr:rowOff>
                  </to>
                </anchor>
              </controlPr>
            </control>
          </mc:Choice>
        </mc:AlternateContent>
        <mc:AlternateContent xmlns:mc="http://schemas.openxmlformats.org/markup-compatibility/2006">
          <mc:Choice Requires="x14">
            <control shapeId="2069" r:id="rId21" name="Option Button 21">
              <controlPr defaultSize="0" autoFill="0" autoLine="0" autoPict="0">
                <anchor moveWithCells="1" sizeWithCells="1">
                  <from>
                    <xdr:col>19</xdr:col>
                    <xdr:colOff>9525</xdr:colOff>
                    <xdr:row>36</xdr:row>
                    <xdr:rowOff>19050</xdr:rowOff>
                  </from>
                  <to>
                    <xdr:col>20</xdr:col>
                    <xdr:colOff>600075</xdr:colOff>
                    <xdr:row>36</xdr:row>
                    <xdr:rowOff>171450</xdr:rowOff>
                  </to>
                </anchor>
              </controlPr>
            </control>
          </mc:Choice>
        </mc:AlternateContent>
        <mc:AlternateContent xmlns:mc="http://schemas.openxmlformats.org/markup-compatibility/2006">
          <mc:Choice Requires="x14">
            <control shapeId="2070" r:id="rId22" name="Check Box 22">
              <controlPr defaultSize="0" autoFill="0" autoLine="0" autoPict="0">
                <anchor moveWithCells="1" sizeWithCells="1">
                  <from>
                    <xdr:col>15</xdr:col>
                    <xdr:colOff>9525</xdr:colOff>
                    <xdr:row>35</xdr:row>
                    <xdr:rowOff>9525</xdr:rowOff>
                  </from>
                  <to>
                    <xdr:col>16</xdr:col>
                    <xdr:colOff>371475</xdr:colOff>
                    <xdr:row>35</xdr:row>
                    <xdr:rowOff>180975</xdr:rowOff>
                  </to>
                </anchor>
              </controlPr>
            </control>
          </mc:Choice>
        </mc:AlternateContent>
        <mc:AlternateContent xmlns:mc="http://schemas.openxmlformats.org/markup-compatibility/2006">
          <mc:Choice Requires="x14">
            <control shapeId="2071" r:id="rId23" name="Check Box 23">
              <controlPr defaultSize="0" autoFill="0" autoLine="0" autoPict="0">
                <anchor moveWithCells="1" sizeWithCells="1">
                  <from>
                    <xdr:col>15</xdr:col>
                    <xdr:colOff>9525</xdr:colOff>
                    <xdr:row>36</xdr:row>
                    <xdr:rowOff>9525</xdr:rowOff>
                  </from>
                  <to>
                    <xdr:col>16</xdr:col>
                    <xdr:colOff>371475</xdr:colOff>
                    <xdr:row>36</xdr:row>
                    <xdr:rowOff>180975</xdr:rowOff>
                  </to>
                </anchor>
              </controlPr>
            </control>
          </mc:Choice>
        </mc:AlternateContent>
        <mc:AlternateContent xmlns:mc="http://schemas.openxmlformats.org/markup-compatibility/2006">
          <mc:Choice Requires="x14">
            <control shapeId="2072" r:id="rId24" name="Check Box 24">
              <controlPr defaultSize="0" autoFill="0" autoLine="0" autoPict="0">
                <anchor moveWithCells="1" sizeWithCells="1">
                  <from>
                    <xdr:col>16</xdr:col>
                    <xdr:colOff>381000</xdr:colOff>
                    <xdr:row>35</xdr:row>
                    <xdr:rowOff>9525</xdr:rowOff>
                  </from>
                  <to>
                    <xdr:col>17</xdr:col>
                    <xdr:colOff>590550</xdr:colOff>
                    <xdr:row>35</xdr:row>
                    <xdr:rowOff>180975</xdr:rowOff>
                  </to>
                </anchor>
              </controlPr>
            </control>
          </mc:Choice>
        </mc:AlternateContent>
        <mc:AlternateContent xmlns:mc="http://schemas.openxmlformats.org/markup-compatibility/2006">
          <mc:Choice Requires="x14">
            <control shapeId="2073" r:id="rId25" name="Check Box 25">
              <controlPr defaultSize="0" autoFill="0" autoLine="0" autoPict="0">
                <anchor moveWithCells="1" sizeWithCells="1">
                  <from>
                    <xdr:col>16</xdr:col>
                    <xdr:colOff>381000</xdr:colOff>
                    <xdr:row>36</xdr:row>
                    <xdr:rowOff>9525</xdr:rowOff>
                  </from>
                  <to>
                    <xdr:col>17</xdr:col>
                    <xdr:colOff>590550</xdr:colOff>
                    <xdr:row>36</xdr:row>
                    <xdr:rowOff>171450</xdr:rowOff>
                  </to>
                </anchor>
              </controlPr>
            </control>
          </mc:Choice>
        </mc:AlternateContent>
        <mc:AlternateContent xmlns:mc="http://schemas.openxmlformats.org/markup-compatibility/2006">
          <mc:Choice Requires="x14">
            <control shapeId="2074" r:id="rId26" name="Group Box 26">
              <controlPr defaultSize="0" autoFill="0" autoPict="0">
                <anchor moveWithCells="1">
                  <from>
                    <xdr:col>18</xdr:col>
                    <xdr:colOff>600075</xdr:colOff>
                    <xdr:row>35</xdr:row>
                    <xdr:rowOff>0</xdr:rowOff>
                  </from>
                  <to>
                    <xdr:col>20</xdr:col>
                    <xdr:colOff>600075</xdr:colOff>
                    <xdr:row>36</xdr:row>
                    <xdr:rowOff>190500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xr:uid="{00000000-0002-0000-0700-000001000000}">
          <x14:formula1>
            <xm:f>Summary!$K$2:$K$29</xm:f>
          </x14:formula1>
          <xm:sqref>J22:K22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
  <dimension ref="A1:I227"/>
  <sheetViews>
    <sheetView workbookViewId="0"/>
  </sheetViews>
  <sheetFormatPr defaultRowHeight="15" x14ac:dyDescent="0.25"/>
  <sheetData>
    <row r="1" spans="1:9" x14ac:dyDescent="0.25">
      <c r="A1" t="s">
        <v>137</v>
      </c>
      <c r="B1">
        <v>1</v>
      </c>
      <c r="C1">
        <v>2</v>
      </c>
      <c r="D1">
        <v>3</v>
      </c>
      <c r="E1">
        <v>4</v>
      </c>
      <c r="F1">
        <v>5</v>
      </c>
      <c r="G1">
        <v>6</v>
      </c>
      <c r="H1">
        <v>7</v>
      </c>
      <c r="I1">
        <v>8</v>
      </c>
    </row>
    <row r="2" spans="1:9" x14ac:dyDescent="0.25">
      <c r="A2">
        <v>190</v>
      </c>
      <c r="B2">
        <v>5.6593970000000002</v>
      </c>
      <c r="C2">
        <v>6.3528380000000002</v>
      </c>
      <c r="D2">
        <v>2.7470300000000001</v>
      </c>
      <c r="E2">
        <v>3.5011760000000001</v>
      </c>
      <c r="F2">
        <v>3.2776320000000001</v>
      </c>
      <c r="G2">
        <v>22.340824999999999</v>
      </c>
      <c r="H2">
        <v>10.160266999999999</v>
      </c>
      <c r="I2">
        <v>59.490794000000001</v>
      </c>
    </row>
    <row r="3" spans="1:9" x14ac:dyDescent="0.25">
      <c r="A3">
        <v>192</v>
      </c>
      <c r="B3">
        <v>5.805707</v>
      </c>
      <c r="C3">
        <v>5.7785169999999999</v>
      </c>
      <c r="D3">
        <v>2.6717529999999998</v>
      </c>
      <c r="E3">
        <v>3.3692069999999998</v>
      </c>
      <c r="F3">
        <v>3.3753329999999999</v>
      </c>
      <c r="G3">
        <v>21.841564000000002</v>
      </c>
      <c r="H3">
        <v>10.569345</v>
      </c>
      <c r="I3">
        <v>51.163735000000003</v>
      </c>
    </row>
    <row r="4" spans="1:9" x14ac:dyDescent="0.25">
      <c r="A4">
        <v>194</v>
      </c>
      <c r="B4">
        <v>5.9868300000000003</v>
      </c>
      <c r="C4">
        <v>5.1766240000000003</v>
      </c>
      <c r="D4">
        <v>2.622255</v>
      </c>
      <c r="E4">
        <v>3.1943260000000002</v>
      </c>
      <c r="F4">
        <v>3.3823629999999998</v>
      </c>
      <c r="G4">
        <v>21.163691</v>
      </c>
      <c r="H4">
        <v>10.637765</v>
      </c>
      <c r="I4">
        <v>42.362034999999999</v>
      </c>
    </row>
    <row r="5" spans="1:9" x14ac:dyDescent="0.25">
      <c r="A5">
        <v>196</v>
      </c>
      <c r="B5">
        <v>6.2021819999999996</v>
      </c>
      <c r="C5">
        <v>4.645969</v>
      </c>
      <c r="D5">
        <v>2.6055760000000001</v>
      </c>
      <c r="E5">
        <v>3.0259649999999998</v>
      </c>
      <c r="F5">
        <v>3.4077099999999998</v>
      </c>
      <c r="G5">
        <v>20.612113000000001</v>
      </c>
      <c r="H5">
        <v>10.518098</v>
      </c>
      <c r="I5">
        <v>34.318666</v>
      </c>
    </row>
    <row r="6" spans="1:9" x14ac:dyDescent="0.25">
      <c r="A6">
        <v>198</v>
      </c>
      <c r="B6">
        <v>6.4401419999999998</v>
      </c>
      <c r="C6">
        <v>4.2374539999999996</v>
      </c>
      <c r="D6">
        <v>2.6282830000000001</v>
      </c>
      <c r="E6">
        <v>2.874009</v>
      </c>
      <c r="F6">
        <v>3.4392290000000001</v>
      </c>
      <c r="G6">
        <v>20.394922999999999</v>
      </c>
      <c r="H6">
        <v>10.238770000000001</v>
      </c>
      <c r="I6">
        <v>27.553063000000002</v>
      </c>
    </row>
    <row r="7" spans="1:9" x14ac:dyDescent="0.25">
      <c r="A7">
        <v>200</v>
      </c>
      <c r="B7">
        <v>6.6958970000000004</v>
      </c>
      <c r="C7">
        <v>3.9725480000000002</v>
      </c>
      <c r="D7">
        <v>2.6664479999999999</v>
      </c>
      <c r="E7">
        <v>2.7299630000000001</v>
      </c>
      <c r="F7">
        <v>3.4547650000000001</v>
      </c>
      <c r="G7">
        <v>20.688279999999999</v>
      </c>
      <c r="H7">
        <v>9.8039269999999998</v>
      </c>
      <c r="I7">
        <v>21.968149</v>
      </c>
    </row>
    <row r="8" spans="1:9" x14ac:dyDescent="0.25">
      <c r="A8">
        <v>202</v>
      </c>
      <c r="B8">
        <v>6.9588609999999997</v>
      </c>
      <c r="C8">
        <v>3.8319570000000001</v>
      </c>
      <c r="D8">
        <v>2.7311779999999999</v>
      </c>
      <c r="E8">
        <v>2.5970119999999999</v>
      </c>
      <c r="F8">
        <v>3.436232</v>
      </c>
      <c r="G8">
        <v>21.775765</v>
      </c>
      <c r="H8">
        <v>9.1905180000000009</v>
      </c>
      <c r="I8">
        <v>17.054672</v>
      </c>
    </row>
    <row r="9" spans="1:9" x14ac:dyDescent="0.25">
      <c r="A9">
        <v>204</v>
      </c>
      <c r="B9">
        <v>7.161111</v>
      </c>
      <c r="C9">
        <v>3.7860079999999998</v>
      </c>
      <c r="D9">
        <v>2.7838729999999998</v>
      </c>
      <c r="E9">
        <v>2.4922170000000001</v>
      </c>
      <c r="F9">
        <v>3.3588</v>
      </c>
      <c r="G9">
        <v>23.708977999999998</v>
      </c>
      <c r="H9">
        <v>8.5202150000000003</v>
      </c>
      <c r="I9">
        <v>13.036762</v>
      </c>
    </row>
    <row r="10" spans="1:9" x14ac:dyDescent="0.25">
      <c r="A10">
        <v>206</v>
      </c>
      <c r="B10">
        <v>7.2468500000000002</v>
      </c>
      <c r="C10">
        <v>3.7949060000000001</v>
      </c>
      <c r="D10">
        <v>2.7823349999999998</v>
      </c>
      <c r="E10">
        <v>2.4130569999999998</v>
      </c>
      <c r="F10">
        <v>3.2131599999999998</v>
      </c>
      <c r="G10">
        <v>26.231701999999999</v>
      </c>
      <c r="H10">
        <v>7.950831</v>
      </c>
      <c r="I10">
        <v>9.7357510000000005</v>
      </c>
    </row>
    <row r="11" spans="1:9" x14ac:dyDescent="0.25">
      <c r="A11">
        <v>208</v>
      </c>
      <c r="B11">
        <v>7.1943289999999998</v>
      </c>
      <c r="C11">
        <v>3.8409650000000002</v>
      </c>
      <c r="D11">
        <v>2.728926</v>
      </c>
      <c r="E11">
        <v>2.337628</v>
      </c>
      <c r="F11">
        <v>3.0237069999999999</v>
      </c>
      <c r="G11">
        <v>29.068055999999999</v>
      </c>
      <c r="H11">
        <v>7.5362790000000004</v>
      </c>
      <c r="I11">
        <v>6.8299519999999996</v>
      </c>
    </row>
    <row r="12" spans="1:9" x14ac:dyDescent="0.25">
      <c r="A12">
        <v>210</v>
      </c>
      <c r="B12">
        <v>6.9914610000000001</v>
      </c>
      <c r="C12">
        <v>3.8505150000000001</v>
      </c>
      <c r="D12">
        <v>2.6454460000000002</v>
      </c>
      <c r="E12">
        <v>2.2745989999999998</v>
      </c>
      <c r="F12">
        <v>2.864023</v>
      </c>
      <c r="G12">
        <v>31.584301</v>
      </c>
      <c r="H12">
        <v>7.2979909999999997</v>
      </c>
      <c r="I12">
        <v>4.5197229999999999</v>
      </c>
    </row>
    <row r="13" spans="1:9" x14ac:dyDescent="0.25">
      <c r="A13">
        <v>212</v>
      </c>
      <c r="B13">
        <v>6.6367640000000003</v>
      </c>
      <c r="C13">
        <v>3.7971970000000002</v>
      </c>
      <c r="D13">
        <v>2.5343249999999999</v>
      </c>
      <c r="E13">
        <v>2.1987809999999999</v>
      </c>
      <c r="F13">
        <v>2.7989419999999998</v>
      </c>
      <c r="G13">
        <v>33.364457000000002</v>
      </c>
      <c r="H13">
        <v>7.1468850000000002</v>
      </c>
      <c r="I13">
        <v>2.8098839999999998</v>
      </c>
    </row>
    <row r="14" spans="1:9" x14ac:dyDescent="0.25">
      <c r="A14">
        <v>214</v>
      </c>
      <c r="B14">
        <v>6.1580849999999998</v>
      </c>
      <c r="C14">
        <v>3.672965</v>
      </c>
      <c r="D14">
        <v>2.413205</v>
      </c>
      <c r="E14">
        <v>2.1124779999999999</v>
      </c>
      <c r="F14">
        <v>2.8581279999999998</v>
      </c>
      <c r="G14">
        <v>34.075001</v>
      </c>
      <c r="H14">
        <v>7.0030080000000003</v>
      </c>
      <c r="I14">
        <v>1.6416550000000001</v>
      </c>
    </row>
    <row r="15" spans="1:9" x14ac:dyDescent="0.25">
      <c r="A15">
        <v>216</v>
      </c>
      <c r="B15">
        <v>5.5894700000000004</v>
      </c>
      <c r="C15">
        <v>3.4583010000000001</v>
      </c>
      <c r="D15">
        <v>2.2890329999999999</v>
      </c>
      <c r="E15">
        <v>2.0313059999999998</v>
      </c>
      <c r="F15">
        <v>3.0635829999999999</v>
      </c>
      <c r="G15">
        <v>33.715622000000003</v>
      </c>
      <c r="H15">
        <v>6.8259809999999996</v>
      </c>
      <c r="I15">
        <v>0.85935600000000001</v>
      </c>
    </row>
    <row r="16" spans="1:9" x14ac:dyDescent="0.25">
      <c r="A16">
        <v>218</v>
      </c>
      <c r="B16">
        <v>5.0179309999999999</v>
      </c>
      <c r="C16">
        <v>3.1831</v>
      </c>
      <c r="D16">
        <v>2.1532650000000002</v>
      </c>
      <c r="E16">
        <v>1.9857370000000001</v>
      </c>
      <c r="F16">
        <v>3.4125610000000002</v>
      </c>
      <c r="G16">
        <v>32.602998999999997</v>
      </c>
      <c r="H16">
        <v>6.5970909999999998</v>
      </c>
      <c r="I16">
        <v>0.36677500000000002</v>
      </c>
    </row>
    <row r="17" spans="1:9" x14ac:dyDescent="0.25">
      <c r="A17">
        <v>220</v>
      </c>
      <c r="B17">
        <v>4.5807589999999996</v>
      </c>
      <c r="C17">
        <v>2.876738</v>
      </c>
      <c r="D17">
        <v>2.0189080000000001</v>
      </c>
      <c r="E17">
        <v>2.0179</v>
      </c>
      <c r="F17">
        <v>3.8416000000000001</v>
      </c>
      <c r="G17">
        <v>30.958406</v>
      </c>
      <c r="H17">
        <v>6.3238099999999999</v>
      </c>
      <c r="I17">
        <v>6.8156999999999995E-2</v>
      </c>
    </row>
    <row r="18" spans="1:9" x14ac:dyDescent="0.25">
      <c r="A18">
        <v>222</v>
      </c>
      <c r="B18">
        <v>4.4030189999999996</v>
      </c>
      <c r="C18">
        <v>2.5635059999999998</v>
      </c>
      <c r="D18">
        <v>1.933967</v>
      </c>
      <c r="E18">
        <v>2.145305</v>
      </c>
      <c r="F18">
        <v>4.2288889999999997</v>
      </c>
      <c r="G18">
        <v>28.643894</v>
      </c>
      <c r="H18">
        <v>6.0210610000000004</v>
      </c>
      <c r="I18">
        <v>-0.10574500000000001</v>
      </c>
    </row>
    <row r="19" spans="1:9" x14ac:dyDescent="0.25">
      <c r="A19">
        <v>224</v>
      </c>
      <c r="B19">
        <v>4.5064219999999997</v>
      </c>
      <c r="C19">
        <v>2.2118530000000001</v>
      </c>
      <c r="D19">
        <v>1.896871</v>
      </c>
      <c r="E19">
        <v>2.3490389999999999</v>
      </c>
      <c r="F19">
        <v>4.4850029999999999</v>
      </c>
      <c r="G19">
        <v>25.413482999999999</v>
      </c>
      <c r="H19">
        <v>5.7098310000000003</v>
      </c>
      <c r="I19">
        <v>-0.204092</v>
      </c>
    </row>
    <row r="20" spans="1:9" x14ac:dyDescent="0.25">
      <c r="A20">
        <v>226</v>
      </c>
      <c r="B20">
        <v>4.9039239999999999</v>
      </c>
      <c r="C20">
        <v>1.8571519999999999</v>
      </c>
      <c r="D20">
        <v>1.9099600000000001</v>
      </c>
      <c r="E20">
        <v>2.577982</v>
      </c>
      <c r="F20">
        <v>4.5180379999999998</v>
      </c>
      <c r="G20">
        <v>21.675782999999999</v>
      </c>
      <c r="H20">
        <v>5.4361230000000003</v>
      </c>
      <c r="I20">
        <v>-0.25159999999999999</v>
      </c>
    </row>
    <row r="21" spans="1:9" x14ac:dyDescent="0.25">
      <c r="A21">
        <v>228</v>
      </c>
      <c r="B21">
        <v>5.5815330000000003</v>
      </c>
      <c r="C21">
        <v>1.5534490000000001</v>
      </c>
      <c r="D21">
        <v>1.9778210000000001</v>
      </c>
      <c r="E21">
        <v>2.8099379999999998</v>
      </c>
      <c r="F21">
        <v>4.3003580000000001</v>
      </c>
      <c r="G21">
        <v>18.163779999999999</v>
      </c>
      <c r="H21">
        <v>5.2189629999999996</v>
      </c>
      <c r="I21">
        <v>-0.269478</v>
      </c>
    </row>
    <row r="22" spans="1:9" x14ac:dyDescent="0.25">
      <c r="A22">
        <v>230</v>
      </c>
      <c r="B22">
        <v>6.4471150000000002</v>
      </c>
      <c r="C22">
        <v>1.3424640000000001</v>
      </c>
      <c r="D22">
        <v>2.0928309999999999</v>
      </c>
      <c r="E22">
        <v>2.9866329999999999</v>
      </c>
      <c r="F22">
        <v>3.8857889999999999</v>
      </c>
      <c r="G22">
        <v>15.649267</v>
      </c>
      <c r="H22">
        <v>5.1017380000000001</v>
      </c>
      <c r="I22">
        <v>-0.26731199999999999</v>
      </c>
    </row>
    <row r="23" spans="1:9" x14ac:dyDescent="0.25">
      <c r="A23">
        <v>232</v>
      </c>
      <c r="B23">
        <v>7.4565809999999999</v>
      </c>
      <c r="C23">
        <v>1.202923</v>
      </c>
      <c r="D23">
        <v>2.2469160000000001</v>
      </c>
      <c r="E23">
        <v>3.086192</v>
      </c>
      <c r="F23">
        <v>3.3597540000000001</v>
      </c>
      <c r="G23">
        <v>14.091293</v>
      </c>
      <c r="H23">
        <v>5.101623</v>
      </c>
      <c r="I23">
        <v>-0.25290600000000002</v>
      </c>
    </row>
    <row r="24" spans="1:9" x14ac:dyDescent="0.25">
      <c r="A24">
        <v>234</v>
      </c>
      <c r="B24">
        <v>8.5719820000000002</v>
      </c>
      <c r="C24">
        <v>1.1106</v>
      </c>
      <c r="D24">
        <v>2.432525</v>
      </c>
      <c r="E24">
        <v>3.0727950000000002</v>
      </c>
      <c r="F24">
        <v>2.8141639999999999</v>
      </c>
      <c r="G24">
        <v>13.250354</v>
      </c>
      <c r="H24">
        <v>5.2416299999999998</v>
      </c>
      <c r="I24">
        <v>-0.23063400000000001</v>
      </c>
    </row>
    <row r="25" spans="1:9" x14ac:dyDescent="0.25">
      <c r="A25">
        <v>236</v>
      </c>
      <c r="B25">
        <v>9.6413829999999994</v>
      </c>
      <c r="C25">
        <v>1.05307</v>
      </c>
      <c r="D25">
        <v>2.6277659999999998</v>
      </c>
      <c r="E25">
        <v>2.9556100000000001</v>
      </c>
      <c r="F25">
        <v>2.3398979999999998</v>
      </c>
      <c r="G25">
        <v>12.86773</v>
      </c>
      <c r="H25">
        <v>5.5185940000000002</v>
      </c>
      <c r="I25">
        <v>-0.20644799999999999</v>
      </c>
    </row>
    <row r="26" spans="1:9" x14ac:dyDescent="0.25">
      <c r="A26">
        <v>238</v>
      </c>
      <c r="B26">
        <v>10.625607</v>
      </c>
      <c r="C26">
        <v>1.018052</v>
      </c>
      <c r="D26">
        <v>2.8243119999999999</v>
      </c>
      <c r="E26">
        <v>2.7797209999999999</v>
      </c>
      <c r="F26">
        <v>1.931046</v>
      </c>
      <c r="G26">
        <v>12.700787999999999</v>
      </c>
      <c r="H26">
        <v>5.9454750000000001</v>
      </c>
      <c r="I26">
        <v>-0.18088899999999999</v>
      </c>
    </row>
    <row r="27" spans="1:9" x14ac:dyDescent="0.25">
      <c r="A27">
        <v>240</v>
      </c>
      <c r="B27">
        <v>11.368797000000001</v>
      </c>
      <c r="C27">
        <v>0.993174</v>
      </c>
      <c r="D27">
        <v>2.9738190000000002</v>
      </c>
      <c r="E27">
        <v>2.5851890000000002</v>
      </c>
      <c r="F27">
        <v>1.614843</v>
      </c>
      <c r="G27">
        <v>12.662656</v>
      </c>
      <c r="H27">
        <v>6.5151529999999998</v>
      </c>
      <c r="I27">
        <v>-0.15219299999999999</v>
      </c>
    </row>
    <row r="28" spans="1:9" x14ac:dyDescent="0.25">
      <c r="A28">
        <v>242</v>
      </c>
      <c r="B28">
        <v>11.747095</v>
      </c>
      <c r="C28">
        <v>0.97692800000000002</v>
      </c>
      <c r="D28">
        <v>3.0561759999999998</v>
      </c>
      <c r="E28">
        <v>2.3911280000000001</v>
      </c>
      <c r="F28">
        <v>1.3695170000000001</v>
      </c>
      <c r="G28">
        <v>12.761538</v>
      </c>
      <c r="H28">
        <v>7.2465650000000004</v>
      </c>
      <c r="I28">
        <v>-0.12274</v>
      </c>
    </row>
    <row r="29" spans="1:9" x14ac:dyDescent="0.25">
      <c r="A29">
        <v>244</v>
      </c>
      <c r="B29">
        <v>11.631995999999999</v>
      </c>
      <c r="C29">
        <v>0.97952899999999998</v>
      </c>
      <c r="D29">
        <v>3.0299459999999998</v>
      </c>
      <c r="E29">
        <v>2.2014640000000001</v>
      </c>
      <c r="F29">
        <v>1.200942</v>
      </c>
      <c r="G29">
        <v>13.063314</v>
      </c>
      <c r="H29">
        <v>8.0797139999999992</v>
      </c>
      <c r="I29">
        <v>-0.10244200000000001</v>
      </c>
    </row>
    <row r="30" spans="1:9" x14ac:dyDescent="0.25">
      <c r="A30">
        <v>246</v>
      </c>
      <c r="B30">
        <v>11.045623000000001</v>
      </c>
      <c r="C30">
        <v>0.99786600000000003</v>
      </c>
      <c r="D30">
        <v>2.8419880000000002</v>
      </c>
      <c r="E30">
        <v>1.975088</v>
      </c>
      <c r="F30">
        <v>1.076586</v>
      </c>
      <c r="G30">
        <v>13.606782000000001</v>
      </c>
      <c r="H30">
        <v>9.0411370000000009</v>
      </c>
      <c r="I30">
        <v>-8.6055000000000006E-2</v>
      </c>
    </row>
    <row r="31" spans="1:9" x14ac:dyDescent="0.25">
      <c r="A31">
        <v>248</v>
      </c>
      <c r="B31">
        <v>10.201943</v>
      </c>
      <c r="C31">
        <v>1.013968</v>
      </c>
      <c r="D31">
        <v>2.4938449999999999</v>
      </c>
      <c r="E31">
        <v>1.7227710000000001</v>
      </c>
      <c r="F31">
        <v>0.98832699999999996</v>
      </c>
      <c r="G31">
        <v>14.258483999999999</v>
      </c>
      <c r="H31">
        <v>10.046094</v>
      </c>
      <c r="I31">
        <v>-6.6524E-2</v>
      </c>
    </row>
    <row r="32" spans="1:9" x14ac:dyDescent="0.25">
      <c r="A32">
        <v>250</v>
      </c>
      <c r="B32">
        <v>9.3248680000000004</v>
      </c>
      <c r="C32">
        <v>1.0223819999999999</v>
      </c>
      <c r="D32">
        <v>2.0376379999999998</v>
      </c>
      <c r="E32">
        <v>1.4588939999999999</v>
      </c>
      <c r="F32">
        <v>0.91960600000000003</v>
      </c>
      <c r="G32">
        <v>14.833961</v>
      </c>
      <c r="H32">
        <v>11.136474</v>
      </c>
      <c r="I32">
        <v>-4.7788999999999998E-2</v>
      </c>
    </row>
    <row r="33" spans="1:9" x14ac:dyDescent="0.25">
      <c r="A33">
        <v>252</v>
      </c>
      <c r="B33">
        <v>8.6564969999999999</v>
      </c>
      <c r="C33">
        <v>1.008537</v>
      </c>
      <c r="D33">
        <v>1.6107860000000001</v>
      </c>
      <c r="E33">
        <v>1.221322</v>
      </c>
      <c r="F33">
        <v>0.86953800000000003</v>
      </c>
      <c r="G33">
        <v>15.122166</v>
      </c>
      <c r="H33">
        <v>12.229526</v>
      </c>
      <c r="I33">
        <v>-3.9553999999999999E-2</v>
      </c>
    </row>
    <row r="34" spans="1:9" x14ac:dyDescent="0.25">
      <c r="A34">
        <v>254</v>
      </c>
      <c r="B34">
        <v>8.2028300000000005</v>
      </c>
      <c r="C34">
        <v>0.97393300000000005</v>
      </c>
      <c r="D34">
        <v>1.2748029999999999</v>
      </c>
      <c r="E34">
        <v>1.0163519999999999</v>
      </c>
      <c r="F34">
        <v>0.83657899999999996</v>
      </c>
      <c r="G34">
        <v>15.091983000000001</v>
      </c>
      <c r="H34">
        <v>13.370042</v>
      </c>
      <c r="I34">
        <v>-3.0632E-2</v>
      </c>
    </row>
    <row r="35" spans="1:9" x14ac:dyDescent="0.25">
      <c r="A35">
        <v>256</v>
      </c>
      <c r="B35">
        <v>7.9162590000000002</v>
      </c>
      <c r="C35">
        <v>0.92536399999999996</v>
      </c>
      <c r="D35">
        <v>1.073259</v>
      </c>
      <c r="E35">
        <v>0.870394</v>
      </c>
      <c r="F35">
        <v>0.81531699999999996</v>
      </c>
      <c r="G35">
        <v>14.776793</v>
      </c>
      <c r="H35">
        <v>14.505217</v>
      </c>
      <c r="I35">
        <v>-1.9737999999999999E-2</v>
      </c>
    </row>
    <row r="36" spans="1:9" x14ac:dyDescent="0.25">
      <c r="A36">
        <v>258</v>
      </c>
      <c r="B36">
        <v>7.6907180000000004</v>
      </c>
      <c r="C36">
        <v>0.85884000000000005</v>
      </c>
      <c r="D36">
        <v>0.97950700000000002</v>
      </c>
      <c r="E36">
        <v>0.77066100000000004</v>
      </c>
      <c r="F36">
        <v>0.80139400000000005</v>
      </c>
      <c r="G36">
        <v>14.234242</v>
      </c>
      <c r="H36">
        <v>15.592279</v>
      </c>
      <c r="I36">
        <v>-1.4331999999999999E-2</v>
      </c>
    </row>
    <row r="37" spans="1:9" x14ac:dyDescent="0.25">
      <c r="A37">
        <v>260</v>
      </c>
      <c r="B37">
        <v>7.4194380000000004</v>
      </c>
      <c r="C37">
        <v>0.76744599999999996</v>
      </c>
      <c r="D37">
        <v>0.95538900000000004</v>
      </c>
      <c r="E37">
        <v>0.69763299999999995</v>
      </c>
      <c r="F37">
        <v>0.80011699999999997</v>
      </c>
      <c r="G37">
        <v>13.436385</v>
      </c>
      <c r="H37">
        <v>16.673732000000001</v>
      </c>
      <c r="I37">
        <v>-1.4888E-2</v>
      </c>
    </row>
    <row r="38" spans="1:9" x14ac:dyDescent="0.25">
      <c r="A38">
        <v>262</v>
      </c>
      <c r="B38">
        <v>7.0412710000000001</v>
      </c>
      <c r="C38">
        <v>0.66205400000000003</v>
      </c>
      <c r="D38">
        <v>0.97642799999999996</v>
      </c>
      <c r="E38">
        <v>0.651474</v>
      </c>
      <c r="F38">
        <v>0.80974900000000005</v>
      </c>
      <c r="G38">
        <v>12.417693</v>
      </c>
      <c r="H38">
        <v>17.690156000000002</v>
      </c>
      <c r="I38">
        <v>-1.0926999999999999E-2</v>
      </c>
    </row>
    <row r="39" spans="1:9" x14ac:dyDescent="0.25">
      <c r="A39">
        <v>264</v>
      </c>
      <c r="B39">
        <v>6.529833</v>
      </c>
      <c r="C39">
        <v>0.55237999999999998</v>
      </c>
      <c r="D39">
        <v>1.016095</v>
      </c>
      <c r="E39">
        <v>0.61924900000000005</v>
      </c>
      <c r="F39">
        <v>0.83466799999999997</v>
      </c>
      <c r="G39">
        <v>11.329428999999999</v>
      </c>
      <c r="H39">
        <v>18.630614000000001</v>
      </c>
      <c r="I39">
        <v>-8.4600000000000005E-3</v>
      </c>
    </row>
    <row r="40" spans="1:9" x14ac:dyDescent="0.25">
      <c r="A40">
        <v>266</v>
      </c>
      <c r="B40">
        <v>5.9227080000000001</v>
      </c>
      <c r="C40">
        <v>0.45571099999999998</v>
      </c>
      <c r="D40">
        <v>1.061121</v>
      </c>
      <c r="E40">
        <v>0.59770999999999996</v>
      </c>
      <c r="F40">
        <v>0.86223300000000003</v>
      </c>
      <c r="G40">
        <v>10.443516000000001</v>
      </c>
      <c r="H40">
        <v>19.456512</v>
      </c>
      <c r="I40">
        <v>-7.8770000000000003E-3</v>
      </c>
    </row>
    <row r="41" spans="1:9" x14ac:dyDescent="0.25">
      <c r="A41">
        <v>268</v>
      </c>
      <c r="B41">
        <v>5.2429750000000004</v>
      </c>
      <c r="C41">
        <v>0.38368000000000002</v>
      </c>
      <c r="D41">
        <v>1.114614</v>
      </c>
      <c r="E41">
        <v>0.57572199999999996</v>
      </c>
      <c r="F41">
        <v>0.895509</v>
      </c>
      <c r="G41">
        <v>9.9226639999999993</v>
      </c>
      <c r="H41">
        <v>20.197493999999999</v>
      </c>
      <c r="I41">
        <v>-1.0538E-2</v>
      </c>
    </row>
    <row r="42" spans="1:9" x14ac:dyDescent="0.25">
      <c r="A42">
        <v>270</v>
      </c>
      <c r="B42">
        <v>4.5869910000000003</v>
      </c>
      <c r="C42">
        <v>0.34219899999999998</v>
      </c>
      <c r="D42">
        <v>1.1576709999999999</v>
      </c>
      <c r="E42">
        <v>0.55950200000000005</v>
      </c>
      <c r="F42">
        <v>0.93678300000000003</v>
      </c>
      <c r="G42">
        <v>9.7799820000000004</v>
      </c>
      <c r="H42">
        <v>20.795912000000001</v>
      </c>
      <c r="I42">
        <v>-1.2468999999999999E-2</v>
      </c>
    </row>
    <row r="43" spans="1:9" x14ac:dyDescent="0.25">
      <c r="A43">
        <v>272</v>
      </c>
      <c r="B43">
        <v>4.0399149999999997</v>
      </c>
      <c r="C43">
        <v>0.31476999999999999</v>
      </c>
      <c r="D43">
        <v>1.1860139999999999</v>
      </c>
      <c r="E43">
        <v>0.54684999999999995</v>
      </c>
      <c r="F43">
        <v>0.98312299999999997</v>
      </c>
      <c r="G43">
        <v>9.869904</v>
      </c>
      <c r="H43">
        <v>21.205155000000001</v>
      </c>
      <c r="I43">
        <v>-2.3453999999999999E-2</v>
      </c>
    </row>
    <row r="44" spans="1:9" x14ac:dyDescent="0.25">
      <c r="A44">
        <v>274</v>
      </c>
      <c r="B44">
        <v>3.6421060000000001</v>
      </c>
      <c r="C44">
        <v>0.30120599999999997</v>
      </c>
      <c r="D44">
        <v>1.204936</v>
      </c>
      <c r="E44">
        <v>0.537381</v>
      </c>
      <c r="F44">
        <v>1.0374399999999999</v>
      </c>
      <c r="G44">
        <v>10.044171</v>
      </c>
      <c r="H44">
        <v>21.405626999999999</v>
      </c>
      <c r="I44">
        <v>-2.4167000000000001E-2</v>
      </c>
    </row>
    <row r="45" spans="1:9" x14ac:dyDescent="0.25">
      <c r="A45">
        <v>276</v>
      </c>
      <c r="B45">
        <v>3.3871190000000002</v>
      </c>
      <c r="C45">
        <v>0.30835800000000002</v>
      </c>
      <c r="D45">
        <v>1.19601</v>
      </c>
      <c r="E45">
        <v>0.52761100000000005</v>
      </c>
      <c r="F45">
        <v>1.1022590000000001</v>
      </c>
      <c r="G45">
        <v>10.214217</v>
      </c>
      <c r="H45">
        <v>21.384050999999999</v>
      </c>
      <c r="I45">
        <v>-1.3953999999999999E-2</v>
      </c>
    </row>
    <row r="46" spans="1:9" x14ac:dyDescent="0.25">
      <c r="A46">
        <v>278</v>
      </c>
      <c r="B46">
        <v>3.2545449999999998</v>
      </c>
      <c r="C46">
        <v>0.31887500000000002</v>
      </c>
      <c r="D46">
        <v>1.17045</v>
      </c>
      <c r="E46">
        <v>0.51806799999999997</v>
      </c>
      <c r="F46">
        <v>1.17232</v>
      </c>
      <c r="G46">
        <v>10.335044999999999</v>
      </c>
      <c r="H46">
        <v>21.134257999999999</v>
      </c>
      <c r="I46">
        <v>-1.1370999999999999E-2</v>
      </c>
    </row>
    <row r="47" spans="1:9" x14ac:dyDescent="0.25">
      <c r="A47">
        <v>280</v>
      </c>
      <c r="B47">
        <v>3.2051639999999999</v>
      </c>
      <c r="C47">
        <v>0.320739</v>
      </c>
      <c r="D47">
        <v>1.1374629999999999</v>
      </c>
      <c r="E47">
        <v>0.511903</v>
      </c>
      <c r="F47">
        <v>1.2435510000000001</v>
      </c>
      <c r="G47">
        <v>10.382906</v>
      </c>
      <c r="H47">
        <v>20.664563999999999</v>
      </c>
      <c r="I47">
        <v>-1.0108000000000001E-2</v>
      </c>
    </row>
    <row r="48" spans="1:9" x14ac:dyDescent="0.25">
      <c r="A48">
        <v>282</v>
      </c>
      <c r="B48">
        <v>3.2009080000000001</v>
      </c>
      <c r="C48">
        <v>0.33085500000000001</v>
      </c>
      <c r="D48">
        <v>1.090306</v>
      </c>
      <c r="E48">
        <v>0.51192499999999996</v>
      </c>
      <c r="F48">
        <v>1.3215840000000001</v>
      </c>
      <c r="G48">
        <v>10.365398000000001</v>
      </c>
      <c r="H48">
        <v>19.989364999999999</v>
      </c>
      <c r="I48">
        <v>-1.8624000000000002E-2</v>
      </c>
    </row>
    <row r="49" spans="1:9" x14ac:dyDescent="0.25">
      <c r="A49">
        <v>284</v>
      </c>
      <c r="B49">
        <v>3.2048580000000002</v>
      </c>
      <c r="C49">
        <v>0.35535099999999997</v>
      </c>
      <c r="D49">
        <v>1.043031</v>
      </c>
      <c r="E49">
        <v>0.52573099999999995</v>
      </c>
      <c r="F49">
        <v>1.401006</v>
      </c>
      <c r="G49">
        <v>10.253009</v>
      </c>
      <c r="H49">
        <v>19.125944</v>
      </c>
      <c r="I49">
        <v>-1.6275999999999999E-2</v>
      </c>
    </row>
    <row r="50" spans="1:9" x14ac:dyDescent="0.25">
      <c r="A50">
        <v>286</v>
      </c>
      <c r="B50">
        <v>3.1935180000000001</v>
      </c>
      <c r="C50">
        <v>0.36796299999999998</v>
      </c>
      <c r="D50">
        <v>0.99660800000000005</v>
      </c>
      <c r="E50">
        <v>0.54127000000000003</v>
      </c>
      <c r="F50">
        <v>1.478062</v>
      </c>
      <c r="G50">
        <v>10.046697999999999</v>
      </c>
      <c r="H50">
        <v>18.093609000000001</v>
      </c>
      <c r="I50">
        <v>-6.4190000000000002E-3</v>
      </c>
    </row>
    <row r="51" spans="1:9" x14ac:dyDescent="0.25">
      <c r="A51">
        <v>288</v>
      </c>
      <c r="B51">
        <v>3.1507459999999998</v>
      </c>
      <c r="C51">
        <v>0.37271700000000002</v>
      </c>
      <c r="D51">
        <v>0.95842099999999997</v>
      </c>
      <c r="E51">
        <v>0.56168499999999999</v>
      </c>
      <c r="F51">
        <v>1.554657</v>
      </c>
      <c r="G51">
        <v>9.7659179999999992</v>
      </c>
      <c r="H51">
        <v>16.918165999999999</v>
      </c>
      <c r="I51">
        <v>4.6979999999999999E-3</v>
      </c>
    </row>
    <row r="52" spans="1:9" x14ac:dyDescent="0.25">
      <c r="A52">
        <v>290</v>
      </c>
      <c r="B52">
        <v>3.0743969999999998</v>
      </c>
      <c r="C52">
        <v>0.38131199999999998</v>
      </c>
      <c r="D52">
        <v>0.93730599999999997</v>
      </c>
      <c r="E52">
        <v>0.58818700000000002</v>
      </c>
      <c r="F52">
        <v>1.623537</v>
      </c>
      <c r="G52">
        <v>9.4180820000000001</v>
      </c>
      <c r="H52">
        <v>15.632059</v>
      </c>
      <c r="I52">
        <v>3.9810000000000002E-3</v>
      </c>
    </row>
    <row r="53" spans="1:9" x14ac:dyDescent="0.25">
      <c r="A53">
        <v>292</v>
      </c>
      <c r="B53">
        <v>2.9523950000000001</v>
      </c>
      <c r="C53">
        <v>0.388015</v>
      </c>
      <c r="D53">
        <v>0.92960100000000001</v>
      </c>
      <c r="E53">
        <v>0.62271900000000002</v>
      </c>
      <c r="F53">
        <v>1.679692</v>
      </c>
      <c r="G53">
        <v>9.0289710000000003</v>
      </c>
      <c r="H53">
        <v>14.25501</v>
      </c>
      <c r="I53">
        <v>2.6329999999999999E-3</v>
      </c>
    </row>
    <row r="54" spans="1:9" x14ac:dyDescent="0.25">
      <c r="A54">
        <v>294</v>
      </c>
      <c r="B54">
        <v>2.7829950000000001</v>
      </c>
      <c r="C54">
        <v>0.389457</v>
      </c>
      <c r="D54">
        <v>0.93051200000000001</v>
      </c>
      <c r="E54">
        <v>0.67435199999999995</v>
      </c>
      <c r="F54">
        <v>1.7285870000000001</v>
      </c>
      <c r="G54">
        <v>8.6162770000000002</v>
      </c>
      <c r="H54">
        <v>12.820608999999999</v>
      </c>
      <c r="I54">
        <v>3.8600000000000001E-3</v>
      </c>
    </row>
    <row r="55" spans="1:9" x14ac:dyDescent="0.25">
      <c r="A55">
        <v>296</v>
      </c>
      <c r="B55">
        <v>2.5668039999999999</v>
      </c>
      <c r="C55">
        <v>0.39240000000000003</v>
      </c>
      <c r="D55">
        <v>0.93394500000000003</v>
      </c>
      <c r="E55">
        <v>0.73714199999999996</v>
      </c>
      <c r="F55">
        <v>1.76674</v>
      </c>
      <c r="G55">
        <v>8.2089580000000009</v>
      </c>
      <c r="H55">
        <v>11.369861</v>
      </c>
      <c r="I55">
        <v>5.1029999999999999E-3</v>
      </c>
    </row>
    <row r="56" spans="1:9" x14ac:dyDescent="0.25">
      <c r="A56">
        <v>298</v>
      </c>
      <c r="B56">
        <v>2.3240229999999999</v>
      </c>
      <c r="C56">
        <v>0.40767100000000001</v>
      </c>
      <c r="D56">
        <v>0.93404799999999999</v>
      </c>
      <c r="E56">
        <v>0.79325999999999997</v>
      </c>
      <c r="F56">
        <v>1.789048</v>
      </c>
      <c r="G56">
        <v>7.8084480000000003</v>
      </c>
      <c r="H56">
        <v>9.8944810000000007</v>
      </c>
      <c r="I56">
        <v>3.8660000000000001E-3</v>
      </c>
    </row>
    <row r="57" spans="1:9" x14ac:dyDescent="0.25">
      <c r="A57">
        <v>300</v>
      </c>
      <c r="B57">
        <v>2.0773320000000002</v>
      </c>
      <c r="C57">
        <v>0.41781200000000002</v>
      </c>
      <c r="D57">
        <v>0.932361</v>
      </c>
      <c r="E57">
        <v>0.85609299999999999</v>
      </c>
      <c r="F57">
        <v>1.793093</v>
      </c>
      <c r="G57">
        <v>7.424347</v>
      </c>
      <c r="H57">
        <v>8.5108350000000002</v>
      </c>
      <c r="I57">
        <v>2.2599999999999999E-3</v>
      </c>
    </row>
    <row r="58" spans="1:9" x14ac:dyDescent="0.25">
      <c r="A58">
        <v>302</v>
      </c>
      <c r="B58">
        <v>1.838241</v>
      </c>
      <c r="C58">
        <v>0.42105199999999998</v>
      </c>
      <c r="D58">
        <v>0.93383700000000003</v>
      </c>
      <c r="E58">
        <v>0.92775099999999999</v>
      </c>
      <c r="F58">
        <v>1.7808360000000001</v>
      </c>
      <c r="G58">
        <v>7.0418710000000004</v>
      </c>
      <c r="H58">
        <v>7.2017810000000004</v>
      </c>
      <c r="I58">
        <v>4.9100000000000001E-4</v>
      </c>
    </row>
    <row r="59" spans="1:9" x14ac:dyDescent="0.25">
      <c r="A59">
        <v>304</v>
      </c>
      <c r="B59">
        <v>1.623267</v>
      </c>
      <c r="C59">
        <v>0.42659999999999998</v>
      </c>
      <c r="D59">
        <v>0.92349099999999995</v>
      </c>
      <c r="E59">
        <v>0.997645</v>
      </c>
      <c r="F59">
        <v>1.7483200000000001</v>
      </c>
      <c r="G59">
        <v>6.6655579999999999</v>
      </c>
      <c r="H59">
        <v>5.9855739999999997</v>
      </c>
      <c r="I59">
        <v>3.1359999999999999E-3</v>
      </c>
    </row>
    <row r="60" spans="1:9" x14ac:dyDescent="0.25">
      <c r="A60">
        <v>306</v>
      </c>
      <c r="B60">
        <v>1.4346460000000001</v>
      </c>
      <c r="C60">
        <v>0.42605100000000001</v>
      </c>
      <c r="D60">
        <v>0.89895999999999998</v>
      </c>
      <c r="E60">
        <v>1.072446</v>
      </c>
      <c r="F60">
        <v>1.6860470000000001</v>
      </c>
      <c r="G60">
        <v>6.2931410000000003</v>
      </c>
      <c r="H60">
        <v>4.8649690000000003</v>
      </c>
      <c r="I60">
        <v>8.1209999999999997E-3</v>
      </c>
    </row>
    <row r="61" spans="1:9" x14ac:dyDescent="0.25">
      <c r="A61">
        <v>308</v>
      </c>
      <c r="B61">
        <v>1.289588</v>
      </c>
      <c r="C61">
        <v>0.42287999999999998</v>
      </c>
      <c r="D61">
        <v>0.86578900000000003</v>
      </c>
      <c r="E61">
        <v>1.139667</v>
      </c>
      <c r="F61">
        <v>1.604881</v>
      </c>
      <c r="G61">
        <v>5.9272989999999997</v>
      </c>
      <c r="H61">
        <v>3.9052169999999999</v>
      </c>
      <c r="I61">
        <v>8.5660000000000007E-3</v>
      </c>
    </row>
    <row r="62" spans="1:9" x14ac:dyDescent="0.25">
      <c r="A62">
        <v>310</v>
      </c>
      <c r="B62">
        <v>1.1901930000000001</v>
      </c>
      <c r="C62">
        <v>0.42048400000000002</v>
      </c>
      <c r="D62">
        <v>0.81017700000000004</v>
      </c>
      <c r="E62">
        <v>1.1990700000000001</v>
      </c>
      <c r="F62">
        <v>1.516418</v>
      </c>
      <c r="G62">
        <v>5.5547230000000001</v>
      </c>
      <c r="H62">
        <v>3.0748950000000002</v>
      </c>
      <c r="I62">
        <v>4.3420000000000004E-3</v>
      </c>
    </row>
    <row r="63" spans="1:9" x14ac:dyDescent="0.25">
      <c r="A63">
        <v>312</v>
      </c>
      <c r="B63">
        <v>1.141848</v>
      </c>
      <c r="C63">
        <v>0.42015000000000002</v>
      </c>
      <c r="D63">
        <v>0.74726000000000004</v>
      </c>
      <c r="E63">
        <v>1.2531749999999999</v>
      </c>
      <c r="F63">
        <v>1.408593</v>
      </c>
      <c r="G63">
        <v>5.1703830000000002</v>
      </c>
      <c r="H63">
        <v>2.3679860000000001</v>
      </c>
      <c r="I63">
        <v>1.2290000000000001E-2</v>
      </c>
    </row>
    <row r="64" spans="1:9" x14ac:dyDescent="0.25">
      <c r="A64">
        <v>314</v>
      </c>
      <c r="B64">
        <v>1.1398079999999999</v>
      </c>
      <c r="C64">
        <v>0.41111599999999998</v>
      </c>
      <c r="D64">
        <v>0.68247500000000005</v>
      </c>
      <c r="E64">
        <v>1.292422</v>
      </c>
      <c r="F64">
        <v>1.282783</v>
      </c>
      <c r="G64">
        <v>4.7886559999999996</v>
      </c>
      <c r="H64">
        <v>1.8054049999999999</v>
      </c>
      <c r="I64">
        <v>1.7749000000000001E-2</v>
      </c>
    </row>
    <row r="65" spans="1:9" x14ac:dyDescent="0.25">
      <c r="A65">
        <v>316</v>
      </c>
      <c r="B65">
        <v>1.1751180000000001</v>
      </c>
      <c r="C65">
        <v>0.39194699999999999</v>
      </c>
      <c r="D65">
        <v>0.61617599999999995</v>
      </c>
      <c r="E65">
        <v>1.3116129999999999</v>
      </c>
      <c r="F65">
        <v>1.142595</v>
      </c>
      <c r="G65">
        <v>4.3901180000000002</v>
      </c>
      <c r="H65">
        <v>1.3447340000000001</v>
      </c>
      <c r="I65">
        <v>1.7183E-2</v>
      </c>
    </row>
    <row r="66" spans="1:9" x14ac:dyDescent="0.25">
      <c r="A66">
        <v>318</v>
      </c>
      <c r="B66">
        <v>1.2508589999999999</v>
      </c>
      <c r="C66">
        <v>0.37235099999999999</v>
      </c>
      <c r="D66">
        <v>0.54593400000000003</v>
      </c>
      <c r="E66">
        <v>1.302967</v>
      </c>
      <c r="F66">
        <v>0.99241199999999996</v>
      </c>
      <c r="G66">
        <v>4.0004210000000002</v>
      </c>
      <c r="H66">
        <v>0.99138700000000002</v>
      </c>
      <c r="I66">
        <v>2.5426000000000001E-2</v>
      </c>
    </row>
    <row r="67" spans="1:9" x14ac:dyDescent="0.25">
      <c r="A67">
        <v>320</v>
      </c>
      <c r="B67">
        <v>1.3630629999999999</v>
      </c>
      <c r="C67">
        <v>0.34885899999999997</v>
      </c>
      <c r="D67">
        <v>0.477518</v>
      </c>
      <c r="E67">
        <v>1.280446</v>
      </c>
      <c r="F67">
        <v>0.851939</v>
      </c>
      <c r="G67">
        <v>3.6138780000000001</v>
      </c>
      <c r="H67">
        <v>0.71881700000000004</v>
      </c>
      <c r="I67">
        <v>2.776E-2</v>
      </c>
    </row>
    <row r="68" spans="1:9" x14ac:dyDescent="0.25">
      <c r="A68">
        <v>322</v>
      </c>
      <c r="B68">
        <v>1.4772749999999999</v>
      </c>
      <c r="C68">
        <v>0.32662200000000002</v>
      </c>
      <c r="D68">
        <v>0.42141200000000001</v>
      </c>
      <c r="E68">
        <v>1.2422230000000001</v>
      </c>
      <c r="F68">
        <v>0.71691300000000002</v>
      </c>
      <c r="G68">
        <v>3.2489819999999998</v>
      </c>
      <c r="H68">
        <v>0.51944100000000004</v>
      </c>
      <c r="I68">
        <v>1.9399E-2</v>
      </c>
    </row>
    <row r="69" spans="1:9" x14ac:dyDescent="0.25">
      <c r="A69">
        <v>324</v>
      </c>
      <c r="B69">
        <v>1.6102080000000001</v>
      </c>
      <c r="C69">
        <v>0.30687599999999998</v>
      </c>
      <c r="D69">
        <v>0.37234400000000001</v>
      </c>
      <c r="E69">
        <v>1.1777089999999999</v>
      </c>
      <c r="F69">
        <v>0.58172500000000005</v>
      </c>
      <c r="G69">
        <v>2.9008080000000001</v>
      </c>
      <c r="H69">
        <v>0.356711</v>
      </c>
      <c r="I69">
        <v>1.0174000000000001E-2</v>
      </c>
    </row>
    <row r="70" spans="1:9" x14ac:dyDescent="0.25">
      <c r="A70">
        <v>326</v>
      </c>
      <c r="B70">
        <v>1.7560830000000001</v>
      </c>
      <c r="C70">
        <v>0.29008099999999998</v>
      </c>
      <c r="D70">
        <v>0.342333</v>
      </c>
      <c r="E70">
        <v>1.1069599999999999</v>
      </c>
      <c r="F70">
        <v>0.477462</v>
      </c>
      <c r="G70">
        <v>2.6094550000000001</v>
      </c>
      <c r="H70">
        <v>0.24459900000000001</v>
      </c>
      <c r="I70">
        <v>1.5626000000000001E-2</v>
      </c>
    </row>
    <row r="71" spans="1:9" x14ac:dyDescent="0.25">
      <c r="A71">
        <v>328</v>
      </c>
      <c r="B71">
        <v>1.91656</v>
      </c>
      <c r="C71">
        <v>0.27471099999999998</v>
      </c>
      <c r="D71">
        <v>0.315554</v>
      </c>
      <c r="E71">
        <v>1.020818</v>
      </c>
      <c r="F71">
        <v>0.38011600000000001</v>
      </c>
      <c r="G71">
        <v>2.3421210000000001</v>
      </c>
      <c r="H71">
        <v>0.16611999999999999</v>
      </c>
      <c r="I71">
        <v>1.9924999999999998E-2</v>
      </c>
    </row>
    <row r="72" spans="1:9" x14ac:dyDescent="0.25">
      <c r="A72">
        <v>330</v>
      </c>
      <c r="B72">
        <v>2.0942259999999999</v>
      </c>
      <c r="C72">
        <v>0.26297900000000002</v>
      </c>
      <c r="D72">
        <v>0.29564800000000002</v>
      </c>
      <c r="E72">
        <v>0.93511500000000003</v>
      </c>
      <c r="F72">
        <v>0.30321999999999999</v>
      </c>
      <c r="G72">
        <v>2.116193</v>
      </c>
      <c r="H72">
        <v>0.113706</v>
      </c>
      <c r="I72">
        <v>1.291E-2</v>
      </c>
    </row>
    <row r="73" spans="1:9" x14ac:dyDescent="0.25">
      <c r="A73">
        <v>332</v>
      </c>
      <c r="B73">
        <v>2.2622239999999998</v>
      </c>
      <c r="C73">
        <v>0.25492199999999998</v>
      </c>
      <c r="D73">
        <v>0.29176099999999999</v>
      </c>
      <c r="E73">
        <v>0.85147200000000001</v>
      </c>
      <c r="F73">
        <v>0.24951100000000001</v>
      </c>
      <c r="G73">
        <v>1.932115</v>
      </c>
      <c r="H73">
        <v>7.5449000000000002E-2</v>
      </c>
      <c r="I73">
        <v>1.1478E-2</v>
      </c>
    </row>
    <row r="74" spans="1:9" x14ac:dyDescent="0.25">
      <c r="A74">
        <v>334</v>
      </c>
      <c r="B74">
        <v>2.4306510000000001</v>
      </c>
      <c r="C74">
        <v>0.24016299999999999</v>
      </c>
      <c r="D74">
        <v>0.293379</v>
      </c>
      <c r="E74">
        <v>0.751166</v>
      </c>
      <c r="F74">
        <v>0.20210700000000001</v>
      </c>
      <c r="G74">
        <v>1.761495</v>
      </c>
      <c r="H74">
        <v>4.6154000000000001E-2</v>
      </c>
      <c r="I74">
        <v>1.108E-2</v>
      </c>
    </row>
    <row r="75" spans="1:9" x14ac:dyDescent="0.25">
      <c r="A75">
        <v>336</v>
      </c>
      <c r="B75">
        <v>2.604946</v>
      </c>
      <c r="C75">
        <v>0.22091</v>
      </c>
      <c r="D75">
        <v>0.30065700000000001</v>
      </c>
      <c r="E75">
        <v>0.64728799999999997</v>
      </c>
      <c r="F75">
        <v>0.16370699999999999</v>
      </c>
      <c r="G75">
        <v>1.591029</v>
      </c>
      <c r="H75">
        <v>2.9982999999999999E-2</v>
      </c>
      <c r="I75">
        <v>1.1516999999999999E-2</v>
      </c>
    </row>
    <row r="76" spans="1:9" x14ac:dyDescent="0.25">
      <c r="A76">
        <v>338</v>
      </c>
      <c r="B76">
        <v>2.7737409999999998</v>
      </c>
      <c r="C76">
        <v>0.20701900000000001</v>
      </c>
      <c r="D76">
        <v>0.31974000000000002</v>
      </c>
      <c r="E76">
        <v>0.55617099999999997</v>
      </c>
      <c r="F76">
        <v>0.136216</v>
      </c>
      <c r="G76">
        <v>1.4219440000000001</v>
      </c>
      <c r="H76">
        <v>1.8423999999999999E-2</v>
      </c>
      <c r="I76">
        <v>1.6483999999999999E-2</v>
      </c>
    </row>
    <row r="77" spans="1:9" x14ac:dyDescent="0.25">
      <c r="A77">
        <v>340</v>
      </c>
      <c r="B77">
        <v>2.9275319999999998</v>
      </c>
      <c r="C77">
        <v>0.20006599999999999</v>
      </c>
      <c r="D77">
        <v>0.34573900000000002</v>
      </c>
      <c r="E77">
        <v>0.469611</v>
      </c>
      <c r="F77">
        <v>0.11539099999999999</v>
      </c>
      <c r="G77">
        <v>1.2685310000000001</v>
      </c>
      <c r="H77">
        <v>1.0031999999999999E-2</v>
      </c>
      <c r="I77">
        <v>1.306E-2</v>
      </c>
    </row>
    <row r="78" spans="1:9" x14ac:dyDescent="0.25">
      <c r="A78">
        <v>342</v>
      </c>
      <c r="B78">
        <v>3.0743230000000001</v>
      </c>
      <c r="C78">
        <v>0.19978399999999999</v>
      </c>
      <c r="D78">
        <v>0.37642700000000001</v>
      </c>
      <c r="E78">
        <v>0.38988</v>
      </c>
      <c r="F78">
        <v>0.10141799999999999</v>
      </c>
      <c r="G78">
        <v>1.118101</v>
      </c>
      <c r="H78">
        <v>1.0002E-2</v>
      </c>
      <c r="I78">
        <v>1.4607999999999999E-2</v>
      </c>
    </row>
    <row r="79" spans="1:9" x14ac:dyDescent="0.25">
      <c r="A79">
        <v>344</v>
      </c>
      <c r="B79">
        <v>3.2032430000000001</v>
      </c>
      <c r="C79">
        <v>0.19943</v>
      </c>
      <c r="D79">
        <v>0.41068700000000002</v>
      </c>
      <c r="E79">
        <v>0.32320399999999999</v>
      </c>
      <c r="F79">
        <v>0.10233200000000001</v>
      </c>
      <c r="G79">
        <v>0.96632300000000004</v>
      </c>
      <c r="H79">
        <v>9.4719999999999995E-3</v>
      </c>
      <c r="I79">
        <v>1.9164E-2</v>
      </c>
    </row>
    <row r="80" spans="1:9" x14ac:dyDescent="0.25">
      <c r="A80">
        <v>346</v>
      </c>
      <c r="B80">
        <v>3.3179889999999999</v>
      </c>
      <c r="C80">
        <v>0.181811</v>
      </c>
      <c r="D80">
        <v>0.453013</v>
      </c>
      <c r="E80">
        <v>0.27513599999999999</v>
      </c>
      <c r="F80">
        <v>0.104382</v>
      </c>
      <c r="G80">
        <v>0.82184199999999996</v>
      </c>
      <c r="H80">
        <v>6.7710000000000001E-3</v>
      </c>
      <c r="I80">
        <v>2.5853000000000001E-2</v>
      </c>
    </row>
    <row r="81" spans="1:9" x14ac:dyDescent="0.25">
      <c r="A81">
        <v>348</v>
      </c>
      <c r="B81">
        <v>3.423934</v>
      </c>
      <c r="C81">
        <v>0.16280800000000001</v>
      </c>
      <c r="D81">
        <v>0.49368600000000001</v>
      </c>
      <c r="E81">
        <v>0.23858599999999999</v>
      </c>
      <c r="F81">
        <v>0.101045</v>
      </c>
      <c r="G81">
        <v>0.69254300000000002</v>
      </c>
      <c r="H81">
        <v>3.241E-3</v>
      </c>
      <c r="I81">
        <v>2.8253E-2</v>
      </c>
    </row>
    <row r="82" spans="1:9" x14ac:dyDescent="0.25">
      <c r="A82">
        <v>350</v>
      </c>
      <c r="B82">
        <v>3.5081370000000001</v>
      </c>
      <c r="C82">
        <v>0.153002</v>
      </c>
      <c r="D82">
        <v>0.53456199999999998</v>
      </c>
      <c r="E82">
        <v>0.20439499999999999</v>
      </c>
      <c r="F82">
        <v>0.10088</v>
      </c>
      <c r="G82">
        <v>0.58618400000000004</v>
      </c>
      <c r="H82">
        <v>-9.4399999999999996E-4</v>
      </c>
      <c r="I82">
        <v>2.4348000000000002E-2</v>
      </c>
    </row>
    <row r="83" spans="1:9" x14ac:dyDescent="0.25">
      <c r="A83">
        <v>352</v>
      </c>
      <c r="B83">
        <v>3.5684269999999998</v>
      </c>
      <c r="C83">
        <v>0.14962600000000001</v>
      </c>
      <c r="D83">
        <v>0.58115700000000003</v>
      </c>
      <c r="E83">
        <v>0.181336</v>
      </c>
      <c r="F83">
        <v>0.106491</v>
      </c>
      <c r="G83">
        <v>0.497948</v>
      </c>
      <c r="H83">
        <v>1.6200000000000001E-4</v>
      </c>
      <c r="I83">
        <v>2.0086E-2</v>
      </c>
    </row>
    <row r="84" spans="1:9" x14ac:dyDescent="0.25">
      <c r="A84">
        <v>354</v>
      </c>
      <c r="B84">
        <v>3.6100189999999999</v>
      </c>
      <c r="C84">
        <v>0.14143600000000001</v>
      </c>
      <c r="D84">
        <v>0.62638799999999994</v>
      </c>
      <c r="E84">
        <v>0.166328</v>
      </c>
      <c r="F84">
        <v>0.108545</v>
      </c>
      <c r="G84">
        <v>0.41544599999999998</v>
      </c>
      <c r="H84">
        <v>1.021E-3</v>
      </c>
      <c r="I84">
        <v>1.6605000000000002E-2</v>
      </c>
    </row>
    <row r="85" spans="1:9" x14ac:dyDescent="0.25">
      <c r="A85">
        <v>356</v>
      </c>
      <c r="B85">
        <v>3.6039590000000001</v>
      </c>
      <c r="C85">
        <v>0.13741100000000001</v>
      </c>
      <c r="D85">
        <v>0.69262999999999997</v>
      </c>
      <c r="E85">
        <v>0.153144</v>
      </c>
      <c r="F85">
        <v>0.107835</v>
      </c>
      <c r="G85">
        <v>0.34393000000000001</v>
      </c>
      <c r="H85">
        <v>3.0010000000000002E-3</v>
      </c>
      <c r="I85">
        <v>2.2291999999999999E-2</v>
      </c>
    </row>
    <row r="86" spans="1:9" x14ac:dyDescent="0.25">
      <c r="A86">
        <v>358</v>
      </c>
      <c r="B86">
        <v>3.572927</v>
      </c>
      <c r="C86">
        <v>0.13034999999999999</v>
      </c>
      <c r="D86">
        <v>0.75310100000000002</v>
      </c>
      <c r="E86">
        <v>0.14168800000000001</v>
      </c>
      <c r="F86">
        <v>0.106626</v>
      </c>
      <c r="G86">
        <v>0.290686</v>
      </c>
      <c r="H86">
        <v>3.235E-3</v>
      </c>
      <c r="I86">
        <v>2.5250999999999999E-2</v>
      </c>
    </row>
    <row r="87" spans="1:9" x14ac:dyDescent="0.25">
      <c r="A87">
        <v>360</v>
      </c>
      <c r="B87">
        <v>3.5308700000000002</v>
      </c>
      <c r="C87">
        <v>0.121972</v>
      </c>
      <c r="D87">
        <v>0.80567200000000005</v>
      </c>
      <c r="E87">
        <v>0.13589699999999999</v>
      </c>
      <c r="F87">
        <v>0.108973</v>
      </c>
      <c r="G87">
        <v>0.25544299999999998</v>
      </c>
      <c r="H87">
        <v>6.0930000000000003E-3</v>
      </c>
      <c r="I87">
        <v>2.2048000000000002E-2</v>
      </c>
    </row>
    <row r="88" spans="1:9" x14ac:dyDescent="0.25">
      <c r="A88">
        <v>362</v>
      </c>
      <c r="B88">
        <v>3.462243</v>
      </c>
      <c r="C88">
        <v>0.123778</v>
      </c>
      <c r="D88">
        <v>0.875085</v>
      </c>
      <c r="E88">
        <v>0.132131</v>
      </c>
      <c r="F88">
        <v>0.11416800000000001</v>
      </c>
      <c r="G88">
        <v>0.21590000000000001</v>
      </c>
      <c r="H88">
        <v>9.6699999999999998E-4</v>
      </c>
      <c r="I88">
        <v>2.0655E-2</v>
      </c>
    </row>
    <row r="89" spans="1:9" x14ac:dyDescent="0.25">
      <c r="A89">
        <v>364</v>
      </c>
      <c r="B89">
        <v>3.3620930000000002</v>
      </c>
      <c r="C89">
        <v>0.124223</v>
      </c>
      <c r="D89">
        <v>0.93434300000000003</v>
      </c>
      <c r="E89">
        <v>0.12793499999999999</v>
      </c>
      <c r="F89">
        <v>0.117824</v>
      </c>
      <c r="G89">
        <v>0.18033299999999999</v>
      </c>
      <c r="H89">
        <v>-9.7999999999999997E-5</v>
      </c>
      <c r="I89">
        <v>1.9958E-2</v>
      </c>
    </row>
    <row r="90" spans="1:9" x14ac:dyDescent="0.25">
      <c r="A90">
        <v>366</v>
      </c>
      <c r="B90">
        <v>3.2366830000000002</v>
      </c>
      <c r="C90">
        <v>0.12205199999999999</v>
      </c>
      <c r="D90">
        <v>0.99265099999999995</v>
      </c>
      <c r="E90">
        <v>0.12740899999999999</v>
      </c>
      <c r="F90">
        <v>0.12041</v>
      </c>
      <c r="G90">
        <v>0.16713500000000001</v>
      </c>
      <c r="H90">
        <v>7.2630000000000004E-3</v>
      </c>
      <c r="I90">
        <v>2.2283000000000001E-2</v>
      </c>
    </row>
    <row r="91" spans="1:9" x14ac:dyDescent="0.25">
      <c r="A91">
        <v>368</v>
      </c>
      <c r="B91">
        <v>3.1067490000000002</v>
      </c>
      <c r="C91">
        <v>0.117507</v>
      </c>
      <c r="D91">
        <v>1.052019</v>
      </c>
      <c r="E91">
        <v>0.141877</v>
      </c>
      <c r="F91">
        <v>0.124699</v>
      </c>
      <c r="G91">
        <v>0.156052</v>
      </c>
      <c r="H91">
        <v>4.241E-3</v>
      </c>
      <c r="I91">
        <v>1.4619999999999999E-2</v>
      </c>
    </row>
    <row r="92" spans="1:9" x14ac:dyDescent="0.25">
      <c r="A92">
        <v>370</v>
      </c>
      <c r="B92">
        <v>2.9626540000000001</v>
      </c>
      <c r="C92">
        <v>0.10893</v>
      </c>
      <c r="D92">
        <v>1.1078889999999999</v>
      </c>
      <c r="E92">
        <v>0.14763899999999999</v>
      </c>
      <c r="F92">
        <v>0.136683</v>
      </c>
      <c r="G92">
        <v>0.14091100000000001</v>
      </c>
      <c r="H92">
        <v>2.3419999999999999E-3</v>
      </c>
      <c r="I92">
        <v>-2.0409999999999998E-3</v>
      </c>
    </row>
    <row r="93" spans="1:9" x14ac:dyDescent="0.25">
      <c r="A93">
        <v>372</v>
      </c>
      <c r="B93">
        <v>2.7810779999999999</v>
      </c>
      <c r="C93">
        <v>0.10430200000000001</v>
      </c>
      <c r="D93">
        <v>1.1609499999999999</v>
      </c>
      <c r="E93">
        <v>0.15493000000000001</v>
      </c>
      <c r="F93">
        <v>0.14760999999999999</v>
      </c>
      <c r="G93">
        <v>0.12080100000000001</v>
      </c>
      <c r="H93">
        <v>-2.2409999999999999E-3</v>
      </c>
      <c r="I93">
        <v>-5.2370000000000003E-3</v>
      </c>
    </row>
    <row r="94" spans="1:9" x14ac:dyDescent="0.25">
      <c r="A94">
        <v>374</v>
      </c>
      <c r="B94">
        <v>2.594398</v>
      </c>
      <c r="C94">
        <v>0.11386300000000001</v>
      </c>
      <c r="D94">
        <v>1.204949</v>
      </c>
      <c r="E94">
        <v>0.163746</v>
      </c>
      <c r="F94">
        <v>0.14335500000000001</v>
      </c>
      <c r="G94">
        <v>9.6339999999999995E-2</v>
      </c>
      <c r="H94">
        <v>-6.9480000000000002E-3</v>
      </c>
      <c r="I94">
        <v>7.7499999999999997E-4</v>
      </c>
    </row>
    <row r="95" spans="1:9" x14ac:dyDescent="0.25">
      <c r="A95">
        <v>376</v>
      </c>
      <c r="B95">
        <v>2.404318</v>
      </c>
      <c r="C95">
        <v>0.124473</v>
      </c>
      <c r="D95">
        <v>1.253071</v>
      </c>
      <c r="E95">
        <v>0.15401000000000001</v>
      </c>
      <c r="F95">
        <v>0.13405900000000001</v>
      </c>
      <c r="G95">
        <v>9.5982999999999999E-2</v>
      </c>
      <c r="H95">
        <v>-3.0330000000000001E-3</v>
      </c>
      <c r="I95">
        <v>3.9909999999999998E-3</v>
      </c>
    </row>
    <row r="96" spans="1:9" x14ac:dyDescent="0.25">
      <c r="A96">
        <v>378</v>
      </c>
      <c r="B96">
        <v>2.2080799999999998</v>
      </c>
      <c r="C96">
        <v>0.12532699999999999</v>
      </c>
      <c r="D96">
        <v>1.29474</v>
      </c>
      <c r="E96">
        <v>0.15293499999999999</v>
      </c>
      <c r="F96">
        <v>0.130716</v>
      </c>
      <c r="G96">
        <v>9.5503000000000005E-2</v>
      </c>
      <c r="H96">
        <v>3.539E-3</v>
      </c>
      <c r="I96">
        <v>1.1727E-2</v>
      </c>
    </row>
    <row r="97" spans="1:9" x14ac:dyDescent="0.25">
      <c r="A97">
        <v>380</v>
      </c>
      <c r="B97">
        <v>2.0156209999999999</v>
      </c>
      <c r="C97">
        <v>0.118607</v>
      </c>
      <c r="D97">
        <v>1.3255380000000001</v>
      </c>
      <c r="E97">
        <v>0.16875799999999999</v>
      </c>
      <c r="F97">
        <v>0.144321</v>
      </c>
      <c r="G97">
        <v>8.3409999999999998E-2</v>
      </c>
      <c r="H97">
        <v>6.6959999999999997E-3</v>
      </c>
      <c r="I97">
        <v>4.9100000000000003E-3</v>
      </c>
    </row>
    <row r="98" spans="1:9" x14ac:dyDescent="0.25">
      <c r="A98">
        <v>382</v>
      </c>
      <c r="B98">
        <v>1.806405</v>
      </c>
      <c r="C98">
        <v>0.11820700000000001</v>
      </c>
      <c r="D98">
        <v>1.35944</v>
      </c>
      <c r="E98">
        <v>0.180918</v>
      </c>
      <c r="F98">
        <v>0.159661</v>
      </c>
      <c r="G98">
        <v>7.5495000000000007E-2</v>
      </c>
      <c r="H98">
        <v>8.5170000000000003E-3</v>
      </c>
      <c r="I98">
        <v>4.8799999999999999E-4</v>
      </c>
    </row>
    <row r="99" spans="1:9" x14ac:dyDescent="0.25">
      <c r="A99">
        <v>384</v>
      </c>
      <c r="B99">
        <v>1.625259</v>
      </c>
      <c r="C99">
        <v>0.120347</v>
      </c>
      <c r="D99">
        <v>1.3900939999999999</v>
      </c>
      <c r="E99">
        <v>0.18318499999999999</v>
      </c>
      <c r="F99">
        <v>0.15759699999999999</v>
      </c>
      <c r="G99">
        <v>7.8098000000000001E-2</v>
      </c>
      <c r="H99">
        <v>8.5699999999999995E-3</v>
      </c>
      <c r="I99">
        <v>5.0090000000000004E-3</v>
      </c>
    </row>
    <row r="100" spans="1:9" x14ac:dyDescent="0.25">
      <c r="A100">
        <v>386</v>
      </c>
      <c r="B100">
        <v>1.447176</v>
      </c>
      <c r="C100">
        <v>0.109694</v>
      </c>
      <c r="D100">
        <v>1.4086730000000001</v>
      </c>
      <c r="E100">
        <v>0.19453899999999999</v>
      </c>
      <c r="F100">
        <v>0.16983200000000001</v>
      </c>
      <c r="G100">
        <v>7.5824000000000003E-2</v>
      </c>
      <c r="H100">
        <v>-2.7369999999999998E-3</v>
      </c>
      <c r="I100">
        <v>7.5950000000000002E-3</v>
      </c>
    </row>
    <row r="101" spans="1:9" x14ac:dyDescent="0.25">
      <c r="A101">
        <v>388</v>
      </c>
      <c r="B101">
        <v>1.273479</v>
      </c>
      <c r="C101">
        <v>0.105848</v>
      </c>
      <c r="D101">
        <v>1.4149160000000001</v>
      </c>
      <c r="E101">
        <v>0.21337800000000001</v>
      </c>
      <c r="F101">
        <v>0.175094</v>
      </c>
      <c r="G101">
        <v>7.6088000000000003E-2</v>
      </c>
      <c r="H101">
        <v>-9.3650000000000001E-3</v>
      </c>
      <c r="I101">
        <v>9.5630000000000003E-3</v>
      </c>
    </row>
    <row r="102" spans="1:9" x14ac:dyDescent="0.25">
      <c r="A102">
        <v>390</v>
      </c>
      <c r="B102">
        <v>1.0988089999999999</v>
      </c>
      <c r="C102">
        <v>0.106696</v>
      </c>
      <c r="D102">
        <v>1.3890819999999999</v>
      </c>
      <c r="E102">
        <v>0.22464200000000001</v>
      </c>
      <c r="F102">
        <v>0.179593</v>
      </c>
      <c r="G102">
        <v>7.2646000000000002E-2</v>
      </c>
      <c r="H102">
        <v>-2.8509999999999998E-3</v>
      </c>
      <c r="I102">
        <v>8.5950000000000002E-3</v>
      </c>
    </row>
    <row r="103" spans="1:9" x14ac:dyDescent="0.25">
      <c r="A103">
        <v>392</v>
      </c>
      <c r="B103">
        <v>0.94042800000000004</v>
      </c>
      <c r="C103">
        <v>8.6153999999999994E-2</v>
      </c>
      <c r="D103">
        <v>1.356017</v>
      </c>
      <c r="E103">
        <v>0.22989100000000001</v>
      </c>
      <c r="F103">
        <v>0.19383300000000001</v>
      </c>
      <c r="G103">
        <v>5.7482999999999999E-2</v>
      </c>
      <c r="H103">
        <v>-8.7609999999999997E-3</v>
      </c>
      <c r="I103">
        <v>8.9840000000000007E-3</v>
      </c>
    </row>
    <row r="104" spans="1:9" x14ac:dyDescent="0.25">
      <c r="A104">
        <v>394</v>
      </c>
      <c r="B104">
        <v>0.80623599999999995</v>
      </c>
      <c r="C104">
        <v>9.3804999999999999E-2</v>
      </c>
      <c r="D104">
        <v>1.3279099999999999</v>
      </c>
      <c r="E104">
        <v>0.235011</v>
      </c>
      <c r="F104">
        <v>0.19680400000000001</v>
      </c>
      <c r="G104">
        <v>5.6632000000000002E-2</v>
      </c>
      <c r="H104">
        <v>-9.9959999999999997E-3</v>
      </c>
      <c r="I104">
        <v>8.0800000000000004E-3</v>
      </c>
    </row>
    <row r="105" spans="1:9" x14ac:dyDescent="0.25">
      <c r="A105">
        <v>396</v>
      </c>
      <c r="B105">
        <v>0.67079699999999998</v>
      </c>
      <c r="C105">
        <v>0.11727</v>
      </c>
      <c r="D105">
        <v>1.2943659999999999</v>
      </c>
      <c r="E105">
        <v>0.25408500000000001</v>
      </c>
      <c r="F105">
        <v>0.202208</v>
      </c>
      <c r="G105">
        <v>6.7052E-2</v>
      </c>
      <c r="H105">
        <v>1.95E-4</v>
      </c>
      <c r="I105">
        <v>1.4611000000000001E-2</v>
      </c>
    </row>
    <row r="106" spans="1:9" x14ac:dyDescent="0.25">
      <c r="A106">
        <v>398</v>
      </c>
      <c r="B106">
        <v>0.55317799999999995</v>
      </c>
      <c r="C106">
        <v>0.10219200000000001</v>
      </c>
      <c r="D106">
        <v>1.257074</v>
      </c>
      <c r="E106">
        <v>0.266239</v>
      </c>
      <c r="F106">
        <v>0.21349199999999999</v>
      </c>
      <c r="G106">
        <v>6.7890000000000006E-2</v>
      </c>
      <c r="H106">
        <v>-2.5399999999999999E-4</v>
      </c>
      <c r="I106">
        <v>9.2870000000000001E-3</v>
      </c>
    </row>
    <row r="107" spans="1:9" x14ac:dyDescent="0.25">
      <c r="A107">
        <v>400</v>
      </c>
      <c r="B107">
        <v>0.45269300000000001</v>
      </c>
      <c r="C107">
        <v>9.3552999999999997E-2</v>
      </c>
      <c r="D107">
        <v>1.2019219999999999</v>
      </c>
      <c r="E107">
        <v>0.27960099999999999</v>
      </c>
      <c r="F107">
        <v>0.22844</v>
      </c>
      <c r="G107">
        <v>6.0192000000000002E-2</v>
      </c>
      <c r="H107">
        <v>-3.4E-5</v>
      </c>
      <c r="I107">
        <v>1.9449999999999999E-3</v>
      </c>
    </row>
    <row r="108" spans="1:9" x14ac:dyDescent="0.25">
      <c r="A108">
        <v>402</v>
      </c>
      <c r="B108">
        <v>0.36124000000000001</v>
      </c>
      <c r="C108">
        <v>0.100554</v>
      </c>
      <c r="D108">
        <v>1.1521410000000001</v>
      </c>
      <c r="E108">
        <v>0.304423</v>
      </c>
      <c r="F108">
        <v>0.24848500000000001</v>
      </c>
      <c r="G108">
        <v>6.0838000000000003E-2</v>
      </c>
      <c r="H108">
        <v>-1.0809999999999999E-3</v>
      </c>
      <c r="I108">
        <v>1.4071999999999999E-2</v>
      </c>
    </row>
    <row r="109" spans="1:9" x14ac:dyDescent="0.25">
      <c r="A109">
        <v>404</v>
      </c>
      <c r="B109">
        <v>0.28841800000000001</v>
      </c>
      <c r="C109">
        <v>0.115145</v>
      </c>
      <c r="D109">
        <v>1.109799</v>
      </c>
      <c r="E109">
        <v>0.31445600000000001</v>
      </c>
      <c r="F109">
        <v>0.25238699999999997</v>
      </c>
      <c r="G109">
        <v>5.7688999999999997E-2</v>
      </c>
      <c r="H109">
        <v>5.0730000000000003E-3</v>
      </c>
      <c r="I109">
        <v>1.7468999999999998E-2</v>
      </c>
    </row>
    <row r="110" spans="1:9" x14ac:dyDescent="0.25">
      <c r="A110">
        <v>406</v>
      </c>
      <c r="B110">
        <v>0.22492899999999999</v>
      </c>
      <c r="C110">
        <v>0.11593199999999999</v>
      </c>
      <c r="D110">
        <v>1.056009</v>
      </c>
      <c r="E110">
        <v>0.32295200000000002</v>
      </c>
      <c r="F110">
        <v>0.25303999999999999</v>
      </c>
      <c r="G110">
        <v>5.4873999999999999E-2</v>
      </c>
      <c r="H110">
        <v>5.2110000000000004E-3</v>
      </c>
      <c r="I110">
        <v>1.2473E-2</v>
      </c>
    </row>
    <row r="111" spans="1:9" x14ac:dyDescent="0.25">
      <c r="A111">
        <v>408</v>
      </c>
      <c r="B111">
        <v>0.17362900000000001</v>
      </c>
      <c r="C111">
        <v>0.10651099999999999</v>
      </c>
      <c r="D111">
        <v>0.98374300000000003</v>
      </c>
      <c r="E111">
        <v>0.33953499999999998</v>
      </c>
      <c r="F111">
        <v>0.26982800000000001</v>
      </c>
      <c r="G111">
        <v>4.9539E-2</v>
      </c>
      <c r="H111">
        <v>-1.7080000000000001E-3</v>
      </c>
      <c r="I111">
        <v>1.4774000000000001E-2</v>
      </c>
    </row>
    <row r="112" spans="1:9" x14ac:dyDescent="0.25">
      <c r="A112">
        <v>410</v>
      </c>
      <c r="B112">
        <v>0.13897899999999999</v>
      </c>
      <c r="C112">
        <v>0.103105</v>
      </c>
      <c r="D112">
        <v>0.89728399999999997</v>
      </c>
      <c r="E112">
        <v>0.35620000000000002</v>
      </c>
      <c r="F112">
        <v>0.29115400000000002</v>
      </c>
      <c r="G112">
        <v>4.7475000000000003E-2</v>
      </c>
      <c r="H112">
        <v>-1.212E-3</v>
      </c>
      <c r="I112">
        <v>9.3889999999999998E-3</v>
      </c>
    </row>
    <row r="113" spans="1:9" x14ac:dyDescent="0.25">
      <c r="A113">
        <v>412</v>
      </c>
      <c r="B113">
        <v>0.101359</v>
      </c>
      <c r="C113">
        <v>9.8194000000000004E-2</v>
      </c>
      <c r="D113">
        <v>0.81192299999999995</v>
      </c>
      <c r="E113">
        <v>0.36872199999999999</v>
      </c>
      <c r="F113">
        <v>0.315502</v>
      </c>
      <c r="G113">
        <v>5.2436000000000003E-2</v>
      </c>
      <c r="H113">
        <v>1.4319999999999999E-3</v>
      </c>
      <c r="I113">
        <v>2.7950000000000002E-3</v>
      </c>
    </row>
    <row r="114" spans="1:9" x14ac:dyDescent="0.25">
      <c r="A114">
        <v>414</v>
      </c>
      <c r="B114">
        <v>7.2020000000000001E-2</v>
      </c>
      <c r="C114">
        <v>0.109542</v>
      </c>
      <c r="D114">
        <v>0.71523599999999998</v>
      </c>
      <c r="E114">
        <v>0.39507199999999998</v>
      </c>
      <c r="F114">
        <v>0.33082299999999998</v>
      </c>
      <c r="G114">
        <v>5.1862999999999999E-2</v>
      </c>
      <c r="H114">
        <v>-3.4979999999999998E-3</v>
      </c>
      <c r="I114">
        <v>3.2439999999999999E-3</v>
      </c>
    </row>
    <row r="115" spans="1:9" x14ac:dyDescent="0.25">
      <c r="A115">
        <v>416</v>
      </c>
      <c r="B115">
        <v>4.8823999999999999E-2</v>
      </c>
      <c r="C115">
        <v>0.111188</v>
      </c>
      <c r="D115">
        <v>0.60779799999999995</v>
      </c>
      <c r="E115">
        <v>0.420769</v>
      </c>
      <c r="F115">
        <v>0.34157100000000001</v>
      </c>
      <c r="G115">
        <v>4.0002000000000003E-2</v>
      </c>
      <c r="H115">
        <v>-8.5079999999999999E-3</v>
      </c>
      <c r="I115">
        <v>6.2919999999999998E-3</v>
      </c>
    </row>
    <row r="116" spans="1:9" x14ac:dyDescent="0.25">
      <c r="A116">
        <v>418</v>
      </c>
      <c r="B116">
        <v>3.4521000000000003E-2</v>
      </c>
      <c r="C116">
        <v>0.10370799999999999</v>
      </c>
      <c r="D116">
        <v>0.48854999999999998</v>
      </c>
      <c r="E116">
        <v>0.42862600000000001</v>
      </c>
      <c r="F116">
        <v>0.36557099999999998</v>
      </c>
      <c r="G116">
        <v>2.8455999999999999E-2</v>
      </c>
      <c r="H116">
        <v>-7.4299999999999995E-4</v>
      </c>
      <c r="I116">
        <v>1.6834999999999999E-2</v>
      </c>
    </row>
    <row r="117" spans="1:9" x14ac:dyDescent="0.25">
      <c r="A117">
        <v>420</v>
      </c>
      <c r="B117">
        <v>2.9100000000000001E-2</v>
      </c>
      <c r="C117">
        <v>9.9148E-2</v>
      </c>
      <c r="D117">
        <v>0.37828899999999999</v>
      </c>
      <c r="E117">
        <v>0.44634600000000002</v>
      </c>
      <c r="F117">
        <v>0.38583000000000001</v>
      </c>
      <c r="G117">
        <v>2.7546999999999999E-2</v>
      </c>
      <c r="H117">
        <v>3.49E-3</v>
      </c>
      <c r="I117">
        <v>1.9975E-2</v>
      </c>
    </row>
    <row r="118" spans="1:9" x14ac:dyDescent="0.25">
      <c r="A118">
        <v>422</v>
      </c>
      <c r="B118">
        <v>2.3068000000000002E-2</v>
      </c>
      <c r="C118">
        <v>9.9906999999999996E-2</v>
      </c>
      <c r="D118">
        <v>0.30325400000000002</v>
      </c>
      <c r="E118">
        <v>0.47586699999999998</v>
      </c>
      <c r="F118">
        <v>0.40055800000000003</v>
      </c>
      <c r="G118">
        <v>3.3831E-2</v>
      </c>
      <c r="H118">
        <v>5.9909999999999998E-3</v>
      </c>
      <c r="I118">
        <v>1.5813000000000001E-2</v>
      </c>
    </row>
    <row r="119" spans="1:9" x14ac:dyDescent="0.25">
      <c r="A119">
        <v>424</v>
      </c>
      <c r="B119">
        <v>1.5740000000000001E-2</v>
      </c>
      <c r="C119">
        <v>0.10237400000000001</v>
      </c>
      <c r="D119">
        <v>0.242919</v>
      </c>
      <c r="E119">
        <v>0.50540600000000002</v>
      </c>
      <c r="F119">
        <v>0.42417100000000002</v>
      </c>
      <c r="G119">
        <v>3.6513999999999998E-2</v>
      </c>
      <c r="H119">
        <v>3.4880000000000002E-3</v>
      </c>
      <c r="I119">
        <v>1.0861000000000001E-2</v>
      </c>
    </row>
    <row r="120" spans="1:9" x14ac:dyDescent="0.25">
      <c r="A120">
        <v>426</v>
      </c>
      <c r="B120">
        <v>1.0071E-2</v>
      </c>
      <c r="C120">
        <v>9.9393999999999996E-2</v>
      </c>
      <c r="D120">
        <v>0.181509</v>
      </c>
      <c r="E120">
        <v>0.51596699999999995</v>
      </c>
      <c r="F120">
        <v>0.44081999999999999</v>
      </c>
      <c r="G120">
        <v>2.4146000000000001E-2</v>
      </c>
      <c r="H120">
        <v>-8.5129999999999997E-3</v>
      </c>
      <c r="I120">
        <v>1.5273E-2</v>
      </c>
    </row>
    <row r="121" spans="1:9" x14ac:dyDescent="0.25">
      <c r="A121">
        <v>428</v>
      </c>
      <c r="B121">
        <v>8.3309999999999999E-3</v>
      </c>
      <c r="C121">
        <v>0.118715</v>
      </c>
      <c r="D121">
        <v>0.134436</v>
      </c>
      <c r="E121">
        <v>0.53870200000000001</v>
      </c>
      <c r="F121">
        <v>0.46707399999999999</v>
      </c>
      <c r="G121">
        <v>1.8409999999999999E-2</v>
      </c>
      <c r="H121">
        <v>-1.3538E-2</v>
      </c>
      <c r="I121">
        <v>1.6299000000000001E-2</v>
      </c>
    </row>
    <row r="122" spans="1:9" x14ac:dyDescent="0.25">
      <c r="A122">
        <v>430</v>
      </c>
      <c r="B122">
        <v>1.1478E-2</v>
      </c>
      <c r="C122">
        <v>0.11873400000000001</v>
      </c>
      <c r="D122">
        <v>9.2299999999999993E-2</v>
      </c>
      <c r="E122">
        <v>0.56761499999999998</v>
      </c>
      <c r="F122">
        <v>0.50354699999999997</v>
      </c>
      <c r="G122">
        <v>2.1114999999999998E-2</v>
      </c>
      <c r="H122">
        <v>1.3829999999999999E-3</v>
      </c>
      <c r="I122">
        <v>4.2750000000000002E-3</v>
      </c>
    </row>
    <row r="123" spans="1:9" x14ac:dyDescent="0.25">
      <c r="A123">
        <v>432</v>
      </c>
      <c r="B123">
        <v>1.4375000000000001E-2</v>
      </c>
      <c r="C123">
        <v>8.5361000000000006E-2</v>
      </c>
      <c r="D123">
        <v>6.3300999999999996E-2</v>
      </c>
      <c r="E123">
        <v>0.58585399999999999</v>
      </c>
      <c r="F123">
        <v>0.52937299999999998</v>
      </c>
      <c r="G123">
        <v>1.6406E-2</v>
      </c>
      <c r="H123">
        <v>1.1022000000000001E-2</v>
      </c>
      <c r="I123">
        <v>1.781E-3</v>
      </c>
    </row>
    <row r="124" spans="1:9" x14ac:dyDescent="0.25">
      <c r="A124">
        <v>434</v>
      </c>
      <c r="B124">
        <v>1.4435E-2</v>
      </c>
      <c r="C124">
        <v>7.4283000000000002E-2</v>
      </c>
      <c r="D124">
        <v>4.9223999999999997E-2</v>
      </c>
      <c r="E124">
        <v>0.60942600000000002</v>
      </c>
      <c r="F124">
        <v>0.56757000000000002</v>
      </c>
      <c r="G124">
        <v>1.5132E-2</v>
      </c>
      <c r="H124">
        <v>-5.3200000000000003E-4</v>
      </c>
      <c r="I124">
        <v>5.7460000000000002E-3</v>
      </c>
    </row>
    <row r="125" spans="1:9" x14ac:dyDescent="0.25">
      <c r="A125">
        <v>436</v>
      </c>
      <c r="B125">
        <v>1.6424000000000001E-2</v>
      </c>
      <c r="C125">
        <v>8.1117999999999996E-2</v>
      </c>
      <c r="D125">
        <v>2.9988000000000001E-2</v>
      </c>
      <c r="E125">
        <v>0.62119000000000002</v>
      </c>
      <c r="F125">
        <v>0.58666600000000002</v>
      </c>
      <c r="G125">
        <v>2.1326000000000001E-2</v>
      </c>
      <c r="H125">
        <v>-7.67E-4</v>
      </c>
      <c r="I125">
        <v>1.5350000000000001E-2</v>
      </c>
    </row>
    <row r="126" spans="1:9" x14ac:dyDescent="0.25">
      <c r="A126">
        <v>438</v>
      </c>
      <c r="B126">
        <v>4.6160000000000003E-3</v>
      </c>
      <c r="C126">
        <v>8.0197000000000004E-2</v>
      </c>
      <c r="D126">
        <v>2.1264000000000002E-2</v>
      </c>
      <c r="E126">
        <v>0.63902800000000004</v>
      </c>
      <c r="F126">
        <v>0.61177400000000004</v>
      </c>
      <c r="G126">
        <v>2.2234E-2</v>
      </c>
      <c r="H126">
        <v>-1.297E-3</v>
      </c>
      <c r="I126">
        <v>2.0552999999999998E-2</v>
      </c>
    </row>
    <row r="127" spans="1:9" x14ac:dyDescent="0.25">
      <c r="A127">
        <v>440</v>
      </c>
      <c r="B127">
        <v>4.3600000000000003E-4</v>
      </c>
      <c r="C127">
        <v>9.5503000000000005E-2</v>
      </c>
      <c r="D127">
        <v>2.1263000000000001E-2</v>
      </c>
      <c r="E127">
        <v>0.66789100000000001</v>
      </c>
      <c r="F127">
        <v>0.64123399999999997</v>
      </c>
      <c r="G127">
        <v>6.7260000000000002E-3</v>
      </c>
      <c r="H127">
        <v>-7.0799999999999997E-4</v>
      </c>
      <c r="I127">
        <v>1.4148000000000001E-2</v>
      </c>
    </row>
    <row r="128" spans="1:9" x14ac:dyDescent="0.25">
      <c r="A128">
        <v>442</v>
      </c>
      <c r="B128">
        <v>1.9463000000000001E-2</v>
      </c>
      <c r="C128">
        <v>0.107351</v>
      </c>
      <c r="D128">
        <v>1.6105999999999999E-2</v>
      </c>
      <c r="E128">
        <v>0.69709600000000005</v>
      </c>
      <c r="F128">
        <v>0.65946000000000005</v>
      </c>
      <c r="G128">
        <v>1.5009999999999999E-3</v>
      </c>
      <c r="H128">
        <v>-3.6459999999999999E-3</v>
      </c>
      <c r="I128">
        <v>4.2839999999999996E-3</v>
      </c>
    </row>
    <row r="129" spans="1:9" x14ac:dyDescent="0.25">
      <c r="A129">
        <v>444</v>
      </c>
      <c r="B129">
        <v>1.8867999999999999E-2</v>
      </c>
      <c r="C129">
        <v>0.102254</v>
      </c>
      <c r="D129">
        <v>1.0449999999999999E-2</v>
      </c>
      <c r="E129">
        <v>0.72734100000000002</v>
      </c>
      <c r="F129">
        <v>0.69323900000000005</v>
      </c>
      <c r="G129">
        <v>5.1590000000000004E-3</v>
      </c>
      <c r="H129">
        <v>-9.9270000000000001E-3</v>
      </c>
      <c r="I129">
        <v>5.8799999999999998E-3</v>
      </c>
    </row>
    <row r="130" spans="1:9" x14ac:dyDescent="0.25">
      <c r="A130">
        <v>446</v>
      </c>
      <c r="B130">
        <v>-4.6160000000000003E-3</v>
      </c>
      <c r="C130">
        <v>8.2472000000000004E-2</v>
      </c>
      <c r="D130">
        <v>1.2907E-2</v>
      </c>
      <c r="E130">
        <v>0.73638199999999998</v>
      </c>
      <c r="F130">
        <v>0.71889800000000004</v>
      </c>
      <c r="G130">
        <v>1.421E-3</v>
      </c>
      <c r="H130">
        <v>-9.4310000000000001E-3</v>
      </c>
      <c r="I130">
        <v>1.6475E-2</v>
      </c>
    </row>
    <row r="131" spans="1:9" x14ac:dyDescent="0.25">
      <c r="A131">
        <v>448</v>
      </c>
      <c r="B131">
        <v>-3.6059999999999998E-3</v>
      </c>
      <c r="C131">
        <v>7.8051999999999996E-2</v>
      </c>
      <c r="D131">
        <v>1.8572000000000002E-2</v>
      </c>
      <c r="E131">
        <v>0.759718</v>
      </c>
      <c r="F131">
        <v>0.74716000000000005</v>
      </c>
      <c r="G131">
        <v>-8.5590000000000006E-3</v>
      </c>
      <c r="H131">
        <v>-1.3875999999999999E-2</v>
      </c>
      <c r="I131">
        <v>1.916E-2</v>
      </c>
    </row>
    <row r="132" spans="1:9" x14ac:dyDescent="0.25">
      <c r="A132">
        <v>450</v>
      </c>
      <c r="B132">
        <v>4.594E-3</v>
      </c>
      <c r="C132">
        <v>8.8905999999999999E-2</v>
      </c>
      <c r="D132">
        <v>3.0554000000000001E-2</v>
      </c>
      <c r="E132">
        <v>0.80434300000000003</v>
      </c>
      <c r="F132">
        <v>0.76883800000000002</v>
      </c>
      <c r="G132">
        <v>-8.5769999999999996E-3</v>
      </c>
      <c r="H132">
        <v>-1.1082E-2</v>
      </c>
      <c r="I132">
        <v>1.9184E-2</v>
      </c>
    </row>
    <row r="133" spans="1:9" x14ac:dyDescent="0.25">
      <c r="A133">
        <v>452</v>
      </c>
      <c r="B133">
        <v>-5.2139999999999999E-3</v>
      </c>
      <c r="C133">
        <v>8.6278999999999995E-2</v>
      </c>
      <c r="D133">
        <v>2.8724E-2</v>
      </c>
      <c r="E133">
        <v>0.83279499999999995</v>
      </c>
      <c r="F133">
        <v>0.79378899999999997</v>
      </c>
      <c r="G133">
        <v>-1.714E-3</v>
      </c>
      <c r="H133">
        <v>-1.3605000000000001E-2</v>
      </c>
      <c r="I133">
        <v>1.3646E-2</v>
      </c>
    </row>
    <row r="134" spans="1:9" x14ac:dyDescent="0.25">
      <c r="A134">
        <v>454</v>
      </c>
      <c r="B134">
        <v>-1.8860000000000001E-3</v>
      </c>
      <c r="C134">
        <v>7.5027999999999997E-2</v>
      </c>
      <c r="D134">
        <v>9.1120000000000003E-3</v>
      </c>
      <c r="E134">
        <v>0.85533199999999998</v>
      </c>
      <c r="F134">
        <v>0.833457</v>
      </c>
      <c r="G134">
        <v>3.1080000000000001E-3</v>
      </c>
      <c r="H134">
        <v>-9.1140000000000006E-3</v>
      </c>
      <c r="I134">
        <v>1.0980999999999999E-2</v>
      </c>
    </row>
    <row r="135" spans="1:9" x14ac:dyDescent="0.25">
      <c r="A135">
        <v>456</v>
      </c>
      <c r="B135">
        <v>1.3004999999999999E-2</v>
      </c>
      <c r="C135">
        <v>8.5431999999999994E-2</v>
      </c>
      <c r="D135">
        <v>9.0460000000000002E-3</v>
      </c>
      <c r="E135">
        <v>0.89265099999999997</v>
      </c>
      <c r="F135">
        <v>0.86384499999999997</v>
      </c>
      <c r="G135">
        <v>6.3100000000000005E-4</v>
      </c>
      <c r="H135">
        <v>1.867E-3</v>
      </c>
      <c r="I135">
        <v>1.3354E-2</v>
      </c>
    </row>
    <row r="136" spans="1:9" x14ac:dyDescent="0.25">
      <c r="A136">
        <v>458</v>
      </c>
      <c r="B136">
        <v>8.3239999999999998E-3</v>
      </c>
      <c r="C136">
        <v>7.8081999999999999E-2</v>
      </c>
      <c r="D136">
        <v>2.9288999999999999E-2</v>
      </c>
      <c r="E136">
        <v>0.92076499999999994</v>
      </c>
      <c r="F136">
        <v>0.89508600000000005</v>
      </c>
      <c r="G136">
        <v>7.3619999999999996E-3</v>
      </c>
      <c r="H136">
        <v>-1.1900000000000001E-3</v>
      </c>
      <c r="I136">
        <v>9.6019999999999994E-3</v>
      </c>
    </row>
    <row r="137" spans="1:9" x14ac:dyDescent="0.25">
      <c r="A137">
        <v>460</v>
      </c>
      <c r="B137">
        <v>-1.73E-4</v>
      </c>
      <c r="C137">
        <v>5.0428000000000001E-2</v>
      </c>
      <c r="D137">
        <v>3.4904999999999999E-2</v>
      </c>
      <c r="E137">
        <v>0.93443900000000002</v>
      </c>
      <c r="F137">
        <v>0.92624300000000004</v>
      </c>
      <c r="G137">
        <v>1.7606E-2</v>
      </c>
      <c r="H137">
        <v>1.506E-3</v>
      </c>
      <c r="I137">
        <v>1.8505000000000001E-2</v>
      </c>
    </row>
    <row r="138" spans="1:9" x14ac:dyDescent="0.25">
      <c r="A138">
        <v>462</v>
      </c>
      <c r="B138">
        <v>-0.11294</v>
      </c>
      <c r="C138">
        <v>0.138789</v>
      </c>
      <c r="D138">
        <v>7.6204999999999995E-2</v>
      </c>
      <c r="E138">
        <v>1.018062</v>
      </c>
      <c r="F138">
        <v>1.103272</v>
      </c>
      <c r="G138">
        <v>-4.1602E-2</v>
      </c>
      <c r="H138">
        <v>8.3280000000000007E-2</v>
      </c>
      <c r="I138">
        <v>0.15806500000000001</v>
      </c>
    </row>
    <row r="139" spans="1:9" x14ac:dyDescent="0.25">
      <c r="A139">
        <v>464</v>
      </c>
      <c r="B139">
        <v>-0.18382699999999999</v>
      </c>
      <c r="C139">
        <v>0.229906</v>
      </c>
      <c r="D139">
        <v>9.5007999999999995E-2</v>
      </c>
      <c r="E139">
        <v>1.054759</v>
      </c>
      <c r="F139">
        <v>1.2296590000000001</v>
      </c>
      <c r="G139">
        <v>-7.7254000000000003E-2</v>
      </c>
      <c r="H139">
        <v>0.123331</v>
      </c>
      <c r="I139">
        <v>0.22927700000000001</v>
      </c>
    </row>
    <row r="140" spans="1:9" x14ac:dyDescent="0.25">
      <c r="A140">
        <v>466</v>
      </c>
      <c r="B140">
        <v>-7.3069999999999996E-2</v>
      </c>
      <c r="C140">
        <v>0.15287400000000001</v>
      </c>
      <c r="D140">
        <v>4.8175000000000003E-2</v>
      </c>
      <c r="E140">
        <v>0.99094599999999999</v>
      </c>
      <c r="F140">
        <v>1.101396</v>
      </c>
      <c r="G140">
        <v>-4.5815000000000002E-2</v>
      </c>
      <c r="H140">
        <v>4.2902000000000003E-2</v>
      </c>
      <c r="I140">
        <v>9.9152000000000004E-2</v>
      </c>
    </row>
    <row r="141" spans="1:9" x14ac:dyDescent="0.25">
      <c r="A141">
        <v>468</v>
      </c>
      <c r="B141">
        <v>-1.0009999999999999E-3</v>
      </c>
      <c r="C141">
        <v>7.5133000000000005E-2</v>
      </c>
      <c r="D141">
        <v>1.8873000000000001E-2</v>
      </c>
      <c r="E141">
        <v>0.96294199999999996</v>
      </c>
      <c r="F141">
        <v>1.016443</v>
      </c>
      <c r="G141">
        <v>-1.9519000000000002E-2</v>
      </c>
      <c r="H141">
        <v>-5.0049999999999999E-3</v>
      </c>
      <c r="I141">
        <v>1.0526000000000001E-2</v>
      </c>
    </row>
    <row r="142" spans="1:9" x14ac:dyDescent="0.25">
      <c r="A142">
        <v>470</v>
      </c>
      <c r="B142">
        <v>-1.3273E-2</v>
      </c>
      <c r="C142">
        <v>9.1796000000000003E-2</v>
      </c>
      <c r="D142">
        <v>1.7118999999999999E-2</v>
      </c>
      <c r="E142">
        <v>0.96568600000000004</v>
      </c>
      <c r="F142">
        <v>1.046673</v>
      </c>
      <c r="G142">
        <v>-1.7595E-2</v>
      </c>
      <c r="H142">
        <v>3.8630000000000001E-3</v>
      </c>
      <c r="I142">
        <v>5.9100000000000003E-3</v>
      </c>
    </row>
    <row r="143" spans="1:9" x14ac:dyDescent="0.25">
      <c r="A143">
        <v>472</v>
      </c>
      <c r="B143">
        <v>4.5859999999999998E-3</v>
      </c>
      <c r="C143">
        <v>0.11172799999999999</v>
      </c>
      <c r="D143">
        <v>2.9090000000000001E-2</v>
      </c>
      <c r="E143">
        <v>0.94773099999999999</v>
      </c>
      <c r="F143">
        <v>1.0515570000000001</v>
      </c>
      <c r="G143">
        <v>-4.2646999999999997E-2</v>
      </c>
      <c r="H143">
        <v>-1.33E-3</v>
      </c>
      <c r="I143">
        <v>6.6299999999999996E-4</v>
      </c>
    </row>
    <row r="144" spans="1:9" x14ac:dyDescent="0.25">
      <c r="A144">
        <v>474</v>
      </c>
      <c r="B144">
        <v>1.0848999999999999E-2</v>
      </c>
      <c r="C144">
        <v>7.9990000000000006E-2</v>
      </c>
      <c r="D144">
        <v>4.3520999999999997E-2</v>
      </c>
      <c r="E144">
        <v>0.96282500000000004</v>
      </c>
      <c r="F144">
        <v>1.0537000000000001</v>
      </c>
      <c r="G144">
        <v>-3.7321E-2</v>
      </c>
      <c r="H144">
        <v>-5.0350000000000004E-3</v>
      </c>
      <c r="I144">
        <v>2.1020000000000001E-3</v>
      </c>
    </row>
    <row r="145" spans="1:9" x14ac:dyDescent="0.25">
      <c r="A145">
        <v>476</v>
      </c>
      <c r="B145">
        <v>-3.1050000000000001E-3</v>
      </c>
      <c r="C145">
        <v>3.8148000000000001E-2</v>
      </c>
      <c r="D145">
        <v>3.1507E-2</v>
      </c>
      <c r="E145">
        <v>1.00156</v>
      </c>
      <c r="F145">
        <v>1.053641</v>
      </c>
      <c r="G145">
        <v>-2.3164000000000001E-2</v>
      </c>
      <c r="H145">
        <v>-4.352E-3</v>
      </c>
      <c r="I145">
        <v>-4.1799999999999997E-3</v>
      </c>
    </row>
    <row r="146" spans="1:9" x14ac:dyDescent="0.25">
      <c r="A146">
        <v>478</v>
      </c>
      <c r="B146">
        <v>-3.1150000000000001E-3</v>
      </c>
      <c r="C146">
        <v>7.1548E-2</v>
      </c>
      <c r="D146">
        <v>1.6348999999999999E-2</v>
      </c>
      <c r="E146">
        <v>1.021158</v>
      </c>
      <c r="F146">
        <v>1.0556650000000001</v>
      </c>
      <c r="G146">
        <v>-2.7167E-2</v>
      </c>
      <c r="H146">
        <v>1.3159999999999999E-3</v>
      </c>
      <c r="I146">
        <v>-2.519E-3</v>
      </c>
    </row>
    <row r="147" spans="1:9" x14ac:dyDescent="0.25">
      <c r="A147">
        <v>480</v>
      </c>
      <c r="B147">
        <v>2.8410000000000002E-3</v>
      </c>
      <c r="C147">
        <v>6.8985000000000005E-2</v>
      </c>
      <c r="D147">
        <v>4.5322000000000001E-2</v>
      </c>
      <c r="E147">
        <v>1.036116</v>
      </c>
      <c r="F147">
        <v>1.0583849999999999</v>
      </c>
      <c r="G147">
        <v>-2.0729000000000001E-2</v>
      </c>
      <c r="H147">
        <v>-1.8320000000000001E-3</v>
      </c>
      <c r="I147">
        <v>1.1953999999999999E-2</v>
      </c>
    </row>
    <row r="148" spans="1:9" x14ac:dyDescent="0.25">
      <c r="A148">
        <v>482</v>
      </c>
      <c r="B148">
        <v>7.1739999999999998E-3</v>
      </c>
      <c r="C148">
        <v>-9.0097999999999998E-2</v>
      </c>
      <c r="D148">
        <v>4.6025999999999997E-2</v>
      </c>
      <c r="E148">
        <v>1.1123529999999999</v>
      </c>
      <c r="F148">
        <v>1.0359959999999999</v>
      </c>
      <c r="G148">
        <v>4.189E-3</v>
      </c>
      <c r="H148">
        <v>6.2750000000000002E-3</v>
      </c>
      <c r="I148">
        <v>5.2659999999999998E-3</v>
      </c>
    </row>
    <row r="149" spans="1:9" x14ac:dyDescent="0.25">
      <c r="A149">
        <v>484</v>
      </c>
      <c r="B149">
        <v>9.587E-3</v>
      </c>
      <c r="C149">
        <v>-0.11235299999999999</v>
      </c>
      <c r="D149">
        <v>5.7450000000000001E-2</v>
      </c>
      <c r="E149">
        <v>1.1358809999999999</v>
      </c>
      <c r="F149">
        <v>1.0645089999999999</v>
      </c>
      <c r="G149">
        <v>-1.3818E-2</v>
      </c>
      <c r="H149">
        <v>6.3489999999999996E-3</v>
      </c>
      <c r="I149">
        <v>1.9938999999999998E-2</v>
      </c>
    </row>
    <row r="150" spans="1:9" x14ac:dyDescent="0.25">
      <c r="A150">
        <v>486</v>
      </c>
      <c r="B150">
        <v>6.4799999999999996E-3</v>
      </c>
      <c r="C150">
        <v>-4.3137000000000002E-2</v>
      </c>
      <c r="D150">
        <v>0.110773</v>
      </c>
      <c r="E150">
        <v>1.083815</v>
      </c>
      <c r="F150">
        <v>1.0945830000000001</v>
      </c>
      <c r="G150">
        <v>-1.5469E-2</v>
      </c>
      <c r="H150">
        <v>-9.1570000000000002E-3</v>
      </c>
      <c r="I150">
        <v>7.4344999999999994E-2</v>
      </c>
    </row>
    <row r="151" spans="1:9" x14ac:dyDescent="0.25">
      <c r="A151">
        <v>488</v>
      </c>
      <c r="B151">
        <v>5.2220000000000001E-3</v>
      </c>
      <c r="C151">
        <v>4.3930000000000002E-3</v>
      </c>
      <c r="D151">
        <v>0.11212999999999999</v>
      </c>
      <c r="E151">
        <v>1.097628</v>
      </c>
      <c r="F151">
        <v>1.1071789999999999</v>
      </c>
      <c r="G151">
        <v>-5.3299999999999997E-3</v>
      </c>
      <c r="H151">
        <v>-1.1612000000000001E-2</v>
      </c>
      <c r="I151">
        <v>6.8744E-2</v>
      </c>
    </row>
    <row r="152" spans="1:9" x14ac:dyDescent="0.25">
      <c r="A152">
        <v>490</v>
      </c>
      <c r="B152">
        <v>9.1909999999999995E-3</v>
      </c>
      <c r="C152">
        <v>8.3674999999999999E-2</v>
      </c>
      <c r="D152">
        <v>3.9885999999999998E-2</v>
      </c>
      <c r="E152">
        <v>1.1590400000000001</v>
      </c>
      <c r="F152">
        <v>1.1345639999999999</v>
      </c>
      <c r="G152">
        <v>-2.7455E-2</v>
      </c>
      <c r="H152">
        <v>-8.1220000000000007E-3</v>
      </c>
      <c r="I152">
        <v>-3.8539999999999998E-3</v>
      </c>
    </row>
    <row r="153" spans="1:9" x14ac:dyDescent="0.25">
      <c r="A153">
        <v>492</v>
      </c>
      <c r="B153">
        <v>6.1869999999999998E-3</v>
      </c>
      <c r="C153">
        <v>0.10879900000000001</v>
      </c>
      <c r="D153">
        <v>2.8143000000000001E-2</v>
      </c>
      <c r="E153">
        <v>1.1396820000000001</v>
      </c>
      <c r="F153">
        <v>1.131421</v>
      </c>
      <c r="G153">
        <v>-3.1779000000000002E-2</v>
      </c>
      <c r="H153">
        <v>4.0629999999999998E-3</v>
      </c>
      <c r="I153">
        <v>4.6750000000000003E-3</v>
      </c>
    </row>
    <row r="154" spans="1:9" x14ac:dyDescent="0.25">
      <c r="A154">
        <v>494</v>
      </c>
      <c r="B154">
        <v>2.9689999999999999E-3</v>
      </c>
      <c r="C154">
        <v>9.0885999999999995E-2</v>
      </c>
      <c r="D154">
        <v>2.3791E-2</v>
      </c>
      <c r="E154">
        <v>1.1159809999999999</v>
      </c>
      <c r="F154">
        <v>1.150771</v>
      </c>
      <c r="G154">
        <v>-1.5737000000000001E-2</v>
      </c>
      <c r="H154">
        <v>2.1184000000000001E-2</v>
      </c>
      <c r="I154">
        <v>-3.6110000000000001E-3</v>
      </c>
    </row>
    <row r="155" spans="1:9" x14ac:dyDescent="0.25">
      <c r="A155">
        <v>496</v>
      </c>
      <c r="B155">
        <v>-1.3999999999999999E-4</v>
      </c>
      <c r="C155">
        <v>7.0852999999999999E-2</v>
      </c>
      <c r="D155">
        <v>2.7699000000000001E-2</v>
      </c>
      <c r="E155">
        <v>1.0799380000000001</v>
      </c>
      <c r="F155">
        <v>1.166927</v>
      </c>
      <c r="G155">
        <v>-1.6022000000000002E-2</v>
      </c>
      <c r="H155">
        <v>9.4789999999999996E-3</v>
      </c>
      <c r="I155">
        <v>2.1819999999999999E-3</v>
      </c>
    </row>
    <row r="156" spans="1:9" x14ac:dyDescent="0.25">
      <c r="A156">
        <v>498</v>
      </c>
      <c r="B156">
        <v>1.1677999999999999E-2</v>
      </c>
      <c r="C156">
        <v>7.2853000000000001E-2</v>
      </c>
      <c r="D156">
        <v>2.3139E-2</v>
      </c>
      <c r="E156">
        <v>1.0278419999999999</v>
      </c>
      <c r="F156">
        <v>1.1624289999999999</v>
      </c>
      <c r="G156">
        <v>-2.4958000000000001E-2</v>
      </c>
      <c r="H156">
        <v>-3.2720000000000002E-3</v>
      </c>
      <c r="I156">
        <v>2.281E-2</v>
      </c>
    </row>
    <row r="157" spans="1:9" x14ac:dyDescent="0.25">
      <c r="A157">
        <v>500</v>
      </c>
      <c r="B157">
        <v>1.1960999999999999E-2</v>
      </c>
      <c r="C157">
        <v>6.1199000000000003E-2</v>
      </c>
      <c r="D157">
        <v>4.9818000000000001E-2</v>
      </c>
      <c r="E157">
        <v>0.96718199999999999</v>
      </c>
      <c r="F157">
        <v>1.168355</v>
      </c>
      <c r="G157">
        <v>-1.7531999999999999E-2</v>
      </c>
      <c r="H157">
        <v>9.3799999999999994E-3</v>
      </c>
      <c r="I157">
        <v>1.5122999999999999E-2</v>
      </c>
    </row>
    <row r="158" spans="1:9" x14ac:dyDescent="0.25">
      <c r="A158">
        <v>502</v>
      </c>
      <c r="B158">
        <v>-2.1649999999999998E-3</v>
      </c>
      <c r="C158">
        <v>7.4428999999999995E-2</v>
      </c>
      <c r="D158">
        <v>6.6947999999999994E-2</v>
      </c>
      <c r="E158">
        <v>0.92397499999999999</v>
      </c>
      <c r="F158">
        <v>1.1510389999999999</v>
      </c>
      <c r="G158">
        <v>-3.8339999999999999E-2</v>
      </c>
      <c r="H158">
        <v>5.4219999999999997E-3</v>
      </c>
      <c r="I158">
        <v>1.8890000000000001E-3</v>
      </c>
    </row>
    <row r="159" spans="1:9" x14ac:dyDescent="0.25">
      <c r="A159">
        <v>504</v>
      </c>
      <c r="B159">
        <v>-1.1660999999999999E-2</v>
      </c>
      <c r="C159">
        <v>0.110766</v>
      </c>
      <c r="D159">
        <v>3.5118000000000003E-2</v>
      </c>
      <c r="E159">
        <v>0.86362300000000003</v>
      </c>
      <c r="F159">
        <v>1.103558</v>
      </c>
      <c r="G159">
        <v>-3.2902000000000001E-2</v>
      </c>
      <c r="H159">
        <v>-9.0840000000000001E-3</v>
      </c>
      <c r="I159">
        <v>1.0815E-2</v>
      </c>
    </row>
    <row r="160" spans="1:9" x14ac:dyDescent="0.25">
      <c r="A160">
        <v>506</v>
      </c>
      <c r="B160">
        <v>-9.1959999999999993E-3</v>
      </c>
      <c r="C160">
        <v>7.5911999999999993E-2</v>
      </c>
      <c r="D160">
        <v>4.3191E-2</v>
      </c>
      <c r="E160">
        <v>0.81878399999999996</v>
      </c>
      <c r="F160">
        <v>1.0639320000000001</v>
      </c>
      <c r="G160">
        <v>-1.8367999999999999E-2</v>
      </c>
      <c r="H160">
        <v>-7.3530000000000002E-3</v>
      </c>
      <c r="I160">
        <v>1.0348E-2</v>
      </c>
    </row>
    <row r="161" spans="1:9" x14ac:dyDescent="0.25">
      <c r="A161">
        <v>508</v>
      </c>
      <c r="B161">
        <v>5.3839999999999999E-3</v>
      </c>
      <c r="C161">
        <v>5.9291000000000003E-2</v>
      </c>
      <c r="D161">
        <v>4.7641000000000003E-2</v>
      </c>
      <c r="E161">
        <v>0.80636600000000003</v>
      </c>
      <c r="F161">
        <v>1.0245880000000001</v>
      </c>
      <c r="G161">
        <v>-2.1122999999999999E-2</v>
      </c>
      <c r="H161">
        <v>-7.0080000000000003E-3</v>
      </c>
      <c r="I161">
        <v>-9.1799999999999998E-4</v>
      </c>
    </row>
    <row r="162" spans="1:9" x14ac:dyDescent="0.25">
      <c r="A162">
        <v>510</v>
      </c>
      <c r="B162">
        <v>1.3867000000000001E-2</v>
      </c>
      <c r="C162">
        <v>8.4451999999999999E-2</v>
      </c>
      <c r="D162">
        <v>2.5226999999999999E-2</v>
      </c>
      <c r="E162">
        <v>0.76360899999999998</v>
      </c>
      <c r="F162">
        <v>0.94910700000000003</v>
      </c>
      <c r="G162">
        <v>-1.1559E-2</v>
      </c>
      <c r="H162">
        <v>5.2769999999999996E-3</v>
      </c>
      <c r="I162">
        <v>6.3509999999999999E-3</v>
      </c>
    </row>
    <row r="163" spans="1:9" x14ac:dyDescent="0.25">
      <c r="A163">
        <v>512</v>
      </c>
      <c r="B163">
        <v>1.9300999999999999E-2</v>
      </c>
      <c r="C163">
        <v>6.0975000000000001E-2</v>
      </c>
      <c r="D163">
        <v>2.2889E-2</v>
      </c>
      <c r="E163">
        <v>0.74651000000000001</v>
      </c>
      <c r="F163">
        <v>0.88650200000000001</v>
      </c>
      <c r="G163">
        <v>-2.5635000000000002E-2</v>
      </c>
      <c r="H163">
        <v>2.2623999999999998E-2</v>
      </c>
      <c r="I163">
        <v>1.362E-2</v>
      </c>
    </row>
    <row r="164" spans="1:9" x14ac:dyDescent="0.25">
      <c r="A164">
        <v>514</v>
      </c>
      <c r="B164">
        <v>1.0122000000000001E-2</v>
      </c>
      <c r="C164">
        <v>7.6674000000000006E-2</v>
      </c>
      <c r="D164">
        <v>2.1231E-2</v>
      </c>
      <c r="E164">
        <v>0.74804800000000005</v>
      </c>
      <c r="F164">
        <v>0.87117299999999998</v>
      </c>
      <c r="G164">
        <v>-2.6419000000000002E-2</v>
      </c>
      <c r="H164">
        <v>5.4730000000000004E-3</v>
      </c>
      <c r="I164">
        <v>1.1070999999999999E-2</v>
      </c>
    </row>
    <row r="165" spans="1:9" x14ac:dyDescent="0.25">
      <c r="A165">
        <v>516</v>
      </c>
      <c r="B165">
        <v>-1.1398E-2</v>
      </c>
      <c r="C165">
        <v>6.7235000000000003E-2</v>
      </c>
      <c r="D165">
        <v>3.7536E-2</v>
      </c>
      <c r="E165">
        <v>0.75719700000000001</v>
      </c>
      <c r="F165">
        <v>0.84555000000000002</v>
      </c>
      <c r="G165">
        <v>-1.2056000000000001E-2</v>
      </c>
      <c r="H165">
        <v>-3.2179999999999999E-3</v>
      </c>
      <c r="I165">
        <v>1.6534E-2</v>
      </c>
    </row>
    <row r="166" spans="1:9" x14ac:dyDescent="0.25">
      <c r="A166">
        <v>518</v>
      </c>
      <c r="B166">
        <v>-1.7125999999999999E-2</v>
      </c>
      <c r="C166">
        <v>3.0245000000000001E-2</v>
      </c>
      <c r="D166">
        <v>3.8239000000000002E-2</v>
      </c>
      <c r="E166">
        <v>0.78529300000000002</v>
      </c>
      <c r="F166">
        <v>0.80436300000000005</v>
      </c>
      <c r="G166">
        <v>-2.6655000000000002E-2</v>
      </c>
      <c r="H166">
        <v>1.5642E-2</v>
      </c>
      <c r="I166">
        <v>5.6839999999999998E-3</v>
      </c>
    </row>
    <row r="167" spans="1:9" x14ac:dyDescent="0.25">
      <c r="A167">
        <v>520</v>
      </c>
      <c r="B167">
        <v>6.3699999999999998E-3</v>
      </c>
      <c r="C167">
        <v>7.8258999999999995E-2</v>
      </c>
      <c r="D167">
        <v>2.1402999999999998E-2</v>
      </c>
      <c r="E167">
        <v>0.78113600000000005</v>
      </c>
      <c r="F167">
        <v>0.77610299999999999</v>
      </c>
      <c r="G167">
        <v>-1.7219000000000002E-2</v>
      </c>
      <c r="H167">
        <v>1.3634E-2</v>
      </c>
      <c r="I167">
        <v>2.2360000000000001E-3</v>
      </c>
    </row>
    <row r="168" spans="1:9" x14ac:dyDescent="0.25">
      <c r="A168">
        <v>522</v>
      </c>
      <c r="B168">
        <v>1.6154000000000002E-2</v>
      </c>
      <c r="C168">
        <v>5.1644000000000002E-2</v>
      </c>
      <c r="D168">
        <v>3.2120000000000003E-2</v>
      </c>
      <c r="E168">
        <v>0.78115199999999996</v>
      </c>
      <c r="F168">
        <v>0.75301300000000004</v>
      </c>
      <c r="G168">
        <v>-1.8426999999999999E-2</v>
      </c>
      <c r="H168">
        <v>1.2489E-2</v>
      </c>
      <c r="I168">
        <v>2.3529000000000001E-2</v>
      </c>
    </row>
    <row r="169" spans="1:9" x14ac:dyDescent="0.25">
      <c r="A169">
        <v>524</v>
      </c>
      <c r="B169">
        <v>2.2060000000000001E-3</v>
      </c>
      <c r="C169">
        <v>5.9762000000000003E-2</v>
      </c>
      <c r="D169">
        <v>2.3729E-2</v>
      </c>
      <c r="E169">
        <v>0.80904500000000001</v>
      </c>
      <c r="F169">
        <v>0.76534999999999997</v>
      </c>
      <c r="G169">
        <v>-2.1363E-2</v>
      </c>
      <c r="H169">
        <v>-1.696E-3</v>
      </c>
      <c r="I169">
        <v>6.0280000000000004E-3</v>
      </c>
    </row>
    <row r="170" spans="1:9" x14ac:dyDescent="0.25">
      <c r="A170">
        <v>526</v>
      </c>
      <c r="B170">
        <v>7.9900000000000006E-3</v>
      </c>
      <c r="C170">
        <v>9.2910999999999994E-2</v>
      </c>
      <c r="D170">
        <v>2.7175999999999999E-2</v>
      </c>
      <c r="E170">
        <v>0.80827499999999997</v>
      </c>
      <c r="F170">
        <v>0.74830600000000003</v>
      </c>
      <c r="G170">
        <v>-3.3300000000000001E-3</v>
      </c>
      <c r="H170">
        <v>-1.0085E-2</v>
      </c>
      <c r="I170">
        <v>1.6284E-2</v>
      </c>
    </row>
    <row r="171" spans="1:9" x14ac:dyDescent="0.25">
      <c r="A171">
        <v>528</v>
      </c>
      <c r="B171">
        <v>-7.3619999999999996E-3</v>
      </c>
      <c r="C171">
        <v>7.1290000000000006E-2</v>
      </c>
      <c r="D171">
        <v>5.4910000000000002E-3</v>
      </c>
      <c r="E171">
        <v>0.79216900000000001</v>
      </c>
      <c r="F171">
        <v>0.71911599999999998</v>
      </c>
      <c r="G171">
        <v>-3.0414E-2</v>
      </c>
      <c r="H171">
        <v>5.9230000000000003E-3</v>
      </c>
      <c r="I171">
        <v>3.3022000000000003E-2</v>
      </c>
    </row>
    <row r="172" spans="1:9" x14ac:dyDescent="0.25">
      <c r="A172">
        <v>530</v>
      </c>
      <c r="B172">
        <v>-2.8597999999999998E-2</v>
      </c>
      <c r="C172">
        <v>9.7746E-2</v>
      </c>
      <c r="D172">
        <v>7.9729999999999992E-3</v>
      </c>
      <c r="E172">
        <v>0.745842</v>
      </c>
      <c r="F172">
        <v>0.711117</v>
      </c>
      <c r="G172">
        <v>-4.1381000000000001E-2</v>
      </c>
      <c r="H172">
        <v>1.4812000000000001E-2</v>
      </c>
      <c r="I172">
        <v>2.7136E-2</v>
      </c>
    </row>
    <row r="173" spans="1:9" x14ac:dyDescent="0.25">
      <c r="A173">
        <v>532</v>
      </c>
      <c r="B173">
        <v>-9.4959999999999992E-3</v>
      </c>
      <c r="C173">
        <v>5.4531999999999997E-2</v>
      </c>
      <c r="D173">
        <v>4.9904999999999998E-2</v>
      </c>
      <c r="E173">
        <v>0.67974299999999999</v>
      </c>
      <c r="F173">
        <v>0.69117899999999999</v>
      </c>
      <c r="G173">
        <v>-3.1248000000000001E-2</v>
      </c>
      <c r="H173">
        <v>1.1315E-2</v>
      </c>
      <c r="I173">
        <v>3.9220000000000001E-3</v>
      </c>
    </row>
    <row r="174" spans="1:9" x14ac:dyDescent="0.25">
      <c r="A174">
        <v>534</v>
      </c>
      <c r="B174">
        <v>4.3800000000000002E-3</v>
      </c>
      <c r="C174">
        <v>6.3704999999999998E-2</v>
      </c>
      <c r="D174">
        <v>3.0099999999999998E-2</v>
      </c>
      <c r="E174">
        <v>0.59453500000000004</v>
      </c>
      <c r="F174">
        <v>0.67723</v>
      </c>
      <c r="G174">
        <v>-1.9241000000000001E-2</v>
      </c>
      <c r="H174">
        <v>1.4675000000000001E-2</v>
      </c>
      <c r="I174">
        <v>4.156E-3</v>
      </c>
    </row>
    <row r="175" spans="1:9" x14ac:dyDescent="0.25">
      <c r="A175">
        <v>536</v>
      </c>
      <c r="B175">
        <v>6.3200000000000001E-3</v>
      </c>
      <c r="C175">
        <v>6.7505999999999997E-2</v>
      </c>
      <c r="D175">
        <v>7.4689999999999999E-3</v>
      </c>
      <c r="E175">
        <v>0.51555200000000001</v>
      </c>
      <c r="F175">
        <v>0.66818299999999997</v>
      </c>
      <c r="G175">
        <v>-1.9106000000000001E-2</v>
      </c>
      <c r="H175">
        <v>8.208E-3</v>
      </c>
      <c r="I175">
        <v>1.4534999999999999E-2</v>
      </c>
    </row>
    <row r="176" spans="1:9" x14ac:dyDescent="0.25">
      <c r="A176">
        <v>538</v>
      </c>
      <c r="B176">
        <v>3.0929999999999998E-3</v>
      </c>
      <c r="C176">
        <v>7.5823000000000002E-2</v>
      </c>
      <c r="D176">
        <v>1.7570000000000001E-3</v>
      </c>
      <c r="E176">
        <v>0.42891099999999999</v>
      </c>
      <c r="F176">
        <v>0.65147699999999997</v>
      </c>
      <c r="G176">
        <v>-1.3825E-2</v>
      </c>
      <c r="H176">
        <v>8.6250000000000007E-3</v>
      </c>
      <c r="I176">
        <v>1.8259999999999999E-3</v>
      </c>
    </row>
    <row r="177" spans="1:9" x14ac:dyDescent="0.25">
      <c r="A177">
        <v>540</v>
      </c>
      <c r="B177">
        <v>-1.039E-2</v>
      </c>
      <c r="C177">
        <v>6.2045000000000003E-2</v>
      </c>
      <c r="D177">
        <v>2.3782999999999999E-2</v>
      </c>
      <c r="E177">
        <v>0.32797700000000002</v>
      </c>
      <c r="F177">
        <v>0.60402100000000003</v>
      </c>
      <c r="G177">
        <v>-1.1200999999999999E-2</v>
      </c>
      <c r="H177">
        <v>2.1021999999999999E-2</v>
      </c>
      <c r="I177">
        <v>2.7441E-2</v>
      </c>
    </row>
    <row r="178" spans="1:9" x14ac:dyDescent="0.25">
      <c r="A178">
        <v>542</v>
      </c>
      <c r="B178">
        <v>-7.8399999999999997E-4</v>
      </c>
      <c r="C178">
        <v>3.4957000000000002E-2</v>
      </c>
      <c r="D178">
        <v>2.9707000000000001E-2</v>
      </c>
      <c r="E178">
        <v>0.27492499999999997</v>
      </c>
      <c r="F178">
        <v>0.55715899999999996</v>
      </c>
      <c r="G178">
        <v>-1.8967999999999999E-2</v>
      </c>
      <c r="H178">
        <v>2.1804E-2</v>
      </c>
      <c r="I178">
        <v>2.4516E-2</v>
      </c>
    </row>
    <row r="179" spans="1:9" x14ac:dyDescent="0.25">
      <c r="A179">
        <v>544</v>
      </c>
      <c r="B179">
        <v>5.3819999999999996E-3</v>
      </c>
      <c r="C179">
        <v>9.3990000000000004E-2</v>
      </c>
      <c r="D179">
        <v>1.3540999999999999E-2</v>
      </c>
      <c r="E179">
        <v>0.22121399999999999</v>
      </c>
      <c r="F179">
        <v>0.51389399999999996</v>
      </c>
      <c r="G179">
        <v>-7.0359999999999997E-3</v>
      </c>
      <c r="H179">
        <v>1.3851E-2</v>
      </c>
      <c r="I179">
        <v>7.4269999999999996E-3</v>
      </c>
    </row>
    <row r="180" spans="1:9" x14ac:dyDescent="0.25">
      <c r="A180">
        <v>546</v>
      </c>
      <c r="B180">
        <v>9.5110000000000004E-3</v>
      </c>
      <c r="C180">
        <v>8.0666000000000002E-2</v>
      </c>
      <c r="D180">
        <v>2.1638000000000001E-2</v>
      </c>
      <c r="E180">
        <v>0.17472399999999999</v>
      </c>
      <c r="F180">
        <v>0.455457</v>
      </c>
      <c r="G180">
        <v>-9.887E-3</v>
      </c>
      <c r="H180">
        <v>1.9431E-2</v>
      </c>
      <c r="I180">
        <v>1.5211000000000001E-2</v>
      </c>
    </row>
    <row r="181" spans="1:9" x14ac:dyDescent="0.25">
      <c r="A181">
        <v>548</v>
      </c>
      <c r="B181">
        <v>1.0895E-2</v>
      </c>
      <c r="C181">
        <v>7.7905000000000002E-2</v>
      </c>
      <c r="D181">
        <v>3.9602999999999999E-2</v>
      </c>
      <c r="E181">
        <v>0.14355699999999999</v>
      </c>
      <c r="F181">
        <v>0.40105299999999999</v>
      </c>
      <c r="G181">
        <v>-8.3219999999999995E-3</v>
      </c>
      <c r="H181">
        <v>8.8409999999999999E-3</v>
      </c>
      <c r="I181">
        <v>2.4072E-2</v>
      </c>
    </row>
    <row r="182" spans="1:9" x14ac:dyDescent="0.25">
      <c r="A182">
        <v>550</v>
      </c>
      <c r="B182">
        <v>-3.7260000000000001E-3</v>
      </c>
      <c r="C182">
        <v>0.105716</v>
      </c>
      <c r="D182">
        <v>3.9692999999999999E-2</v>
      </c>
      <c r="E182">
        <v>0.109648</v>
      </c>
      <c r="F182">
        <v>0.327793</v>
      </c>
      <c r="G182">
        <v>-1.8318000000000001E-2</v>
      </c>
      <c r="H182">
        <v>-9.1699999999999995E-4</v>
      </c>
      <c r="I182">
        <v>3.0904000000000001E-2</v>
      </c>
    </row>
    <row r="183" spans="1:9" x14ac:dyDescent="0.25">
      <c r="A183">
        <v>552</v>
      </c>
      <c r="B183">
        <v>-7.2599999999999997E-4</v>
      </c>
      <c r="C183">
        <v>9.7306000000000004E-2</v>
      </c>
      <c r="D183">
        <v>4.0233999999999999E-2</v>
      </c>
      <c r="E183">
        <v>8.5407999999999998E-2</v>
      </c>
      <c r="F183">
        <v>0.263631</v>
      </c>
      <c r="G183">
        <v>-1.3207E-2</v>
      </c>
      <c r="H183">
        <v>7.2220000000000001E-3</v>
      </c>
      <c r="I183">
        <v>2.4216000000000001E-2</v>
      </c>
    </row>
    <row r="184" spans="1:9" x14ac:dyDescent="0.25">
      <c r="A184">
        <v>554</v>
      </c>
      <c r="B184">
        <v>1.1592E-2</v>
      </c>
      <c r="C184">
        <v>8.8239999999999999E-2</v>
      </c>
      <c r="D184">
        <v>3.8383E-2</v>
      </c>
      <c r="E184">
        <v>8.0392000000000005E-2</v>
      </c>
      <c r="F184">
        <v>0.231048</v>
      </c>
      <c r="G184">
        <v>5.6600000000000001E-3</v>
      </c>
      <c r="H184">
        <v>1.01E-2</v>
      </c>
      <c r="I184">
        <v>2.1307E-2</v>
      </c>
    </row>
    <row r="185" spans="1:9" x14ac:dyDescent="0.25">
      <c r="A185">
        <v>556</v>
      </c>
      <c r="B185">
        <v>-1.2390000000000001E-3</v>
      </c>
      <c r="C185">
        <v>6.5854999999999997E-2</v>
      </c>
      <c r="D185">
        <v>2.6638999999999999E-2</v>
      </c>
      <c r="E185">
        <v>6.8084000000000006E-2</v>
      </c>
      <c r="F185">
        <v>0.18645999999999999</v>
      </c>
      <c r="G185">
        <v>1.746E-2</v>
      </c>
      <c r="H185">
        <v>1.8960999999999999E-2</v>
      </c>
      <c r="I185">
        <v>1.8386E-2</v>
      </c>
    </row>
    <row r="186" spans="1:9" x14ac:dyDescent="0.25">
      <c r="A186">
        <v>558</v>
      </c>
      <c r="B186">
        <v>-3.7550000000000001E-3</v>
      </c>
      <c r="C186">
        <v>6.0205000000000002E-2</v>
      </c>
      <c r="D186">
        <v>1.4973E-2</v>
      </c>
      <c r="E186">
        <v>4.1010999999999999E-2</v>
      </c>
      <c r="F186">
        <v>0.13783500000000001</v>
      </c>
      <c r="G186">
        <v>1.0980999999999999E-2</v>
      </c>
      <c r="H186">
        <v>2.5420000000000002E-2</v>
      </c>
      <c r="I186">
        <v>2.3196999999999999E-2</v>
      </c>
    </row>
    <row r="187" spans="1:9" x14ac:dyDescent="0.25">
      <c r="A187">
        <v>560</v>
      </c>
      <c r="B187">
        <v>4.0130000000000001E-3</v>
      </c>
      <c r="C187">
        <v>7.8052999999999997E-2</v>
      </c>
      <c r="D187">
        <v>9.5259999999999997E-3</v>
      </c>
      <c r="E187">
        <v>3.2690999999999998E-2</v>
      </c>
      <c r="F187">
        <v>9.9576999999999999E-2</v>
      </c>
      <c r="G187">
        <v>-2.3827000000000001E-2</v>
      </c>
      <c r="H187">
        <v>1.1982E-2</v>
      </c>
      <c r="I187">
        <v>3.1635999999999997E-2</v>
      </c>
    </row>
    <row r="188" spans="1:9" x14ac:dyDescent="0.25">
      <c r="A188">
        <v>562</v>
      </c>
      <c r="B188">
        <v>2.673E-3</v>
      </c>
      <c r="C188">
        <v>9.1273000000000007E-2</v>
      </c>
      <c r="D188">
        <v>1.1542E-2</v>
      </c>
      <c r="E188">
        <v>3.5971000000000003E-2</v>
      </c>
      <c r="F188">
        <v>7.8521999999999995E-2</v>
      </c>
      <c r="G188">
        <v>-2.6367000000000002E-2</v>
      </c>
      <c r="H188">
        <v>9.3519999999999992E-3</v>
      </c>
      <c r="I188">
        <v>3.3715000000000002E-2</v>
      </c>
    </row>
    <row r="189" spans="1:9" x14ac:dyDescent="0.25">
      <c r="A189">
        <v>564</v>
      </c>
      <c r="B189">
        <v>-1.601E-3</v>
      </c>
      <c r="C189">
        <v>9.0305999999999997E-2</v>
      </c>
      <c r="D189">
        <v>1.7361000000000001E-2</v>
      </c>
      <c r="E189">
        <v>3.0710999999999999E-2</v>
      </c>
      <c r="F189">
        <v>7.1724999999999997E-2</v>
      </c>
      <c r="G189">
        <v>-1.3334E-2</v>
      </c>
      <c r="H189">
        <v>8.9969999999999998E-3</v>
      </c>
      <c r="I189">
        <v>2.6429999999999999E-2</v>
      </c>
    </row>
    <row r="190" spans="1:9" x14ac:dyDescent="0.25">
      <c r="A190">
        <v>566</v>
      </c>
      <c r="B190">
        <v>-2.6120000000000002E-3</v>
      </c>
      <c r="C190">
        <v>3.7123000000000003E-2</v>
      </c>
      <c r="D190">
        <v>7.9310000000000005E-3</v>
      </c>
      <c r="E190">
        <v>4.4697000000000001E-2</v>
      </c>
      <c r="F190">
        <v>4.1274999999999999E-2</v>
      </c>
      <c r="G190">
        <v>-9.7750000000000007E-3</v>
      </c>
      <c r="H190">
        <v>-1.74E-4</v>
      </c>
      <c r="I190">
        <v>1.1689999999999999E-3</v>
      </c>
    </row>
    <row r="191" spans="1:9" x14ac:dyDescent="0.25">
      <c r="A191">
        <v>568</v>
      </c>
      <c r="B191">
        <v>-2.1700000000000001E-3</v>
      </c>
      <c r="C191">
        <v>6.9046999999999997E-2</v>
      </c>
      <c r="D191">
        <v>2.4958999999999999E-2</v>
      </c>
      <c r="E191">
        <v>3.7687999999999999E-2</v>
      </c>
      <c r="F191">
        <v>6.5139999999999998E-3</v>
      </c>
      <c r="G191">
        <v>2.2172000000000001E-2</v>
      </c>
      <c r="H191">
        <v>1.356E-3</v>
      </c>
      <c r="I191">
        <v>2.2707999999999999E-2</v>
      </c>
    </row>
    <row r="192" spans="1:9" x14ac:dyDescent="0.25">
      <c r="A192">
        <v>570</v>
      </c>
      <c r="B192">
        <v>7.7580000000000001E-3</v>
      </c>
      <c r="C192">
        <v>5.8871E-2</v>
      </c>
      <c r="D192">
        <v>-1.166E-2</v>
      </c>
      <c r="E192">
        <v>3.2041E-2</v>
      </c>
      <c r="F192">
        <v>2.068E-3</v>
      </c>
      <c r="G192">
        <v>2.4431999999999999E-2</v>
      </c>
      <c r="H192">
        <v>3.8059999999999999E-3</v>
      </c>
      <c r="I192">
        <v>2.8674999999999999E-2</v>
      </c>
    </row>
    <row r="193" spans="1:9" x14ac:dyDescent="0.25">
      <c r="A193">
        <v>572</v>
      </c>
      <c r="B193">
        <v>7.7130000000000002E-3</v>
      </c>
      <c r="C193">
        <v>1.4425E-2</v>
      </c>
      <c r="D193">
        <v>-3.2499999999999999E-4</v>
      </c>
      <c r="E193">
        <v>2.8740000000000002E-2</v>
      </c>
      <c r="F193">
        <v>-5.6429999999999996E-3</v>
      </c>
      <c r="G193">
        <v>8.4799999999999997E-3</v>
      </c>
      <c r="H193">
        <v>2.9090000000000001E-3</v>
      </c>
      <c r="I193">
        <v>1.983E-3</v>
      </c>
    </row>
    <row r="194" spans="1:9" x14ac:dyDescent="0.25">
      <c r="A194">
        <v>574</v>
      </c>
      <c r="B194">
        <v>6.6660000000000001E-3</v>
      </c>
      <c r="C194">
        <v>3.7837000000000003E-2</v>
      </c>
      <c r="D194">
        <v>-4.3140000000000001E-3</v>
      </c>
      <c r="E194">
        <v>2.3172000000000002E-2</v>
      </c>
      <c r="F194">
        <v>6.6519999999999999E-3</v>
      </c>
      <c r="G194">
        <v>4.1089999999999998E-3</v>
      </c>
      <c r="H194">
        <v>-6.6E-3</v>
      </c>
      <c r="I194">
        <v>2.598E-3</v>
      </c>
    </row>
    <row r="195" spans="1:9" x14ac:dyDescent="0.25">
      <c r="A195">
        <v>576</v>
      </c>
      <c r="B195">
        <v>1.8010000000000001E-3</v>
      </c>
      <c r="C195">
        <v>2.2483E-2</v>
      </c>
      <c r="D195">
        <v>-1.1868E-2</v>
      </c>
      <c r="E195">
        <v>5.3756999999999999E-2</v>
      </c>
      <c r="F195">
        <v>1.7279999999999999E-3</v>
      </c>
      <c r="G195">
        <v>7.0349999999999996E-3</v>
      </c>
      <c r="H195">
        <v>-3.6250000000000002E-3</v>
      </c>
      <c r="I195">
        <v>4.3080000000000002E-3</v>
      </c>
    </row>
    <row r="196" spans="1:9" x14ac:dyDescent="0.25">
      <c r="A196">
        <v>578</v>
      </c>
      <c r="B196">
        <v>3.9170000000000003E-3</v>
      </c>
      <c r="C196">
        <v>7.4332999999999996E-2</v>
      </c>
      <c r="D196">
        <v>-3.5077999999999998E-2</v>
      </c>
      <c r="E196">
        <v>3.7242999999999998E-2</v>
      </c>
      <c r="F196">
        <v>1.5020000000000001E-3</v>
      </c>
      <c r="G196">
        <v>2.2381000000000002E-2</v>
      </c>
      <c r="H196">
        <v>-1.2800000000000001E-3</v>
      </c>
      <c r="I196">
        <v>1.7828E-2</v>
      </c>
    </row>
    <row r="197" spans="1:9" x14ac:dyDescent="0.25">
      <c r="A197">
        <v>580</v>
      </c>
      <c r="B197">
        <v>9.9019999999999993E-3</v>
      </c>
      <c r="C197">
        <v>4.7085000000000002E-2</v>
      </c>
      <c r="D197">
        <v>-3.5352000000000001E-2</v>
      </c>
      <c r="E197">
        <v>3.6552000000000001E-2</v>
      </c>
      <c r="F197">
        <v>8.005E-3</v>
      </c>
      <c r="G197">
        <v>3.6849999999999999E-3</v>
      </c>
      <c r="H197">
        <v>5.5630000000000002E-3</v>
      </c>
      <c r="I197">
        <v>1.2630000000000001E-2</v>
      </c>
    </row>
    <row r="198" spans="1:9" x14ac:dyDescent="0.25">
      <c r="A198">
        <v>582</v>
      </c>
      <c r="B198">
        <v>1.0643E-2</v>
      </c>
      <c r="C198">
        <v>0.143983</v>
      </c>
      <c r="D198">
        <v>-1.8303E-2</v>
      </c>
      <c r="E198">
        <v>1.8126E-2</v>
      </c>
      <c r="F198">
        <v>-9.495E-3</v>
      </c>
      <c r="G198">
        <v>3.4868999999999997E-2</v>
      </c>
      <c r="H198">
        <v>1.0529999999999999E-2</v>
      </c>
      <c r="I198">
        <v>3.3193E-2</v>
      </c>
    </row>
    <row r="199" spans="1:9" x14ac:dyDescent="0.25">
      <c r="A199">
        <v>584</v>
      </c>
      <c r="B199">
        <v>1.8289999999999999E-3</v>
      </c>
      <c r="C199">
        <v>0.12098</v>
      </c>
      <c r="D199">
        <v>9.1669999999999998E-3</v>
      </c>
      <c r="E199">
        <v>-6.1200000000000002E-4</v>
      </c>
      <c r="F199">
        <v>-9.2960000000000004E-3</v>
      </c>
      <c r="G199">
        <v>1.6823999999999999E-2</v>
      </c>
      <c r="H199">
        <v>7.2810000000000001E-3</v>
      </c>
      <c r="I199">
        <v>2.6884000000000002E-2</v>
      </c>
    </row>
    <row r="200" spans="1:9" x14ac:dyDescent="0.25">
      <c r="A200">
        <v>586</v>
      </c>
      <c r="B200">
        <v>-3.2810000000000001E-3</v>
      </c>
      <c r="C200">
        <v>0.107617</v>
      </c>
      <c r="D200">
        <v>6.9341E-2</v>
      </c>
      <c r="E200">
        <v>2.9889999999999999E-3</v>
      </c>
      <c r="F200">
        <v>-1.4456999999999999E-2</v>
      </c>
      <c r="G200">
        <v>-3.3470000000000001E-3</v>
      </c>
      <c r="H200">
        <v>8.4150000000000006E-3</v>
      </c>
      <c r="I200">
        <v>1.6118E-2</v>
      </c>
    </row>
    <row r="201" spans="1:9" x14ac:dyDescent="0.25">
      <c r="A201">
        <v>588</v>
      </c>
      <c r="B201">
        <v>7.1879999999999999E-3</v>
      </c>
      <c r="C201">
        <v>8.8594999999999993E-2</v>
      </c>
      <c r="D201">
        <v>2.0143999999999999E-2</v>
      </c>
      <c r="E201">
        <v>2.7486E-2</v>
      </c>
      <c r="F201">
        <v>-6.7299999999999999E-4</v>
      </c>
      <c r="G201">
        <v>1.7704999999999999E-2</v>
      </c>
      <c r="H201">
        <v>6.7539999999999996E-3</v>
      </c>
      <c r="I201">
        <v>2.4063999999999999E-2</v>
      </c>
    </row>
    <row r="202" spans="1:9" x14ac:dyDescent="0.25">
      <c r="A202">
        <v>590</v>
      </c>
      <c r="B202">
        <v>7.3619999999999996E-3</v>
      </c>
      <c r="C202">
        <v>0.130525</v>
      </c>
      <c r="D202">
        <v>8.4759999999999992E-3</v>
      </c>
      <c r="E202">
        <v>1.5183E-2</v>
      </c>
      <c r="F202">
        <v>-1.5610000000000001E-3</v>
      </c>
      <c r="G202">
        <v>2.2959E-2</v>
      </c>
      <c r="H202">
        <v>2.6919999999999999E-3</v>
      </c>
      <c r="I202">
        <v>3.6340999999999998E-2</v>
      </c>
    </row>
    <row r="203" spans="1:9" x14ac:dyDescent="0.25">
      <c r="A203">
        <v>592</v>
      </c>
      <c r="B203">
        <v>1.4540000000000001E-2</v>
      </c>
      <c r="C203">
        <v>8.1652000000000002E-2</v>
      </c>
      <c r="D203">
        <v>-1.3738E-2</v>
      </c>
      <c r="E203">
        <v>1.3332E-2</v>
      </c>
      <c r="F203">
        <v>-9.0369999999999999E-3</v>
      </c>
      <c r="G203">
        <v>2.409E-2</v>
      </c>
      <c r="H203">
        <v>-7.5640000000000004E-3</v>
      </c>
      <c r="I203">
        <v>3.3640000000000003E-2</v>
      </c>
    </row>
    <row r="204" spans="1:9" x14ac:dyDescent="0.25">
      <c r="A204">
        <v>594</v>
      </c>
      <c r="B204">
        <v>1.1127E-2</v>
      </c>
      <c r="C204">
        <v>-6.3639999999999999E-3</v>
      </c>
      <c r="D204">
        <v>5.195E-3</v>
      </c>
      <c r="E204">
        <v>3.8214999999999999E-2</v>
      </c>
      <c r="F204">
        <v>-2.2863000000000001E-2</v>
      </c>
      <c r="G204">
        <v>2.392E-3</v>
      </c>
      <c r="H204">
        <v>4.947E-3</v>
      </c>
      <c r="I204">
        <v>7.5389999999999997E-3</v>
      </c>
    </row>
    <row r="205" spans="1:9" x14ac:dyDescent="0.25">
      <c r="A205">
        <v>596</v>
      </c>
      <c r="B205">
        <v>1.4777999999999999E-2</v>
      </c>
      <c r="C205">
        <v>7.3543999999999998E-2</v>
      </c>
      <c r="D205">
        <v>-2.2634000000000001E-2</v>
      </c>
      <c r="E205">
        <v>1.3594E-2</v>
      </c>
      <c r="F205">
        <v>-4.431E-3</v>
      </c>
      <c r="G205">
        <v>1.418E-2</v>
      </c>
      <c r="H205">
        <v>1.4330000000000001E-2</v>
      </c>
      <c r="I205">
        <v>3.1475999999999997E-2</v>
      </c>
    </row>
    <row r="206" spans="1:9" x14ac:dyDescent="0.25">
      <c r="A206">
        <v>598</v>
      </c>
      <c r="B206">
        <v>8.3429999999999997E-3</v>
      </c>
      <c r="C206">
        <v>4.2589000000000002E-2</v>
      </c>
      <c r="D206">
        <v>1.5751000000000001E-2</v>
      </c>
      <c r="E206">
        <v>2.8181999999999999E-2</v>
      </c>
      <c r="F206">
        <v>-3.5200000000000001E-3</v>
      </c>
      <c r="G206">
        <v>-6.2310000000000004E-3</v>
      </c>
      <c r="H206">
        <v>1.2700000000000001E-3</v>
      </c>
      <c r="I206">
        <v>2.4664999999999999E-2</v>
      </c>
    </row>
    <row r="207" spans="1:9" x14ac:dyDescent="0.25">
      <c r="A207">
        <v>600</v>
      </c>
      <c r="B207">
        <v>3.8700000000000002E-3</v>
      </c>
      <c r="C207">
        <v>0.13984199999999999</v>
      </c>
      <c r="D207">
        <v>2.8747999999999999E-2</v>
      </c>
      <c r="E207">
        <v>1.4437E-2</v>
      </c>
      <c r="F207">
        <v>-1.5868E-2</v>
      </c>
      <c r="G207">
        <v>2.1299999999999999E-2</v>
      </c>
      <c r="H207">
        <v>-2.7699999999999999E-3</v>
      </c>
      <c r="I207">
        <v>2.6983E-2</v>
      </c>
    </row>
    <row r="208" spans="1:9" x14ac:dyDescent="0.25">
      <c r="A208">
        <v>602</v>
      </c>
      <c r="B208">
        <v>3.8070000000000001E-3</v>
      </c>
      <c r="C208">
        <v>5.3769999999999998E-2</v>
      </c>
      <c r="D208">
        <v>1.4244E-2</v>
      </c>
      <c r="E208">
        <v>1.7725999999999999E-2</v>
      </c>
      <c r="F208">
        <v>4.9560000000000003E-3</v>
      </c>
      <c r="G208">
        <v>1.8416999999999999E-2</v>
      </c>
      <c r="H208">
        <v>-5.1529999999999996E-3</v>
      </c>
      <c r="I208">
        <v>1.0551E-2</v>
      </c>
    </row>
    <row r="209" spans="1:9" x14ac:dyDescent="0.25">
      <c r="A209">
        <v>604</v>
      </c>
      <c r="B209">
        <v>5.6860000000000001E-3</v>
      </c>
      <c r="C209">
        <v>0.145095</v>
      </c>
      <c r="D209">
        <v>4.4368999999999999E-2</v>
      </c>
      <c r="E209">
        <v>3.163E-3</v>
      </c>
      <c r="F209">
        <v>-3.6099999999999999E-3</v>
      </c>
      <c r="G209">
        <v>2.2259999999999999E-2</v>
      </c>
      <c r="H209">
        <v>-5.816E-3</v>
      </c>
      <c r="I209">
        <v>1.2068000000000001E-2</v>
      </c>
    </row>
    <row r="210" spans="1:9" x14ac:dyDescent="0.25">
      <c r="A210">
        <v>606</v>
      </c>
      <c r="B210">
        <v>2.4610000000000001E-3</v>
      </c>
      <c r="C210">
        <v>4.7119000000000001E-2</v>
      </c>
      <c r="D210">
        <v>1.6079E-2</v>
      </c>
      <c r="E210">
        <v>1.1331000000000001E-2</v>
      </c>
      <c r="F210">
        <v>-5.0280000000000004E-3</v>
      </c>
      <c r="G210">
        <v>8.6750000000000004E-3</v>
      </c>
      <c r="H210">
        <v>-2.9659999999999999E-3</v>
      </c>
      <c r="I210">
        <v>-5.3569999999999998E-3</v>
      </c>
    </row>
    <row r="211" spans="1:9" x14ac:dyDescent="0.25">
      <c r="A211">
        <v>608</v>
      </c>
      <c r="B211">
        <v>8.2780000000000006E-3</v>
      </c>
      <c r="C211">
        <v>7.213E-2</v>
      </c>
      <c r="D211">
        <v>4.7123999999999999E-2</v>
      </c>
      <c r="E211">
        <v>1.1221E-2</v>
      </c>
      <c r="F211">
        <v>-2.3640000000000001E-2</v>
      </c>
      <c r="G211">
        <v>1.1856E-2</v>
      </c>
      <c r="H211">
        <v>3.7629999999999999E-3</v>
      </c>
      <c r="I211">
        <v>2.3969999999999998E-3</v>
      </c>
    </row>
    <row r="212" spans="1:9" x14ac:dyDescent="0.25">
      <c r="A212">
        <v>610</v>
      </c>
      <c r="B212">
        <v>1.0599000000000001E-2</v>
      </c>
      <c r="C212">
        <v>2.7193999999999999E-2</v>
      </c>
      <c r="D212">
        <v>-3.2959999999999999E-3</v>
      </c>
      <c r="E212">
        <v>2.5644E-2</v>
      </c>
      <c r="F212">
        <v>-8.7379999999999992E-3</v>
      </c>
      <c r="G212">
        <v>1.8145000000000001E-2</v>
      </c>
      <c r="H212">
        <v>4.6039999999999996E-3</v>
      </c>
      <c r="I212">
        <v>1.4896E-2</v>
      </c>
    </row>
    <row r="213" spans="1:9" x14ac:dyDescent="0.25">
      <c r="A213">
        <v>612</v>
      </c>
      <c r="B213">
        <v>-9.6199999999999996E-4</v>
      </c>
      <c r="C213">
        <v>6.0010000000000003E-3</v>
      </c>
      <c r="D213">
        <v>1.1521E-2</v>
      </c>
      <c r="E213">
        <v>4.2167000000000003E-2</v>
      </c>
      <c r="F213">
        <v>-1.3701E-2</v>
      </c>
      <c r="G213">
        <v>1.4316000000000001E-2</v>
      </c>
      <c r="H213">
        <v>-2.6699999999999998E-4</v>
      </c>
      <c r="I213">
        <v>5.3E-3</v>
      </c>
    </row>
    <row r="214" spans="1:9" x14ac:dyDescent="0.25">
      <c r="A214">
        <v>614</v>
      </c>
      <c r="B214">
        <v>1.5384999999999999E-2</v>
      </c>
      <c r="C214">
        <v>0.11390500000000001</v>
      </c>
      <c r="D214">
        <v>9.7289999999999998E-3</v>
      </c>
      <c r="E214">
        <v>2.3569E-2</v>
      </c>
      <c r="F214">
        <v>-1.252E-2</v>
      </c>
      <c r="G214">
        <v>2.8686E-2</v>
      </c>
      <c r="H214">
        <v>-4.045E-3</v>
      </c>
      <c r="I214">
        <v>3.2674000000000002E-2</v>
      </c>
    </row>
    <row r="215" spans="1:9" x14ac:dyDescent="0.25">
      <c r="A215">
        <v>616</v>
      </c>
      <c r="B215">
        <v>1.8509000000000001E-2</v>
      </c>
      <c r="C215">
        <v>4.0980999999999997E-2</v>
      </c>
      <c r="D215">
        <v>2.3576E-2</v>
      </c>
      <c r="E215">
        <v>1.6341000000000001E-2</v>
      </c>
      <c r="F215">
        <v>-7.2960000000000004E-3</v>
      </c>
      <c r="G215">
        <v>-6.6410000000000002E-3</v>
      </c>
      <c r="H215">
        <v>5.5789999999999998E-3</v>
      </c>
      <c r="I215">
        <v>3.741E-3</v>
      </c>
    </row>
    <row r="216" spans="1:9" x14ac:dyDescent="0.25">
      <c r="A216">
        <v>618</v>
      </c>
      <c r="B216">
        <v>5.3819999999999996E-3</v>
      </c>
      <c r="C216">
        <v>0.12732599999999999</v>
      </c>
      <c r="D216">
        <v>2.8857000000000001E-2</v>
      </c>
      <c r="E216">
        <v>-6.9109999999999996E-3</v>
      </c>
      <c r="F216">
        <v>-1.0987E-2</v>
      </c>
      <c r="G216">
        <v>7.3800000000000003E-3</v>
      </c>
      <c r="H216">
        <v>1.467E-3</v>
      </c>
      <c r="I216">
        <v>9.6819999999999996E-3</v>
      </c>
    </row>
    <row r="217" spans="1:9" x14ac:dyDescent="0.25">
      <c r="A217">
        <v>620</v>
      </c>
      <c r="B217">
        <v>-2.8739999999999998E-3</v>
      </c>
      <c r="C217">
        <v>1.4919E-2</v>
      </c>
      <c r="D217">
        <v>-1.6770000000000001E-3</v>
      </c>
      <c r="E217">
        <v>1.2798E-2</v>
      </c>
      <c r="F217">
        <v>6.3299999999999997E-3</v>
      </c>
      <c r="G217">
        <v>-5.6429999999999996E-3</v>
      </c>
      <c r="H217">
        <v>2.8110000000000001E-3</v>
      </c>
      <c r="I217">
        <v>-5.535E-3</v>
      </c>
    </row>
    <row r="218" spans="1:9" x14ac:dyDescent="0.25">
      <c r="A218">
        <v>622</v>
      </c>
      <c r="B218">
        <v>1.1620999999999999E-2</v>
      </c>
      <c r="C218">
        <v>8.3338999999999996E-2</v>
      </c>
      <c r="D218">
        <v>2.3904999999999999E-2</v>
      </c>
      <c r="E218">
        <v>8.4229999999999999E-3</v>
      </c>
      <c r="F218">
        <v>-9.2569999999999996E-3</v>
      </c>
      <c r="G218">
        <v>1.414E-2</v>
      </c>
      <c r="H218">
        <v>1.0711999999999999E-2</v>
      </c>
      <c r="I218">
        <v>-5.3280000000000003E-3</v>
      </c>
    </row>
    <row r="219" spans="1:9" x14ac:dyDescent="0.25">
      <c r="A219">
        <v>624</v>
      </c>
      <c r="B219">
        <v>1.2541E-2</v>
      </c>
      <c r="C219">
        <v>7.8133999999999995E-2</v>
      </c>
      <c r="D219">
        <v>7.4310000000000001E-3</v>
      </c>
      <c r="E219">
        <v>1.6428999999999999E-2</v>
      </c>
      <c r="F219">
        <v>-8.0190000000000001E-3</v>
      </c>
      <c r="G219">
        <v>1.2494E-2</v>
      </c>
      <c r="H219">
        <v>-8.9350000000000002E-3</v>
      </c>
      <c r="I219">
        <v>-1.175E-3</v>
      </c>
    </row>
    <row r="220" spans="1:9" x14ac:dyDescent="0.25">
      <c r="A220">
        <v>626</v>
      </c>
      <c r="B220">
        <v>4.078E-3</v>
      </c>
      <c r="C220">
        <v>5.8554000000000002E-2</v>
      </c>
      <c r="D220">
        <v>4.6993E-2</v>
      </c>
      <c r="E220">
        <v>3.2696000000000003E-2</v>
      </c>
      <c r="F220">
        <v>-2.7550000000000001E-3</v>
      </c>
      <c r="G220">
        <v>1.5977999999999999E-2</v>
      </c>
      <c r="H220">
        <v>-6.515E-3</v>
      </c>
      <c r="I220">
        <v>-2.8420000000000001E-2</v>
      </c>
    </row>
    <row r="221" spans="1:9" x14ac:dyDescent="0.25">
      <c r="A221">
        <v>628</v>
      </c>
      <c r="B221">
        <v>1.2321E-2</v>
      </c>
      <c r="C221">
        <v>0.16028000000000001</v>
      </c>
      <c r="D221">
        <v>1.5907000000000001E-2</v>
      </c>
      <c r="E221">
        <v>2.065E-3</v>
      </c>
      <c r="F221">
        <v>-8.2769999999999996E-3</v>
      </c>
      <c r="G221">
        <v>6.3755999999999993E-2</v>
      </c>
      <c r="H221">
        <v>1.3637E-2</v>
      </c>
      <c r="I221">
        <v>2.0439999999999998E-3</v>
      </c>
    </row>
    <row r="222" spans="1:9" x14ac:dyDescent="0.25">
      <c r="A222">
        <v>630</v>
      </c>
      <c r="B222">
        <v>5.7060000000000001E-3</v>
      </c>
      <c r="C222">
        <v>-2.2071E-2</v>
      </c>
      <c r="D222">
        <v>-1.5613E-2</v>
      </c>
      <c r="E222">
        <v>1.5141999999999999E-2</v>
      </c>
      <c r="F222">
        <v>-1.2267999999999999E-2</v>
      </c>
      <c r="G222">
        <v>1.9056E-2</v>
      </c>
      <c r="H222">
        <v>1.6403999999999998E-2</v>
      </c>
      <c r="I222">
        <v>-1.7061E-2</v>
      </c>
    </row>
    <row r="223" spans="1:9" x14ac:dyDescent="0.25">
      <c r="A223">
        <v>632</v>
      </c>
      <c r="B223">
        <v>1.1511E-2</v>
      </c>
      <c r="C223">
        <v>0.13061500000000001</v>
      </c>
      <c r="D223">
        <v>3.7499999999999999E-3</v>
      </c>
      <c r="E223">
        <v>1.7670999999999999E-2</v>
      </c>
      <c r="F223">
        <v>-2.1489999999999999E-2</v>
      </c>
      <c r="G223">
        <v>7.4720000000000003E-3</v>
      </c>
      <c r="H223">
        <v>3.2273999999999997E-2</v>
      </c>
      <c r="I223">
        <v>2.1215000000000001E-2</v>
      </c>
    </row>
    <row r="224" spans="1:9" x14ac:dyDescent="0.25">
      <c r="A224">
        <v>634</v>
      </c>
      <c r="B224">
        <v>-2.0799999999999999E-4</v>
      </c>
      <c r="C224">
        <v>3.9577000000000001E-2</v>
      </c>
      <c r="D224">
        <v>-3.9995000000000003E-2</v>
      </c>
      <c r="E224">
        <v>5.0541999999999997E-2</v>
      </c>
      <c r="F224">
        <v>1.1105E-2</v>
      </c>
      <c r="G224">
        <v>4.4874999999999998E-2</v>
      </c>
      <c r="H224">
        <v>2.9260999999999999E-2</v>
      </c>
      <c r="I224">
        <v>6.6641000000000006E-2</v>
      </c>
    </row>
    <row r="225" spans="1:9" x14ac:dyDescent="0.25">
      <c r="A225">
        <v>636</v>
      </c>
      <c r="B225">
        <v>9.0810000000000005E-3</v>
      </c>
      <c r="C225">
        <v>5.7470000000000004E-3</v>
      </c>
      <c r="D225">
        <v>4.4220000000000002E-2</v>
      </c>
      <c r="E225">
        <v>8.0883999999999998E-2</v>
      </c>
      <c r="F225">
        <v>-4.5589999999999997E-3</v>
      </c>
      <c r="G225">
        <v>1.1722E-2</v>
      </c>
      <c r="H225">
        <v>2.6842999999999999E-2</v>
      </c>
      <c r="I225">
        <v>2.2748000000000001E-2</v>
      </c>
    </row>
    <row r="226" spans="1:9" x14ac:dyDescent="0.25">
      <c r="A226">
        <v>638</v>
      </c>
      <c r="B226">
        <v>4.1364999999999999E-2</v>
      </c>
      <c r="C226">
        <v>0.132165</v>
      </c>
      <c r="D226">
        <v>2.5300000000000001E-3</v>
      </c>
      <c r="E226">
        <v>2.2728000000000002E-2</v>
      </c>
      <c r="F226">
        <v>5.5519999999999996E-3</v>
      </c>
      <c r="G226">
        <v>3.7184000000000002E-2</v>
      </c>
      <c r="H226">
        <v>9.5069999999999998E-3</v>
      </c>
      <c r="I226">
        <v>6.8413000000000002E-2</v>
      </c>
    </row>
    <row r="227" spans="1:9" x14ac:dyDescent="0.25">
      <c r="A227">
        <v>640</v>
      </c>
      <c r="B227">
        <v>1.7708999999999999E-2</v>
      </c>
      <c r="C227">
        <v>-5.5789999999999999E-2</v>
      </c>
      <c r="D227">
        <v>-1.8894000000000001E-2</v>
      </c>
      <c r="E227">
        <v>2.7883999999999999E-2</v>
      </c>
      <c r="F227">
        <v>3.1137000000000001E-2</v>
      </c>
      <c r="G227">
        <v>2.2745999999999999E-2</v>
      </c>
      <c r="H227">
        <v>-2.4233000000000001E-2</v>
      </c>
      <c r="I227">
        <v>-1.7621000000000001E-2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
  <dimension ref="A1:I227"/>
  <sheetViews>
    <sheetView topLeftCell="A2" workbookViewId="0"/>
  </sheetViews>
  <sheetFormatPr defaultRowHeight="15" x14ac:dyDescent="0.25"/>
  <sheetData>
    <row r="1" spans="1:9" x14ac:dyDescent="0.25">
      <c r="A1" t="s">
        <v>5</v>
      </c>
      <c r="B1">
        <v>1</v>
      </c>
      <c r="C1">
        <v>2</v>
      </c>
      <c r="D1">
        <v>3</v>
      </c>
      <c r="E1">
        <v>4</v>
      </c>
      <c r="F1">
        <v>5</v>
      </c>
      <c r="G1">
        <v>6</v>
      </c>
      <c r="H1">
        <v>7</v>
      </c>
      <c r="I1">
        <v>8</v>
      </c>
    </row>
    <row r="2" spans="1:9" x14ac:dyDescent="0.25">
      <c r="A2">
        <v>190</v>
      </c>
      <c r="B2">
        <v>49.995948791503906</v>
      </c>
      <c r="C2">
        <v>100</v>
      </c>
      <c r="D2">
        <v>90.214912414550781</v>
      </c>
      <c r="E2">
        <v>99.999992370605469</v>
      </c>
      <c r="F2">
        <v>73.234611511230469</v>
      </c>
      <c r="G2">
        <v>66.328742980957031</v>
      </c>
      <c r="H2">
        <v>48.574314117431641</v>
      </c>
      <c r="I2">
        <v>100</v>
      </c>
    </row>
    <row r="3" spans="1:9" x14ac:dyDescent="0.25">
      <c r="A3">
        <v>192</v>
      </c>
      <c r="B3">
        <v>51.197731018066406</v>
      </c>
      <c r="C3">
        <v>91.294387817382813</v>
      </c>
      <c r="D3">
        <v>87.832244873046875</v>
      </c>
      <c r="E3">
        <v>96.313385009765625</v>
      </c>
      <c r="F3">
        <v>75.342796325683594</v>
      </c>
      <c r="G3">
        <v>64.896110534667969</v>
      </c>
      <c r="H3">
        <v>50.445053100585938</v>
      </c>
      <c r="I3">
        <v>86.344573974609375</v>
      </c>
    </row>
    <row r="4" spans="1:9" x14ac:dyDescent="0.25">
      <c r="A4">
        <v>194</v>
      </c>
      <c r="B4">
        <v>52.685466766357422</v>
      </c>
      <c r="C4">
        <v>82.17083740234375</v>
      </c>
      <c r="D4">
        <v>86.265533447265625</v>
      </c>
      <c r="E4">
        <v>91.428001403808594</v>
      </c>
      <c r="F4">
        <v>75.494483947753906</v>
      </c>
      <c r="G4">
        <v>62.950954437255859</v>
      </c>
      <c r="H4">
        <v>50.757942199707031</v>
      </c>
      <c r="I4">
        <v>71.910797119140625</v>
      </c>
    </row>
    <row r="5" spans="1:9" x14ac:dyDescent="0.25">
      <c r="A5">
        <v>196</v>
      </c>
      <c r="B5">
        <v>54.454357147216797</v>
      </c>
      <c r="C5">
        <v>74.127113342285156</v>
      </c>
      <c r="D5">
        <v>85.73760986328125</v>
      </c>
      <c r="E5">
        <v>86.724761962890625</v>
      </c>
      <c r="F5">
        <v>76.041419982910156</v>
      </c>
      <c r="G5">
        <v>61.368198394775391</v>
      </c>
      <c r="H5">
        <v>50.210697174072266</v>
      </c>
      <c r="I5">
        <v>58.720592498779297</v>
      </c>
    </row>
    <row r="6" spans="1:9" x14ac:dyDescent="0.25">
      <c r="A6">
        <v>198</v>
      </c>
      <c r="B6">
        <v>56.408950805664063</v>
      </c>
      <c r="C6">
        <v>67.934799194335938</v>
      </c>
      <c r="D6">
        <v>86.456336975097656</v>
      </c>
      <c r="E6">
        <v>82.479804992675781</v>
      </c>
      <c r="F6">
        <v>76.721534729003906</v>
      </c>
      <c r="G6">
        <v>60.744972229003906</v>
      </c>
      <c r="H6">
        <v>48.933311462402344</v>
      </c>
      <c r="I6">
        <v>47.625778198242188</v>
      </c>
    </row>
    <row r="7" spans="1:9" x14ac:dyDescent="0.25">
      <c r="A7">
        <v>200</v>
      </c>
      <c r="B7">
        <v>58.509708404541016</v>
      </c>
      <c r="C7">
        <v>63.919330596923828</v>
      </c>
      <c r="D7">
        <v>87.664329528808594</v>
      </c>
      <c r="E7">
        <v>78.455810546875</v>
      </c>
      <c r="F7">
        <v>77.056770324707031</v>
      </c>
      <c r="G7">
        <v>61.586761474609375</v>
      </c>
      <c r="H7">
        <v>46.944751739501953</v>
      </c>
      <c r="I7">
        <v>38.467159271240234</v>
      </c>
    </row>
    <row r="8" spans="1:9" x14ac:dyDescent="0.25">
      <c r="A8">
        <v>202</v>
      </c>
      <c r="B8">
        <v>60.669681549072266</v>
      </c>
      <c r="C8">
        <v>61.788238525390625</v>
      </c>
      <c r="D8">
        <v>89.713165283203125</v>
      </c>
      <c r="E8">
        <v>74.741767883300781</v>
      </c>
      <c r="F8">
        <v>76.656867980957031</v>
      </c>
      <c r="G8">
        <v>64.707305908203125</v>
      </c>
      <c r="H8">
        <v>44.139595031738281</v>
      </c>
      <c r="I8">
        <v>30.40962028503418</v>
      </c>
    </row>
    <row r="9" spans="1:9" x14ac:dyDescent="0.25">
      <c r="A9">
        <v>204</v>
      </c>
      <c r="B9">
        <v>62.330951690673828</v>
      </c>
      <c r="C9">
        <v>61.091739654541016</v>
      </c>
      <c r="D9">
        <v>91.381065368652344</v>
      </c>
      <c r="E9">
        <v>71.81427001953125</v>
      </c>
      <c r="F9">
        <v>74.986045837402344</v>
      </c>
      <c r="G9">
        <v>70.254661560058594</v>
      </c>
      <c r="H9">
        <v>41.074260711669922</v>
      </c>
      <c r="I9">
        <v>23.820709228515625</v>
      </c>
    </row>
    <row r="10" spans="1:9" x14ac:dyDescent="0.25">
      <c r="A10">
        <v>206</v>
      </c>
      <c r="B10">
        <v>63.035209655761719</v>
      </c>
      <c r="C10">
        <v>61.226615905761719</v>
      </c>
      <c r="D10">
        <v>91.332389831542969</v>
      </c>
      <c r="E10">
        <v>69.602897644042969</v>
      </c>
      <c r="F10">
        <v>71.843437194824219</v>
      </c>
      <c r="G10">
        <v>77.493629455566406</v>
      </c>
      <c r="H10">
        <v>38.470436096191406</v>
      </c>
      <c r="I10">
        <v>18.407428741455078</v>
      </c>
    </row>
    <row r="11" spans="1:9" x14ac:dyDescent="0.25">
      <c r="A11">
        <v>208</v>
      </c>
      <c r="B11">
        <v>62.603805541992188</v>
      </c>
      <c r="C11">
        <v>61.924781799316406</v>
      </c>
      <c r="D11">
        <v>89.641883850097656</v>
      </c>
      <c r="E11">
        <v>67.495758056640625</v>
      </c>
      <c r="F11">
        <v>67.75543212890625</v>
      </c>
      <c r="G11">
        <v>85.632553100585938</v>
      </c>
      <c r="H11">
        <v>36.574665069580078</v>
      </c>
      <c r="I11">
        <v>13.642251968383789</v>
      </c>
    </row>
    <row r="12" spans="1:9" x14ac:dyDescent="0.25">
      <c r="A12">
        <v>210</v>
      </c>
      <c r="B12">
        <v>60.937458038330078</v>
      </c>
      <c r="C12">
        <v>62.069541931152344</v>
      </c>
      <c r="D12">
        <v>86.999580383300781</v>
      </c>
      <c r="E12">
        <v>65.735015869140625</v>
      </c>
      <c r="F12">
        <v>64.309783935546875</v>
      </c>
      <c r="G12">
        <v>92.852928161621094</v>
      </c>
      <c r="H12">
        <v>35.484958648681641</v>
      </c>
      <c r="I12">
        <v>9.8537406921386719</v>
      </c>
    </row>
    <row r="13" spans="1:9" x14ac:dyDescent="0.25">
      <c r="A13">
        <v>212</v>
      </c>
      <c r="B13">
        <v>58.023994445800781</v>
      </c>
      <c r="C13">
        <v>61.261344909667969</v>
      </c>
      <c r="D13">
        <v>83.482376098632813</v>
      </c>
      <c r="E13">
        <v>63.61700439453125</v>
      </c>
      <c r="F13">
        <v>62.905471801757813</v>
      </c>
      <c r="G13">
        <v>97.961090087890625</v>
      </c>
      <c r="H13">
        <v>34.793941497802734</v>
      </c>
      <c r="I13">
        <v>7.0498008728027344</v>
      </c>
    </row>
    <row r="14" spans="1:9" x14ac:dyDescent="0.25">
      <c r="A14">
        <v>214</v>
      </c>
      <c r="B14">
        <v>54.092147827148438</v>
      </c>
      <c r="C14">
        <v>59.378223419189453</v>
      </c>
      <c r="D14">
        <v>79.648681640625</v>
      </c>
      <c r="E14">
        <v>61.206089019775391</v>
      </c>
      <c r="F14">
        <v>64.182579040527344</v>
      </c>
      <c r="G14">
        <v>100</v>
      </c>
      <c r="H14">
        <v>34.135982513427734</v>
      </c>
      <c r="I14">
        <v>5.1340389251708984</v>
      </c>
    </row>
    <row r="15" spans="1:9" x14ac:dyDescent="0.25">
      <c r="A15">
        <v>216</v>
      </c>
      <c r="B15">
        <v>49.421573638916016</v>
      </c>
      <c r="C15">
        <v>56.124324798583984</v>
      </c>
      <c r="D15">
        <v>75.718391418457031</v>
      </c>
      <c r="E15">
        <v>58.938514709472656</v>
      </c>
      <c r="F15">
        <v>68.615875244140625</v>
      </c>
      <c r="G15">
        <v>98.968757629394531</v>
      </c>
      <c r="H15">
        <v>33.326431274414063</v>
      </c>
      <c r="I15">
        <v>3.8511583805084229</v>
      </c>
    </row>
    <row r="16" spans="1:9" x14ac:dyDescent="0.25">
      <c r="A16">
        <v>218</v>
      </c>
      <c r="B16">
        <v>44.726978302001953</v>
      </c>
      <c r="C16">
        <v>51.952800750732422</v>
      </c>
      <c r="D16">
        <v>71.421066284179688</v>
      </c>
      <c r="E16">
        <v>57.665523529052734</v>
      </c>
      <c r="F16">
        <v>76.146095275878906</v>
      </c>
      <c r="G16">
        <v>95.776084899902344</v>
      </c>
      <c r="H16">
        <v>32.279701232910156</v>
      </c>
      <c r="I16">
        <v>3.043381929397583</v>
      </c>
    </row>
    <row r="17" spans="1:9" x14ac:dyDescent="0.25">
      <c r="A17">
        <v>220</v>
      </c>
      <c r="B17">
        <v>41.136070251464844</v>
      </c>
      <c r="C17">
        <v>47.308937072753906</v>
      </c>
      <c r="D17">
        <v>67.16839599609375</v>
      </c>
      <c r="E17">
        <v>58.564010620117188</v>
      </c>
      <c r="F17">
        <v>85.40386962890625</v>
      </c>
      <c r="G17">
        <v>91.056915283203125</v>
      </c>
      <c r="H17">
        <v>31.029972076416016</v>
      </c>
      <c r="I17">
        <v>2.553682804107666</v>
      </c>
    </row>
    <row r="18" spans="1:9" x14ac:dyDescent="0.25">
      <c r="A18">
        <v>222</v>
      </c>
      <c r="B18">
        <v>39.676124572753906</v>
      </c>
      <c r="C18">
        <v>42.560935974121094</v>
      </c>
      <c r="D18">
        <v>64.479843139648438</v>
      </c>
      <c r="E18">
        <v>62.123126983642578</v>
      </c>
      <c r="F18">
        <v>93.760765075683594</v>
      </c>
      <c r="G18">
        <v>84.415420532226563</v>
      </c>
      <c r="H18">
        <v>29.645483016967773</v>
      </c>
      <c r="I18">
        <v>2.2685034275054932</v>
      </c>
    </row>
    <row r="19" spans="1:9" x14ac:dyDescent="0.25">
      <c r="A19">
        <v>224</v>
      </c>
      <c r="B19">
        <v>40.525470733642578</v>
      </c>
      <c r="C19">
        <v>37.230545043945313</v>
      </c>
      <c r="D19">
        <v>63.305683135986328</v>
      </c>
      <c r="E19">
        <v>67.814529418945313</v>
      </c>
      <c r="F19">
        <v>99.28717041015625</v>
      </c>
      <c r="G19">
        <v>75.145744323730469</v>
      </c>
      <c r="H19">
        <v>28.222209930419922</v>
      </c>
      <c r="I19">
        <v>2.1072254180908203</v>
      </c>
    </row>
    <row r="20" spans="1:9" x14ac:dyDescent="0.25">
      <c r="A20">
        <v>226</v>
      </c>
      <c r="B20">
        <v>43.790531158447266</v>
      </c>
      <c r="C20">
        <v>31.853950500488281</v>
      </c>
      <c r="D20">
        <v>63.719974517822266</v>
      </c>
      <c r="E20">
        <v>74.210151672363281</v>
      </c>
      <c r="F20">
        <v>100</v>
      </c>
      <c r="G20">
        <v>64.420402526855469</v>
      </c>
      <c r="H20">
        <v>26.970527648925781</v>
      </c>
      <c r="I20">
        <v>2.0293178558349609</v>
      </c>
    </row>
    <row r="21" spans="1:9" x14ac:dyDescent="0.25">
      <c r="A21">
        <v>228</v>
      </c>
      <c r="B21">
        <v>49.356376647949219</v>
      </c>
      <c r="C21">
        <v>27.250391006469727</v>
      </c>
      <c r="D21">
        <v>65.867912292480469</v>
      </c>
      <c r="E21">
        <v>80.689949035644531</v>
      </c>
      <c r="F21">
        <v>95.30291748046875</v>
      </c>
      <c r="G21">
        <v>54.342700958251953</v>
      </c>
      <c r="H21">
        <v>25.977441787719727</v>
      </c>
      <c r="I21">
        <v>2</v>
      </c>
    </row>
    <row r="22" spans="1:9" x14ac:dyDescent="0.25">
      <c r="A22">
        <v>230</v>
      </c>
      <c r="B22">
        <v>56.466224670410156</v>
      </c>
      <c r="C22">
        <v>24.05225944519043</v>
      </c>
      <c r="D22">
        <v>69.508209228515625</v>
      </c>
      <c r="E22">
        <v>85.626007080078125</v>
      </c>
      <c r="F22">
        <v>86.357376098632813</v>
      </c>
      <c r="G22">
        <v>47.127300262451172</v>
      </c>
      <c r="H22">
        <v>25.441366195678711</v>
      </c>
      <c r="I22">
        <v>2.0035519599914551</v>
      </c>
    </row>
    <row r="23" spans="1:9" x14ac:dyDescent="0.25">
      <c r="A23">
        <v>232</v>
      </c>
      <c r="B23">
        <v>64.757926940917969</v>
      </c>
      <c r="C23">
        <v>21.937082290649414</v>
      </c>
      <c r="D23">
        <v>74.385307312011719</v>
      </c>
      <c r="E23">
        <v>88.4072265625</v>
      </c>
      <c r="F23">
        <v>75.006629943847656</v>
      </c>
      <c r="G23">
        <v>42.656688690185547</v>
      </c>
      <c r="H23">
        <v>25.440839767456055</v>
      </c>
      <c r="I23">
        <v>2.0271761417388916</v>
      </c>
    </row>
    <row r="24" spans="1:9" x14ac:dyDescent="0.25">
      <c r="A24">
        <v>234</v>
      </c>
      <c r="B24">
        <v>73.919776916503906</v>
      </c>
      <c r="C24">
        <v>20.537641525268555</v>
      </c>
      <c r="D24">
        <v>80.260200500488281</v>
      </c>
      <c r="E24">
        <v>88.032981872558594</v>
      </c>
      <c r="F24">
        <v>63.233928680419922</v>
      </c>
      <c r="G24">
        <v>40.243610382080078</v>
      </c>
      <c r="H24">
        <v>26.081100463867188</v>
      </c>
      <c r="I24">
        <v>2.0636997222900391</v>
      </c>
    </row>
    <row r="25" spans="1:9" x14ac:dyDescent="0.25">
      <c r="A25">
        <v>236</v>
      </c>
      <c r="B25">
        <v>82.703781127929688</v>
      </c>
      <c r="C25">
        <v>19.665596008300781</v>
      </c>
      <c r="D25">
        <v>86.439971923828125</v>
      </c>
      <c r="E25">
        <v>84.759361267089844</v>
      </c>
      <c r="F25">
        <v>53.000251770019531</v>
      </c>
      <c r="G25">
        <v>39.145671844482422</v>
      </c>
      <c r="H25">
        <v>27.347671508789063</v>
      </c>
      <c r="I25">
        <v>2.1033620834350586</v>
      </c>
    </row>
    <row r="26" spans="1:9" x14ac:dyDescent="0.25">
      <c r="A26">
        <v>238</v>
      </c>
      <c r="B26">
        <v>90.78814697265625</v>
      </c>
      <c r="C26">
        <v>19.134790420532227</v>
      </c>
      <c r="D26">
        <v>92.661041259765625</v>
      </c>
      <c r="E26">
        <v>79.8458251953125</v>
      </c>
      <c r="F26">
        <v>44.178073883056641</v>
      </c>
      <c r="G26">
        <v>38.666629791259766</v>
      </c>
      <c r="H26">
        <v>29.299823760986328</v>
      </c>
      <c r="I26">
        <v>2.1452758312225342</v>
      </c>
    </row>
    <row r="27" spans="1:9" x14ac:dyDescent="0.25">
      <c r="A27">
        <v>240</v>
      </c>
      <c r="B27">
        <v>96.892677307128906</v>
      </c>
      <c r="C27">
        <v>18.757686614990234</v>
      </c>
      <c r="D27">
        <v>97.393241882324219</v>
      </c>
      <c r="E27">
        <v>74.411483764648438</v>
      </c>
      <c r="F27">
        <v>37.355068206787109</v>
      </c>
      <c r="G27">
        <v>38.557209014892578</v>
      </c>
      <c r="H27">
        <v>31.904994964599609</v>
      </c>
      <c r="I27">
        <v>2.1923339366912842</v>
      </c>
    </row>
    <row r="28" spans="1:9" x14ac:dyDescent="0.25">
      <c r="A28">
        <v>242</v>
      </c>
      <c r="B28">
        <v>99.999992370605469</v>
      </c>
      <c r="C28">
        <v>18.511428833007813</v>
      </c>
      <c r="D28">
        <v>100</v>
      </c>
      <c r="E28">
        <v>68.990303039550781</v>
      </c>
      <c r="F28">
        <v>32.061443328857422</v>
      </c>
      <c r="G28">
        <v>38.840950012207031</v>
      </c>
      <c r="H28">
        <v>35.249786376953125</v>
      </c>
      <c r="I28">
        <v>2.240633487701416</v>
      </c>
    </row>
    <row r="29" spans="1:9" x14ac:dyDescent="0.25">
      <c r="A29">
        <v>244</v>
      </c>
      <c r="B29">
        <v>99.054580688476563</v>
      </c>
      <c r="C29">
        <v>18.55085563659668</v>
      </c>
      <c r="D29">
        <v>99.169769287109375</v>
      </c>
      <c r="E29">
        <v>63.691951751708984</v>
      </c>
      <c r="F29">
        <v>28.423942565917969</v>
      </c>
      <c r="G29">
        <v>39.706897735595703</v>
      </c>
      <c r="H29">
        <v>39.059822082519531</v>
      </c>
      <c r="I29">
        <v>2.2739198207855225</v>
      </c>
    </row>
    <row r="30" spans="1:9" x14ac:dyDescent="0.25">
      <c r="A30">
        <v>246</v>
      </c>
      <c r="B30">
        <v>94.238136291503906</v>
      </c>
      <c r="C30">
        <v>18.82880973815918</v>
      </c>
      <c r="D30">
        <v>93.220527648925781</v>
      </c>
      <c r="E30">
        <v>57.368038177490234</v>
      </c>
      <c r="F30">
        <v>25.740596771240234</v>
      </c>
      <c r="G30">
        <v>41.266380310058594</v>
      </c>
      <c r="H30">
        <v>43.456466674804688</v>
      </c>
      <c r="I30">
        <v>2.3007926940917969</v>
      </c>
    </row>
    <row r="31" spans="1:9" x14ac:dyDescent="0.25">
      <c r="A31">
        <v>248</v>
      </c>
      <c r="B31">
        <v>87.308197021484375</v>
      </c>
      <c r="C31">
        <v>19.072885513305664</v>
      </c>
      <c r="D31">
        <v>82.201103210449219</v>
      </c>
      <c r="E31">
        <v>50.319446563720703</v>
      </c>
      <c r="F31">
        <v>23.836151123046875</v>
      </c>
      <c r="G31">
        <v>43.136444091796875</v>
      </c>
      <c r="H31">
        <v>48.052196502685547</v>
      </c>
      <c r="I31">
        <v>2.3328213691711426</v>
      </c>
    </row>
    <row r="32" spans="1:9" x14ac:dyDescent="0.25">
      <c r="A32">
        <v>250</v>
      </c>
      <c r="B32">
        <v>80.10394287109375</v>
      </c>
      <c r="C32">
        <v>19.200424194335938</v>
      </c>
      <c r="D32">
        <v>67.761238098144531</v>
      </c>
      <c r="E32">
        <v>42.947925567626953</v>
      </c>
      <c r="F32">
        <v>22.353294372558594</v>
      </c>
      <c r="G32">
        <v>44.787776947021484</v>
      </c>
      <c r="H32">
        <v>53.038566589355469</v>
      </c>
      <c r="I32">
        <v>2.3635444641113281</v>
      </c>
    </row>
    <row r="33" spans="1:9" x14ac:dyDescent="0.25">
      <c r="A33">
        <v>252</v>
      </c>
      <c r="B33">
        <v>74.613975524902344</v>
      </c>
      <c r="C33">
        <v>18.990560531616211</v>
      </c>
      <c r="D33">
        <v>54.250518798828125</v>
      </c>
      <c r="E33">
        <v>36.311244964599609</v>
      </c>
      <c r="F33">
        <v>21.272930145263672</v>
      </c>
      <c r="G33">
        <v>45.614780426025391</v>
      </c>
      <c r="H33">
        <v>58.037155151367188</v>
      </c>
      <c r="I33">
        <v>2.3770489692687988</v>
      </c>
    </row>
    <row r="34" spans="1:9" x14ac:dyDescent="0.25">
      <c r="A34">
        <v>254</v>
      </c>
      <c r="B34">
        <v>70.887580871582031</v>
      </c>
      <c r="C34">
        <v>18.466030120849609</v>
      </c>
      <c r="D34">
        <v>43.615985870361328</v>
      </c>
      <c r="E34">
        <v>30.58531379699707</v>
      </c>
      <c r="F34">
        <v>20.561742782592773</v>
      </c>
      <c r="G34">
        <v>45.528171539306641</v>
      </c>
      <c r="H34">
        <v>63.252803802490234</v>
      </c>
      <c r="I34">
        <v>2.3916800022125244</v>
      </c>
    </row>
    <row r="35" spans="1:9" x14ac:dyDescent="0.25">
      <c r="A35">
        <v>256</v>
      </c>
      <c r="B35">
        <v>68.533699035644531</v>
      </c>
      <c r="C35">
        <v>17.729816436767578</v>
      </c>
      <c r="D35">
        <v>37.236713409423828</v>
      </c>
      <c r="E35">
        <v>26.507911682128906</v>
      </c>
      <c r="F35">
        <v>20.10295295715332</v>
      </c>
      <c r="G35">
        <v>44.623733520507813</v>
      </c>
      <c r="H35">
        <v>68.444023132324219</v>
      </c>
      <c r="I35">
        <v>2.4095449447631836</v>
      </c>
    </row>
    <row r="36" spans="1:9" x14ac:dyDescent="0.25">
      <c r="A36">
        <v>258</v>
      </c>
      <c r="B36">
        <v>66.681121826171875</v>
      </c>
      <c r="C36">
        <v>16.721439361572266</v>
      </c>
      <c r="D36">
        <v>34.269275665283203</v>
      </c>
      <c r="E36">
        <v>23.721824645996094</v>
      </c>
      <c r="F36">
        <v>19.802524566650391</v>
      </c>
      <c r="G36">
        <v>43.066879272460938</v>
      </c>
      <c r="H36">
        <v>73.41522216796875</v>
      </c>
      <c r="I36">
        <v>2.4184103012084961</v>
      </c>
    </row>
    <row r="37" spans="1:9" x14ac:dyDescent="0.25">
      <c r="A37">
        <v>260</v>
      </c>
      <c r="B37">
        <v>64.452835083007813</v>
      </c>
      <c r="C37">
        <v>15.336079597473145</v>
      </c>
      <c r="D37">
        <v>33.505893707275391</v>
      </c>
      <c r="E37">
        <v>21.681755065917969</v>
      </c>
      <c r="F37">
        <v>19.774969100952148</v>
      </c>
      <c r="G37">
        <v>40.777427673339844</v>
      </c>
      <c r="H37">
        <v>78.360771179199219</v>
      </c>
      <c r="I37">
        <v>2.4174983501434326</v>
      </c>
    </row>
    <row r="38" spans="1:9" x14ac:dyDescent="0.25">
      <c r="A38">
        <v>262</v>
      </c>
      <c r="B38">
        <v>61.346591949462891</v>
      </c>
      <c r="C38">
        <v>13.738537788391113</v>
      </c>
      <c r="D38">
        <v>34.171821594238281</v>
      </c>
      <c r="E38">
        <v>20.392282485961914</v>
      </c>
      <c r="F38">
        <v>19.982807159423828</v>
      </c>
      <c r="G38">
        <v>37.854286193847656</v>
      </c>
      <c r="H38">
        <v>83.008934020996094</v>
      </c>
      <c r="I38">
        <v>2.4239940643310547</v>
      </c>
    </row>
    <row r="39" spans="1:9" x14ac:dyDescent="0.25">
      <c r="A39">
        <v>264</v>
      </c>
      <c r="B39">
        <v>57.145668029785156</v>
      </c>
      <c r="C39">
        <v>12.076087951660156</v>
      </c>
      <c r="D39">
        <v>35.427360534667969</v>
      </c>
      <c r="E39">
        <v>19.492061614990234</v>
      </c>
      <c r="F39">
        <v>20.5205078125</v>
      </c>
      <c r="G39">
        <v>34.731510162353516</v>
      </c>
      <c r="H39">
        <v>87.309707641601563</v>
      </c>
      <c r="I39">
        <v>2.42803955078125</v>
      </c>
    </row>
    <row r="40" spans="1:9" x14ac:dyDescent="0.25">
      <c r="A40">
        <v>266</v>
      </c>
      <c r="B40">
        <v>52.158771514892578</v>
      </c>
      <c r="C40">
        <v>10.610770225524902</v>
      </c>
      <c r="D40">
        <v>36.852523803710938</v>
      </c>
      <c r="E40">
        <v>18.890361785888672</v>
      </c>
      <c r="F40">
        <v>21.115303039550781</v>
      </c>
      <c r="G40">
        <v>32.189380645751953</v>
      </c>
      <c r="H40">
        <v>91.086585998535156</v>
      </c>
      <c r="I40">
        <v>2.4289956092834473</v>
      </c>
    </row>
    <row r="41" spans="1:9" x14ac:dyDescent="0.25">
      <c r="A41">
        <v>268</v>
      </c>
      <c r="B41">
        <v>46.575481414794922</v>
      </c>
      <c r="C41">
        <v>9.5189170837402344</v>
      </c>
      <c r="D41">
        <v>38.545684814453125</v>
      </c>
      <c r="E41">
        <v>18.276115417480469</v>
      </c>
      <c r="F41">
        <v>21.833330154418945</v>
      </c>
      <c r="G41">
        <v>30.694793701171875</v>
      </c>
      <c r="H41">
        <v>94.475143432617188</v>
      </c>
      <c r="I41">
        <v>2.4246318340301514</v>
      </c>
    </row>
    <row r="42" spans="1:9" x14ac:dyDescent="0.25">
      <c r="A42">
        <v>270</v>
      </c>
      <c r="B42">
        <v>41.187259674072266</v>
      </c>
      <c r="C42">
        <v>8.8901443481445313</v>
      </c>
      <c r="D42">
        <v>39.908523559570313</v>
      </c>
      <c r="E42">
        <v>17.823003768920898</v>
      </c>
      <c r="F42">
        <v>22.72393798828125</v>
      </c>
      <c r="G42">
        <v>30.285367965698242</v>
      </c>
      <c r="H42">
        <v>97.211738586425781</v>
      </c>
      <c r="I42">
        <v>2.4214653968811035</v>
      </c>
    </row>
    <row r="43" spans="1:9" x14ac:dyDescent="0.25">
      <c r="A43">
        <v>272</v>
      </c>
      <c r="B43">
        <v>36.693603515625</v>
      </c>
      <c r="C43">
        <v>8.4743728637695313</v>
      </c>
      <c r="D43">
        <v>40.805637359619141</v>
      </c>
      <c r="E43">
        <v>17.469564437866211</v>
      </c>
      <c r="F43">
        <v>23.723859786987305</v>
      </c>
      <c r="G43">
        <v>30.543399810791016</v>
      </c>
      <c r="H43">
        <v>99.083236694335938</v>
      </c>
      <c r="I43">
        <v>2.4034512042999268</v>
      </c>
    </row>
    <row r="44" spans="1:9" x14ac:dyDescent="0.25">
      <c r="A44">
        <v>274</v>
      </c>
      <c r="B44">
        <v>33.426021575927734</v>
      </c>
      <c r="C44">
        <v>8.268768310546875</v>
      </c>
      <c r="D44">
        <v>41.404556274414063</v>
      </c>
      <c r="E44">
        <v>17.205043792724609</v>
      </c>
      <c r="F44">
        <v>24.895908355712891</v>
      </c>
      <c r="G44">
        <v>31.043458938598633</v>
      </c>
      <c r="H44">
        <v>100.00000762939453</v>
      </c>
      <c r="I44">
        <v>2.4022819995880127</v>
      </c>
    </row>
    <row r="45" spans="1:9" x14ac:dyDescent="0.25">
      <c r="A45">
        <v>276</v>
      </c>
      <c r="B45">
        <v>31.331571578979492</v>
      </c>
      <c r="C45">
        <v>8.3771791458129883</v>
      </c>
      <c r="D45">
        <v>41.122028350830078</v>
      </c>
      <c r="E45">
        <v>16.932113647460938</v>
      </c>
      <c r="F45">
        <v>26.294567108154297</v>
      </c>
      <c r="G45">
        <v>31.531406402587891</v>
      </c>
      <c r="H45">
        <v>99.901336669921875</v>
      </c>
      <c r="I45">
        <v>2.4190299510955811</v>
      </c>
    </row>
    <row r="46" spans="1:9" x14ac:dyDescent="0.25">
      <c r="A46">
        <v>278</v>
      </c>
      <c r="B46">
        <v>30.24261474609375</v>
      </c>
      <c r="C46">
        <v>8.5365962982177734</v>
      </c>
      <c r="D46">
        <v>40.313003540039063</v>
      </c>
      <c r="E46">
        <v>16.665525436401367</v>
      </c>
      <c r="F46">
        <v>27.806339263916016</v>
      </c>
      <c r="G46">
        <v>31.878122329711914</v>
      </c>
      <c r="H46">
        <v>98.759017944335938</v>
      </c>
      <c r="I46">
        <v>2.4232659339904785</v>
      </c>
    </row>
    <row r="47" spans="1:9" x14ac:dyDescent="0.25">
      <c r="A47">
        <v>280</v>
      </c>
      <c r="B47">
        <v>29.837001800537109</v>
      </c>
      <c r="C47">
        <v>8.5648508071899414</v>
      </c>
      <c r="D47">
        <v>39.268901824951172</v>
      </c>
      <c r="E47">
        <v>16.493303298950195</v>
      </c>
      <c r="F47">
        <v>29.343357086181641</v>
      </c>
      <c r="G47">
        <v>32.015460968017578</v>
      </c>
      <c r="H47">
        <v>96.611076354980469</v>
      </c>
      <c r="I47">
        <v>2.4253370761871338</v>
      </c>
    </row>
    <row r="48" spans="1:9" x14ac:dyDescent="0.25">
      <c r="A48">
        <v>282</v>
      </c>
      <c r="B48">
        <v>29.802043914794922</v>
      </c>
      <c r="C48">
        <v>8.7181901931762695</v>
      </c>
      <c r="D48">
        <v>37.776287078857422</v>
      </c>
      <c r="E48">
        <v>16.493917465209961</v>
      </c>
      <c r="F48">
        <v>31.02714729309082</v>
      </c>
      <c r="G48">
        <v>31.965221405029297</v>
      </c>
      <c r="H48">
        <v>93.523353576660156</v>
      </c>
      <c r="I48">
        <v>2.4113717079162598</v>
      </c>
    </row>
    <row r="49" spans="1:9" x14ac:dyDescent="0.25">
      <c r="A49">
        <v>284</v>
      </c>
      <c r="B49">
        <v>29.834489822387695</v>
      </c>
      <c r="C49">
        <v>9.089503288269043</v>
      </c>
      <c r="D49">
        <v>36.279937744140625</v>
      </c>
      <c r="E49">
        <v>16.879594802856445</v>
      </c>
      <c r="F49">
        <v>32.740909576416016</v>
      </c>
      <c r="G49">
        <v>31.642721176147461</v>
      </c>
      <c r="H49">
        <v>89.574882507324219</v>
      </c>
      <c r="I49">
        <v>2.41522216796875</v>
      </c>
    </row>
    <row r="50" spans="1:9" x14ac:dyDescent="0.25">
      <c r="A50">
        <v>286</v>
      </c>
      <c r="B50">
        <v>29.741342544555664</v>
      </c>
      <c r="C50">
        <v>9.2806768417358398</v>
      </c>
      <c r="D50">
        <v>34.810558319091797</v>
      </c>
      <c r="E50">
        <v>17.313684463500977</v>
      </c>
      <c r="F50">
        <v>34.403617858886719</v>
      </c>
      <c r="G50">
        <v>31.050710678100586</v>
      </c>
      <c r="H50">
        <v>84.853950500488281</v>
      </c>
      <c r="I50">
        <v>2.4313867092132568</v>
      </c>
    </row>
    <row r="51" spans="1:9" x14ac:dyDescent="0.25">
      <c r="A51">
        <v>288</v>
      </c>
      <c r="B51">
        <v>29.390016555786133</v>
      </c>
      <c r="C51">
        <v>9.3527383804321289</v>
      </c>
      <c r="D51">
        <v>33.601863861083984</v>
      </c>
      <c r="E51">
        <v>17.88398551940918</v>
      </c>
      <c r="F51">
        <v>36.056377410888672</v>
      </c>
      <c r="G51">
        <v>30.245010375976563</v>
      </c>
      <c r="H51">
        <v>79.478584289550781</v>
      </c>
      <c r="I51">
        <v>2.4496171474456787</v>
      </c>
    </row>
    <row r="52" spans="1:9" x14ac:dyDescent="0.25">
      <c r="A52">
        <v>290</v>
      </c>
      <c r="B52">
        <v>28.762887954711914</v>
      </c>
      <c r="C52">
        <v>9.4830226898193359</v>
      </c>
      <c r="D52">
        <v>32.933528900146484</v>
      </c>
      <c r="E52">
        <v>18.624332427978516</v>
      </c>
      <c r="F52">
        <v>37.542667388916016</v>
      </c>
      <c r="G52">
        <v>29.246894836425781</v>
      </c>
      <c r="H52">
        <v>73.597137451171875</v>
      </c>
      <c r="I52">
        <v>2.4484415054321289</v>
      </c>
    </row>
    <row r="53" spans="1:9" x14ac:dyDescent="0.25">
      <c r="A53">
        <v>292</v>
      </c>
      <c r="B53">
        <v>27.760770797729492</v>
      </c>
      <c r="C53">
        <v>9.5846271514892578</v>
      </c>
      <c r="D53">
        <v>32.689651489257813</v>
      </c>
      <c r="E53">
        <v>19.588998794555664</v>
      </c>
      <c r="F53">
        <v>38.754375457763672</v>
      </c>
      <c r="G53">
        <v>28.130340576171875</v>
      </c>
      <c r="H53">
        <v>67.299812316894531</v>
      </c>
      <c r="I53">
        <v>2.4462308883666992</v>
      </c>
    </row>
    <row r="54" spans="1:9" x14ac:dyDescent="0.25">
      <c r="A54">
        <v>294</v>
      </c>
      <c r="B54">
        <v>26.369327545166016</v>
      </c>
      <c r="C54">
        <v>9.6064853668212891</v>
      </c>
      <c r="D54">
        <v>32.718486785888672</v>
      </c>
      <c r="E54">
        <v>21.031389236450195</v>
      </c>
      <c r="F54">
        <v>39.809429168701172</v>
      </c>
      <c r="G54">
        <v>26.946113586425781</v>
      </c>
      <c r="H54">
        <v>60.740215301513672</v>
      </c>
      <c r="I54">
        <v>2.4482429027557373</v>
      </c>
    </row>
    <row r="55" spans="1:9" x14ac:dyDescent="0.25">
      <c r="A55">
        <v>296</v>
      </c>
      <c r="B55">
        <v>24.593545913696289</v>
      </c>
      <c r="C55">
        <v>9.6510953903198242</v>
      </c>
      <c r="D55">
        <v>32.8271484375</v>
      </c>
      <c r="E55">
        <v>22.785457611083984</v>
      </c>
      <c r="F55">
        <v>40.6326904296875</v>
      </c>
      <c r="G55">
        <v>25.777309417724609</v>
      </c>
      <c r="H55">
        <v>54.105857849121094</v>
      </c>
      <c r="I55">
        <v>2.4502813816070557</v>
      </c>
    </row>
    <row r="56" spans="1:9" x14ac:dyDescent="0.25">
      <c r="A56">
        <v>298</v>
      </c>
      <c r="B56">
        <v>22.599353790283203</v>
      </c>
      <c r="C56">
        <v>9.8825750350952148</v>
      </c>
      <c r="D56">
        <v>32.830410003662109</v>
      </c>
      <c r="E56">
        <v>24.353137969970703</v>
      </c>
      <c r="F56">
        <v>41.114051818847656</v>
      </c>
      <c r="G56">
        <v>24.628046035766602</v>
      </c>
      <c r="H56">
        <v>47.358860015869141</v>
      </c>
      <c r="I56">
        <v>2.4482529163360596</v>
      </c>
    </row>
    <row r="57" spans="1:9" x14ac:dyDescent="0.25">
      <c r="A57">
        <v>300</v>
      </c>
      <c r="B57">
        <v>20.573047637939453</v>
      </c>
      <c r="C57">
        <v>10.036293029785156</v>
      </c>
      <c r="D57">
        <v>32.777011871337891</v>
      </c>
      <c r="E57">
        <v>26.108406066894531</v>
      </c>
      <c r="F57">
        <v>41.201332092285156</v>
      </c>
      <c r="G57">
        <v>23.52586555480957</v>
      </c>
      <c r="H57">
        <v>41.031364440917969</v>
      </c>
      <c r="I57">
        <v>2.4456191062927246</v>
      </c>
    </row>
    <row r="58" spans="1:9" x14ac:dyDescent="0.25">
      <c r="A58">
        <v>302</v>
      </c>
      <c r="B58">
        <v>18.609165191650391</v>
      </c>
      <c r="C58">
        <v>10.085405349731445</v>
      </c>
      <c r="D58">
        <v>32.82373046875</v>
      </c>
      <c r="E58">
        <v>28.110204696655273</v>
      </c>
      <c r="F58">
        <v>40.936851501464844</v>
      </c>
      <c r="G58">
        <v>22.428350448608398</v>
      </c>
      <c r="H58">
        <v>35.044986724853516</v>
      </c>
      <c r="I58">
        <v>2.4427182674407959</v>
      </c>
    </row>
    <row r="59" spans="1:9" x14ac:dyDescent="0.25">
      <c r="A59">
        <v>304</v>
      </c>
      <c r="B59">
        <v>16.843379974365234</v>
      </c>
      <c r="C59">
        <v>10.169502258300781</v>
      </c>
      <c r="D59">
        <v>32.496257781982422</v>
      </c>
      <c r="E59">
        <v>30.062725067138672</v>
      </c>
      <c r="F59">
        <v>40.235225677490234</v>
      </c>
      <c r="G59">
        <v>21.348518371582031</v>
      </c>
      <c r="H59">
        <v>29.483198165893555</v>
      </c>
      <c r="I59">
        <v>2.4470558166503906</v>
      </c>
    </row>
    <row r="60" spans="1:9" x14ac:dyDescent="0.25">
      <c r="A60">
        <v>306</v>
      </c>
      <c r="B60">
        <v>15.294055938720703</v>
      </c>
      <c r="C60">
        <v>10.16118049621582</v>
      </c>
      <c r="D60">
        <v>31.719802856445313</v>
      </c>
      <c r="E60">
        <v>32.152324676513672</v>
      </c>
      <c r="F60">
        <v>38.891502380371094</v>
      </c>
      <c r="G60">
        <v>20.279867172241211</v>
      </c>
      <c r="H60">
        <v>24.358606338500977</v>
      </c>
      <c r="I60">
        <v>2.4552304744720459</v>
      </c>
    </row>
    <row r="61" spans="1:9" x14ac:dyDescent="0.25">
      <c r="A61">
        <v>308</v>
      </c>
      <c r="B61">
        <v>14.102557182312012</v>
      </c>
      <c r="C61">
        <v>10.113114356994629</v>
      </c>
      <c r="D61">
        <v>30.66987419128418</v>
      </c>
      <c r="E61">
        <v>34.030174255371094</v>
      </c>
      <c r="F61">
        <v>37.140110015869141</v>
      </c>
      <c r="G61">
        <v>19.230083465576172</v>
      </c>
      <c r="H61">
        <v>19.9696044921875</v>
      </c>
      <c r="I61">
        <v>2.4559602737426758</v>
      </c>
    </row>
    <row r="62" spans="1:9" x14ac:dyDescent="0.25">
      <c r="A62">
        <v>310</v>
      </c>
      <c r="B62">
        <v>13.286131858825684</v>
      </c>
      <c r="C62">
        <v>10.07679557800293</v>
      </c>
      <c r="D62">
        <v>28.909643173217773</v>
      </c>
      <c r="E62">
        <v>35.689624786376953</v>
      </c>
      <c r="F62">
        <v>35.23126220703125</v>
      </c>
      <c r="G62">
        <v>18.160974502563477</v>
      </c>
      <c r="H62">
        <v>16.172492980957031</v>
      </c>
      <c r="I62">
        <v>2.4490334987640381</v>
      </c>
    </row>
    <row r="63" spans="1:9" x14ac:dyDescent="0.25">
      <c r="A63">
        <v>312</v>
      </c>
      <c r="B63">
        <v>12.88902759552002</v>
      </c>
      <c r="C63">
        <v>10.071732521057129</v>
      </c>
      <c r="D63">
        <v>26.918195724487305</v>
      </c>
      <c r="E63">
        <v>37.201072692871094</v>
      </c>
      <c r="F63">
        <v>32.904621124267578</v>
      </c>
      <c r="G63">
        <v>17.058109283447266</v>
      </c>
      <c r="H63">
        <v>12.939757347106934</v>
      </c>
      <c r="I63">
        <v>2.4620671272277832</v>
      </c>
    </row>
    <row r="64" spans="1:9" x14ac:dyDescent="0.25">
      <c r="A64">
        <v>314</v>
      </c>
      <c r="B64">
        <v>12.872271537780762</v>
      </c>
      <c r="C64">
        <v>9.9347944259643555</v>
      </c>
      <c r="D64">
        <v>24.867620468139648</v>
      </c>
      <c r="E64">
        <v>38.297454833984375</v>
      </c>
      <c r="F64">
        <v>30.189901351928711</v>
      </c>
      <c r="G64">
        <v>15.962742805480957</v>
      </c>
      <c r="H64">
        <v>10.36704158782959</v>
      </c>
      <c r="I64">
        <v>2.4710192680358887</v>
      </c>
    </row>
    <row r="65" spans="1:9" x14ac:dyDescent="0.25">
      <c r="A65">
        <v>316</v>
      </c>
      <c r="B65">
        <v>13.16230583190918</v>
      </c>
      <c r="C65">
        <v>9.6442289352416992</v>
      </c>
      <c r="D65">
        <v>22.769124984741211</v>
      </c>
      <c r="E65">
        <v>38.833564758300781</v>
      </c>
      <c r="F65">
        <v>27.164934158325195</v>
      </c>
      <c r="G65">
        <v>14.819137573242188</v>
      </c>
      <c r="H65">
        <v>8.2603664398193359</v>
      </c>
      <c r="I65">
        <v>2.4700911045074463</v>
      </c>
    </row>
    <row r="66" spans="1:9" x14ac:dyDescent="0.25">
      <c r="A66">
        <v>318</v>
      </c>
      <c r="B66">
        <v>13.784439086914063</v>
      </c>
      <c r="C66">
        <v>9.3471908569335938</v>
      </c>
      <c r="D66">
        <v>20.54582405090332</v>
      </c>
      <c r="E66">
        <v>38.592033386230469</v>
      </c>
      <c r="F66">
        <v>23.924297332763672</v>
      </c>
      <c r="G66">
        <v>13.700900077819824</v>
      </c>
      <c r="H66">
        <v>6.6444897651672363</v>
      </c>
      <c r="I66">
        <v>2.4836087226867676</v>
      </c>
    </row>
    <row r="67" spans="1:9" x14ac:dyDescent="0.25">
      <c r="A67">
        <v>320</v>
      </c>
      <c r="B67">
        <v>14.706076622009277</v>
      </c>
      <c r="C67">
        <v>8.9910964965820313</v>
      </c>
      <c r="D67">
        <v>18.380321502685547</v>
      </c>
      <c r="E67">
        <v>37.962898254394531</v>
      </c>
      <c r="F67">
        <v>20.893180847167969</v>
      </c>
      <c r="G67">
        <v>12.591713905334473</v>
      </c>
      <c r="H67">
        <v>5.3980112075805664</v>
      </c>
      <c r="I67">
        <v>2.4874362945556641</v>
      </c>
    </row>
    <row r="68" spans="1:9" x14ac:dyDescent="0.25">
      <c r="A68">
        <v>322</v>
      </c>
      <c r="B68">
        <v>15.644208908081055</v>
      </c>
      <c r="C68">
        <v>8.6540260314941406</v>
      </c>
      <c r="D68">
        <v>16.604454040527344</v>
      </c>
      <c r="E68">
        <v>36.895122528076172</v>
      </c>
      <c r="F68">
        <v>17.979598999023438</v>
      </c>
      <c r="G68">
        <v>11.544644355773926</v>
      </c>
      <c r="H68">
        <v>4.4862527847290039</v>
      </c>
      <c r="I68">
        <v>2.4737250804901123</v>
      </c>
    </row>
    <row r="69" spans="1:9" x14ac:dyDescent="0.25">
      <c r="A69">
        <v>324</v>
      </c>
      <c r="B69">
        <v>16.736114501953125</v>
      </c>
      <c r="C69">
        <v>8.3547143936157227</v>
      </c>
      <c r="D69">
        <v>15.051353454589844</v>
      </c>
      <c r="E69">
        <v>35.0928955078125</v>
      </c>
      <c r="F69">
        <v>15.062521934509277</v>
      </c>
      <c r="G69">
        <v>10.545557975769043</v>
      </c>
      <c r="H69">
        <v>3.7420792579650879</v>
      </c>
      <c r="I69">
        <v>2.4585971832275391</v>
      </c>
    </row>
    <row r="70" spans="1:9" x14ac:dyDescent="0.25">
      <c r="A70">
        <v>326</v>
      </c>
      <c r="B70">
        <v>17.934324264526367</v>
      </c>
      <c r="C70">
        <v>8.1001338958740234</v>
      </c>
      <c r="D70">
        <v>14.101446151733398</v>
      </c>
      <c r="E70">
        <v>33.116489410400391</v>
      </c>
      <c r="F70">
        <v>12.812743186950684</v>
      </c>
      <c r="G70">
        <v>9.7095193862915039</v>
      </c>
      <c r="H70">
        <v>3.2293844223022461</v>
      </c>
      <c r="I70">
        <v>2.4675378799438477</v>
      </c>
    </row>
    <row r="71" spans="1:9" x14ac:dyDescent="0.25">
      <c r="A71">
        <v>328</v>
      </c>
      <c r="B71">
        <v>19.252473831176758</v>
      </c>
      <c r="C71">
        <v>7.8671541213989258</v>
      </c>
      <c r="D71">
        <v>13.253836631774902</v>
      </c>
      <c r="E71">
        <v>30.710073471069336</v>
      </c>
      <c r="F71">
        <v>10.712218284606934</v>
      </c>
      <c r="G71">
        <v>8.9424037933349609</v>
      </c>
      <c r="H71">
        <v>2.8704953193664551</v>
      </c>
      <c r="I71">
        <v>2.4745876789093018</v>
      </c>
    </row>
    <row r="72" spans="1:9" x14ac:dyDescent="0.25">
      <c r="A72">
        <v>330</v>
      </c>
      <c r="B72">
        <v>20.711812973022461</v>
      </c>
      <c r="C72">
        <v>7.6893191337585449</v>
      </c>
      <c r="D72">
        <v>12.623771667480469</v>
      </c>
      <c r="E72">
        <v>28.315921783447266</v>
      </c>
      <c r="F72">
        <v>9.0529613494873047</v>
      </c>
      <c r="G72">
        <v>8.294102668762207</v>
      </c>
      <c r="H72">
        <v>2.630803108215332</v>
      </c>
      <c r="I72">
        <v>2.4630839824676514</v>
      </c>
    </row>
    <row r="73" spans="1:9" x14ac:dyDescent="0.25">
      <c r="A73">
        <v>332</v>
      </c>
      <c r="B73">
        <v>22.091739654541016</v>
      </c>
      <c r="C73">
        <v>7.5671906471252441</v>
      </c>
      <c r="D73">
        <v>12.500741004943848</v>
      </c>
      <c r="E73">
        <v>25.979316711425781</v>
      </c>
      <c r="F73">
        <v>7.8940324783325195</v>
      </c>
      <c r="G73">
        <v>7.7658901214599609</v>
      </c>
      <c r="H73">
        <v>2.4558515548706055</v>
      </c>
      <c r="I73">
        <v>2.460735559463501</v>
      </c>
    </row>
    <row r="74" spans="1:9" x14ac:dyDescent="0.25">
      <c r="A74">
        <v>334</v>
      </c>
      <c r="B74">
        <v>23.475191116333008</v>
      </c>
      <c r="C74">
        <v>7.3434720039367676</v>
      </c>
      <c r="D74">
        <v>12.551953315734863</v>
      </c>
      <c r="E74">
        <v>23.177223205566406</v>
      </c>
      <c r="F74">
        <v>6.871152400970459</v>
      </c>
      <c r="G74">
        <v>7.2762956619262695</v>
      </c>
      <c r="H74">
        <v>2.3218839168548584</v>
      </c>
      <c r="I74">
        <v>2.4600830078125</v>
      </c>
    </row>
    <row r="75" spans="1:9" x14ac:dyDescent="0.25">
      <c r="A75">
        <v>336</v>
      </c>
      <c r="B75">
        <v>24.906841278076172</v>
      </c>
      <c r="C75">
        <v>7.051633358001709</v>
      </c>
      <c r="D75">
        <v>12.782317161560059</v>
      </c>
      <c r="E75">
        <v>20.275344848632813</v>
      </c>
      <c r="F75">
        <v>6.0425601005554199</v>
      </c>
      <c r="G75">
        <v>6.7871432304382324</v>
      </c>
      <c r="H75">
        <v>2.2479329109191895</v>
      </c>
      <c r="I75">
        <v>2.4607996940612793</v>
      </c>
    </row>
    <row r="76" spans="1:9" x14ac:dyDescent="0.25">
      <c r="A76">
        <v>338</v>
      </c>
      <c r="B76">
        <v>26.293315887451172</v>
      </c>
      <c r="C76">
        <v>6.8410720825195313</v>
      </c>
      <c r="D76">
        <v>13.386332511901855</v>
      </c>
      <c r="E76">
        <v>17.729949951171875</v>
      </c>
      <c r="F76">
        <v>5.4493613243103027</v>
      </c>
      <c r="G76">
        <v>6.3019533157348633</v>
      </c>
      <c r="H76">
        <v>2.1950728893280029</v>
      </c>
      <c r="I76">
        <v>2.468944787979126</v>
      </c>
    </row>
    <row r="77" spans="1:9" x14ac:dyDescent="0.25">
      <c r="A77">
        <v>340</v>
      </c>
      <c r="B77">
        <v>27.556547164916992</v>
      </c>
      <c r="C77">
        <v>6.7356777191162109</v>
      </c>
      <c r="D77">
        <v>14.20925235748291</v>
      </c>
      <c r="E77">
        <v>15.311857223510742</v>
      </c>
      <c r="F77">
        <v>5.0000009536743164</v>
      </c>
      <c r="G77">
        <v>5.8617339134216309</v>
      </c>
      <c r="H77">
        <v>2.1566958427429199</v>
      </c>
      <c r="I77">
        <v>2.4633300304412842</v>
      </c>
    </row>
    <row r="78" spans="1:9" x14ac:dyDescent="0.25">
      <c r="A78">
        <v>342</v>
      </c>
      <c r="B78">
        <v>28.76228141784668</v>
      </c>
      <c r="C78">
        <v>6.7314033508300781</v>
      </c>
      <c r="D78">
        <v>15.180588722229004</v>
      </c>
      <c r="E78">
        <v>13.084535598754883</v>
      </c>
      <c r="F78">
        <v>4.6984925270080566</v>
      </c>
      <c r="G78">
        <v>5.4300746917724609</v>
      </c>
      <c r="H78">
        <v>2.1565587520599365</v>
      </c>
      <c r="I78">
        <v>2.4658684730529785</v>
      </c>
    </row>
    <row r="79" spans="1:9" x14ac:dyDescent="0.25">
      <c r="A79">
        <v>344</v>
      </c>
      <c r="B79">
        <v>29.821224212646484</v>
      </c>
      <c r="C79">
        <v>6.7260375022888184</v>
      </c>
      <c r="D79">
        <v>16.264986038208008</v>
      </c>
      <c r="E79">
        <v>11.221911430358887</v>
      </c>
      <c r="F79">
        <v>4.7182145118713379</v>
      </c>
      <c r="G79">
        <v>4.9945473670959473</v>
      </c>
      <c r="H79">
        <v>2.15413498878479</v>
      </c>
      <c r="I79">
        <v>2.4733397960662842</v>
      </c>
    </row>
    <row r="80" spans="1:9" x14ac:dyDescent="0.25">
      <c r="A80">
        <v>346</v>
      </c>
      <c r="B80">
        <v>30.763740539550781</v>
      </c>
      <c r="C80">
        <v>6.4589667320251465</v>
      </c>
      <c r="D80">
        <v>17.60468864440918</v>
      </c>
      <c r="E80">
        <v>9.8791103363037109</v>
      </c>
      <c r="F80">
        <v>4.7624492645263672</v>
      </c>
      <c r="G80">
        <v>4.579958438873291</v>
      </c>
      <c r="H80">
        <v>2.1417829990386963</v>
      </c>
      <c r="I80">
        <v>2.4843089580535889</v>
      </c>
    </row>
    <row r="81" spans="1:9" x14ac:dyDescent="0.25">
      <c r="A81">
        <v>348</v>
      </c>
      <c r="B81">
        <v>31.633968353271484</v>
      </c>
      <c r="C81">
        <v>6.1709175109863281</v>
      </c>
      <c r="D81">
        <v>18.892070770263672</v>
      </c>
      <c r="E81">
        <v>8.8580694198608398</v>
      </c>
      <c r="F81">
        <v>4.6904439926147461</v>
      </c>
      <c r="G81">
        <v>4.2089347839355469</v>
      </c>
      <c r="H81">
        <v>2.1256401538848877</v>
      </c>
      <c r="I81">
        <v>2.4882447719573975</v>
      </c>
    </row>
    <row r="82" spans="1:9" x14ac:dyDescent="0.25">
      <c r="A82">
        <v>350</v>
      </c>
      <c r="B82">
        <v>32.325607299804688</v>
      </c>
      <c r="C82">
        <v>6.0222773551940918</v>
      </c>
      <c r="D82">
        <v>20.185878753662109</v>
      </c>
      <c r="E82">
        <v>7.902928352355957</v>
      </c>
      <c r="F82">
        <v>4.6868834495544434</v>
      </c>
      <c r="G82">
        <v>3.9037373065948486</v>
      </c>
      <c r="H82">
        <v>2.1065020561218262</v>
      </c>
      <c r="I82">
        <v>2.4818408489227295</v>
      </c>
    </row>
    <row r="83" spans="1:9" x14ac:dyDescent="0.25">
      <c r="A83">
        <v>352</v>
      </c>
      <c r="B83">
        <v>32.820827484130859</v>
      </c>
      <c r="C83">
        <v>5.9711036682128906</v>
      </c>
      <c r="D83">
        <v>21.660703659057617</v>
      </c>
      <c r="E83">
        <v>7.2587652206420898</v>
      </c>
      <c r="F83">
        <v>4.8079571723937988</v>
      </c>
      <c r="G83">
        <v>3.6505439281463623</v>
      </c>
      <c r="H83">
        <v>2.1115598678588867</v>
      </c>
      <c r="I83">
        <v>2.4748518466949463</v>
      </c>
    </row>
    <row r="84" spans="1:9" x14ac:dyDescent="0.25">
      <c r="A84">
        <v>354</v>
      </c>
      <c r="B84">
        <v>33.162460327148438</v>
      </c>
      <c r="C84">
        <v>5.8469586372375488</v>
      </c>
      <c r="D84">
        <v>23.092353820800781</v>
      </c>
      <c r="E84">
        <v>6.8395099639892578</v>
      </c>
      <c r="F84">
        <v>4.8522782325744629</v>
      </c>
      <c r="G84">
        <v>3.4138040542602539</v>
      </c>
      <c r="H84">
        <v>2.1154880523681641</v>
      </c>
      <c r="I84">
        <v>2.4691433906555176</v>
      </c>
    </row>
    <row r="85" spans="1:9" x14ac:dyDescent="0.25">
      <c r="A85">
        <v>356</v>
      </c>
      <c r="B85">
        <v>33.112686157226563</v>
      </c>
      <c r="C85">
        <v>5.785947322845459</v>
      </c>
      <c r="D85">
        <v>25.189046859741211</v>
      </c>
      <c r="E85">
        <v>6.4712085723876953</v>
      </c>
      <c r="F85">
        <v>4.8369579315185547</v>
      </c>
      <c r="G85">
        <v>3.2085888385772705</v>
      </c>
      <c r="H85">
        <v>2.1245427131652832</v>
      </c>
      <c r="I85">
        <v>2.4784693717956543</v>
      </c>
    </row>
    <row r="86" spans="1:9" x14ac:dyDescent="0.25">
      <c r="A86">
        <v>358</v>
      </c>
      <c r="B86">
        <v>32.8577880859375</v>
      </c>
      <c r="C86">
        <v>5.6789159774780273</v>
      </c>
      <c r="D86">
        <v>27.10307502746582</v>
      </c>
      <c r="E86">
        <v>6.1511802673339844</v>
      </c>
      <c r="F86">
        <v>4.8108701705932617</v>
      </c>
      <c r="G86">
        <v>3.055804967880249</v>
      </c>
      <c r="H86">
        <v>2.125612735748291</v>
      </c>
      <c r="I86">
        <v>2.4833216667175293</v>
      </c>
    </row>
    <row r="87" spans="1:9" x14ac:dyDescent="0.25">
      <c r="A87">
        <v>360</v>
      </c>
      <c r="B87">
        <v>32.512336730957031</v>
      </c>
      <c r="C87">
        <v>5.5519213676452637</v>
      </c>
      <c r="D87">
        <v>28.767051696777344</v>
      </c>
      <c r="E87">
        <v>5.9894061088562012</v>
      </c>
      <c r="F87">
        <v>4.861513614654541</v>
      </c>
      <c r="G87">
        <v>2.9546749591827393</v>
      </c>
      <c r="H87">
        <v>2.1386826038360596</v>
      </c>
      <c r="I87">
        <v>2.4780693054199219</v>
      </c>
    </row>
    <row r="88" spans="1:9" x14ac:dyDescent="0.25">
      <c r="A88">
        <v>362</v>
      </c>
      <c r="B88">
        <v>31.948637008666992</v>
      </c>
      <c r="C88">
        <v>5.5792970657348633</v>
      </c>
      <c r="D88">
        <v>30.964111328125</v>
      </c>
      <c r="E88">
        <v>5.8842010498046875</v>
      </c>
      <c r="F88">
        <v>4.9736108779907227</v>
      </c>
      <c r="G88">
        <v>2.8412063121795654</v>
      </c>
      <c r="H88">
        <v>2.1152410507202148</v>
      </c>
      <c r="I88">
        <v>2.4757847785949707</v>
      </c>
    </row>
    <row r="89" spans="1:9" x14ac:dyDescent="0.25">
      <c r="A89">
        <v>364</v>
      </c>
      <c r="B89">
        <v>31.126008987426758</v>
      </c>
      <c r="C89">
        <v>5.5860424041748047</v>
      </c>
      <c r="D89">
        <v>32.839744567871094</v>
      </c>
      <c r="E89">
        <v>5.7669839859008789</v>
      </c>
      <c r="F89">
        <v>5.0524997711181641</v>
      </c>
      <c r="G89">
        <v>2.7391467094421387</v>
      </c>
      <c r="H89">
        <v>2.1103708744049072</v>
      </c>
      <c r="I89">
        <v>2.4746417999267578</v>
      </c>
    </row>
    <row r="90" spans="1:9" x14ac:dyDescent="0.25">
      <c r="A90">
        <v>366</v>
      </c>
      <c r="B90">
        <v>30.095897674560547</v>
      </c>
      <c r="C90">
        <v>5.5531339645385742</v>
      </c>
      <c r="D90">
        <v>34.685310363769531</v>
      </c>
      <c r="E90">
        <v>5.7522897720336914</v>
      </c>
      <c r="F90">
        <v>5.1083006858825684</v>
      </c>
      <c r="G90">
        <v>2.7012748718261719</v>
      </c>
      <c r="H90">
        <v>2.1440329551696777</v>
      </c>
      <c r="I90">
        <v>2.47845458984375</v>
      </c>
    </row>
    <row r="91" spans="1:9" x14ac:dyDescent="0.25">
      <c r="A91">
        <v>368</v>
      </c>
      <c r="B91">
        <v>29.028627395629883</v>
      </c>
      <c r="C91">
        <v>5.4842405319213867</v>
      </c>
      <c r="D91">
        <v>36.564426422119141</v>
      </c>
      <c r="E91">
        <v>6.1564598083496094</v>
      </c>
      <c r="F91">
        <v>5.2008481025695801</v>
      </c>
      <c r="G91">
        <v>2.6694722175598145</v>
      </c>
      <c r="H91">
        <v>2.1302132606506348</v>
      </c>
      <c r="I91">
        <v>2.4658882617950439</v>
      </c>
    </row>
    <row r="92" spans="1:9" x14ac:dyDescent="0.25">
      <c r="A92">
        <v>370</v>
      </c>
      <c r="B92">
        <v>27.845037460327148</v>
      </c>
      <c r="C92">
        <v>5.3542294502258301</v>
      </c>
      <c r="D92">
        <v>38.33282470703125</v>
      </c>
      <c r="E92">
        <v>6.3174242973327637</v>
      </c>
      <c r="F92">
        <v>5.4594383239746094</v>
      </c>
      <c r="G92">
        <v>2.6260251998901367</v>
      </c>
      <c r="H92">
        <v>2.1215291023254395</v>
      </c>
      <c r="I92">
        <v>2.4385659694671631</v>
      </c>
    </row>
    <row r="93" spans="1:9" x14ac:dyDescent="0.25">
      <c r="A93">
        <v>372</v>
      </c>
      <c r="B93">
        <v>26.353580474853516</v>
      </c>
      <c r="C93">
        <v>5.2840776443481445</v>
      </c>
      <c r="D93">
        <v>40.012310028076172</v>
      </c>
      <c r="E93">
        <v>6.5211014747619629</v>
      </c>
      <c r="F93">
        <v>5.6952199935913086</v>
      </c>
      <c r="G93">
        <v>2.5683193206787109</v>
      </c>
      <c r="H93">
        <v>2.1005706787109375</v>
      </c>
      <c r="I93">
        <v>2.4333250522613525</v>
      </c>
    </row>
    <row r="94" spans="1:9" x14ac:dyDescent="0.25">
      <c r="A94">
        <v>374</v>
      </c>
      <c r="B94">
        <v>24.820201873779297</v>
      </c>
      <c r="C94">
        <v>5.4290041923522949</v>
      </c>
      <c r="D94">
        <v>41.40496826171875</v>
      </c>
      <c r="E94">
        <v>6.7673802375793457</v>
      </c>
      <c r="F94">
        <v>5.6034059524536133</v>
      </c>
      <c r="G94">
        <v>2.4981284141540527</v>
      </c>
      <c r="H94">
        <v>2.079045295715332</v>
      </c>
      <c r="I94">
        <v>2.4431838989257813</v>
      </c>
    </row>
    <row r="95" spans="1:9" x14ac:dyDescent="0.25">
      <c r="A95">
        <v>376</v>
      </c>
      <c r="B95">
        <v>23.258893966674805</v>
      </c>
      <c r="C95">
        <v>5.5898318290710449</v>
      </c>
      <c r="D95">
        <v>42.928123474121094</v>
      </c>
      <c r="E95">
        <v>6.4954009056091309</v>
      </c>
      <c r="F95">
        <v>5.4028177261352539</v>
      </c>
      <c r="G95">
        <v>2.4971041679382324</v>
      </c>
      <c r="H95">
        <v>2.0969488620758057</v>
      </c>
      <c r="I95">
        <v>2.4484577178955078</v>
      </c>
    </row>
    <row r="96" spans="1:9" x14ac:dyDescent="0.25">
      <c r="A96">
        <v>378</v>
      </c>
      <c r="B96">
        <v>21.647005081176758</v>
      </c>
      <c r="C96">
        <v>5.6027770042419434</v>
      </c>
      <c r="D96">
        <v>44.247032165527344</v>
      </c>
      <c r="E96">
        <v>6.4653701782226563</v>
      </c>
      <c r="F96">
        <v>5.3306827545166016</v>
      </c>
      <c r="G96">
        <v>2.4957268238067627</v>
      </c>
      <c r="H96">
        <v>2.1270029544830322</v>
      </c>
      <c r="I96">
        <v>2.461143970489502</v>
      </c>
    </row>
    <row r="97" spans="1:9" x14ac:dyDescent="0.25">
      <c r="A97">
        <v>380</v>
      </c>
      <c r="B97">
        <v>20.066156387329102</v>
      </c>
      <c r="C97">
        <v>5.5009145736694336</v>
      </c>
      <c r="D97">
        <v>45.221851348876953</v>
      </c>
      <c r="E97">
        <v>6.9073929786682129</v>
      </c>
      <c r="F97">
        <v>5.6242504119873047</v>
      </c>
      <c r="G97">
        <v>2.4610257148742676</v>
      </c>
      <c r="H97">
        <v>2.1414401531219482</v>
      </c>
      <c r="I97">
        <v>2.4499647617340088</v>
      </c>
    </row>
    <row r="98" spans="1:9" x14ac:dyDescent="0.25">
      <c r="A98">
        <v>382</v>
      </c>
      <c r="B98">
        <v>18.347665786743164</v>
      </c>
      <c r="C98">
        <v>5.4948511123657227</v>
      </c>
      <c r="D98">
        <v>46.294914245605469</v>
      </c>
      <c r="E98">
        <v>7.2470879554748535</v>
      </c>
      <c r="F98">
        <v>5.9552559852600098</v>
      </c>
      <c r="G98">
        <v>2.4383137226104736</v>
      </c>
      <c r="H98">
        <v>2.1497676372528076</v>
      </c>
      <c r="I98">
        <v>2.4427132606506348</v>
      </c>
    </row>
    <row r="99" spans="1:9" x14ac:dyDescent="0.25">
      <c r="A99">
        <v>384</v>
      </c>
      <c r="B99">
        <v>16.8597412109375</v>
      </c>
      <c r="C99">
        <v>5.5272893905639648</v>
      </c>
      <c r="D99">
        <v>47.265174865722656</v>
      </c>
      <c r="E99">
        <v>7.310417652130127</v>
      </c>
      <c r="F99">
        <v>5.9107189178466797</v>
      </c>
      <c r="G99">
        <v>2.4457828998565674</v>
      </c>
      <c r="H99">
        <v>2.1500101089477539</v>
      </c>
      <c r="I99">
        <v>2.450127124786377</v>
      </c>
    </row>
    <row r="100" spans="1:9" x14ac:dyDescent="0.25">
      <c r="A100">
        <v>386</v>
      </c>
      <c r="B100">
        <v>15.396976470947266</v>
      </c>
      <c r="C100">
        <v>5.3658103942871094</v>
      </c>
      <c r="D100">
        <v>47.853237152099609</v>
      </c>
      <c r="E100">
        <v>7.6275968551635742</v>
      </c>
      <c r="F100">
        <v>6.1747250556945801</v>
      </c>
      <c r="G100">
        <v>2.4392578601837158</v>
      </c>
      <c r="H100">
        <v>2.0983023643493652</v>
      </c>
      <c r="I100">
        <v>2.4543678760528564</v>
      </c>
    </row>
    <row r="101" spans="1:9" x14ac:dyDescent="0.25">
      <c r="A101">
        <v>388</v>
      </c>
      <c r="B101">
        <v>13.97023868560791</v>
      </c>
      <c r="C101">
        <v>5.3075122833251953</v>
      </c>
      <c r="D101">
        <v>48.05084228515625</v>
      </c>
      <c r="E101">
        <v>8.1538724899291992</v>
      </c>
      <c r="F101">
        <v>6.2882680892944336</v>
      </c>
      <c r="G101">
        <v>2.4400153160095215</v>
      </c>
      <c r="H101">
        <v>2.0679922103881836</v>
      </c>
      <c r="I101">
        <v>2.4575953483581543</v>
      </c>
    </row>
    <row r="102" spans="1:9" x14ac:dyDescent="0.25">
      <c r="A102">
        <v>390</v>
      </c>
      <c r="B102">
        <v>12.535508155822754</v>
      </c>
      <c r="C102">
        <v>5.320366382598877</v>
      </c>
      <c r="D102">
        <v>47.233142852783203</v>
      </c>
      <c r="E102">
        <v>8.4685373306274414</v>
      </c>
      <c r="F102">
        <v>6.3853468894958496</v>
      </c>
      <c r="G102">
        <v>2.4301385879516602</v>
      </c>
      <c r="H102">
        <v>2.0977811813354492</v>
      </c>
      <c r="I102">
        <v>2.4560079574584961</v>
      </c>
    </row>
    <row r="103" spans="1:9" x14ac:dyDescent="0.25">
      <c r="A103">
        <v>392</v>
      </c>
      <c r="B103">
        <v>11.234574317932129</v>
      </c>
      <c r="C103">
        <v>5.0089883804321289</v>
      </c>
      <c r="D103">
        <v>46.186573028564453</v>
      </c>
      <c r="E103">
        <v>8.6151704788208008</v>
      </c>
      <c r="F103">
        <v>6.6926169395446777</v>
      </c>
      <c r="G103">
        <v>2.3866281509399414</v>
      </c>
      <c r="H103">
        <v>2.0707542896270752</v>
      </c>
      <c r="I103">
        <v>2.4566457271575928</v>
      </c>
    </row>
    <row r="104" spans="1:9" x14ac:dyDescent="0.25">
      <c r="A104">
        <v>394</v>
      </c>
      <c r="B104">
        <v>10.132328033447266</v>
      </c>
      <c r="C104">
        <v>5.1249632835388184</v>
      </c>
      <c r="D104">
        <v>45.296928405761719</v>
      </c>
      <c r="E104">
        <v>8.7582006454467773</v>
      </c>
      <c r="F104">
        <v>6.7567248344421387</v>
      </c>
      <c r="G104">
        <v>2.3841862678527832</v>
      </c>
      <c r="H104">
        <v>2.0651066303253174</v>
      </c>
      <c r="I104">
        <v>2.4551632404327393</v>
      </c>
    </row>
    <row r="105" spans="1:9" x14ac:dyDescent="0.25">
      <c r="A105">
        <v>396</v>
      </c>
      <c r="B105">
        <v>9.0198383331298828</v>
      </c>
      <c r="C105">
        <v>5.4806480407714844</v>
      </c>
      <c r="D105">
        <v>44.235195159912109</v>
      </c>
      <c r="E105">
        <v>9.291041374206543</v>
      </c>
      <c r="F105">
        <v>6.8733320236206055</v>
      </c>
      <c r="G105">
        <v>2.4140865802764893</v>
      </c>
      <c r="H105">
        <v>2.111710786819458</v>
      </c>
      <c r="I105">
        <v>2.4658734798431396</v>
      </c>
    </row>
    <row r="106" spans="1:9" x14ac:dyDescent="0.25">
      <c r="A106">
        <v>398</v>
      </c>
      <c r="B106">
        <v>8.0537223815917969</v>
      </c>
      <c r="C106">
        <v>5.2520942687988281</v>
      </c>
      <c r="D106">
        <v>43.054828643798828</v>
      </c>
      <c r="E106">
        <v>9.6305685043334961</v>
      </c>
      <c r="F106">
        <v>7.1168169975280762</v>
      </c>
      <c r="G106">
        <v>2.4164910316467285</v>
      </c>
      <c r="H106">
        <v>2.1096572875976563</v>
      </c>
      <c r="I106">
        <v>2.4571425914764404</v>
      </c>
    </row>
    <row r="107" spans="1:9" x14ac:dyDescent="0.25">
      <c r="A107">
        <v>400</v>
      </c>
      <c r="B107">
        <v>7.2283434867858887</v>
      </c>
      <c r="C107">
        <v>5.1211433410644531</v>
      </c>
      <c r="D107">
        <v>41.309154510498047</v>
      </c>
      <c r="E107">
        <v>10.003842353820801</v>
      </c>
      <c r="F107">
        <v>7.439363956451416</v>
      </c>
      <c r="G107">
        <v>2.3944017887115479</v>
      </c>
      <c r="H107">
        <v>2.1106634140014648</v>
      </c>
      <c r="I107">
        <v>2.4451026916503906</v>
      </c>
    </row>
    <row r="108" spans="1:9" x14ac:dyDescent="0.25">
      <c r="A108">
        <v>402</v>
      </c>
      <c r="B108">
        <v>6.4771528244018555</v>
      </c>
      <c r="C108">
        <v>5.2272653579711914</v>
      </c>
      <c r="D108">
        <v>39.733489990234375</v>
      </c>
      <c r="E108">
        <v>10.697256088256836</v>
      </c>
      <c r="F108">
        <v>7.8718938827514648</v>
      </c>
      <c r="G108">
        <v>2.3962554931640625</v>
      </c>
      <c r="H108">
        <v>2.1058754920959473</v>
      </c>
      <c r="I108">
        <v>2.4649894237518311</v>
      </c>
    </row>
    <row r="109" spans="1:9" x14ac:dyDescent="0.25">
      <c r="A109">
        <v>404</v>
      </c>
      <c r="B109">
        <v>5.8789968490600586</v>
      </c>
      <c r="C109">
        <v>5.4484372138977051</v>
      </c>
      <c r="D109">
        <v>38.393280029296875</v>
      </c>
      <c r="E109">
        <v>10.977532386779785</v>
      </c>
      <c r="F109">
        <v>7.9560909271240234</v>
      </c>
      <c r="G109">
        <v>2.3872194290161133</v>
      </c>
      <c r="H109">
        <v>2.1340179443359375</v>
      </c>
      <c r="I109">
        <v>2.4705600738525391</v>
      </c>
    </row>
    <row r="110" spans="1:9" x14ac:dyDescent="0.25">
      <c r="A110">
        <v>406</v>
      </c>
      <c r="B110">
        <v>5.3575015068054199</v>
      </c>
      <c r="C110">
        <v>5.4603662490844727</v>
      </c>
      <c r="D110">
        <v>36.690719604492188</v>
      </c>
      <c r="E110">
        <v>11.214872360229492</v>
      </c>
      <c r="F110">
        <v>7.9701809883117676</v>
      </c>
      <c r="G110">
        <v>2.3791415691375732</v>
      </c>
      <c r="H110">
        <v>2.1346490383148193</v>
      </c>
      <c r="I110">
        <v>2.4623672962188721</v>
      </c>
    </row>
    <row r="111" spans="1:9" x14ac:dyDescent="0.25">
      <c r="A111">
        <v>408</v>
      </c>
      <c r="B111">
        <v>4.9361257553100586</v>
      </c>
      <c r="C111">
        <v>5.3175621032714844</v>
      </c>
      <c r="D111">
        <v>34.403354644775391</v>
      </c>
      <c r="E111">
        <v>11.678125381469727</v>
      </c>
      <c r="F111">
        <v>8.3324317932128906</v>
      </c>
      <c r="G111">
        <v>2.363832950592041</v>
      </c>
      <c r="H111">
        <v>2.1030080318450928</v>
      </c>
      <c r="I111">
        <v>2.4661407470703125</v>
      </c>
    </row>
    <row r="112" spans="1:9" x14ac:dyDescent="0.25">
      <c r="A112">
        <v>410</v>
      </c>
      <c r="B112">
        <v>4.6515121459960938</v>
      </c>
      <c r="C112">
        <v>5.2659335136413574</v>
      </c>
      <c r="D112">
        <v>31.666753768920898</v>
      </c>
      <c r="E112">
        <v>12.143670082092285</v>
      </c>
      <c r="F112">
        <v>8.7926025390625</v>
      </c>
      <c r="G112">
        <v>2.35791015625</v>
      </c>
      <c r="H112">
        <v>2.105276346206665</v>
      </c>
      <c r="I112">
        <v>2.4573099613189697</v>
      </c>
    </row>
    <row r="113" spans="1:9" x14ac:dyDescent="0.25">
      <c r="A113">
        <v>412</v>
      </c>
      <c r="B113">
        <v>4.342503547668457</v>
      </c>
      <c r="C113">
        <v>5.1914920806884766</v>
      </c>
      <c r="D113">
        <v>28.964908599853516</v>
      </c>
      <c r="E113">
        <v>12.493477821350098</v>
      </c>
      <c r="F113">
        <v>9.3179817199707031</v>
      </c>
      <c r="G113">
        <v>2.3721458911895752</v>
      </c>
      <c r="H113">
        <v>2.1173675060272217</v>
      </c>
      <c r="I113">
        <v>2.4464964866638184</v>
      </c>
    </row>
    <row r="114" spans="1:9" x14ac:dyDescent="0.25">
      <c r="A114">
        <v>414</v>
      </c>
      <c r="B114">
        <v>4.1015143394470215</v>
      </c>
      <c r="C114">
        <v>5.3635063171386719</v>
      </c>
      <c r="D114">
        <v>25.904571533203125</v>
      </c>
      <c r="E114">
        <v>13.22957706451416</v>
      </c>
      <c r="F114">
        <v>9.6485767364501953</v>
      </c>
      <c r="G114">
        <v>2.3705015182495117</v>
      </c>
      <c r="H114">
        <v>2.0948224067687988</v>
      </c>
      <c r="I114">
        <v>2.447232723236084</v>
      </c>
    </row>
    <row r="115" spans="1:9" x14ac:dyDescent="0.25">
      <c r="A115">
        <v>416</v>
      </c>
      <c r="B115">
        <v>3.9109835624694824</v>
      </c>
      <c r="C115">
        <v>5.3884563446044922</v>
      </c>
      <c r="D115">
        <v>22.503944396972656</v>
      </c>
      <c r="E115">
        <v>13.947434425354004</v>
      </c>
      <c r="F115">
        <v>9.8804969787597656</v>
      </c>
      <c r="G115">
        <v>2.3364665508270264</v>
      </c>
      <c r="H115">
        <v>2.0719113349914551</v>
      </c>
      <c r="I115">
        <v>2.4522311687469482</v>
      </c>
    </row>
    <row r="116" spans="1:9" x14ac:dyDescent="0.25">
      <c r="A116">
        <v>418</v>
      </c>
      <c r="B116">
        <v>3.7934994697570801</v>
      </c>
      <c r="C116">
        <v>5.2750740051269531</v>
      </c>
      <c r="D116">
        <v>18.72950553894043</v>
      </c>
      <c r="E116">
        <v>14.166922569274902</v>
      </c>
      <c r="F116">
        <v>10.398366928100586</v>
      </c>
      <c r="G116">
        <v>2.3033351898193359</v>
      </c>
      <c r="H116">
        <v>2.1074211597442627</v>
      </c>
      <c r="I116">
        <v>2.4695205688476563</v>
      </c>
    </row>
    <row r="117" spans="1:9" x14ac:dyDescent="0.25">
      <c r="A117">
        <v>420</v>
      </c>
      <c r="B117">
        <v>3.748971700668335</v>
      </c>
      <c r="C117">
        <v>5.2059531211853027</v>
      </c>
      <c r="D117">
        <v>15.239524841308594</v>
      </c>
      <c r="E117">
        <v>14.661938667297363</v>
      </c>
      <c r="F117">
        <v>10.835514068603516</v>
      </c>
      <c r="G117">
        <v>2.3007268905639648</v>
      </c>
      <c r="H117">
        <v>2.1267788410186768</v>
      </c>
      <c r="I117">
        <v>2.4746696949005127</v>
      </c>
    </row>
    <row r="118" spans="1:9" x14ac:dyDescent="0.25">
      <c r="A118">
        <v>422</v>
      </c>
      <c r="B118">
        <v>3.699425220489502</v>
      </c>
      <c r="C118">
        <v>5.2174577713012695</v>
      </c>
      <c r="D118">
        <v>12.864517211914063</v>
      </c>
      <c r="E118">
        <v>15.486621856689453</v>
      </c>
      <c r="F118">
        <v>11.153313636779785</v>
      </c>
      <c r="G118">
        <v>2.3187587261199951</v>
      </c>
      <c r="H118">
        <v>2.1382160186767578</v>
      </c>
      <c r="I118">
        <v>2.4678444862365723</v>
      </c>
    </row>
    <row r="119" spans="1:9" x14ac:dyDescent="0.25">
      <c r="A119">
        <v>424</v>
      </c>
      <c r="B119">
        <v>3.6392333507537842</v>
      </c>
      <c r="C119">
        <v>5.2548527717590332</v>
      </c>
      <c r="D119">
        <v>10.954793930053711</v>
      </c>
      <c r="E119">
        <v>16.311807632446289</v>
      </c>
      <c r="F119">
        <v>11.662833213806152</v>
      </c>
      <c r="G119">
        <v>2.3264575004577637</v>
      </c>
      <c r="H119">
        <v>2.1267697811126709</v>
      </c>
      <c r="I119">
        <v>2.4597237110137939</v>
      </c>
    </row>
    <row r="120" spans="1:9" x14ac:dyDescent="0.25">
      <c r="A120">
        <v>426</v>
      </c>
      <c r="B120">
        <v>3.5926685333251953</v>
      </c>
      <c r="C120">
        <v>5.2096819877624512</v>
      </c>
      <c r="D120">
        <v>9.0110445022583008</v>
      </c>
      <c r="E120">
        <v>16.606832504272461</v>
      </c>
      <c r="F120">
        <v>12.02208423614502</v>
      </c>
      <c r="G120">
        <v>2.2909677028656006</v>
      </c>
      <c r="H120">
        <v>2.0718884468078613</v>
      </c>
      <c r="I120">
        <v>2.4669589996337891</v>
      </c>
    </row>
    <row r="121" spans="1:9" x14ac:dyDescent="0.25">
      <c r="A121">
        <v>428</v>
      </c>
      <c r="B121">
        <v>3.5783760547637939</v>
      </c>
      <c r="C121">
        <v>5.5025515556335449</v>
      </c>
      <c r="D121">
        <v>7.521090030670166</v>
      </c>
      <c r="E121">
        <v>17.241945266723633</v>
      </c>
      <c r="F121">
        <v>12.588591575622559</v>
      </c>
      <c r="G121">
        <v>2.2745082378387451</v>
      </c>
      <c r="H121">
        <v>2.0489089488983154</v>
      </c>
      <c r="I121">
        <v>2.4686415195465088</v>
      </c>
    </row>
    <row r="122" spans="1:9" x14ac:dyDescent="0.25">
      <c r="A122">
        <v>430</v>
      </c>
      <c r="B122">
        <v>3.6042253971099854</v>
      </c>
      <c r="C122">
        <v>5.5028395652770996</v>
      </c>
      <c r="D122">
        <v>6.187401294708252</v>
      </c>
      <c r="E122">
        <v>18.049642562866211</v>
      </c>
      <c r="F122">
        <v>13.375602722167969</v>
      </c>
      <c r="G122">
        <v>2.2822701930999756</v>
      </c>
      <c r="H122">
        <v>2.1171433925628662</v>
      </c>
      <c r="I122">
        <v>2.4489235877990723</v>
      </c>
    </row>
    <row r="123" spans="1:9" x14ac:dyDescent="0.25">
      <c r="A123">
        <v>432</v>
      </c>
      <c r="B123">
        <v>3.628021240234375</v>
      </c>
      <c r="C123">
        <v>4.9969682693481445</v>
      </c>
      <c r="D123">
        <v>5.2695250511169434</v>
      </c>
      <c r="E123">
        <v>18.559158325195313</v>
      </c>
      <c r="F123">
        <v>13.93287467956543</v>
      </c>
      <c r="G123">
        <v>2.2687575817108154</v>
      </c>
      <c r="H123">
        <v>2.1612231731414795</v>
      </c>
      <c r="I123">
        <v>2.4448337554931641</v>
      </c>
    </row>
    <row r="124" spans="1:9" x14ac:dyDescent="0.25">
      <c r="A124">
        <v>434</v>
      </c>
      <c r="B124">
        <v>3.6285140514373779</v>
      </c>
      <c r="C124">
        <v>4.8290467262268066</v>
      </c>
      <c r="D124">
        <v>4.8239598274230957</v>
      </c>
      <c r="E124">
        <v>19.217653274536133</v>
      </c>
      <c r="F124">
        <v>14.757086753845215</v>
      </c>
      <c r="G124">
        <v>2.2651019096374512</v>
      </c>
      <c r="H124">
        <v>2.1083860397338867</v>
      </c>
      <c r="I124">
        <v>2.4513359069824219</v>
      </c>
    </row>
    <row r="125" spans="1:9" x14ac:dyDescent="0.25">
      <c r="A125">
        <v>436</v>
      </c>
      <c r="B125">
        <v>3.6448516845703125</v>
      </c>
      <c r="C125">
        <v>4.932652473449707</v>
      </c>
      <c r="D125">
        <v>4.2151017189025879</v>
      </c>
      <c r="E125">
        <v>19.546285629272461</v>
      </c>
      <c r="F125">
        <v>15.16913890838623</v>
      </c>
      <c r="G125">
        <v>2.2828755378723145</v>
      </c>
      <c r="H125">
        <v>2.107311487197876</v>
      </c>
      <c r="I125">
        <v>2.4670853614807129</v>
      </c>
    </row>
    <row r="126" spans="1:9" x14ac:dyDescent="0.25">
      <c r="A126">
        <v>438</v>
      </c>
      <c r="B126">
        <v>3.5478613376617432</v>
      </c>
      <c r="C126">
        <v>4.9186916351318359</v>
      </c>
      <c r="D126">
        <v>3.9389698505401611</v>
      </c>
      <c r="E126">
        <v>20.044597625732422</v>
      </c>
      <c r="F126">
        <v>15.710917472839355</v>
      </c>
      <c r="G126">
        <v>2.2854812145233154</v>
      </c>
      <c r="H126">
        <v>2.1048877239227295</v>
      </c>
      <c r="I126">
        <v>2.4756176471710205</v>
      </c>
    </row>
    <row r="127" spans="1:9" x14ac:dyDescent="0.25">
      <c r="A127">
        <v>440</v>
      </c>
      <c r="B127">
        <v>3.5135271549224854</v>
      </c>
      <c r="C127">
        <v>5.1507015228271484</v>
      </c>
      <c r="D127">
        <v>3.9389381408691406</v>
      </c>
      <c r="E127">
        <v>20.850898742675781</v>
      </c>
      <c r="F127">
        <v>16.346603393554688</v>
      </c>
      <c r="G127">
        <v>2.240980863571167</v>
      </c>
      <c r="H127">
        <v>2.1075811386108398</v>
      </c>
      <c r="I127">
        <v>2.4651141166687012</v>
      </c>
    </row>
    <row r="128" spans="1:9" x14ac:dyDescent="0.25">
      <c r="A128">
        <v>442</v>
      </c>
      <c r="B128">
        <v>3.669813871383667</v>
      </c>
      <c r="C128">
        <v>5.3302946090698242</v>
      </c>
      <c r="D128">
        <v>3.7757089138031006</v>
      </c>
      <c r="E128">
        <v>21.666753768920898</v>
      </c>
      <c r="F128">
        <v>16.739883422851563</v>
      </c>
      <c r="G128">
        <v>2.2259876728057861</v>
      </c>
      <c r="H128">
        <v>2.0941455364227295</v>
      </c>
      <c r="I128">
        <v>2.4489383697509766</v>
      </c>
    </row>
    <row r="129" spans="1:9" x14ac:dyDescent="0.25">
      <c r="A129">
        <v>444</v>
      </c>
      <c r="B129">
        <v>3.6649265289306641</v>
      </c>
      <c r="C129">
        <v>5.2530341148376465</v>
      </c>
      <c r="D129">
        <v>3.5966851711273193</v>
      </c>
      <c r="E129">
        <v>22.511661529541016</v>
      </c>
      <c r="F129">
        <v>17.46876335144043</v>
      </c>
      <c r="G129">
        <v>2.2364842891693115</v>
      </c>
      <c r="H129">
        <v>2.0654220581054688</v>
      </c>
      <c r="I129">
        <v>2.4515554904937744</v>
      </c>
    </row>
    <row r="130" spans="1:9" x14ac:dyDescent="0.25">
      <c r="A130">
        <v>446</v>
      </c>
      <c r="B130">
        <v>3.4720301628112793</v>
      </c>
      <c r="C130">
        <v>4.9531764984130859</v>
      </c>
      <c r="D130">
        <v>3.6744539737701416</v>
      </c>
      <c r="E130">
        <v>22.764225006103516</v>
      </c>
      <c r="F130">
        <v>18.022432327270508</v>
      </c>
      <c r="G130">
        <v>2.2257580757141113</v>
      </c>
      <c r="H130">
        <v>2.067690372467041</v>
      </c>
      <c r="I130">
        <v>2.4689302444458008</v>
      </c>
    </row>
    <row r="131" spans="1:9" x14ac:dyDescent="0.25">
      <c r="A131">
        <v>448</v>
      </c>
      <c r="B131">
        <v>3.4803261756896973</v>
      </c>
      <c r="C131">
        <v>4.8861775398254395</v>
      </c>
      <c r="D131">
        <v>3.8537626266479492</v>
      </c>
      <c r="E131">
        <v>23.416128158569336</v>
      </c>
      <c r="F131">
        <v>18.632266998291016</v>
      </c>
      <c r="G131">
        <v>2.1971204280853271</v>
      </c>
      <c r="H131">
        <v>2.04736328125</v>
      </c>
      <c r="I131">
        <v>2.4733331203460693</v>
      </c>
    </row>
    <row r="132" spans="1:9" x14ac:dyDescent="0.25">
      <c r="A132">
        <v>450</v>
      </c>
      <c r="B132">
        <v>3.5476806163787842</v>
      </c>
      <c r="C132">
        <v>5.0507035255432129</v>
      </c>
      <c r="D132">
        <v>4.2330169677734375</v>
      </c>
      <c r="E132">
        <v>24.662746429443359</v>
      </c>
      <c r="F132">
        <v>19.100032806396484</v>
      </c>
      <c r="G132">
        <v>2.1970689296722412</v>
      </c>
      <c r="H132">
        <v>2.0601403713226318</v>
      </c>
      <c r="I132">
        <v>2.4733726978302002</v>
      </c>
    </row>
    <row r="133" spans="1:9" x14ac:dyDescent="0.25">
      <c r="A133">
        <v>452</v>
      </c>
      <c r="B133">
        <v>3.4671182632446289</v>
      </c>
      <c r="C133">
        <v>5.0108833312988281</v>
      </c>
      <c r="D133">
        <v>4.1750936508178711</v>
      </c>
      <c r="E133">
        <v>25.45756721496582</v>
      </c>
      <c r="F133">
        <v>19.638423919677734</v>
      </c>
      <c r="G133">
        <v>2.2167623043060303</v>
      </c>
      <c r="H133">
        <v>2.0486025810241699</v>
      </c>
      <c r="I133">
        <v>2.4642908573150635</v>
      </c>
    </row>
    <row r="134" spans="1:9" x14ac:dyDescent="0.25">
      <c r="A134">
        <v>454</v>
      </c>
      <c r="B134">
        <v>3.4944541454315186</v>
      </c>
      <c r="C134">
        <v>4.8403396606445313</v>
      </c>
      <c r="D134">
        <v>3.5543346405029297</v>
      </c>
      <c r="E134">
        <v>26.087148666381836</v>
      </c>
      <c r="F134">
        <v>20.494377136230469</v>
      </c>
      <c r="G134">
        <v>2.2305989265441895</v>
      </c>
      <c r="H134">
        <v>2.0691399574279785</v>
      </c>
      <c r="I134">
        <v>2.4599206447601318</v>
      </c>
    </row>
    <row r="135" spans="1:9" x14ac:dyDescent="0.25">
      <c r="A135">
        <v>456</v>
      </c>
      <c r="B135">
        <v>3.6167681217193604</v>
      </c>
      <c r="C135">
        <v>4.998044490814209</v>
      </c>
      <c r="D135">
        <v>3.5522456169128418</v>
      </c>
      <c r="E135">
        <v>27.129671096801758</v>
      </c>
      <c r="F135">
        <v>21.150087356567383</v>
      </c>
      <c r="G135">
        <v>2.2234911918640137</v>
      </c>
      <c r="H135">
        <v>2.1193568706512451</v>
      </c>
      <c r="I135">
        <v>2.4638121128082275</v>
      </c>
    </row>
    <row r="136" spans="1:9" x14ac:dyDescent="0.25">
      <c r="A136">
        <v>458</v>
      </c>
      <c r="B136">
        <v>3.5783185958862305</v>
      </c>
      <c r="C136">
        <v>4.8866324424743652</v>
      </c>
      <c r="D136">
        <v>4.1929769515991211</v>
      </c>
      <c r="E136">
        <v>27.915048599243164</v>
      </c>
      <c r="F136">
        <v>21.824203491210938</v>
      </c>
      <c r="G136">
        <v>2.2428059577941895</v>
      </c>
      <c r="H136">
        <v>2.1053769588470459</v>
      </c>
      <c r="I136">
        <v>2.4576592445373535</v>
      </c>
    </row>
    <row r="137" spans="1:9" x14ac:dyDescent="0.25">
      <c r="A137">
        <v>460</v>
      </c>
      <c r="B137">
        <v>3.5085246562957764</v>
      </c>
      <c r="C137">
        <v>4.4674501419067383</v>
      </c>
      <c r="D137">
        <v>4.370734691619873</v>
      </c>
      <c r="E137">
        <v>28.297037124633789</v>
      </c>
      <c r="F137">
        <v>22.49650764465332</v>
      </c>
      <c r="G137">
        <v>2.2722010612487793</v>
      </c>
      <c r="H137">
        <v>2.1177060604095459</v>
      </c>
      <c r="I137">
        <v>2.4722590446472168</v>
      </c>
    </row>
    <row r="138" spans="1:9" x14ac:dyDescent="0.25">
      <c r="A138">
        <v>462</v>
      </c>
      <c r="B138">
        <v>2.5822622776031494</v>
      </c>
      <c r="C138">
        <v>5.8068351745605469</v>
      </c>
      <c r="D138">
        <v>5.6779623031616211</v>
      </c>
      <c r="E138">
        <v>30.633083343505859</v>
      </c>
      <c r="F138">
        <v>26.316425323486328</v>
      </c>
      <c r="G138">
        <v>2.1023035049438477</v>
      </c>
      <c r="H138">
        <v>2.4916632175445557</v>
      </c>
      <c r="I138">
        <v>2.7011215686798096</v>
      </c>
    </row>
    <row r="139" spans="1:9" x14ac:dyDescent="0.25">
      <c r="A139">
        <v>464</v>
      </c>
      <c r="B139">
        <v>2</v>
      </c>
      <c r="C139">
        <v>7.187995433807373</v>
      </c>
      <c r="D139">
        <v>6.2731146812438965</v>
      </c>
      <c r="E139">
        <v>31.658231735229492</v>
      </c>
      <c r="F139">
        <v>29.043596267700195</v>
      </c>
      <c r="G139">
        <v>2</v>
      </c>
      <c r="H139">
        <v>2.674818754196167</v>
      </c>
      <c r="I139">
        <v>2.8179011344909668</v>
      </c>
    </row>
    <row r="140" spans="1:9" x14ac:dyDescent="0.25">
      <c r="A140">
        <v>466</v>
      </c>
      <c r="B140">
        <v>2.909752368927002</v>
      </c>
      <c r="C140">
        <v>6.0203371047973633</v>
      </c>
      <c r="D140">
        <v>4.7907567024230957</v>
      </c>
      <c r="E140">
        <v>29.875585556030273</v>
      </c>
      <c r="F140">
        <v>26.275945663452148</v>
      </c>
      <c r="G140">
        <v>2.0902142524719238</v>
      </c>
      <c r="H140">
        <v>2.3070123195648193</v>
      </c>
      <c r="I140">
        <v>2.604511022567749</v>
      </c>
    </row>
    <row r="141" spans="1:9" x14ac:dyDescent="0.25">
      <c r="A141">
        <v>468</v>
      </c>
      <c r="B141">
        <v>3.5017235279083252</v>
      </c>
      <c r="C141">
        <v>4.8419313430786133</v>
      </c>
      <c r="D141">
        <v>3.8632898330688477</v>
      </c>
      <c r="E141">
        <v>29.093282699584961</v>
      </c>
      <c r="F141">
        <v>24.442836761474609</v>
      </c>
      <c r="G141">
        <v>2.16567063331604</v>
      </c>
      <c r="H141">
        <v>2.0879306793212891</v>
      </c>
      <c r="I141">
        <v>2.4591743946075439</v>
      </c>
    </row>
    <row r="142" spans="1:9" x14ac:dyDescent="0.25">
      <c r="A142">
        <v>470</v>
      </c>
      <c r="B142">
        <v>3.4009220600128174</v>
      </c>
      <c r="C142">
        <v>5.094510555267334</v>
      </c>
      <c r="D142">
        <v>3.8077723979949951</v>
      </c>
      <c r="E142">
        <v>29.169937133789063</v>
      </c>
      <c r="F142">
        <v>25.095136642456055</v>
      </c>
      <c r="G142">
        <v>2.1711916923522949</v>
      </c>
      <c r="H142">
        <v>2.1284847259521484</v>
      </c>
      <c r="I142">
        <v>2.4516048431396484</v>
      </c>
    </row>
    <row r="143" spans="1:9" x14ac:dyDescent="0.25">
      <c r="A143">
        <v>472</v>
      </c>
      <c r="B143">
        <v>3.5476148128509521</v>
      </c>
      <c r="C143">
        <v>5.396641731262207</v>
      </c>
      <c r="D143">
        <v>4.186678409576416</v>
      </c>
      <c r="E143">
        <v>28.668355941772461</v>
      </c>
      <c r="F143">
        <v>25.200523376464844</v>
      </c>
      <c r="G143">
        <v>2.0993049144744873</v>
      </c>
      <c r="H143">
        <v>2.1047368049621582</v>
      </c>
      <c r="I143">
        <v>2.443000316619873</v>
      </c>
    </row>
    <row r="144" spans="1:9" x14ac:dyDescent="0.25">
      <c r="A144">
        <v>474</v>
      </c>
      <c r="B144">
        <v>3.5990588665008545</v>
      </c>
      <c r="C144">
        <v>4.9155540466308594</v>
      </c>
      <c r="D144">
        <v>4.6434483528137207</v>
      </c>
      <c r="E144">
        <v>29.09001350402832</v>
      </c>
      <c r="F144">
        <v>25.24676513671875</v>
      </c>
      <c r="G144">
        <v>2.1145877838134766</v>
      </c>
      <c r="H144">
        <v>2.0877935886383057</v>
      </c>
      <c r="I144">
        <v>2.4453601837158203</v>
      </c>
    </row>
    <row r="145" spans="1:9" x14ac:dyDescent="0.25">
      <c r="A145">
        <v>476</v>
      </c>
      <c r="B145">
        <v>3.4844415187835693</v>
      </c>
      <c r="C145">
        <v>4.2813091278076172</v>
      </c>
      <c r="D145">
        <v>4.263181209564209</v>
      </c>
      <c r="E145">
        <v>30.172092437744141</v>
      </c>
      <c r="F145">
        <v>25.245491027832031</v>
      </c>
      <c r="G145">
        <v>2.1552114486694336</v>
      </c>
      <c r="H145">
        <v>2.0909168720245361</v>
      </c>
      <c r="I145">
        <v>2.4350583553314209</v>
      </c>
    </row>
    <row r="146" spans="1:9" x14ac:dyDescent="0.25">
      <c r="A146">
        <v>478</v>
      </c>
      <c r="B146">
        <v>3.4843592643737793</v>
      </c>
      <c r="C146">
        <v>4.7875895500183105</v>
      </c>
      <c r="D146">
        <v>3.783400297164917</v>
      </c>
      <c r="E146">
        <v>30.719572067260742</v>
      </c>
      <c r="F146">
        <v>25.289165496826172</v>
      </c>
      <c r="G146">
        <v>2.1437246799468994</v>
      </c>
      <c r="H146">
        <v>2.1168370246887207</v>
      </c>
      <c r="I146">
        <v>2.4377820491790771</v>
      </c>
    </row>
    <row r="147" spans="1:9" x14ac:dyDescent="0.25">
      <c r="A147">
        <v>480</v>
      </c>
      <c r="B147">
        <v>3.5332815647125244</v>
      </c>
      <c r="C147">
        <v>4.7487392425537109</v>
      </c>
      <c r="D147">
        <v>4.7004537582397461</v>
      </c>
      <c r="E147">
        <v>31.137430191040039</v>
      </c>
      <c r="F147">
        <v>25.347858428955078</v>
      </c>
      <c r="G147">
        <v>2.162198543548584</v>
      </c>
      <c r="H147">
        <v>2.1024410724639893</v>
      </c>
      <c r="I147">
        <v>2.4615161418914795</v>
      </c>
    </row>
    <row r="148" spans="1:9" x14ac:dyDescent="0.25">
      <c r="A148">
        <v>482</v>
      </c>
      <c r="B148">
        <v>3.5688726902008057</v>
      </c>
      <c r="C148">
        <v>2.3373434543609619</v>
      </c>
      <c r="D148">
        <v>4.7227368354797363</v>
      </c>
      <c r="E148">
        <v>33.267147064208984</v>
      </c>
      <c r="F148">
        <v>24.864749908447266</v>
      </c>
      <c r="G148">
        <v>2.2337009906768799</v>
      </c>
      <c r="H148">
        <v>2.1395149230957031</v>
      </c>
      <c r="I148">
        <v>2.4505486488342285</v>
      </c>
    </row>
    <row r="149" spans="1:9" x14ac:dyDescent="0.25">
      <c r="A149">
        <v>484</v>
      </c>
      <c r="B149">
        <v>3.5886929035186768</v>
      </c>
      <c r="C149">
        <v>2</v>
      </c>
      <c r="D149">
        <v>5.0843291282653809</v>
      </c>
      <c r="E149">
        <v>33.924411773681641</v>
      </c>
      <c r="F149">
        <v>25.480001449584961</v>
      </c>
      <c r="G149">
        <v>2.1820297241210938</v>
      </c>
      <c r="H149">
        <v>2.1398532390594482</v>
      </c>
      <c r="I149">
        <v>2.4746108055114746</v>
      </c>
    </row>
    <row r="150" spans="1:9" x14ac:dyDescent="0.25">
      <c r="A150">
        <v>486</v>
      </c>
      <c r="B150">
        <v>3.5631721019744873</v>
      </c>
      <c r="C150">
        <v>3.0491828918457031</v>
      </c>
      <c r="D150">
        <v>6.7721085548400879</v>
      </c>
      <c r="E150">
        <v>32.469924926757813</v>
      </c>
      <c r="F150">
        <v>26.128934860229492</v>
      </c>
      <c r="G150">
        <v>2.1772923469543457</v>
      </c>
      <c r="H150">
        <v>2.0689435005187988</v>
      </c>
      <c r="I150">
        <v>2.5638303756713867</v>
      </c>
    </row>
    <row r="151" spans="1:9" x14ac:dyDescent="0.25">
      <c r="A151">
        <v>488</v>
      </c>
      <c r="B151">
        <v>3.5528390407562256</v>
      </c>
      <c r="C151">
        <v>3.7696473598480225</v>
      </c>
      <c r="D151">
        <v>6.8150606155395508</v>
      </c>
      <c r="E151">
        <v>32.855796813964844</v>
      </c>
      <c r="F151">
        <v>26.400730133056641</v>
      </c>
      <c r="G151">
        <v>2.2063860893249512</v>
      </c>
      <c r="H151">
        <v>2.0577166080474854</v>
      </c>
      <c r="I151">
        <v>2.554645299911499</v>
      </c>
    </row>
    <row r="152" spans="1:9" x14ac:dyDescent="0.25">
      <c r="A152">
        <v>490</v>
      </c>
      <c r="B152">
        <v>3.5854401588439941</v>
      </c>
      <c r="C152">
        <v>4.9714117050170898</v>
      </c>
      <c r="D152">
        <v>4.5283932685852051</v>
      </c>
      <c r="E152">
        <v>34.571369171142578</v>
      </c>
      <c r="F152">
        <v>26.991641998291016</v>
      </c>
      <c r="G152">
        <v>2.1428983211517334</v>
      </c>
      <c r="H152">
        <v>2.073676586151123</v>
      </c>
      <c r="I152">
        <v>2.4355928897857666</v>
      </c>
    </row>
    <row r="153" spans="1:9" x14ac:dyDescent="0.25">
      <c r="A153">
        <v>492</v>
      </c>
      <c r="B153">
        <v>3.5607655048370361</v>
      </c>
      <c r="C153">
        <v>5.3522439002990723</v>
      </c>
      <c r="D153">
        <v>4.1567039489746094</v>
      </c>
      <c r="E153">
        <v>34.030593872070313</v>
      </c>
      <c r="F153">
        <v>26.923822402954102</v>
      </c>
      <c r="G153">
        <v>2.1304905414581299</v>
      </c>
      <c r="H153">
        <v>2.129399299621582</v>
      </c>
      <c r="I153">
        <v>2.4495794773101807</v>
      </c>
    </row>
    <row r="154" spans="1:9" x14ac:dyDescent="0.25">
      <c r="A154">
        <v>494</v>
      </c>
      <c r="B154">
        <v>3.5343329906463623</v>
      </c>
      <c r="C154">
        <v>5.080716609954834</v>
      </c>
      <c r="D154">
        <v>4.0189542770385742</v>
      </c>
      <c r="E154">
        <v>33.368495941162109</v>
      </c>
      <c r="F154">
        <v>27.34135627746582</v>
      </c>
      <c r="G154">
        <v>2.1765232086181641</v>
      </c>
      <c r="H154">
        <v>2.2076945304870605</v>
      </c>
      <c r="I154">
        <v>2.4359912872314453</v>
      </c>
    </row>
    <row r="155" spans="1:9" x14ac:dyDescent="0.25">
      <c r="A155">
        <v>496</v>
      </c>
      <c r="B155">
        <v>3.5087957382202148</v>
      </c>
      <c r="C155">
        <v>4.7770543098449707</v>
      </c>
      <c r="D155">
        <v>4.1426506042480469</v>
      </c>
      <c r="E155">
        <v>32.361618041992188</v>
      </c>
      <c r="F155">
        <v>27.689968109130859</v>
      </c>
      <c r="G155">
        <v>2.1757054328918457</v>
      </c>
      <c r="H155">
        <v>2.1541669368743896</v>
      </c>
      <c r="I155">
        <v>2.4454913139343262</v>
      </c>
    </row>
    <row r="156" spans="1:9" x14ac:dyDescent="0.25">
      <c r="A156">
        <v>498</v>
      </c>
      <c r="B156">
        <v>3.6058683395385742</v>
      </c>
      <c r="C156">
        <v>4.807370662689209</v>
      </c>
      <c r="D156">
        <v>3.9983172416687012</v>
      </c>
      <c r="E156">
        <v>30.906291961669922</v>
      </c>
      <c r="F156">
        <v>27.592910766601563</v>
      </c>
      <c r="G156">
        <v>2.1500635147094727</v>
      </c>
      <c r="H156">
        <v>2.0958559513092041</v>
      </c>
      <c r="I156">
        <v>2.4793188571929932</v>
      </c>
    </row>
    <row r="157" spans="1:9" x14ac:dyDescent="0.25">
      <c r="A157">
        <v>500</v>
      </c>
      <c r="B157">
        <v>3.6081929206848145</v>
      </c>
      <c r="C157">
        <v>4.6307182312011719</v>
      </c>
      <c r="D157">
        <v>4.8427610397338867</v>
      </c>
      <c r="E157">
        <v>29.211729049682617</v>
      </c>
      <c r="F157">
        <v>27.720783233642578</v>
      </c>
      <c r="G157">
        <v>2.1713724136352539</v>
      </c>
      <c r="H157">
        <v>2.1537141799926758</v>
      </c>
      <c r="I157">
        <v>2.4667129516601563</v>
      </c>
    </row>
    <row r="158" spans="1:9" x14ac:dyDescent="0.25">
      <c r="A158">
        <v>502</v>
      </c>
      <c r="B158">
        <v>3.4921624660491943</v>
      </c>
      <c r="C158">
        <v>4.8312597274780273</v>
      </c>
      <c r="D158">
        <v>5.3849596977233887</v>
      </c>
      <c r="E158">
        <v>28.004720687866211</v>
      </c>
      <c r="F158">
        <v>27.347139358520508</v>
      </c>
      <c r="G158">
        <v>2.111663818359375</v>
      </c>
      <c r="H158">
        <v>2.1356141567230225</v>
      </c>
      <c r="I158">
        <v>2.4450106620788574</v>
      </c>
    </row>
    <row r="159" spans="1:9" x14ac:dyDescent="0.25">
      <c r="A159">
        <v>504</v>
      </c>
      <c r="B159">
        <v>3.4141628742218018</v>
      </c>
      <c r="C159">
        <v>5.3820595741271973</v>
      </c>
      <c r="D159">
        <v>4.377476692199707</v>
      </c>
      <c r="E159">
        <v>26.318759918212891</v>
      </c>
      <c r="F159">
        <v>26.322597503662109</v>
      </c>
      <c r="G159">
        <v>2.1272680759429932</v>
      </c>
      <c r="H159">
        <v>2.069277286529541</v>
      </c>
      <c r="I159">
        <v>2.4596483707427979</v>
      </c>
    </row>
    <row r="160" spans="1:9" x14ac:dyDescent="0.25">
      <c r="A160">
        <v>506</v>
      </c>
      <c r="B160">
        <v>3.4344103336334229</v>
      </c>
      <c r="C160">
        <v>4.8537392616271973</v>
      </c>
      <c r="D160">
        <v>4.6330032348632813</v>
      </c>
      <c r="E160">
        <v>25.066162109375</v>
      </c>
      <c r="F160">
        <v>25.467550277709961</v>
      </c>
      <c r="G160">
        <v>2.168973445892334</v>
      </c>
      <c r="H160">
        <v>2.0771932601928711</v>
      </c>
      <c r="I160">
        <v>2.4588825702667236</v>
      </c>
    </row>
    <row r="161" spans="1:9" x14ac:dyDescent="0.25">
      <c r="A161">
        <v>508</v>
      </c>
      <c r="B161">
        <v>3.5541696548461914</v>
      </c>
      <c r="C161">
        <v>4.6017966270446777</v>
      </c>
      <c r="D161">
        <v>4.7738547325134277</v>
      </c>
      <c r="E161">
        <v>24.719261169433594</v>
      </c>
      <c r="F161">
        <v>24.618587493896484</v>
      </c>
      <c r="G161">
        <v>2.1610679626464844</v>
      </c>
      <c r="H161">
        <v>2.0787708759307861</v>
      </c>
      <c r="I161">
        <v>2.4404075145721436</v>
      </c>
    </row>
    <row r="162" spans="1:9" x14ac:dyDescent="0.25">
      <c r="A162">
        <v>510</v>
      </c>
      <c r="B162">
        <v>3.6238486766815186</v>
      </c>
      <c r="C162">
        <v>4.983189582824707</v>
      </c>
      <c r="D162">
        <v>4.0644068717956543</v>
      </c>
      <c r="E162">
        <v>23.524824142456055</v>
      </c>
      <c r="F162">
        <v>22.989864349365234</v>
      </c>
      <c r="G162">
        <v>2.1885120868682861</v>
      </c>
      <c r="H162">
        <v>2.1349508762359619</v>
      </c>
      <c r="I162">
        <v>2.4523279666900635</v>
      </c>
    </row>
    <row r="163" spans="1:9" x14ac:dyDescent="0.25">
      <c r="A163">
        <v>512</v>
      </c>
      <c r="B163">
        <v>3.6684832572937012</v>
      </c>
      <c r="C163">
        <v>4.6273226737976074</v>
      </c>
      <c r="D163">
        <v>3.9904043674468994</v>
      </c>
      <c r="E163">
        <v>23.047155380249023</v>
      </c>
      <c r="F163">
        <v>21.638978958129883</v>
      </c>
      <c r="G163">
        <v>2.1481208801269531</v>
      </c>
      <c r="H163">
        <v>2.2142798900604248</v>
      </c>
      <c r="I163">
        <v>2.4642481803894043</v>
      </c>
    </row>
    <row r="164" spans="1:9" x14ac:dyDescent="0.25">
      <c r="A164">
        <v>514</v>
      </c>
      <c r="B164">
        <v>3.5930874347686768</v>
      </c>
      <c r="C164">
        <v>4.8652896881103516</v>
      </c>
      <c r="D164">
        <v>3.9379253387451172</v>
      </c>
      <c r="E164">
        <v>23.090120315551758</v>
      </c>
      <c r="F164">
        <v>21.308210372924805</v>
      </c>
      <c r="G164">
        <v>2.1458711624145508</v>
      </c>
      <c r="H164">
        <v>2.1358473300933838</v>
      </c>
      <c r="I164">
        <v>2.4600682258605957</v>
      </c>
    </row>
    <row r="165" spans="1:9" x14ac:dyDescent="0.25">
      <c r="A165">
        <v>516</v>
      </c>
      <c r="B165">
        <v>3.416323184967041</v>
      </c>
      <c r="C165">
        <v>4.7222123146057129</v>
      </c>
      <c r="D165">
        <v>4.4540109634399414</v>
      </c>
      <c r="E165">
        <v>23.345703125</v>
      </c>
      <c r="F165">
        <v>20.755319595336914</v>
      </c>
      <c r="G165">
        <v>2.1870858669281006</v>
      </c>
      <c r="H165">
        <v>2.0961027145385742</v>
      </c>
      <c r="I165">
        <v>2.4690268039703369</v>
      </c>
    </row>
    <row r="166" spans="1:9" x14ac:dyDescent="0.25">
      <c r="A166">
        <v>518</v>
      </c>
      <c r="B166">
        <v>3.3692736625671387</v>
      </c>
      <c r="C166">
        <v>4.1615142822265625</v>
      </c>
      <c r="D166">
        <v>4.4762625694274902</v>
      </c>
      <c r="E166">
        <v>24.130577087402344</v>
      </c>
      <c r="F166">
        <v>19.866588592529297</v>
      </c>
      <c r="G166">
        <v>2.1451940536499023</v>
      </c>
      <c r="H166">
        <v>2.1823506355285645</v>
      </c>
      <c r="I166">
        <v>2.4512341022491455</v>
      </c>
    </row>
    <row r="167" spans="1:9" x14ac:dyDescent="0.25">
      <c r="A167">
        <v>520</v>
      </c>
      <c r="B167">
        <v>3.5622687339782715</v>
      </c>
      <c r="C167">
        <v>4.8893156051635742</v>
      </c>
      <c r="D167">
        <v>3.9433693885803223</v>
      </c>
      <c r="E167">
        <v>24.014448165893555</v>
      </c>
      <c r="F167">
        <v>19.256797790527344</v>
      </c>
      <c r="G167">
        <v>2.1722705364227295</v>
      </c>
      <c r="H167">
        <v>2.1731679439544678</v>
      </c>
      <c r="I167">
        <v>2.4455797672271729</v>
      </c>
    </row>
    <row r="168" spans="1:9" x14ac:dyDescent="0.25">
      <c r="A168">
        <v>522</v>
      </c>
      <c r="B168">
        <v>3.6426339149475098</v>
      </c>
      <c r="C168">
        <v>4.4858827590942383</v>
      </c>
      <c r="D168">
        <v>4.2825837135314941</v>
      </c>
      <c r="E168">
        <v>24.014896392822266</v>
      </c>
      <c r="F168">
        <v>18.758562088012695</v>
      </c>
      <c r="G168">
        <v>2.1688041687011719</v>
      </c>
      <c r="H168">
        <v>2.1679317951202393</v>
      </c>
      <c r="I168">
        <v>2.4804978370666504</v>
      </c>
    </row>
    <row r="169" spans="1:9" x14ac:dyDescent="0.25">
      <c r="A169">
        <v>524</v>
      </c>
      <c r="B169">
        <v>3.5280656814575195</v>
      </c>
      <c r="C169">
        <v>4.6089358329772949</v>
      </c>
      <c r="D169">
        <v>4.0169920921325684</v>
      </c>
      <c r="E169">
        <v>24.794099807739258</v>
      </c>
      <c r="F169">
        <v>19.024768829345703</v>
      </c>
      <c r="G169">
        <v>2.1603794097900391</v>
      </c>
      <c r="H169">
        <v>2.1030631065368652</v>
      </c>
      <c r="I169">
        <v>2.4517982006072998</v>
      </c>
    </row>
    <row r="170" spans="1:9" x14ac:dyDescent="0.25">
      <c r="A170">
        <v>526</v>
      </c>
      <c r="B170">
        <v>3.5755751132965088</v>
      </c>
      <c r="C170">
        <v>5.1114120483398438</v>
      </c>
      <c r="D170">
        <v>4.126096248626709</v>
      </c>
      <c r="E170">
        <v>24.772588729858398</v>
      </c>
      <c r="F170">
        <v>18.65699577331543</v>
      </c>
      <c r="G170">
        <v>2.2121250629425049</v>
      </c>
      <c r="H170">
        <v>2.064699649810791</v>
      </c>
      <c r="I170">
        <v>2.4686169624328613</v>
      </c>
    </row>
    <row r="171" spans="1:9" x14ac:dyDescent="0.25">
      <c r="A171">
        <v>528</v>
      </c>
      <c r="B171">
        <v>3.449474573135376</v>
      </c>
      <c r="C171">
        <v>4.7836785316467285</v>
      </c>
      <c r="D171">
        <v>3.4397227764129639</v>
      </c>
      <c r="E171">
        <v>24.322660446166992</v>
      </c>
      <c r="F171">
        <v>18.027135848999023</v>
      </c>
      <c r="G171">
        <v>2.1344075202941895</v>
      </c>
      <c r="H171">
        <v>2.1379051208496094</v>
      </c>
      <c r="I171">
        <v>2.4960653781890869</v>
      </c>
    </row>
    <row r="172" spans="1:9" x14ac:dyDescent="0.25">
      <c r="A172">
        <v>530</v>
      </c>
      <c r="B172">
        <v>3.275043249130249</v>
      </c>
      <c r="C172">
        <v>5.1847014427185059</v>
      </c>
      <c r="D172">
        <v>3.5182831287384033</v>
      </c>
      <c r="E172">
        <v>23.028495788574219</v>
      </c>
      <c r="F172">
        <v>17.854534149169922</v>
      </c>
      <c r="G172">
        <v>2.1029376983642578</v>
      </c>
      <c r="H172">
        <v>2.1785550117492676</v>
      </c>
      <c r="I172">
        <v>2.4864130020141602</v>
      </c>
    </row>
    <row r="173" spans="1:9" x14ac:dyDescent="0.25">
      <c r="A173">
        <v>532</v>
      </c>
      <c r="B173">
        <v>3.4319460391998291</v>
      </c>
      <c r="C173">
        <v>4.5296592712402344</v>
      </c>
      <c r="D173">
        <v>4.8455147743225098</v>
      </c>
      <c r="E173">
        <v>21.181989669799805</v>
      </c>
      <c r="F173">
        <v>17.424312591552734</v>
      </c>
      <c r="G173">
        <v>2.132014274597168</v>
      </c>
      <c r="H173">
        <v>2.1625630855560303</v>
      </c>
      <c r="I173">
        <v>2.4483447074890137</v>
      </c>
    </row>
    <row r="174" spans="1:9" x14ac:dyDescent="0.25">
      <c r="A174">
        <v>534</v>
      </c>
      <c r="B174">
        <v>3.5459227561950684</v>
      </c>
      <c r="C174">
        <v>4.6687045097351074</v>
      </c>
      <c r="D174">
        <v>4.2186470031738281</v>
      </c>
      <c r="E174">
        <v>18.801666259765625</v>
      </c>
      <c r="F174">
        <v>17.123321533203125</v>
      </c>
      <c r="G174">
        <v>2.1664683818817139</v>
      </c>
      <c r="H174">
        <v>2.1779284477233887</v>
      </c>
      <c r="I174">
        <v>2.4487283229827881</v>
      </c>
    </row>
    <row r="175" spans="1:9" x14ac:dyDescent="0.25">
      <c r="A175">
        <v>536</v>
      </c>
      <c r="B175">
        <v>3.5618579387664795</v>
      </c>
      <c r="C175">
        <v>4.7263202667236328</v>
      </c>
      <c r="D175">
        <v>3.5023305416107178</v>
      </c>
      <c r="E175">
        <v>16.595239639282227</v>
      </c>
      <c r="F175">
        <v>16.928106307983398</v>
      </c>
      <c r="G175">
        <v>2.1668558120727539</v>
      </c>
      <c r="H175">
        <v>2.1483545303344727</v>
      </c>
      <c r="I175">
        <v>2.4657487869262695</v>
      </c>
    </row>
    <row r="176" spans="1:9" x14ac:dyDescent="0.25">
      <c r="A176">
        <v>538</v>
      </c>
      <c r="B176">
        <v>3.5353515148162842</v>
      </c>
      <c r="C176">
        <v>4.8523902893066406</v>
      </c>
      <c r="D176">
        <v>3.3215343952178955</v>
      </c>
      <c r="E176">
        <v>14.174884796142578</v>
      </c>
      <c r="F176">
        <v>16.567626953125</v>
      </c>
      <c r="G176">
        <v>2.1820096969604492</v>
      </c>
      <c r="H176">
        <v>2.1502616405487061</v>
      </c>
      <c r="I176">
        <v>2.4449074268341064</v>
      </c>
    </row>
    <row r="177" spans="1:9" x14ac:dyDescent="0.25">
      <c r="A177">
        <v>540</v>
      </c>
      <c r="B177">
        <v>3.424602746963501</v>
      </c>
      <c r="C177">
        <v>4.6435418128967285</v>
      </c>
      <c r="D177">
        <v>4.0187010765075684</v>
      </c>
      <c r="E177">
        <v>11.355247497558594</v>
      </c>
      <c r="F177">
        <v>15.543623924255371</v>
      </c>
      <c r="G177">
        <v>2.1895391941070557</v>
      </c>
      <c r="H177">
        <v>2.206953763961792</v>
      </c>
      <c r="I177">
        <v>2.4869132041931152</v>
      </c>
    </row>
    <row r="178" spans="1:9" x14ac:dyDescent="0.25">
      <c r="A178">
        <v>542</v>
      </c>
      <c r="B178">
        <v>3.5035059452056885</v>
      </c>
      <c r="C178">
        <v>4.2329392433166504</v>
      </c>
      <c r="D178">
        <v>4.2062077522277832</v>
      </c>
      <c r="E178">
        <v>9.8732156753540039</v>
      </c>
      <c r="F178">
        <v>14.532439231872559</v>
      </c>
      <c r="G178">
        <v>2.1672518253326416</v>
      </c>
      <c r="H178">
        <v>2.2105298042297363</v>
      </c>
      <c r="I178">
        <v>2.4821164608001709</v>
      </c>
    </row>
    <row r="179" spans="1:9" x14ac:dyDescent="0.25">
      <c r="A179">
        <v>544</v>
      </c>
      <c r="B179">
        <v>3.5541532039642334</v>
      </c>
      <c r="C179">
        <v>5.1277675628662109</v>
      </c>
      <c r="D179">
        <v>3.694521427154541</v>
      </c>
      <c r="E179">
        <v>8.3727750778198242</v>
      </c>
      <c r="F179">
        <v>13.598870277404785</v>
      </c>
      <c r="G179">
        <v>2.2014906406402588</v>
      </c>
      <c r="H179">
        <v>2.1741604804992676</v>
      </c>
      <c r="I179">
        <v>2.4540925025939941</v>
      </c>
    </row>
    <row r="180" spans="1:9" x14ac:dyDescent="0.25">
      <c r="A180">
        <v>546</v>
      </c>
      <c r="B180">
        <v>3.5880687236785889</v>
      </c>
      <c r="C180">
        <v>4.9258008003234863</v>
      </c>
      <c r="D180">
        <v>3.9508075714111328</v>
      </c>
      <c r="E180">
        <v>7.0740556716918945</v>
      </c>
      <c r="F180">
        <v>12.337920188903809</v>
      </c>
      <c r="G180">
        <v>2.1933097839355469</v>
      </c>
      <c r="H180">
        <v>2.1996779441833496</v>
      </c>
      <c r="I180">
        <v>2.4668574333190918</v>
      </c>
    </row>
    <row r="181" spans="1:9" x14ac:dyDescent="0.25">
      <c r="A181">
        <v>548</v>
      </c>
      <c r="B181">
        <v>3.5994367599487305</v>
      </c>
      <c r="C181">
        <v>4.8839492797851563</v>
      </c>
      <c r="D181">
        <v>4.5194358825683594</v>
      </c>
      <c r="E181">
        <v>6.2033915519714355</v>
      </c>
      <c r="F181">
        <v>11.163994789123535</v>
      </c>
      <c r="G181">
        <v>2.1978006362915039</v>
      </c>
      <c r="H181">
        <v>2.1512494087219238</v>
      </c>
      <c r="I181">
        <v>2.4813883304595947</v>
      </c>
    </row>
    <row r="182" spans="1:9" x14ac:dyDescent="0.25">
      <c r="A182">
        <v>550</v>
      </c>
      <c r="B182">
        <v>3.4793405532836914</v>
      </c>
      <c r="C182">
        <v>5.305511474609375</v>
      </c>
      <c r="D182">
        <v>4.5222845077514648</v>
      </c>
      <c r="E182">
        <v>5.2561283111572266</v>
      </c>
      <c r="F182">
        <v>9.583195686340332</v>
      </c>
      <c r="G182">
        <v>2.1691169738769531</v>
      </c>
      <c r="H182">
        <v>2.1066253185272217</v>
      </c>
      <c r="I182">
        <v>2.4925920963287354</v>
      </c>
    </row>
    <row r="183" spans="1:9" x14ac:dyDescent="0.25">
      <c r="A183">
        <v>552</v>
      </c>
      <c r="B183">
        <v>3.5039825439453125</v>
      </c>
      <c r="C183">
        <v>5.1780319213867188</v>
      </c>
      <c r="D183">
        <v>4.5394082069396973</v>
      </c>
      <c r="E183">
        <v>4.5789728164672852</v>
      </c>
      <c r="F183">
        <v>8.1987133026123047</v>
      </c>
      <c r="G183">
        <v>2.1837830543518066</v>
      </c>
      <c r="H183">
        <v>2.1438455581665039</v>
      </c>
      <c r="I183">
        <v>2.4816246032714844</v>
      </c>
    </row>
    <row r="184" spans="1:9" x14ac:dyDescent="0.25">
      <c r="A184">
        <v>554</v>
      </c>
      <c r="B184">
        <v>3.6051619052886963</v>
      </c>
      <c r="C184">
        <v>5.0406084060668945</v>
      </c>
      <c r="D184">
        <v>4.4808201789855957</v>
      </c>
      <c r="E184">
        <v>4.4388489723205566</v>
      </c>
      <c r="F184">
        <v>7.4956393241882324</v>
      </c>
      <c r="G184">
        <v>2.2379219532012939</v>
      </c>
      <c r="H184">
        <v>2.1570067405700684</v>
      </c>
      <c r="I184">
        <v>2.4768540859222412</v>
      </c>
    </row>
    <row r="185" spans="1:9" x14ac:dyDescent="0.25">
      <c r="A185">
        <v>556</v>
      </c>
      <c r="B185">
        <v>3.4997687339782715</v>
      </c>
      <c r="C185">
        <v>4.7012944221496582</v>
      </c>
      <c r="D185">
        <v>4.1090993881225586</v>
      </c>
      <c r="E185">
        <v>4.0950193405151367</v>
      </c>
      <c r="F185">
        <v>6.5335226058959961</v>
      </c>
      <c r="G185">
        <v>2.2717821598052979</v>
      </c>
      <c r="H185">
        <v>2.197528600692749</v>
      </c>
      <c r="I185">
        <v>2.4720640182495117</v>
      </c>
    </row>
    <row r="186" spans="1:9" x14ac:dyDescent="0.25">
      <c r="A186">
        <v>558</v>
      </c>
      <c r="B186">
        <v>3.4791023731231689</v>
      </c>
      <c r="C186">
        <v>4.6156511306762695</v>
      </c>
      <c r="D186">
        <v>3.7398471832275391</v>
      </c>
      <c r="E186">
        <v>3.3387227058410645</v>
      </c>
      <c r="F186">
        <v>5.4842958450317383</v>
      </c>
      <c r="G186">
        <v>2.2531905174255371</v>
      </c>
      <c r="H186">
        <v>2.2270660400390625</v>
      </c>
      <c r="I186">
        <v>2.4799535274505615</v>
      </c>
    </row>
    <row r="187" spans="1:9" x14ac:dyDescent="0.25">
      <c r="A187">
        <v>560</v>
      </c>
      <c r="B187">
        <v>3.5429084300994873</v>
      </c>
      <c r="C187">
        <v>4.886192798614502</v>
      </c>
      <c r="D187">
        <v>3.5674386024475098</v>
      </c>
      <c r="E187">
        <v>3.106299877166748</v>
      </c>
      <c r="F187">
        <v>4.6587677001953125</v>
      </c>
      <c r="G187">
        <v>2.1533088684082031</v>
      </c>
      <c r="H187">
        <v>2.1656134128570557</v>
      </c>
      <c r="I187">
        <v>2.4937925338745117</v>
      </c>
    </row>
    <row r="188" spans="1:9" x14ac:dyDescent="0.25">
      <c r="A188">
        <v>562</v>
      </c>
      <c r="B188">
        <v>3.5319015979766846</v>
      </c>
      <c r="C188">
        <v>5.086583137512207</v>
      </c>
      <c r="D188">
        <v>3.6312491893768311</v>
      </c>
      <c r="E188">
        <v>3.1979279518127441</v>
      </c>
      <c r="F188">
        <v>4.204444408416748</v>
      </c>
      <c r="G188">
        <v>2.1460204124450684</v>
      </c>
      <c r="H188">
        <v>2.1535861492156982</v>
      </c>
      <c r="I188">
        <v>2.497201681137085</v>
      </c>
    </row>
    <row r="189" spans="1:9" x14ac:dyDescent="0.25">
      <c r="A189">
        <v>564</v>
      </c>
      <c r="B189">
        <v>3.4967951774597168</v>
      </c>
      <c r="C189">
        <v>5.071925163269043</v>
      </c>
      <c r="D189">
        <v>3.815432071685791</v>
      </c>
      <c r="E189">
        <v>3.0509874820709229</v>
      </c>
      <c r="F189">
        <v>4.0577793121337891</v>
      </c>
      <c r="G189">
        <v>2.1834185123443604</v>
      </c>
      <c r="H189">
        <v>2.1519627571105957</v>
      </c>
      <c r="I189">
        <v>2.485255241394043</v>
      </c>
    </row>
    <row r="190" spans="1:9" x14ac:dyDescent="0.25">
      <c r="A190">
        <v>566</v>
      </c>
      <c r="B190">
        <v>3.4884908199310303</v>
      </c>
      <c r="C190">
        <v>4.2657718658447266</v>
      </c>
      <c r="D190">
        <v>3.516953706741333</v>
      </c>
      <c r="E190">
        <v>3.4416928291320801</v>
      </c>
      <c r="F190">
        <v>3.400731086730957</v>
      </c>
      <c r="G190">
        <v>2.1936311721801758</v>
      </c>
      <c r="H190">
        <v>2.1100232601165771</v>
      </c>
      <c r="I190">
        <v>2.4438300132751465</v>
      </c>
    </row>
    <row r="191" spans="1:9" x14ac:dyDescent="0.25">
      <c r="A191">
        <v>568</v>
      </c>
      <c r="B191">
        <v>3.4921214580535889</v>
      </c>
      <c r="C191">
        <v>4.7496790885925293</v>
      </c>
      <c r="D191">
        <v>4.0559239387512207</v>
      </c>
      <c r="E191">
        <v>3.2458932399749756</v>
      </c>
      <c r="F191">
        <v>2.6506607532501221</v>
      </c>
      <c r="G191">
        <v>2.2853031158447266</v>
      </c>
      <c r="H191">
        <v>2.1170198917388916</v>
      </c>
      <c r="I191">
        <v>2.4791514873504639</v>
      </c>
    </row>
    <row r="192" spans="1:9" x14ac:dyDescent="0.25">
      <c r="A192">
        <v>570</v>
      </c>
      <c r="B192">
        <v>3.5736696720123291</v>
      </c>
      <c r="C192">
        <v>4.5954303741455078</v>
      </c>
      <c r="D192">
        <v>2.8968594074249268</v>
      </c>
      <c r="E192">
        <v>3.0881416797637939</v>
      </c>
      <c r="F192">
        <v>2.5547254085540771</v>
      </c>
      <c r="G192">
        <v>2.2917883396148682</v>
      </c>
      <c r="H192">
        <v>2.1282238960266113</v>
      </c>
      <c r="I192">
        <v>2.4889366626739502</v>
      </c>
    </row>
    <row r="193" spans="1:9" x14ac:dyDescent="0.25">
      <c r="A193">
        <v>572</v>
      </c>
      <c r="B193">
        <v>3.5732998847961426</v>
      </c>
      <c r="C193">
        <v>3.9217133522033691</v>
      </c>
      <c r="D193">
        <v>3.2556347846984863</v>
      </c>
      <c r="E193">
        <v>2.9959268569946289</v>
      </c>
      <c r="F193">
        <v>2.3883378505706787</v>
      </c>
      <c r="G193">
        <v>2.246013879776001</v>
      </c>
      <c r="H193">
        <v>2.1241219043731689</v>
      </c>
      <c r="I193">
        <v>2.4451649188995361</v>
      </c>
    </row>
    <row r="194" spans="1:9" x14ac:dyDescent="0.25">
      <c r="A194">
        <v>574</v>
      </c>
      <c r="B194">
        <v>3.5646998882293701</v>
      </c>
      <c r="C194">
        <v>4.2765946388244629</v>
      </c>
      <c r="D194">
        <v>3.1293749809265137</v>
      </c>
      <c r="E194">
        <v>2.8403820991516113</v>
      </c>
      <c r="F194">
        <v>2.6536386013031006</v>
      </c>
      <c r="G194">
        <v>2.2334713935852051</v>
      </c>
      <c r="H194">
        <v>2.080636739730835</v>
      </c>
      <c r="I194">
        <v>2.4461734294891357</v>
      </c>
    </row>
    <row r="195" spans="1:9" x14ac:dyDescent="0.25">
      <c r="A195">
        <v>576</v>
      </c>
      <c r="B195">
        <v>3.5247390270233154</v>
      </c>
      <c r="C195">
        <v>4.0438570976257324</v>
      </c>
      <c r="D195">
        <v>2.8902757167816162</v>
      </c>
      <c r="E195">
        <v>3.6947879791259766</v>
      </c>
      <c r="F195">
        <v>2.5473887920379639</v>
      </c>
      <c r="G195">
        <v>2.2418675422668457</v>
      </c>
      <c r="H195">
        <v>2.0942416191101074</v>
      </c>
      <c r="I195">
        <v>2.4489777088165283</v>
      </c>
    </row>
    <row r="196" spans="1:9" x14ac:dyDescent="0.25">
      <c r="A196">
        <v>578</v>
      </c>
      <c r="B196">
        <v>3.5421197414398193</v>
      </c>
      <c r="C196">
        <v>4.8298048973083496</v>
      </c>
      <c r="D196">
        <v>2.1556329727172852</v>
      </c>
      <c r="E196">
        <v>3.233461856842041</v>
      </c>
      <c r="F196">
        <v>2.5425121784210205</v>
      </c>
      <c r="G196">
        <v>2.2859029769897461</v>
      </c>
      <c r="H196">
        <v>2.1049654483795166</v>
      </c>
      <c r="I196">
        <v>2.4711489677429199</v>
      </c>
    </row>
    <row r="197" spans="1:9" x14ac:dyDescent="0.25">
      <c r="A197">
        <v>580</v>
      </c>
      <c r="B197">
        <v>3.5912802219390869</v>
      </c>
      <c r="C197">
        <v>4.4167766571044922</v>
      </c>
      <c r="D197">
        <v>2.1469602584838867</v>
      </c>
      <c r="E197">
        <v>3.2141585350036621</v>
      </c>
      <c r="F197">
        <v>2.6828334331512451</v>
      </c>
      <c r="G197">
        <v>2.2322547435760498</v>
      </c>
      <c r="H197">
        <v>2.1362588405609131</v>
      </c>
      <c r="I197">
        <v>2.4626247882843018</v>
      </c>
    </row>
    <row r="198" spans="1:9" x14ac:dyDescent="0.25">
      <c r="A198">
        <v>582</v>
      </c>
      <c r="B198">
        <v>3.5973668098449707</v>
      </c>
      <c r="C198">
        <v>5.885566234588623</v>
      </c>
      <c r="D198">
        <v>2.6865952014923096</v>
      </c>
      <c r="E198">
        <v>2.6994199752807617</v>
      </c>
      <c r="F198">
        <v>2.3052198886871338</v>
      </c>
      <c r="G198">
        <v>2.3217372894287109</v>
      </c>
      <c r="H198">
        <v>2.158973217010498</v>
      </c>
      <c r="I198">
        <v>2.4963457584381104</v>
      </c>
    </row>
    <row r="199" spans="1:9" x14ac:dyDescent="0.25">
      <c r="A199">
        <v>584</v>
      </c>
      <c r="B199">
        <v>3.5249691009521484</v>
      </c>
      <c r="C199">
        <v>5.5368843078613281</v>
      </c>
      <c r="D199">
        <v>3.5560755729675293</v>
      </c>
      <c r="E199">
        <v>2.1759653091430664</v>
      </c>
      <c r="F199">
        <v>2.3095138072967529</v>
      </c>
      <c r="G199">
        <v>2.2699570655822754</v>
      </c>
      <c r="H199">
        <v>2.1441154479980469</v>
      </c>
      <c r="I199">
        <v>2.4859998226165771</v>
      </c>
    </row>
    <row r="200" spans="1:9" x14ac:dyDescent="0.25">
      <c r="A200">
        <v>586</v>
      </c>
      <c r="B200">
        <v>3.4829957485198975</v>
      </c>
      <c r="C200">
        <v>5.3343267440795898</v>
      </c>
      <c r="D200">
        <v>5.4607028961181641</v>
      </c>
      <c r="E200">
        <v>2.2765610218048096</v>
      </c>
      <c r="F200">
        <v>2.1981501579284668</v>
      </c>
      <c r="G200">
        <v>2.2120764255523682</v>
      </c>
      <c r="H200">
        <v>2.149301290512085</v>
      </c>
      <c r="I200">
        <v>2.4683446884155273</v>
      </c>
    </row>
    <row r="201" spans="1:9" x14ac:dyDescent="0.25">
      <c r="A201">
        <v>588</v>
      </c>
      <c r="B201">
        <v>3.5689876079559326</v>
      </c>
      <c r="C201">
        <v>5.0459895133972168</v>
      </c>
      <c r="D201">
        <v>3.9035196304321289</v>
      </c>
      <c r="E201">
        <v>2.9608957767486572</v>
      </c>
      <c r="F201">
        <v>2.4955801963806152</v>
      </c>
      <c r="G201">
        <v>2.2724850177764893</v>
      </c>
      <c r="H201">
        <v>2.1417052745819092</v>
      </c>
      <c r="I201">
        <v>2.4813752174377441</v>
      </c>
    </row>
    <row r="202" spans="1:9" x14ac:dyDescent="0.25">
      <c r="A202">
        <v>590</v>
      </c>
      <c r="B202">
        <v>3.5704169273376465</v>
      </c>
      <c r="C202">
        <v>5.6815686225891113</v>
      </c>
      <c r="D202">
        <v>3.5342040061950684</v>
      </c>
      <c r="E202">
        <v>2.6172058582305908</v>
      </c>
      <c r="F202">
        <v>2.4764189720153809</v>
      </c>
      <c r="G202">
        <v>2.2875614166259766</v>
      </c>
      <c r="H202">
        <v>2.1231296062469482</v>
      </c>
      <c r="I202">
        <v>2.5015079975128174</v>
      </c>
    </row>
    <row r="203" spans="1:9" x14ac:dyDescent="0.25">
      <c r="A203">
        <v>592</v>
      </c>
      <c r="B203">
        <v>3.6293766498565674</v>
      </c>
      <c r="C203">
        <v>4.9407467842102051</v>
      </c>
      <c r="D203">
        <v>2.8310866355895996</v>
      </c>
      <c r="E203">
        <v>2.5654973983764648</v>
      </c>
      <c r="F203">
        <v>2.3151025772094727</v>
      </c>
      <c r="G203">
        <v>2.2908070087432861</v>
      </c>
      <c r="H203">
        <v>2.0762283802032471</v>
      </c>
      <c r="I203">
        <v>2.4970786571502686</v>
      </c>
    </row>
    <row r="204" spans="1:9" x14ac:dyDescent="0.25">
      <c r="A204">
        <v>594</v>
      </c>
      <c r="B204">
        <v>3.6013424396514893</v>
      </c>
      <c r="C204">
        <v>3.6065917015075684</v>
      </c>
      <c r="D204">
        <v>3.4303538799285889</v>
      </c>
      <c r="E204">
        <v>3.2606151103973389</v>
      </c>
      <c r="F204">
        <v>2.0167660713195801</v>
      </c>
      <c r="G204">
        <v>2.2285444736480713</v>
      </c>
      <c r="H204">
        <v>2.1334419250488281</v>
      </c>
      <c r="I204">
        <v>2.4542760848999023</v>
      </c>
    </row>
    <row r="205" spans="1:9" x14ac:dyDescent="0.25">
      <c r="A205">
        <v>596</v>
      </c>
      <c r="B205">
        <v>3.6313314437866211</v>
      </c>
      <c r="C205">
        <v>4.8178448677062988</v>
      </c>
      <c r="D205">
        <v>2.5495102405548096</v>
      </c>
      <c r="E205">
        <v>2.5728163719177246</v>
      </c>
      <c r="F205">
        <v>2.4144904613494873</v>
      </c>
      <c r="G205">
        <v>2.2623701095581055</v>
      </c>
      <c r="H205">
        <v>2.1763508319854736</v>
      </c>
      <c r="I205">
        <v>2.4935300350189209</v>
      </c>
    </row>
    <row r="206" spans="1:9" x14ac:dyDescent="0.25">
      <c r="A206">
        <v>598</v>
      </c>
      <c r="B206">
        <v>3.578474760055542</v>
      </c>
      <c r="C206">
        <v>4.3486261367797852</v>
      </c>
      <c r="D206">
        <v>3.7644722461700439</v>
      </c>
      <c r="E206">
        <v>2.9803388118743896</v>
      </c>
      <c r="F206">
        <v>2.434147834777832</v>
      </c>
      <c r="G206">
        <v>2.2038006782531738</v>
      </c>
      <c r="H206">
        <v>2.1166267395019531</v>
      </c>
      <c r="I206">
        <v>2.48236083984375</v>
      </c>
    </row>
    <row r="207" spans="1:9" x14ac:dyDescent="0.25">
      <c r="A207">
        <v>600</v>
      </c>
      <c r="B207">
        <v>3.5417337417602539</v>
      </c>
      <c r="C207">
        <v>5.8227968215942383</v>
      </c>
      <c r="D207">
        <v>4.1758532524108887</v>
      </c>
      <c r="E207">
        <v>2.5963659286499023</v>
      </c>
      <c r="F207">
        <v>2.1677036285400391</v>
      </c>
      <c r="G207">
        <v>2.2828009128570557</v>
      </c>
      <c r="H207">
        <v>2.0981514453887939</v>
      </c>
      <c r="I207">
        <v>2.4861619472503662</v>
      </c>
    </row>
    <row r="208" spans="1:9" x14ac:dyDescent="0.25">
      <c r="A208">
        <v>602</v>
      </c>
      <c r="B208">
        <v>3.5412163734436035</v>
      </c>
      <c r="C208">
        <v>4.5181088447570801</v>
      </c>
      <c r="D208">
        <v>3.7167727947235107</v>
      </c>
      <c r="E208">
        <v>2.6882457733154297</v>
      </c>
      <c r="F208">
        <v>2.6170423030853271</v>
      </c>
      <c r="G208">
        <v>2.2745282649993896</v>
      </c>
      <c r="H208">
        <v>2.0872540473937988</v>
      </c>
      <c r="I208">
        <v>2.4592154026031494</v>
      </c>
    </row>
    <row r="209" spans="1:9" x14ac:dyDescent="0.25">
      <c r="A209">
        <v>604</v>
      </c>
      <c r="B209">
        <v>3.5566501617431641</v>
      </c>
      <c r="C209">
        <v>5.9024219512939453</v>
      </c>
      <c r="D209">
        <v>4.6702895164489746</v>
      </c>
      <c r="E209">
        <v>2.2814216613769531</v>
      </c>
      <c r="F209">
        <v>2.4322059154510498</v>
      </c>
      <c r="G209">
        <v>2.2855556011199951</v>
      </c>
      <c r="H209">
        <v>2.0842220783233643</v>
      </c>
      <c r="I209">
        <v>2.4617030620574951</v>
      </c>
    </row>
    <row r="210" spans="1:9" x14ac:dyDescent="0.25">
      <c r="A210">
        <v>606</v>
      </c>
      <c r="B210">
        <v>3.5301601886749268</v>
      </c>
      <c r="C210">
        <v>4.4172921180725098</v>
      </c>
      <c r="D210">
        <v>3.7748541831970215</v>
      </c>
      <c r="E210">
        <v>2.5095984935760498</v>
      </c>
      <c r="F210">
        <v>2.4016084671020508</v>
      </c>
      <c r="G210">
        <v>2.2465734481811523</v>
      </c>
      <c r="H210">
        <v>2.0972552299499512</v>
      </c>
      <c r="I210">
        <v>2.4331281185150146</v>
      </c>
    </row>
    <row r="211" spans="1:9" x14ac:dyDescent="0.25">
      <c r="A211">
        <v>608</v>
      </c>
      <c r="B211">
        <v>3.5779409408569336</v>
      </c>
      <c r="C211">
        <v>4.7964115142822266</v>
      </c>
      <c r="D211">
        <v>4.7574906349182129</v>
      </c>
      <c r="E211">
        <v>2.5065255165100098</v>
      </c>
      <c r="F211">
        <v>2</v>
      </c>
      <c r="G211">
        <v>2.2557013034820557</v>
      </c>
      <c r="H211">
        <v>2.1280274391174316</v>
      </c>
      <c r="I211">
        <v>2.4458439350128174</v>
      </c>
    </row>
    <row r="212" spans="1:9" x14ac:dyDescent="0.25">
      <c r="A212">
        <v>610</v>
      </c>
      <c r="B212">
        <v>3.5970053672790527</v>
      </c>
      <c r="C212">
        <v>4.115267276763916</v>
      </c>
      <c r="D212">
        <v>3.1615967750549316</v>
      </c>
      <c r="E212">
        <v>2.9094386100769043</v>
      </c>
      <c r="F212">
        <v>2.3215541839599609</v>
      </c>
      <c r="G212">
        <v>2.2737476825714111</v>
      </c>
      <c r="H212">
        <v>2.1318733692169189</v>
      </c>
      <c r="I212">
        <v>2.4663407802581787</v>
      </c>
    </row>
    <row r="213" spans="1:9" x14ac:dyDescent="0.25">
      <c r="A213">
        <v>612</v>
      </c>
      <c r="B213">
        <v>3.5020439624786377</v>
      </c>
      <c r="C213">
        <v>3.7940216064453125</v>
      </c>
      <c r="D213">
        <v>3.6305844783782959</v>
      </c>
      <c r="E213">
        <v>3.3710160255432129</v>
      </c>
      <c r="F213">
        <v>2.2144629955291748</v>
      </c>
      <c r="G213">
        <v>2.2627604007720947</v>
      </c>
      <c r="H213">
        <v>2.10959792137146</v>
      </c>
      <c r="I213">
        <v>2.4506044387817383</v>
      </c>
    </row>
    <row r="214" spans="1:9" x14ac:dyDescent="0.25">
      <c r="A214">
        <v>614</v>
      </c>
      <c r="B214">
        <v>3.6363174915313721</v>
      </c>
      <c r="C214">
        <v>5.4296407699584961</v>
      </c>
      <c r="D214">
        <v>3.5738639831542969</v>
      </c>
      <c r="E214">
        <v>2.8514726161956787</v>
      </c>
      <c r="F214">
        <v>2.2399466037750244</v>
      </c>
      <c r="G214">
        <v>2.3039951324462891</v>
      </c>
      <c r="H214">
        <v>2.0923209190368652</v>
      </c>
      <c r="I214">
        <v>2.4954946041107178</v>
      </c>
    </row>
    <row r="215" spans="1:9" x14ac:dyDescent="0.25">
      <c r="A215">
        <v>616</v>
      </c>
      <c r="B215">
        <v>3.6619777679443359</v>
      </c>
      <c r="C215">
        <v>4.324251651763916</v>
      </c>
      <c r="D215">
        <v>4.0121493339538574</v>
      </c>
      <c r="E215">
        <v>2.6495552062988281</v>
      </c>
      <c r="F215">
        <v>2.3526697158813477</v>
      </c>
      <c r="G215">
        <v>2.2026243209838867</v>
      </c>
      <c r="H215">
        <v>2.1363320350646973</v>
      </c>
      <c r="I215">
        <v>2.4480478763580322</v>
      </c>
    </row>
    <row r="216" spans="1:9" x14ac:dyDescent="0.25">
      <c r="A216">
        <v>618</v>
      </c>
      <c r="B216">
        <v>3.5541532039642334</v>
      </c>
      <c r="C216">
        <v>5.6330776214599609</v>
      </c>
      <c r="D216">
        <v>4.1793036460876465</v>
      </c>
      <c r="E216">
        <v>2</v>
      </c>
      <c r="F216">
        <v>2.2730255126953125</v>
      </c>
      <c r="G216">
        <v>2.2428574562072754</v>
      </c>
      <c r="H216">
        <v>2.1175277233123779</v>
      </c>
      <c r="I216">
        <v>2.4577903747558594</v>
      </c>
    </row>
    <row r="217" spans="1:9" x14ac:dyDescent="0.25">
      <c r="A217">
        <v>620</v>
      </c>
      <c r="B217">
        <v>3.4863388538360596</v>
      </c>
      <c r="C217">
        <v>3.9292013645172119</v>
      </c>
      <c r="D217">
        <v>3.212841272354126</v>
      </c>
      <c r="E217">
        <v>2.5505797863006592</v>
      </c>
      <c r="F217">
        <v>2.6466906070709229</v>
      </c>
      <c r="G217">
        <v>2.2054879665374756</v>
      </c>
      <c r="H217">
        <v>2.123673677444458</v>
      </c>
      <c r="I217">
        <v>2.4328362941741943</v>
      </c>
    </row>
    <row r="218" spans="1:9" x14ac:dyDescent="0.25">
      <c r="A218">
        <v>622</v>
      </c>
      <c r="B218">
        <v>3.6054000854492188</v>
      </c>
      <c r="C218">
        <v>4.9663186073303223</v>
      </c>
      <c r="D218">
        <v>4.0225629806518555</v>
      </c>
      <c r="E218">
        <v>2.4283621311187744</v>
      </c>
      <c r="F218">
        <v>2.3103554248809814</v>
      </c>
      <c r="G218">
        <v>2.2622554302215576</v>
      </c>
      <c r="H218">
        <v>2.1598055362701416</v>
      </c>
      <c r="I218">
        <v>2.433175802230835</v>
      </c>
    </row>
    <row r="219" spans="1:9" x14ac:dyDescent="0.25">
      <c r="A219">
        <v>624</v>
      </c>
      <c r="B219">
        <v>3.6129570007324219</v>
      </c>
      <c r="C219">
        <v>4.887420654296875</v>
      </c>
      <c r="D219">
        <v>3.5011277198791504</v>
      </c>
      <c r="E219">
        <v>2.6520135402679443</v>
      </c>
      <c r="F219">
        <v>2.3370687961578369</v>
      </c>
      <c r="G219">
        <v>2.2575321197509766</v>
      </c>
      <c r="H219">
        <v>2.0699586868286133</v>
      </c>
      <c r="I219">
        <v>2.4399862289428711</v>
      </c>
    </row>
    <row r="220" spans="1:9" x14ac:dyDescent="0.25">
      <c r="A220">
        <v>626</v>
      </c>
      <c r="B220">
        <v>3.5434422492980957</v>
      </c>
      <c r="C220">
        <v>4.5906252861022949</v>
      </c>
      <c r="D220">
        <v>4.7533440589904785</v>
      </c>
      <c r="E220">
        <v>3.1064393520355225</v>
      </c>
      <c r="F220">
        <v>2.4506549835205078</v>
      </c>
      <c r="G220">
        <v>2.2675294876098633</v>
      </c>
      <c r="H220">
        <v>2.0810253620147705</v>
      </c>
      <c r="I220">
        <v>2.3953075408935547</v>
      </c>
    </row>
    <row r="221" spans="1:9" x14ac:dyDescent="0.25">
      <c r="A221">
        <v>628</v>
      </c>
      <c r="B221">
        <v>3.611149787902832</v>
      </c>
      <c r="C221">
        <v>6.1325979232788086</v>
      </c>
      <c r="D221">
        <v>3.7694101333618164</v>
      </c>
      <c r="E221">
        <v>2.2507486343383789</v>
      </c>
      <c r="F221">
        <v>2.3315017223358154</v>
      </c>
      <c r="G221">
        <v>2.4046285152435303</v>
      </c>
      <c r="H221">
        <v>2.1731817722320557</v>
      </c>
      <c r="I221">
        <v>2.4452650547027588</v>
      </c>
    </row>
    <row r="222" spans="1:9" x14ac:dyDescent="0.25">
      <c r="A222">
        <v>630</v>
      </c>
      <c r="B222">
        <v>3.5568146705627441</v>
      </c>
      <c r="C222">
        <v>3.3685033321380615</v>
      </c>
      <c r="D222">
        <v>2.7717390060424805</v>
      </c>
      <c r="E222">
        <v>2.6160604953765869</v>
      </c>
      <c r="F222">
        <v>2.2453842163085938</v>
      </c>
      <c r="G222">
        <v>2.2763619422912598</v>
      </c>
      <c r="H222">
        <v>2.1858353614807129</v>
      </c>
      <c r="I222">
        <v>2.4139349460601807</v>
      </c>
    </row>
    <row r="223" spans="1:9" x14ac:dyDescent="0.25">
      <c r="A223">
        <v>632</v>
      </c>
      <c r="B223">
        <v>3.6044964790344238</v>
      </c>
      <c r="C223">
        <v>5.6829328536987305</v>
      </c>
      <c r="D223">
        <v>3.3846166133880615</v>
      </c>
      <c r="E223">
        <v>2.6867091655731201</v>
      </c>
      <c r="F223">
        <v>2.0463924407958984</v>
      </c>
      <c r="G223">
        <v>2.2431213855743408</v>
      </c>
      <c r="H223">
        <v>2.2584097385406494</v>
      </c>
      <c r="I223">
        <v>2.4767031669616699</v>
      </c>
    </row>
    <row r="224" spans="1:9" x14ac:dyDescent="0.25">
      <c r="A224">
        <v>634</v>
      </c>
      <c r="B224">
        <v>3.508237361907959</v>
      </c>
      <c r="C224">
        <v>4.3029699325561523</v>
      </c>
      <c r="D224">
        <v>2</v>
      </c>
      <c r="E224">
        <v>3.6049754619598389</v>
      </c>
      <c r="F224">
        <v>2.7497251033782959</v>
      </c>
      <c r="G224">
        <v>2.3504495620727539</v>
      </c>
      <c r="H224">
        <v>2.244631290435791</v>
      </c>
      <c r="I224">
        <v>2.5511965751647949</v>
      </c>
    </row>
    <row r="225" spans="1:9" x14ac:dyDescent="0.25">
      <c r="A225">
        <v>636</v>
      </c>
      <c r="B225">
        <v>3.5845365524291992</v>
      </c>
      <c r="C225">
        <v>3.7901713848114014</v>
      </c>
      <c r="D225">
        <v>4.6655731201171875</v>
      </c>
      <c r="E225">
        <v>4.4525928497314453</v>
      </c>
      <c r="F225">
        <v>2.4117283821105957</v>
      </c>
      <c r="G225">
        <v>2.2553169727325439</v>
      </c>
      <c r="H225">
        <v>2.2335734367370605</v>
      </c>
      <c r="I225">
        <v>2.4792170524597168</v>
      </c>
    </row>
    <row r="226" spans="1:9" x14ac:dyDescent="0.25">
      <c r="A226">
        <v>638</v>
      </c>
      <c r="B226">
        <v>3.8497157096862793</v>
      </c>
      <c r="C226">
        <v>5.706428050994873</v>
      </c>
      <c r="D226">
        <v>3.3460013866424561</v>
      </c>
      <c r="E226">
        <v>2.8279788494110107</v>
      </c>
      <c r="F226">
        <v>2.6299028396606445</v>
      </c>
      <c r="G226">
        <v>2.3283801078796387</v>
      </c>
      <c r="H226">
        <v>2.1542949676513672</v>
      </c>
      <c r="I226">
        <v>2.5541024208068848</v>
      </c>
    </row>
    <row r="227" spans="1:9" x14ac:dyDescent="0.25">
      <c r="A227">
        <v>640</v>
      </c>
      <c r="B227">
        <v>3.6554064750671387</v>
      </c>
      <c r="C227">
        <v>2.8573875427246094</v>
      </c>
      <c r="D227">
        <v>2.667888879776001</v>
      </c>
      <c r="E227">
        <v>2.9720139503479004</v>
      </c>
      <c r="F227">
        <v>3.1819741725921631</v>
      </c>
      <c r="G227">
        <v>2.2869503498077393</v>
      </c>
      <c r="H227">
        <v>2</v>
      </c>
      <c r="I227">
        <v>2.4130165576934814</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dimension ref="A1:CZ227"/>
  <sheetViews>
    <sheetView workbookViewId="0"/>
  </sheetViews>
  <sheetFormatPr defaultColWidth="9.140625" defaultRowHeight="15" x14ac:dyDescent="0.25"/>
  <cols>
    <col min="102" max="16384" width="9.140625" style="24"/>
  </cols>
  <sheetData>
    <row r="1" spans="1:104" x14ac:dyDescent="0.25">
      <c r="B1">
        <v>1</v>
      </c>
      <c r="C1">
        <v>2</v>
      </c>
      <c r="D1">
        <v>3</v>
      </c>
      <c r="E1">
        <v>4</v>
      </c>
      <c r="F1">
        <v>5</v>
      </c>
      <c r="G1">
        <v>6</v>
      </c>
      <c r="H1">
        <v>7</v>
      </c>
      <c r="I1">
        <v>8</v>
      </c>
    </row>
    <row r="2" spans="1:104" x14ac:dyDescent="0.25">
      <c r="A2">
        <v>190</v>
      </c>
      <c r="CY2" s="24">
        <v>200</v>
      </c>
      <c r="CZ2" s="24">
        <v>0</v>
      </c>
    </row>
    <row r="3" spans="1:104" x14ac:dyDescent="0.25">
      <c r="A3">
        <v>192</v>
      </c>
      <c r="CY3" s="24">
        <v>300</v>
      </c>
      <c r="CZ3" s="24">
        <v>0</v>
      </c>
    </row>
    <row r="4" spans="1:104" x14ac:dyDescent="0.25">
      <c r="A4">
        <v>194</v>
      </c>
      <c r="H4">
        <v>194</v>
      </c>
      <c r="CY4" s="24">
        <v>400</v>
      </c>
      <c r="CZ4" s="24">
        <v>0</v>
      </c>
    </row>
    <row r="5" spans="1:104" x14ac:dyDescent="0.25">
      <c r="A5">
        <v>196</v>
      </c>
      <c r="CY5" s="24">
        <v>500</v>
      </c>
      <c r="CZ5" s="24">
        <v>0</v>
      </c>
    </row>
    <row r="6" spans="1:104" x14ac:dyDescent="0.25">
      <c r="A6">
        <v>198</v>
      </c>
      <c r="CY6" s="24">
        <v>600</v>
      </c>
      <c r="CZ6" s="24">
        <v>0</v>
      </c>
    </row>
    <row r="7" spans="1:104" x14ac:dyDescent="0.25">
      <c r="A7">
        <v>200</v>
      </c>
      <c r="F7">
        <v>200</v>
      </c>
    </row>
    <row r="8" spans="1:104" x14ac:dyDescent="0.25">
      <c r="A8">
        <v>202</v>
      </c>
    </row>
    <row r="9" spans="1:104" x14ac:dyDescent="0.25">
      <c r="A9">
        <v>204</v>
      </c>
      <c r="D9">
        <v>204</v>
      </c>
    </row>
    <row r="10" spans="1:104" x14ac:dyDescent="0.25">
      <c r="A10">
        <v>206</v>
      </c>
      <c r="B10">
        <v>206</v>
      </c>
    </row>
    <row r="11" spans="1:104" x14ac:dyDescent="0.25">
      <c r="A11">
        <v>208</v>
      </c>
    </row>
    <row r="12" spans="1:104" x14ac:dyDescent="0.25">
      <c r="A12">
        <v>210</v>
      </c>
      <c r="C12">
        <v>210</v>
      </c>
    </row>
    <row r="13" spans="1:104" x14ac:dyDescent="0.25">
      <c r="A13">
        <v>212</v>
      </c>
      <c r="H13" t="s">
        <v>145</v>
      </c>
    </row>
    <row r="14" spans="1:104" x14ac:dyDescent="0.25">
      <c r="A14">
        <v>214</v>
      </c>
      <c r="G14">
        <v>214</v>
      </c>
    </row>
    <row r="15" spans="1:104" x14ac:dyDescent="0.25">
      <c r="A15">
        <v>216</v>
      </c>
    </row>
    <row r="16" spans="1:104" x14ac:dyDescent="0.25">
      <c r="A16">
        <v>218</v>
      </c>
    </row>
    <row r="17" spans="1:6" x14ac:dyDescent="0.25">
      <c r="A17">
        <v>220</v>
      </c>
    </row>
    <row r="18" spans="1:6" x14ac:dyDescent="0.25">
      <c r="A18">
        <v>222</v>
      </c>
    </row>
    <row r="19" spans="1:6" x14ac:dyDescent="0.25">
      <c r="A19">
        <v>224</v>
      </c>
    </row>
    <row r="20" spans="1:6" x14ac:dyDescent="0.25">
      <c r="A20">
        <v>226</v>
      </c>
      <c r="F20">
        <v>226</v>
      </c>
    </row>
    <row r="21" spans="1:6" x14ac:dyDescent="0.25">
      <c r="A21">
        <v>228</v>
      </c>
    </row>
    <row r="22" spans="1:6" x14ac:dyDescent="0.25">
      <c r="A22">
        <v>230</v>
      </c>
    </row>
    <row r="23" spans="1:6" x14ac:dyDescent="0.25">
      <c r="A23">
        <v>232</v>
      </c>
      <c r="E23">
        <v>232</v>
      </c>
    </row>
    <row r="24" spans="1:6" x14ac:dyDescent="0.25">
      <c r="A24">
        <v>234</v>
      </c>
    </row>
    <row r="25" spans="1:6" x14ac:dyDescent="0.25">
      <c r="A25">
        <v>236</v>
      </c>
    </row>
    <row r="26" spans="1:6" x14ac:dyDescent="0.25">
      <c r="A26">
        <v>238</v>
      </c>
    </row>
    <row r="27" spans="1:6" x14ac:dyDescent="0.25">
      <c r="A27">
        <v>240</v>
      </c>
    </row>
    <row r="28" spans="1:6" x14ac:dyDescent="0.25">
      <c r="A28">
        <v>242</v>
      </c>
      <c r="B28">
        <v>242</v>
      </c>
      <c r="D28">
        <v>242</v>
      </c>
    </row>
    <row r="29" spans="1:6" x14ac:dyDescent="0.25">
      <c r="A29">
        <v>244</v>
      </c>
    </row>
    <row r="30" spans="1:6" x14ac:dyDescent="0.25">
      <c r="A30">
        <v>246</v>
      </c>
    </row>
    <row r="31" spans="1:6" x14ac:dyDescent="0.25">
      <c r="A31">
        <v>248</v>
      </c>
    </row>
    <row r="32" spans="1:6" x14ac:dyDescent="0.25">
      <c r="A32">
        <v>250</v>
      </c>
      <c r="C32">
        <v>250</v>
      </c>
    </row>
    <row r="33" spans="1:8" x14ac:dyDescent="0.25">
      <c r="A33">
        <v>252</v>
      </c>
      <c r="G33">
        <v>252</v>
      </c>
    </row>
    <row r="34" spans="1:8" x14ac:dyDescent="0.25">
      <c r="A34">
        <v>254</v>
      </c>
    </row>
    <row r="35" spans="1:8" x14ac:dyDescent="0.25">
      <c r="A35">
        <v>256</v>
      </c>
    </row>
    <row r="36" spans="1:8" x14ac:dyDescent="0.25">
      <c r="A36">
        <v>258</v>
      </c>
    </row>
    <row r="37" spans="1:8" x14ac:dyDescent="0.25">
      <c r="A37">
        <v>260</v>
      </c>
    </row>
    <row r="38" spans="1:8" x14ac:dyDescent="0.25">
      <c r="A38">
        <v>262</v>
      </c>
    </row>
    <row r="39" spans="1:8" x14ac:dyDescent="0.25">
      <c r="A39">
        <v>264</v>
      </c>
    </row>
    <row r="40" spans="1:8" x14ac:dyDescent="0.25">
      <c r="A40">
        <v>266</v>
      </c>
    </row>
    <row r="41" spans="1:8" x14ac:dyDescent="0.25">
      <c r="A41">
        <v>268</v>
      </c>
    </row>
    <row r="42" spans="1:8" x14ac:dyDescent="0.25">
      <c r="A42">
        <v>270</v>
      </c>
    </row>
    <row r="43" spans="1:8" x14ac:dyDescent="0.25">
      <c r="A43">
        <v>272</v>
      </c>
    </row>
    <row r="44" spans="1:8" x14ac:dyDescent="0.25">
      <c r="A44">
        <v>274</v>
      </c>
      <c r="D44">
        <v>274</v>
      </c>
      <c r="H44">
        <v>274</v>
      </c>
    </row>
    <row r="45" spans="1:8" x14ac:dyDescent="0.25">
      <c r="A45">
        <v>276</v>
      </c>
    </row>
    <row r="46" spans="1:8" x14ac:dyDescent="0.25">
      <c r="A46">
        <v>278</v>
      </c>
    </row>
    <row r="47" spans="1:8" x14ac:dyDescent="0.25">
      <c r="A47">
        <v>280</v>
      </c>
      <c r="G47">
        <v>280</v>
      </c>
    </row>
    <row r="48" spans="1:8" x14ac:dyDescent="0.25">
      <c r="A48">
        <v>282</v>
      </c>
    </row>
    <row r="49" spans="1:6" x14ac:dyDescent="0.25">
      <c r="A49">
        <v>284</v>
      </c>
      <c r="B49">
        <v>284</v>
      </c>
    </row>
    <row r="50" spans="1:6" x14ac:dyDescent="0.25">
      <c r="A50">
        <v>286</v>
      </c>
    </row>
    <row r="51" spans="1:6" x14ac:dyDescent="0.25">
      <c r="A51">
        <v>288</v>
      </c>
    </row>
    <row r="52" spans="1:6" x14ac:dyDescent="0.25">
      <c r="A52">
        <v>290</v>
      </c>
    </row>
    <row r="53" spans="1:6" x14ac:dyDescent="0.25">
      <c r="A53">
        <v>292</v>
      </c>
      <c r="C53" t="s">
        <v>138</v>
      </c>
    </row>
    <row r="54" spans="1:6" x14ac:dyDescent="0.25">
      <c r="A54">
        <v>294</v>
      </c>
    </row>
    <row r="55" spans="1:6" x14ac:dyDescent="0.25">
      <c r="A55">
        <v>296</v>
      </c>
    </row>
    <row r="56" spans="1:6" x14ac:dyDescent="0.25">
      <c r="A56">
        <v>298</v>
      </c>
      <c r="D56">
        <v>298</v>
      </c>
    </row>
    <row r="57" spans="1:6" x14ac:dyDescent="0.25">
      <c r="A57">
        <v>300</v>
      </c>
      <c r="F57">
        <v>300</v>
      </c>
    </row>
    <row r="58" spans="1:6" x14ac:dyDescent="0.25">
      <c r="A58">
        <v>302</v>
      </c>
    </row>
    <row r="59" spans="1:6" x14ac:dyDescent="0.25">
      <c r="A59">
        <v>304</v>
      </c>
      <c r="C59">
        <v>304</v>
      </c>
    </row>
    <row r="60" spans="1:6" x14ac:dyDescent="0.25">
      <c r="A60">
        <v>306</v>
      </c>
    </row>
    <row r="61" spans="1:6" x14ac:dyDescent="0.25">
      <c r="A61">
        <v>308</v>
      </c>
    </row>
    <row r="62" spans="1:6" x14ac:dyDescent="0.25">
      <c r="A62">
        <v>310</v>
      </c>
    </row>
    <row r="63" spans="1:6" x14ac:dyDescent="0.25">
      <c r="A63">
        <v>312</v>
      </c>
    </row>
    <row r="64" spans="1:6" x14ac:dyDescent="0.25">
      <c r="A64">
        <v>314</v>
      </c>
    </row>
    <row r="65" spans="1:5" x14ac:dyDescent="0.25">
      <c r="A65">
        <v>316</v>
      </c>
      <c r="E65">
        <v>316</v>
      </c>
    </row>
    <row r="66" spans="1:5" x14ac:dyDescent="0.25">
      <c r="A66">
        <v>318</v>
      </c>
      <c r="C66" t="s">
        <v>139</v>
      </c>
    </row>
    <row r="67" spans="1:5" x14ac:dyDescent="0.25">
      <c r="A67">
        <v>320</v>
      </c>
    </row>
    <row r="68" spans="1:5" x14ac:dyDescent="0.25">
      <c r="A68">
        <v>322</v>
      </c>
    </row>
    <row r="69" spans="1:5" x14ac:dyDescent="0.25">
      <c r="A69">
        <v>324</v>
      </c>
    </row>
    <row r="70" spans="1:5" x14ac:dyDescent="0.25">
      <c r="A70">
        <v>326</v>
      </c>
    </row>
    <row r="71" spans="1:5" x14ac:dyDescent="0.25">
      <c r="A71">
        <v>328</v>
      </c>
    </row>
    <row r="72" spans="1:5" x14ac:dyDescent="0.25">
      <c r="A72">
        <v>330</v>
      </c>
    </row>
    <row r="73" spans="1:5" x14ac:dyDescent="0.25">
      <c r="A73">
        <v>332</v>
      </c>
    </row>
    <row r="74" spans="1:5" x14ac:dyDescent="0.25">
      <c r="A74">
        <v>334</v>
      </c>
      <c r="C74" t="s">
        <v>140</v>
      </c>
    </row>
    <row r="75" spans="1:5" x14ac:dyDescent="0.25">
      <c r="A75">
        <v>336</v>
      </c>
    </row>
    <row r="76" spans="1:5" x14ac:dyDescent="0.25">
      <c r="A76">
        <v>338</v>
      </c>
    </row>
    <row r="77" spans="1:5" x14ac:dyDescent="0.25">
      <c r="A77">
        <v>340</v>
      </c>
    </row>
    <row r="78" spans="1:5" x14ac:dyDescent="0.25">
      <c r="A78">
        <v>342</v>
      </c>
    </row>
    <row r="79" spans="1:5" x14ac:dyDescent="0.25">
      <c r="A79">
        <v>344</v>
      </c>
    </row>
    <row r="80" spans="1:5" x14ac:dyDescent="0.25">
      <c r="A80">
        <v>346</v>
      </c>
      <c r="C80" t="s">
        <v>141</v>
      </c>
    </row>
    <row r="81" spans="1:5" x14ac:dyDescent="0.25">
      <c r="A81">
        <v>348</v>
      </c>
    </row>
    <row r="82" spans="1:5" x14ac:dyDescent="0.25">
      <c r="A82">
        <v>350</v>
      </c>
    </row>
    <row r="83" spans="1:5" x14ac:dyDescent="0.25">
      <c r="A83">
        <v>352</v>
      </c>
    </row>
    <row r="84" spans="1:5" x14ac:dyDescent="0.25">
      <c r="A84">
        <v>354</v>
      </c>
      <c r="B84">
        <v>354</v>
      </c>
    </row>
    <row r="85" spans="1:5" x14ac:dyDescent="0.25">
      <c r="A85">
        <v>356</v>
      </c>
    </row>
    <row r="86" spans="1:5" x14ac:dyDescent="0.25">
      <c r="A86">
        <v>358</v>
      </c>
    </row>
    <row r="87" spans="1:5" x14ac:dyDescent="0.25">
      <c r="A87">
        <v>360</v>
      </c>
    </row>
    <row r="88" spans="1:5" x14ac:dyDescent="0.25">
      <c r="A88">
        <v>362</v>
      </c>
    </row>
    <row r="89" spans="1:5" x14ac:dyDescent="0.25">
      <c r="A89">
        <v>364</v>
      </c>
      <c r="C89">
        <v>364</v>
      </c>
    </row>
    <row r="90" spans="1:5" x14ac:dyDescent="0.25">
      <c r="A90">
        <v>366</v>
      </c>
    </row>
    <row r="91" spans="1:5" x14ac:dyDescent="0.25">
      <c r="A91">
        <v>368</v>
      </c>
    </row>
    <row r="92" spans="1:5" x14ac:dyDescent="0.25">
      <c r="A92">
        <v>370</v>
      </c>
    </row>
    <row r="93" spans="1:5" x14ac:dyDescent="0.25">
      <c r="A93">
        <v>372</v>
      </c>
    </row>
    <row r="94" spans="1:5" x14ac:dyDescent="0.25">
      <c r="A94">
        <v>374</v>
      </c>
      <c r="E94">
        <v>374</v>
      </c>
    </row>
    <row r="95" spans="1:5" x14ac:dyDescent="0.25">
      <c r="A95">
        <v>376</v>
      </c>
    </row>
    <row r="96" spans="1:5" x14ac:dyDescent="0.25">
      <c r="A96">
        <v>378</v>
      </c>
      <c r="C96">
        <v>378</v>
      </c>
    </row>
    <row r="97" spans="1:6" x14ac:dyDescent="0.25">
      <c r="A97">
        <v>380</v>
      </c>
    </row>
    <row r="98" spans="1:6" x14ac:dyDescent="0.25">
      <c r="A98">
        <v>382</v>
      </c>
      <c r="F98">
        <v>382</v>
      </c>
    </row>
    <row r="99" spans="1:6" x14ac:dyDescent="0.25">
      <c r="A99">
        <v>384</v>
      </c>
    </row>
    <row r="100" spans="1:6" x14ac:dyDescent="0.25">
      <c r="A100">
        <v>386</v>
      </c>
    </row>
    <row r="101" spans="1:6" x14ac:dyDescent="0.25">
      <c r="A101">
        <v>388</v>
      </c>
      <c r="D101">
        <v>388</v>
      </c>
    </row>
    <row r="102" spans="1:6" x14ac:dyDescent="0.25">
      <c r="A102">
        <v>390</v>
      </c>
    </row>
    <row r="103" spans="1:6" x14ac:dyDescent="0.25">
      <c r="A103">
        <v>392</v>
      </c>
    </row>
    <row r="104" spans="1:6" x14ac:dyDescent="0.25">
      <c r="A104">
        <v>394</v>
      </c>
    </row>
    <row r="105" spans="1:6" x14ac:dyDescent="0.25">
      <c r="A105">
        <v>396</v>
      </c>
      <c r="C105">
        <v>396</v>
      </c>
    </row>
    <row r="106" spans="1:6" x14ac:dyDescent="0.25">
      <c r="A106">
        <v>398</v>
      </c>
    </row>
    <row r="107" spans="1:6" x14ac:dyDescent="0.25">
      <c r="A107">
        <v>400</v>
      </c>
    </row>
    <row r="108" spans="1:6" x14ac:dyDescent="0.25">
      <c r="A108">
        <v>402</v>
      </c>
    </row>
    <row r="109" spans="1:6" x14ac:dyDescent="0.25">
      <c r="A109">
        <v>404</v>
      </c>
      <c r="E109" t="s">
        <v>142</v>
      </c>
    </row>
    <row r="110" spans="1:6" x14ac:dyDescent="0.25">
      <c r="A110">
        <v>406</v>
      </c>
    </row>
    <row r="111" spans="1:6" x14ac:dyDescent="0.25">
      <c r="A111">
        <v>408</v>
      </c>
    </row>
    <row r="112" spans="1:6" x14ac:dyDescent="0.25">
      <c r="A112">
        <v>410</v>
      </c>
      <c r="F112" t="s">
        <v>143</v>
      </c>
    </row>
    <row r="113" spans="1:3" x14ac:dyDescent="0.25">
      <c r="A113">
        <v>412</v>
      </c>
    </row>
    <row r="114" spans="1:3" x14ac:dyDescent="0.25">
      <c r="A114">
        <v>414</v>
      </c>
    </row>
    <row r="115" spans="1:3" x14ac:dyDescent="0.25">
      <c r="A115">
        <v>416</v>
      </c>
      <c r="C115">
        <v>416</v>
      </c>
    </row>
    <row r="116" spans="1:3" x14ac:dyDescent="0.25">
      <c r="A116">
        <v>418</v>
      </c>
    </row>
    <row r="117" spans="1:3" x14ac:dyDescent="0.25">
      <c r="A117">
        <v>420</v>
      </c>
    </row>
    <row r="118" spans="1:3" x14ac:dyDescent="0.25">
      <c r="A118">
        <v>422</v>
      </c>
    </row>
    <row r="119" spans="1:3" x14ac:dyDescent="0.25">
      <c r="A119">
        <v>424</v>
      </c>
    </row>
    <row r="120" spans="1:3" x14ac:dyDescent="0.25">
      <c r="A120">
        <v>426</v>
      </c>
    </row>
    <row r="121" spans="1:3" x14ac:dyDescent="0.25">
      <c r="A121">
        <v>428</v>
      </c>
    </row>
    <row r="122" spans="1:3" x14ac:dyDescent="0.25">
      <c r="A122">
        <v>430</v>
      </c>
      <c r="C122">
        <v>430</v>
      </c>
    </row>
    <row r="123" spans="1:3" x14ac:dyDescent="0.25">
      <c r="A123">
        <v>432</v>
      </c>
    </row>
    <row r="124" spans="1:3" x14ac:dyDescent="0.25">
      <c r="A124">
        <v>434</v>
      </c>
    </row>
    <row r="125" spans="1:3" x14ac:dyDescent="0.25">
      <c r="A125">
        <v>436</v>
      </c>
    </row>
    <row r="126" spans="1:3" x14ac:dyDescent="0.25">
      <c r="A126">
        <v>438</v>
      </c>
    </row>
    <row r="127" spans="1:3" x14ac:dyDescent="0.25">
      <c r="A127">
        <v>440</v>
      </c>
    </row>
    <row r="128" spans="1:3" x14ac:dyDescent="0.25">
      <c r="A128">
        <v>442</v>
      </c>
      <c r="C128">
        <v>442</v>
      </c>
    </row>
    <row r="129" spans="1:6" x14ac:dyDescent="0.25">
      <c r="A129">
        <v>444</v>
      </c>
    </row>
    <row r="130" spans="1:6" x14ac:dyDescent="0.25">
      <c r="A130">
        <v>446</v>
      </c>
    </row>
    <row r="131" spans="1:6" x14ac:dyDescent="0.25">
      <c r="A131">
        <v>448</v>
      </c>
    </row>
    <row r="132" spans="1:6" x14ac:dyDescent="0.25">
      <c r="A132">
        <v>450</v>
      </c>
    </row>
    <row r="133" spans="1:6" x14ac:dyDescent="0.25">
      <c r="A133">
        <v>452</v>
      </c>
    </row>
    <row r="134" spans="1:6" x14ac:dyDescent="0.25">
      <c r="A134">
        <v>454</v>
      </c>
    </row>
    <row r="135" spans="1:6" x14ac:dyDescent="0.25">
      <c r="A135">
        <v>456</v>
      </c>
    </row>
    <row r="136" spans="1:6" x14ac:dyDescent="0.25">
      <c r="A136">
        <v>458</v>
      </c>
    </row>
    <row r="137" spans="1:6" x14ac:dyDescent="0.25">
      <c r="A137">
        <v>460</v>
      </c>
    </row>
    <row r="138" spans="1:6" x14ac:dyDescent="0.25">
      <c r="A138">
        <v>462</v>
      </c>
    </row>
    <row r="139" spans="1:6" x14ac:dyDescent="0.25">
      <c r="A139">
        <v>464</v>
      </c>
      <c r="C139">
        <v>464</v>
      </c>
      <c r="E139">
        <v>464</v>
      </c>
      <c r="F139">
        <v>464</v>
      </c>
    </row>
    <row r="140" spans="1:6" x14ac:dyDescent="0.25">
      <c r="A140">
        <v>466</v>
      </c>
    </row>
    <row r="141" spans="1:6" x14ac:dyDescent="0.25">
      <c r="A141">
        <v>468</v>
      </c>
    </row>
    <row r="142" spans="1:6" x14ac:dyDescent="0.25">
      <c r="A142">
        <v>470</v>
      </c>
    </row>
    <row r="143" spans="1:6" x14ac:dyDescent="0.25">
      <c r="A143">
        <v>472</v>
      </c>
    </row>
    <row r="144" spans="1:6" x14ac:dyDescent="0.25">
      <c r="A144">
        <v>474</v>
      </c>
    </row>
    <row r="145" spans="1:6" x14ac:dyDescent="0.25">
      <c r="A145">
        <v>476</v>
      </c>
    </row>
    <row r="146" spans="1:6" x14ac:dyDescent="0.25">
      <c r="A146">
        <v>478</v>
      </c>
    </row>
    <row r="147" spans="1:6" x14ac:dyDescent="0.25">
      <c r="A147">
        <v>480</v>
      </c>
    </row>
    <row r="148" spans="1:6" x14ac:dyDescent="0.25">
      <c r="A148">
        <v>482</v>
      </c>
    </row>
    <row r="149" spans="1:6" x14ac:dyDescent="0.25">
      <c r="A149">
        <v>484</v>
      </c>
    </row>
    <row r="150" spans="1:6" x14ac:dyDescent="0.25">
      <c r="A150">
        <v>486</v>
      </c>
    </row>
    <row r="151" spans="1:6" x14ac:dyDescent="0.25">
      <c r="A151">
        <v>488</v>
      </c>
      <c r="D151">
        <v>488</v>
      </c>
    </row>
    <row r="152" spans="1:6" x14ac:dyDescent="0.25">
      <c r="A152">
        <v>490</v>
      </c>
      <c r="E152">
        <v>490</v>
      </c>
    </row>
    <row r="153" spans="1:6" x14ac:dyDescent="0.25">
      <c r="A153">
        <v>492</v>
      </c>
      <c r="C153">
        <v>492</v>
      </c>
    </row>
    <row r="154" spans="1:6" x14ac:dyDescent="0.25">
      <c r="A154">
        <v>494</v>
      </c>
    </row>
    <row r="155" spans="1:6" x14ac:dyDescent="0.25">
      <c r="A155">
        <v>496</v>
      </c>
    </row>
    <row r="156" spans="1:6" x14ac:dyDescent="0.25">
      <c r="A156">
        <v>498</v>
      </c>
    </row>
    <row r="157" spans="1:6" x14ac:dyDescent="0.25">
      <c r="A157">
        <v>500</v>
      </c>
      <c r="F157">
        <v>500</v>
      </c>
    </row>
    <row r="158" spans="1:6" x14ac:dyDescent="0.25">
      <c r="A158">
        <v>502</v>
      </c>
    </row>
    <row r="159" spans="1:6" x14ac:dyDescent="0.25">
      <c r="A159">
        <v>504</v>
      </c>
      <c r="C159">
        <v>504</v>
      </c>
    </row>
    <row r="160" spans="1:6" x14ac:dyDescent="0.25">
      <c r="A160">
        <v>506</v>
      </c>
    </row>
    <row r="161" spans="1:6" x14ac:dyDescent="0.25">
      <c r="A161">
        <v>508</v>
      </c>
    </row>
    <row r="162" spans="1:6" x14ac:dyDescent="0.25">
      <c r="A162">
        <v>510</v>
      </c>
    </row>
    <row r="163" spans="1:6" x14ac:dyDescent="0.25">
      <c r="A163">
        <v>512</v>
      </c>
    </row>
    <row r="164" spans="1:6" x14ac:dyDescent="0.25">
      <c r="A164">
        <v>514</v>
      </c>
    </row>
    <row r="165" spans="1:6" x14ac:dyDescent="0.25">
      <c r="A165">
        <v>516</v>
      </c>
    </row>
    <row r="166" spans="1:6" x14ac:dyDescent="0.25">
      <c r="A166">
        <v>518</v>
      </c>
    </row>
    <row r="167" spans="1:6" x14ac:dyDescent="0.25">
      <c r="A167">
        <v>520</v>
      </c>
    </row>
    <row r="168" spans="1:6" x14ac:dyDescent="0.25">
      <c r="A168">
        <v>522</v>
      </c>
    </row>
    <row r="169" spans="1:6" x14ac:dyDescent="0.25">
      <c r="A169">
        <v>524</v>
      </c>
      <c r="E169">
        <v>524</v>
      </c>
      <c r="F169">
        <v>524</v>
      </c>
    </row>
    <row r="170" spans="1:6" x14ac:dyDescent="0.25">
      <c r="A170">
        <v>526</v>
      </c>
    </row>
    <row r="171" spans="1:6" x14ac:dyDescent="0.25">
      <c r="A171">
        <v>528</v>
      </c>
    </row>
    <row r="172" spans="1:6" x14ac:dyDescent="0.25">
      <c r="A172">
        <v>530</v>
      </c>
    </row>
    <row r="173" spans="1:6" x14ac:dyDescent="0.25">
      <c r="A173">
        <v>532</v>
      </c>
    </row>
    <row r="174" spans="1:6" x14ac:dyDescent="0.25">
      <c r="A174">
        <v>534</v>
      </c>
    </row>
    <row r="175" spans="1:6" x14ac:dyDescent="0.25">
      <c r="A175">
        <v>536</v>
      </c>
    </row>
    <row r="176" spans="1:6" x14ac:dyDescent="0.25">
      <c r="A176">
        <v>538</v>
      </c>
    </row>
    <row r="177" spans="1:6" x14ac:dyDescent="0.25">
      <c r="A177">
        <v>540</v>
      </c>
    </row>
    <row r="178" spans="1:6" x14ac:dyDescent="0.25">
      <c r="A178">
        <v>542</v>
      </c>
    </row>
    <row r="179" spans="1:6" x14ac:dyDescent="0.25">
      <c r="A179">
        <v>544</v>
      </c>
    </row>
    <row r="180" spans="1:6" x14ac:dyDescent="0.25">
      <c r="A180">
        <v>546</v>
      </c>
    </row>
    <row r="181" spans="1:6" x14ac:dyDescent="0.25">
      <c r="A181">
        <v>548</v>
      </c>
    </row>
    <row r="182" spans="1:6" x14ac:dyDescent="0.25">
      <c r="A182">
        <v>550</v>
      </c>
      <c r="C182">
        <v>550</v>
      </c>
    </row>
    <row r="183" spans="1:6" x14ac:dyDescent="0.25">
      <c r="A183">
        <v>552</v>
      </c>
    </row>
    <row r="184" spans="1:6" x14ac:dyDescent="0.25">
      <c r="A184">
        <v>554</v>
      </c>
    </row>
    <row r="185" spans="1:6" x14ac:dyDescent="0.25">
      <c r="A185">
        <v>556</v>
      </c>
      <c r="F185" t="s">
        <v>144</v>
      </c>
    </row>
    <row r="186" spans="1:6" x14ac:dyDescent="0.25">
      <c r="A186">
        <v>558</v>
      </c>
    </row>
    <row r="187" spans="1:6" x14ac:dyDescent="0.25">
      <c r="A187">
        <v>560</v>
      </c>
    </row>
    <row r="188" spans="1:6" x14ac:dyDescent="0.25">
      <c r="A188">
        <v>562</v>
      </c>
    </row>
    <row r="189" spans="1:6" x14ac:dyDescent="0.25">
      <c r="A189">
        <v>564</v>
      </c>
    </row>
    <row r="190" spans="1:6" x14ac:dyDescent="0.25">
      <c r="A190">
        <v>566</v>
      </c>
    </row>
    <row r="191" spans="1:6" x14ac:dyDescent="0.25">
      <c r="A191">
        <v>568</v>
      </c>
    </row>
    <row r="192" spans="1:6" x14ac:dyDescent="0.25">
      <c r="A192">
        <v>570</v>
      </c>
    </row>
    <row r="193" spans="1:3" x14ac:dyDescent="0.25">
      <c r="A193">
        <v>572</v>
      </c>
    </row>
    <row r="194" spans="1:3" x14ac:dyDescent="0.25">
      <c r="A194">
        <v>574</v>
      </c>
    </row>
    <row r="195" spans="1:3" x14ac:dyDescent="0.25">
      <c r="A195">
        <v>576</v>
      </c>
    </row>
    <row r="196" spans="1:3" x14ac:dyDescent="0.25">
      <c r="A196">
        <v>578</v>
      </c>
    </row>
    <row r="197" spans="1:3" x14ac:dyDescent="0.25">
      <c r="A197">
        <v>580</v>
      </c>
    </row>
    <row r="198" spans="1:3" x14ac:dyDescent="0.25">
      <c r="A198">
        <v>582</v>
      </c>
      <c r="C198">
        <v>582</v>
      </c>
    </row>
    <row r="199" spans="1:3" x14ac:dyDescent="0.25">
      <c r="A199">
        <v>584</v>
      </c>
    </row>
    <row r="200" spans="1:3" x14ac:dyDescent="0.25">
      <c r="A200">
        <v>586</v>
      </c>
    </row>
    <row r="201" spans="1:3" x14ac:dyDescent="0.25">
      <c r="A201">
        <v>588</v>
      </c>
    </row>
    <row r="202" spans="1:3" x14ac:dyDescent="0.25">
      <c r="A202">
        <v>590</v>
      </c>
    </row>
    <row r="203" spans="1:3" x14ac:dyDescent="0.25">
      <c r="A203">
        <v>592</v>
      </c>
    </row>
    <row r="204" spans="1:3" x14ac:dyDescent="0.25">
      <c r="A204">
        <v>594</v>
      </c>
    </row>
    <row r="205" spans="1:3" x14ac:dyDescent="0.25">
      <c r="A205">
        <v>596</v>
      </c>
    </row>
    <row r="206" spans="1:3" x14ac:dyDescent="0.25">
      <c r="A206">
        <v>598</v>
      </c>
    </row>
    <row r="207" spans="1:3" x14ac:dyDescent="0.25">
      <c r="A207">
        <v>600</v>
      </c>
    </row>
    <row r="208" spans="1:3" x14ac:dyDescent="0.25">
      <c r="A208">
        <v>602</v>
      </c>
    </row>
    <row r="209" spans="1:3" x14ac:dyDescent="0.25">
      <c r="A209">
        <v>604</v>
      </c>
      <c r="C209">
        <v>604</v>
      </c>
    </row>
    <row r="210" spans="1:3" x14ac:dyDescent="0.25">
      <c r="A210">
        <v>606</v>
      </c>
    </row>
    <row r="211" spans="1:3" x14ac:dyDescent="0.25">
      <c r="A211">
        <v>608</v>
      </c>
    </row>
    <row r="212" spans="1:3" x14ac:dyDescent="0.25">
      <c r="A212">
        <v>610</v>
      </c>
    </row>
    <row r="213" spans="1:3" x14ac:dyDescent="0.25">
      <c r="A213">
        <v>612</v>
      </c>
    </row>
    <row r="214" spans="1:3" x14ac:dyDescent="0.25">
      <c r="A214">
        <v>614</v>
      </c>
    </row>
    <row r="215" spans="1:3" x14ac:dyDescent="0.25">
      <c r="A215">
        <v>616</v>
      </c>
    </row>
    <row r="216" spans="1:3" x14ac:dyDescent="0.25">
      <c r="A216">
        <v>618</v>
      </c>
    </row>
    <row r="217" spans="1:3" x14ac:dyDescent="0.25">
      <c r="A217">
        <v>620</v>
      </c>
    </row>
    <row r="218" spans="1:3" x14ac:dyDescent="0.25">
      <c r="A218">
        <v>622</v>
      </c>
    </row>
    <row r="219" spans="1:3" x14ac:dyDescent="0.25">
      <c r="A219">
        <v>624</v>
      </c>
    </row>
    <row r="220" spans="1:3" x14ac:dyDescent="0.25">
      <c r="A220">
        <v>626</v>
      </c>
    </row>
    <row r="221" spans="1:3" x14ac:dyDescent="0.25">
      <c r="A221">
        <v>628</v>
      </c>
      <c r="C221">
        <v>628</v>
      </c>
    </row>
    <row r="222" spans="1:3" x14ac:dyDescent="0.25">
      <c r="A222">
        <v>630</v>
      </c>
    </row>
    <row r="223" spans="1:3" x14ac:dyDescent="0.25">
      <c r="A223">
        <v>632</v>
      </c>
    </row>
    <row r="224" spans="1:3" x14ac:dyDescent="0.25">
      <c r="A224">
        <v>634</v>
      </c>
    </row>
    <row r="225" spans="1:1" x14ac:dyDescent="0.25">
      <c r="A225">
        <v>636</v>
      </c>
    </row>
    <row r="226" spans="1:1" x14ac:dyDescent="0.25">
      <c r="A226">
        <v>638</v>
      </c>
    </row>
    <row r="227" spans="1:1" x14ac:dyDescent="0.25">
      <c r="A227">
        <v>640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dimension ref="A1"/>
  <sheetViews>
    <sheetView workbookViewId="0"/>
  </sheetViews>
  <sheetFormatPr defaultColWidth="9.140625" defaultRowHeight="15" x14ac:dyDescent="0.25"/>
  <cols>
    <col min="1" max="16384" width="9.140625" style="3"/>
  </cols>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2:A902"/>
  <sheetViews>
    <sheetView workbookViewId="0"/>
  </sheetViews>
  <sheetFormatPr defaultRowHeight="15" x14ac:dyDescent="0.25"/>
  <sheetData>
    <row r="2" spans="1:1" x14ac:dyDescent="0.25">
      <c r="A2">
        <v>100</v>
      </c>
    </row>
    <row r="3" spans="1:1" x14ac:dyDescent="0.25">
      <c r="A3">
        <v>101</v>
      </c>
    </row>
    <row r="4" spans="1:1" x14ac:dyDescent="0.25">
      <c r="A4">
        <v>102</v>
      </c>
    </row>
    <row r="5" spans="1:1" x14ac:dyDescent="0.25">
      <c r="A5">
        <v>103</v>
      </c>
    </row>
    <row r="6" spans="1:1" x14ac:dyDescent="0.25">
      <c r="A6">
        <v>104</v>
      </c>
    </row>
    <row r="7" spans="1:1" x14ac:dyDescent="0.25">
      <c r="A7">
        <v>105</v>
      </c>
    </row>
    <row r="8" spans="1:1" x14ac:dyDescent="0.25">
      <c r="A8">
        <v>106</v>
      </c>
    </row>
    <row r="9" spans="1:1" x14ac:dyDescent="0.25">
      <c r="A9">
        <v>107</v>
      </c>
    </row>
    <row r="10" spans="1:1" x14ac:dyDescent="0.25">
      <c r="A10">
        <v>108</v>
      </c>
    </row>
    <row r="11" spans="1:1" x14ac:dyDescent="0.25">
      <c r="A11">
        <v>109</v>
      </c>
    </row>
    <row r="12" spans="1:1" x14ac:dyDescent="0.25">
      <c r="A12">
        <v>110</v>
      </c>
    </row>
    <row r="13" spans="1:1" x14ac:dyDescent="0.25">
      <c r="A13">
        <v>111</v>
      </c>
    </row>
    <row r="14" spans="1:1" x14ac:dyDescent="0.25">
      <c r="A14">
        <v>112</v>
      </c>
    </row>
    <row r="15" spans="1:1" x14ac:dyDescent="0.25">
      <c r="A15">
        <v>113</v>
      </c>
    </row>
    <row r="16" spans="1:1" x14ac:dyDescent="0.25">
      <c r="A16">
        <v>114</v>
      </c>
    </row>
    <row r="17" spans="1:1" x14ac:dyDescent="0.25">
      <c r="A17">
        <v>115</v>
      </c>
    </row>
    <row r="18" spans="1:1" x14ac:dyDescent="0.25">
      <c r="A18">
        <v>116</v>
      </c>
    </row>
    <row r="19" spans="1:1" x14ac:dyDescent="0.25">
      <c r="A19">
        <v>117</v>
      </c>
    </row>
    <row r="20" spans="1:1" x14ac:dyDescent="0.25">
      <c r="A20">
        <v>118</v>
      </c>
    </row>
    <row r="21" spans="1:1" x14ac:dyDescent="0.25">
      <c r="A21">
        <v>119</v>
      </c>
    </row>
    <row r="22" spans="1:1" x14ac:dyDescent="0.25">
      <c r="A22">
        <v>120</v>
      </c>
    </row>
    <row r="23" spans="1:1" x14ac:dyDescent="0.25">
      <c r="A23">
        <v>121</v>
      </c>
    </row>
    <row r="24" spans="1:1" x14ac:dyDescent="0.25">
      <c r="A24">
        <v>122</v>
      </c>
    </row>
    <row r="25" spans="1:1" x14ac:dyDescent="0.25">
      <c r="A25">
        <v>123</v>
      </c>
    </row>
    <row r="26" spans="1:1" x14ac:dyDescent="0.25">
      <c r="A26">
        <v>124</v>
      </c>
    </row>
    <row r="27" spans="1:1" x14ac:dyDescent="0.25">
      <c r="A27">
        <v>125</v>
      </c>
    </row>
    <row r="28" spans="1:1" x14ac:dyDescent="0.25">
      <c r="A28">
        <v>126</v>
      </c>
    </row>
    <row r="29" spans="1:1" x14ac:dyDescent="0.25">
      <c r="A29">
        <v>127</v>
      </c>
    </row>
    <row r="30" spans="1:1" x14ac:dyDescent="0.25">
      <c r="A30">
        <v>128</v>
      </c>
    </row>
    <row r="31" spans="1:1" x14ac:dyDescent="0.25">
      <c r="A31">
        <v>129</v>
      </c>
    </row>
    <row r="32" spans="1:1" x14ac:dyDescent="0.25">
      <c r="A32">
        <v>130</v>
      </c>
    </row>
    <row r="33" spans="1:1" x14ac:dyDescent="0.25">
      <c r="A33">
        <v>131</v>
      </c>
    </row>
    <row r="34" spans="1:1" x14ac:dyDescent="0.25">
      <c r="A34">
        <v>132</v>
      </c>
    </row>
    <row r="35" spans="1:1" x14ac:dyDescent="0.25">
      <c r="A35">
        <v>133</v>
      </c>
    </row>
    <row r="36" spans="1:1" x14ac:dyDescent="0.25">
      <c r="A36">
        <v>134</v>
      </c>
    </row>
    <row r="37" spans="1:1" x14ac:dyDescent="0.25">
      <c r="A37">
        <v>135</v>
      </c>
    </row>
    <row r="38" spans="1:1" x14ac:dyDescent="0.25">
      <c r="A38">
        <v>136</v>
      </c>
    </row>
    <row r="39" spans="1:1" x14ac:dyDescent="0.25">
      <c r="A39">
        <v>137</v>
      </c>
    </row>
    <row r="40" spans="1:1" x14ac:dyDescent="0.25">
      <c r="A40">
        <v>138</v>
      </c>
    </row>
    <row r="41" spans="1:1" x14ac:dyDescent="0.25">
      <c r="A41">
        <v>139</v>
      </c>
    </row>
    <row r="42" spans="1:1" x14ac:dyDescent="0.25">
      <c r="A42">
        <v>140</v>
      </c>
    </row>
    <row r="43" spans="1:1" x14ac:dyDescent="0.25">
      <c r="A43">
        <v>141</v>
      </c>
    </row>
    <row r="44" spans="1:1" x14ac:dyDescent="0.25">
      <c r="A44">
        <v>142</v>
      </c>
    </row>
    <row r="45" spans="1:1" x14ac:dyDescent="0.25">
      <c r="A45">
        <v>143</v>
      </c>
    </row>
    <row r="46" spans="1:1" x14ac:dyDescent="0.25">
      <c r="A46">
        <v>144</v>
      </c>
    </row>
    <row r="47" spans="1:1" x14ac:dyDescent="0.25">
      <c r="A47">
        <v>145</v>
      </c>
    </row>
    <row r="48" spans="1:1" x14ac:dyDescent="0.25">
      <c r="A48">
        <v>146</v>
      </c>
    </row>
    <row r="49" spans="1:1" x14ac:dyDescent="0.25">
      <c r="A49">
        <v>147</v>
      </c>
    </row>
    <row r="50" spans="1:1" x14ac:dyDescent="0.25">
      <c r="A50">
        <v>148</v>
      </c>
    </row>
    <row r="51" spans="1:1" x14ac:dyDescent="0.25">
      <c r="A51">
        <v>149</v>
      </c>
    </row>
    <row r="52" spans="1:1" x14ac:dyDescent="0.25">
      <c r="A52">
        <v>150</v>
      </c>
    </row>
    <row r="53" spans="1:1" x14ac:dyDescent="0.25">
      <c r="A53">
        <v>151</v>
      </c>
    </row>
    <row r="54" spans="1:1" x14ac:dyDescent="0.25">
      <c r="A54">
        <v>152</v>
      </c>
    </row>
    <row r="55" spans="1:1" x14ac:dyDescent="0.25">
      <c r="A55">
        <v>153</v>
      </c>
    </row>
    <row r="56" spans="1:1" x14ac:dyDescent="0.25">
      <c r="A56">
        <v>154</v>
      </c>
    </row>
    <row r="57" spans="1:1" x14ac:dyDescent="0.25">
      <c r="A57">
        <v>155</v>
      </c>
    </row>
    <row r="58" spans="1:1" x14ac:dyDescent="0.25">
      <c r="A58">
        <v>156</v>
      </c>
    </row>
    <row r="59" spans="1:1" x14ac:dyDescent="0.25">
      <c r="A59">
        <v>157</v>
      </c>
    </row>
    <row r="60" spans="1:1" x14ac:dyDescent="0.25">
      <c r="A60">
        <v>158</v>
      </c>
    </row>
    <row r="61" spans="1:1" x14ac:dyDescent="0.25">
      <c r="A61">
        <v>159</v>
      </c>
    </row>
    <row r="62" spans="1:1" x14ac:dyDescent="0.25">
      <c r="A62">
        <v>160</v>
      </c>
    </row>
    <row r="63" spans="1:1" x14ac:dyDescent="0.25">
      <c r="A63">
        <v>161</v>
      </c>
    </row>
    <row r="64" spans="1:1" x14ac:dyDescent="0.25">
      <c r="A64">
        <v>162</v>
      </c>
    </row>
    <row r="65" spans="1:1" x14ac:dyDescent="0.25">
      <c r="A65">
        <v>163</v>
      </c>
    </row>
    <row r="66" spans="1:1" x14ac:dyDescent="0.25">
      <c r="A66">
        <v>164</v>
      </c>
    </row>
    <row r="67" spans="1:1" x14ac:dyDescent="0.25">
      <c r="A67">
        <v>165</v>
      </c>
    </row>
    <row r="68" spans="1:1" x14ac:dyDescent="0.25">
      <c r="A68">
        <v>166</v>
      </c>
    </row>
    <row r="69" spans="1:1" x14ac:dyDescent="0.25">
      <c r="A69">
        <v>167</v>
      </c>
    </row>
    <row r="70" spans="1:1" x14ac:dyDescent="0.25">
      <c r="A70">
        <v>168</v>
      </c>
    </row>
    <row r="71" spans="1:1" x14ac:dyDescent="0.25">
      <c r="A71">
        <v>169</v>
      </c>
    </row>
    <row r="72" spans="1:1" x14ac:dyDescent="0.25">
      <c r="A72">
        <v>170</v>
      </c>
    </row>
    <row r="73" spans="1:1" x14ac:dyDescent="0.25">
      <c r="A73">
        <v>171</v>
      </c>
    </row>
    <row r="74" spans="1:1" x14ac:dyDescent="0.25">
      <c r="A74">
        <v>172</v>
      </c>
    </row>
    <row r="75" spans="1:1" x14ac:dyDescent="0.25">
      <c r="A75">
        <v>173</v>
      </c>
    </row>
    <row r="76" spans="1:1" x14ac:dyDescent="0.25">
      <c r="A76">
        <v>174</v>
      </c>
    </row>
    <row r="77" spans="1:1" x14ac:dyDescent="0.25">
      <c r="A77">
        <v>175</v>
      </c>
    </row>
    <row r="78" spans="1:1" x14ac:dyDescent="0.25">
      <c r="A78">
        <v>176</v>
      </c>
    </row>
    <row r="79" spans="1:1" x14ac:dyDescent="0.25">
      <c r="A79">
        <v>177</v>
      </c>
    </row>
    <row r="80" spans="1:1" x14ac:dyDescent="0.25">
      <c r="A80">
        <v>178</v>
      </c>
    </row>
    <row r="81" spans="1:1" x14ac:dyDescent="0.25">
      <c r="A81">
        <v>179</v>
      </c>
    </row>
    <row r="82" spans="1:1" x14ac:dyDescent="0.25">
      <c r="A82">
        <v>180</v>
      </c>
    </row>
    <row r="83" spans="1:1" x14ac:dyDescent="0.25">
      <c r="A83">
        <v>181</v>
      </c>
    </row>
    <row r="84" spans="1:1" x14ac:dyDescent="0.25">
      <c r="A84">
        <v>182</v>
      </c>
    </row>
    <row r="85" spans="1:1" x14ac:dyDescent="0.25">
      <c r="A85">
        <v>183</v>
      </c>
    </row>
    <row r="86" spans="1:1" x14ac:dyDescent="0.25">
      <c r="A86">
        <v>184</v>
      </c>
    </row>
    <row r="87" spans="1:1" x14ac:dyDescent="0.25">
      <c r="A87">
        <v>185</v>
      </c>
    </row>
    <row r="88" spans="1:1" x14ac:dyDescent="0.25">
      <c r="A88">
        <v>186</v>
      </c>
    </row>
    <row r="89" spans="1:1" x14ac:dyDescent="0.25">
      <c r="A89">
        <v>187</v>
      </c>
    </row>
    <row r="90" spans="1:1" x14ac:dyDescent="0.25">
      <c r="A90">
        <v>188</v>
      </c>
    </row>
    <row r="91" spans="1:1" x14ac:dyDescent="0.25">
      <c r="A91">
        <v>189</v>
      </c>
    </row>
    <row r="92" spans="1:1" x14ac:dyDescent="0.25">
      <c r="A92">
        <v>190</v>
      </c>
    </row>
    <row r="93" spans="1:1" x14ac:dyDescent="0.25">
      <c r="A93">
        <v>191</v>
      </c>
    </row>
    <row r="94" spans="1:1" x14ac:dyDescent="0.25">
      <c r="A94">
        <v>192</v>
      </c>
    </row>
    <row r="95" spans="1:1" x14ac:dyDescent="0.25">
      <c r="A95">
        <v>193</v>
      </c>
    </row>
    <row r="96" spans="1:1" x14ac:dyDescent="0.25">
      <c r="A96">
        <v>194</v>
      </c>
    </row>
    <row r="97" spans="1:1" x14ac:dyDescent="0.25">
      <c r="A97">
        <v>195</v>
      </c>
    </row>
    <row r="98" spans="1:1" x14ac:dyDescent="0.25">
      <c r="A98">
        <v>196</v>
      </c>
    </row>
    <row r="99" spans="1:1" x14ac:dyDescent="0.25">
      <c r="A99">
        <v>197</v>
      </c>
    </row>
    <row r="100" spans="1:1" x14ac:dyDescent="0.25">
      <c r="A100">
        <v>198</v>
      </c>
    </row>
    <row r="101" spans="1:1" x14ac:dyDescent="0.25">
      <c r="A101">
        <v>199</v>
      </c>
    </row>
    <row r="102" spans="1:1" x14ac:dyDescent="0.25">
      <c r="A102">
        <v>200</v>
      </c>
    </row>
    <row r="103" spans="1:1" x14ac:dyDescent="0.25">
      <c r="A103">
        <v>201</v>
      </c>
    </row>
    <row r="104" spans="1:1" x14ac:dyDescent="0.25">
      <c r="A104">
        <v>202</v>
      </c>
    </row>
    <row r="105" spans="1:1" x14ac:dyDescent="0.25">
      <c r="A105">
        <v>203</v>
      </c>
    </row>
    <row r="106" spans="1:1" x14ac:dyDescent="0.25">
      <c r="A106">
        <v>204</v>
      </c>
    </row>
    <row r="107" spans="1:1" x14ac:dyDescent="0.25">
      <c r="A107">
        <v>205</v>
      </c>
    </row>
    <row r="108" spans="1:1" x14ac:dyDescent="0.25">
      <c r="A108">
        <v>206</v>
      </c>
    </row>
    <row r="109" spans="1:1" x14ac:dyDescent="0.25">
      <c r="A109">
        <v>207</v>
      </c>
    </row>
    <row r="110" spans="1:1" x14ac:dyDescent="0.25">
      <c r="A110">
        <v>208</v>
      </c>
    </row>
    <row r="111" spans="1:1" x14ac:dyDescent="0.25">
      <c r="A111">
        <v>209</v>
      </c>
    </row>
    <row r="112" spans="1:1" x14ac:dyDescent="0.25">
      <c r="A112">
        <v>210</v>
      </c>
    </row>
    <row r="113" spans="1:1" x14ac:dyDescent="0.25">
      <c r="A113">
        <v>211</v>
      </c>
    </row>
    <row r="114" spans="1:1" x14ac:dyDescent="0.25">
      <c r="A114">
        <v>212</v>
      </c>
    </row>
    <row r="115" spans="1:1" x14ac:dyDescent="0.25">
      <c r="A115">
        <v>213</v>
      </c>
    </row>
    <row r="116" spans="1:1" x14ac:dyDescent="0.25">
      <c r="A116">
        <v>214</v>
      </c>
    </row>
    <row r="117" spans="1:1" x14ac:dyDescent="0.25">
      <c r="A117">
        <v>215</v>
      </c>
    </row>
    <row r="118" spans="1:1" x14ac:dyDescent="0.25">
      <c r="A118">
        <v>216</v>
      </c>
    </row>
    <row r="119" spans="1:1" x14ac:dyDescent="0.25">
      <c r="A119">
        <v>217</v>
      </c>
    </row>
    <row r="120" spans="1:1" x14ac:dyDescent="0.25">
      <c r="A120">
        <v>218</v>
      </c>
    </row>
    <row r="121" spans="1:1" x14ac:dyDescent="0.25">
      <c r="A121">
        <v>219</v>
      </c>
    </row>
    <row r="122" spans="1:1" x14ac:dyDescent="0.25">
      <c r="A122">
        <v>220</v>
      </c>
    </row>
    <row r="123" spans="1:1" x14ac:dyDescent="0.25">
      <c r="A123">
        <v>221</v>
      </c>
    </row>
    <row r="124" spans="1:1" x14ac:dyDescent="0.25">
      <c r="A124">
        <v>222</v>
      </c>
    </row>
    <row r="125" spans="1:1" x14ac:dyDescent="0.25">
      <c r="A125">
        <v>223</v>
      </c>
    </row>
    <row r="126" spans="1:1" x14ac:dyDescent="0.25">
      <c r="A126">
        <v>224</v>
      </c>
    </row>
    <row r="127" spans="1:1" x14ac:dyDescent="0.25">
      <c r="A127">
        <v>225</v>
      </c>
    </row>
    <row r="128" spans="1:1" x14ac:dyDescent="0.25">
      <c r="A128">
        <v>226</v>
      </c>
    </row>
    <row r="129" spans="1:1" x14ac:dyDescent="0.25">
      <c r="A129">
        <v>227</v>
      </c>
    </row>
    <row r="130" spans="1:1" x14ac:dyDescent="0.25">
      <c r="A130">
        <v>228</v>
      </c>
    </row>
    <row r="131" spans="1:1" x14ac:dyDescent="0.25">
      <c r="A131">
        <v>229</v>
      </c>
    </row>
    <row r="132" spans="1:1" x14ac:dyDescent="0.25">
      <c r="A132">
        <v>230</v>
      </c>
    </row>
    <row r="133" spans="1:1" x14ac:dyDescent="0.25">
      <c r="A133">
        <v>231</v>
      </c>
    </row>
    <row r="134" spans="1:1" x14ac:dyDescent="0.25">
      <c r="A134">
        <v>232</v>
      </c>
    </row>
    <row r="135" spans="1:1" x14ac:dyDescent="0.25">
      <c r="A135">
        <v>233</v>
      </c>
    </row>
    <row r="136" spans="1:1" x14ac:dyDescent="0.25">
      <c r="A136">
        <v>234</v>
      </c>
    </row>
    <row r="137" spans="1:1" x14ac:dyDescent="0.25">
      <c r="A137">
        <v>235</v>
      </c>
    </row>
    <row r="138" spans="1:1" x14ac:dyDescent="0.25">
      <c r="A138">
        <v>236</v>
      </c>
    </row>
    <row r="139" spans="1:1" x14ac:dyDescent="0.25">
      <c r="A139">
        <v>237</v>
      </c>
    </row>
    <row r="140" spans="1:1" x14ac:dyDescent="0.25">
      <c r="A140">
        <v>238</v>
      </c>
    </row>
    <row r="141" spans="1:1" x14ac:dyDescent="0.25">
      <c r="A141">
        <v>239</v>
      </c>
    </row>
    <row r="142" spans="1:1" x14ac:dyDescent="0.25">
      <c r="A142">
        <v>240</v>
      </c>
    </row>
    <row r="143" spans="1:1" x14ac:dyDescent="0.25">
      <c r="A143">
        <v>241</v>
      </c>
    </row>
    <row r="144" spans="1:1" x14ac:dyDescent="0.25">
      <c r="A144">
        <v>242</v>
      </c>
    </row>
    <row r="145" spans="1:1" x14ac:dyDescent="0.25">
      <c r="A145">
        <v>243</v>
      </c>
    </row>
    <row r="146" spans="1:1" x14ac:dyDescent="0.25">
      <c r="A146">
        <v>244</v>
      </c>
    </row>
    <row r="147" spans="1:1" x14ac:dyDescent="0.25">
      <c r="A147">
        <v>245</v>
      </c>
    </row>
    <row r="148" spans="1:1" x14ac:dyDescent="0.25">
      <c r="A148">
        <v>246</v>
      </c>
    </row>
    <row r="149" spans="1:1" x14ac:dyDescent="0.25">
      <c r="A149">
        <v>247</v>
      </c>
    </row>
    <row r="150" spans="1:1" x14ac:dyDescent="0.25">
      <c r="A150">
        <v>248</v>
      </c>
    </row>
    <row r="151" spans="1:1" x14ac:dyDescent="0.25">
      <c r="A151">
        <v>249</v>
      </c>
    </row>
    <row r="152" spans="1:1" x14ac:dyDescent="0.25">
      <c r="A152">
        <v>250</v>
      </c>
    </row>
    <row r="153" spans="1:1" x14ac:dyDescent="0.25">
      <c r="A153">
        <v>251</v>
      </c>
    </row>
    <row r="154" spans="1:1" x14ac:dyDescent="0.25">
      <c r="A154">
        <v>252</v>
      </c>
    </row>
    <row r="155" spans="1:1" x14ac:dyDescent="0.25">
      <c r="A155">
        <v>253</v>
      </c>
    </row>
    <row r="156" spans="1:1" x14ac:dyDescent="0.25">
      <c r="A156">
        <v>254</v>
      </c>
    </row>
    <row r="157" spans="1:1" x14ac:dyDescent="0.25">
      <c r="A157">
        <v>255</v>
      </c>
    </row>
    <row r="158" spans="1:1" x14ac:dyDescent="0.25">
      <c r="A158">
        <v>256</v>
      </c>
    </row>
    <row r="159" spans="1:1" x14ac:dyDescent="0.25">
      <c r="A159">
        <v>257</v>
      </c>
    </row>
    <row r="160" spans="1:1" x14ac:dyDescent="0.25">
      <c r="A160">
        <v>258</v>
      </c>
    </row>
    <row r="161" spans="1:1" x14ac:dyDescent="0.25">
      <c r="A161">
        <v>259</v>
      </c>
    </row>
    <row r="162" spans="1:1" x14ac:dyDescent="0.25">
      <c r="A162">
        <v>260</v>
      </c>
    </row>
    <row r="163" spans="1:1" x14ac:dyDescent="0.25">
      <c r="A163">
        <v>261</v>
      </c>
    </row>
    <row r="164" spans="1:1" x14ac:dyDescent="0.25">
      <c r="A164">
        <v>262</v>
      </c>
    </row>
    <row r="165" spans="1:1" x14ac:dyDescent="0.25">
      <c r="A165">
        <v>263</v>
      </c>
    </row>
    <row r="166" spans="1:1" x14ac:dyDescent="0.25">
      <c r="A166">
        <v>264</v>
      </c>
    </row>
    <row r="167" spans="1:1" x14ac:dyDescent="0.25">
      <c r="A167">
        <v>265</v>
      </c>
    </row>
    <row r="168" spans="1:1" x14ac:dyDescent="0.25">
      <c r="A168">
        <v>266</v>
      </c>
    </row>
    <row r="169" spans="1:1" x14ac:dyDescent="0.25">
      <c r="A169">
        <v>267</v>
      </c>
    </row>
    <row r="170" spans="1:1" x14ac:dyDescent="0.25">
      <c r="A170">
        <v>268</v>
      </c>
    </row>
    <row r="171" spans="1:1" x14ac:dyDescent="0.25">
      <c r="A171">
        <v>269</v>
      </c>
    </row>
    <row r="172" spans="1:1" x14ac:dyDescent="0.25">
      <c r="A172">
        <v>270</v>
      </c>
    </row>
    <row r="173" spans="1:1" x14ac:dyDescent="0.25">
      <c r="A173">
        <v>271</v>
      </c>
    </row>
    <row r="174" spans="1:1" x14ac:dyDescent="0.25">
      <c r="A174">
        <v>272</v>
      </c>
    </row>
    <row r="175" spans="1:1" x14ac:dyDescent="0.25">
      <c r="A175">
        <v>273</v>
      </c>
    </row>
    <row r="176" spans="1:1" x14ac:dyDescent="0.25">
      <c r="A176">
        <v>274</v>
      </c>
    </row>
    <row r="177" spans="1:1" x14ac:dyDescent="0.25">
      <c r="A177">
        <v>275</v>
      </c>
    </row>
    <row r="178" spans="1:1" x14ac:dyDescent="0.25">
      <c r="A178">
        <v>276</v>
      </c>
    </row>
    <row r="179" spans="1:1" x14ac:dyDescent="0.25">
      <c r="A179">
        <v>277</v>
      </c>
    </row>
    <row r="180" spans="1:1" x14ac:dyDescent="0.25">
      <c r="A180">
        <v>278</v>
      </c>
    </row>
    <row r="181" spans="1:1" x14ac:dyDescent="0.25">
      <c r="A181">
        <v>279</v>
      </c>
    </row>
    <row r="182" spans="1:1" x14ac:dyDescent="0.25">
      <c r="A182">
        <v>280</v>
      </c>
    </row>
    <row r="183" spans="1:1" x14ac:dyDescent="0.25">
      <c r="A183">
        <v>281</v>
      </c>
    </row>
    <row r="184" spans="1:1" x14ac:dyDescent="0.25">
      <c r="A184">
        <v>282</v>
      </c>
    </row>
    <row r="185" spans="1:1" x14ac:dyDescent="0.25">
      <c r="A185">
        <v>283</v>
      </c>
    </row>
    <row r="186" spans="1:1" x14ac:dyDescent="0.25">
      <c r="A186">
        <v>284</v>
      </c>
    </row>
    <row r="187" spans="1:1" x14ac:dyDescent="0.25">
      <c r="A187">
        <v>285</v>
      </c>
    </row>
    <row r="188" spans="1:1" x14ac:dyDescent="0.25">
      <c r="A188">
        <v>286</v>
      </c>
    </row>
    <row r="189" spans="1:1" x14ac:dyDescent="0.25">
      <c r="A189">
        <v>287</v>
      </c>
    </row>
    <row r="190" spans="1:1" x14ac:dyDescent="0.25">
      <c r="A190">
        <v>288</v>
      </c>
    </row>
    <row r="191" spans="1:1" x14ac:dyDescent="0.25">
      <c r="A191">
        <v>289</v>
      </c>
    </row>
    <row r="192" spans="1:1" x14ac:dyDescent="0.25">
      <c r="A192">
        <v>290</v>
      </c>
    </row>
    <row r="193" spans="1:1" x14ac:dyDescent="0.25">
      <c r="A193">
        <v>291</v>
      </c>
    </row>
    <row r="194" spans="1:1" x14ac:dyDescent="0.25">
      <c r="A194">
        <v>292</v>
      </c>
    </row>
    <row r="195" spans="1:1" x14ac:dyDescent="0.25">
      <c r="A195">
        <v>293</v>
      </c>
    </row>
    <row r="196" spans="1:1" x14ac:dyDescent="0.25">
      <c r="A196">
        <v>294</v>
      </c>
    </row>
    <row r="197" spans="1:1" x14ac:dyDescent="0.25">
      <c r="A197">
        <v>295</v>
      </c>
    </row>
    <row r="198" spans="1:1" x14ac:dyDescent="0.25">
      <c r="A198">
        <v>296</v>
      </c>
    </row>
    <row r="199" spans="1:1" x14ac:dyDescent="0.25">
      <c r="A199">
        <v>297</v>
      </c>
    </row>
    <row r="200" spans="1:1" x14ac:dyDescent="0.25">
      <c r="A200">
        <v>298</v>
      </c>
    </row>
    <row r="201" spans="1:1" x14ac:dyDescent="0.25">
      <c r="A201">
        <v>299</v>
      </c>
    </row>
    <row r="202" spans="1:1" x14ac:dyDescent="0.25">
      <c r="A202">
        <v>300</v>
      </c>
    </row>
    <row r="203" spans="1:1" x14ac:dyDescent="0.25">
      <c r="A203">
        <v>301</v>
      </c>
    </row>
    <row r="204" spans="1:1" x14ac:dyDescent="0.25">
      <c r="A204">
        <v>302</v>
      </c>
    </row>
    <row r="205" spans="1:1" x14ac:dyDescent="0.25">
      <c r="A205">
        <v>303</v>
      </c>
    </row>
    <row r="206" spans="1:1" x14ac:dyDescent="0.25">
      <c r="A206">
        <v>304</v>
      </c>
    </row>
    <row r="207" spans="1:1" x14ac:dyDescent="0.25">
      <c r="A207">
        <v>305</v>
      </c>
    </row>
    <row r="208" spans="1:1" x14ac:dyDescent="0.25">
      <c r="A208">
        <v>306</v>
      </c>
    </row>
    <row r="209" spans="1:1" x14ac:dyDescent="0.25">
      <c r="A209">
        <v>307</v>
      </c>
    </row>
    <row r="210" spans="1:1" x14ac:dyDescent="0.25">
      <c r="A210">
        <v>308</v>
      </c>
    </row>
    <row r="211" spans="1:1" x14ac:dyDescent="0.25">
      <c r="A211">
        <v>309</v>
      </c>
    </row>
    <row r="212" spans="1:1" x14ac:dyDescent="0.25">
      <c r="A212">
        <v>310</v>
      </c>
    </row>
    <row r="213" spans="1:1" x14ac:dyDescent="0.25">
      <c r="A213">
        <v>311</v>
      </c>
    </row>
    <row r="214" spans="1:1" x14ac:dyDescent="0.25">
      <c r="A214">
        <v>312</v>
      </c>
    </row>
    <row r="215" spans="1:1" x14ac:dyDescent="0.25">
      <c r="A215">
        <v>313</v>
      </c>
    </row>
    <row r="216" spans="1:1" x14ac:dyDescent="0.25">
      <c r="A216">
        <v>314</v>
      </c>
    </row>
    <row r="217" spans="1:1" x14ac:dyDescent="0.25">
      <c r="A217">
        <v>315</v>
      </c>
    </row>
    <row r="218" spans="1:1" x14ac:dyDescent="0.25">
      <c r="A218">
        <v>316</v>
      </c>
    </row>
    <row r="219" spans="1:1" x14ac:dyDescent="0.25">
      <c r="A219">
        <v>317</v>
      </c>
    </row>
    <row r="220" spans="1:1" x14ac:dyDescent="0.25">
      <c r="A220">
        <v>318</v>
      </c>
    </row>
    <row r="221" spans="1:1" x14ac:dyDescent="0.25">
      <c r="A221">
        <v>319</v>
      </c>
    </row>
    <row r="222" spans="1:1" x14ac:dyDescent="0.25">
      <c r="A222">
        <v>320</v>
      </c>
    </row>
    <row r="223" spans="1:1" x14ac:dyDescent="0.25">
      <c r="A223">
        <v>321</v>
      </c>
    </row>
    <row r="224" spans="1:1" x14ac:dyDescent="0.25">
      <c r="A224">
        <v>322</v>
      </c>
    </row>
    <row r="225" spans="1:1" x14ac:dyDescent="0.25">
      <c r="A225">
        <v>323</v>
      </c>
    </row>
    <row r="226" spans="1:1" x14ac:dyDescent="0.25">
      <c r="A226">
        <v>324</v>
      </c>
    </row>
    <row r="227" spans="1:1" x14ac:dyDescent="0.25">
      <c r="A227">
        <v>325</v>
      </c>
    </row>
    <row r="228" spans="1:1" x14ac:dyDescent="0.25">
      <c r="A228">
        <v>326</v>
      </c>
    </row>
    <row r="229" spans="1:1" x14ac:dyDescent="0.25">
      <c r="A229">
        <v>327</v>
      </c>
    </row>
    <row r="230" spans="1:1" x14ac:dyDescent="0.25">
      <c r="A230">
        <v>328</v>
      </c>
    </row>
    <row r="231" spans="1:1" x14ac:dyDescent="0.25">
      <c r="A231">
        <v>329</v>
      </c>
    </row>
    <row r="232" spans="1:1" x14ac:dyDescent="0.25">
      <c r="A232">
        <v>330</v>
      </c>
    </row>
    <row r="233" spans="1:1" x14ac:dyDescent="0.25">
      <c r="A233">
        <v>331</v>
      </c>
    </row>
    <row r="234" spans="1:1" x14ac:dyDescent="0.25">
      <c r="A234">
        <v>332</v>
      </c>
    </row>
    <row r="235" spans="1:1" x14ac:dyDescent="0.25">
      <c r="A235">
        <v>333</v>
      </c>
    </row>
    <row r="236" spans="1:1" x14ac:dyDescent="0.25">
      <c r="A236">
        <v>334</v>
      </c>
    </row>
    <row r="237" spans="1:1" x14ac:dyDescent="0.25">
      <c r="A237">
        <v>335</v>
      </c>
    </row>
    <row r="238" spans="1:1" x14ac:dyDescent="0.25">
      <c r="A238">
        <v>336</v>
      </c>
    </row>
    <row r="239" spans="1:1" x14ac:dyDescent="0.25">
      <c r="A239">
        <v>337</v>
      </c>
    </row>
    <row r="240" spans="1:1" x14ac:dyDescent="0.25">
      <c r="A240">
        <v>338</v>
      </c>
    </row>
    <row r="241" spans="1:1" x14ac:dyDescent="0.25">
      <c r="A241">
        <v>339</v>
      </c>
    </row>
    <row r="242" spans="1:1" x14ac:dyDescent="0.25">
      <c r="A242">
        <v>340</v>
      </c>
    </row>
    <row r="243" spans="1:1" x14ac:dyDescent="0.25">
      <c r="A243">
        <v>341</v>
      </c>
    </row>
    <row r="244" spans="1:1" x14ac:dyDescent="0.25">
      <c r="A244">
        <v>342</v>
      </c>
    </row>
    <row r="245" spans="1:1" x14ac:dyDescent="0.25">
      <c r="A245">
        <v>343</v>
      </c>
    </row>
    <row r="246" spans="1:1" x14ac:dyDescent="0.25">
      <c r="A246">
        <v>344</v>
      </c>
    </row>
    <row r="247" spans="1:1" x14ac:dyDescent="0.25">
      <c r="A247">
        <v>345</v>
      </c>
    </row>
    <row r="248" spans="1:1" x14ac:dyDescent="0.25">
      <c r="A248">
        <v>346</v>
      </c>
    </row>
    <row r="249" spans="1:1" x14ac:dyDescent="0.25">
      <c r="A249">
        <v>347</v>
      </c>
    </row>
    <row r="250" spans="1:1" x14ac:dyDescent="0.25">
      <c r="A250">
        <v>348</v>
      </c>
    </row>
    <row r="251" spans="1:1" x14ac:dyDescent="0.25">
      <c r="A251">
        <v>349</v>
      </c>
    </row>
    <row r="252" spans="1:1" x14ac:dyDescent="0.25">
      <c r="A252">
        <v>350</v>
      </c>
    </row>
    <row r="253" spans="1:1" x14ac:dyDescent="0.25">
      <c r="A253">
        <v>351</v>
      </c>
    </row>
    <row r="254" spans="1:1" x14ac:dyDescent="0.25">
      <c r="A254">
        <v>352</v>
      </c>
    </row>
    <row r="255" spans="1:1" x14ac:dyDescent="0.25">
      <c r="A255">
        <v>353</v>
      </c>
    </row>
    <row r="256" spans="1:1" x14ac:dyDescent="0.25">
      <c r="A256">
        <v>354</v>
      </c>
    </row>
    <row r="257" spans="1:1" x14ac:dyDescent="0.25">
      <c r="A257">
        <v>355</v>
      </c>
    </row>
    <row r="258" spans="1:1" x14ac:dyDescent="0.25">
      <c r="A258">
        <v>356</v>
      </c>
    </row>
    <row r="259" spans="1:1" x14ac:dyDescent="0.25">
      <c r="A259">
        <v>357</v>
      </c>
    </row>
    <row r="260" spans="1:1" x14ac:dyDescent="0.25">
      <c r="A260">
        <v>358</v>
      </c>
    </row>
    <row r="261" spans="1:1" x14ac:dyDescent="0.25">
      <c r="A261">
        <v>359</v>
      </c>
    </row>
    <row r="262" spans="1:1" x14ac:dyDescent="0.25">
      <c r="A262">
        <v>360</v>
      </c>
    </row>
    <row r="263" spans="1:1" x14ac:dyDescent="0.25">
      <c r="A263">
        <v>361</v>
      </c>
    </row>
    <row r="264" spans="1:1" x14ac:dyDescent="0.25">
      <c r="A264">
        <v>362</v>
      </c>
    </row>
    <row r="265" spans="1:1" x14ac:dyDescent="0.25">
      <c r="A265">
        <v>363</v>
      </c>
    </row>
    <row r="266" spans="1:1" x14ac:dyDescent="0.25">
      <c r="A266">
        <v>364</v>
      </c>
    </row>
    <row r="267" spans="1:1" x14ac:dyDescent="0.25">
      <c r="A267">
        <v>365</v>
      </c>
    </row>
    <row r="268" spans="1:1" x14ac:dyDescent="0.25">
      <c r="A268">
        <v>366</v>
      </c>
    </row>
    <row r="269" spans="1:1" x14ac:dyDescent="0.25">
      <c r="A269">
        <v>367</v>
      </c>
    </row>
    <row r="270" spans="1:1" x14ac:dyDescent="0.25">
      <c r="A270">
        <v>368</v>
      </c>
    </row>
    <row r="271" spans="1:1" x14ac:dyDescent="0.25">
      <c r="A271">
        <v>369</v>
      </c>
    </row>
    <row r="272" spans="1:1" x14ac:dyDescent="0.25">
      <c r="A272">
        <v>370</v>
      </c>
    </row>
    <row r="273" spans="1:1" x14ac:dyDescent="0.25">
      <c r="A273">
        <v>371</v>
      </c>
    </row>
    <row r="274" spans="1:1" x14ac:dyDescent="0.25">
      <c r="A274">
        <v>372</v>
      </c>
    </row>
    <row r="275" spans="1:1" x14ac:dyDescent="0.25">
      <c r="A275">
        <v>373</v>
      </c>
    </row>
    <row r="276" spans="1:1" x14ac:dyDescent="0.25">
      <c r="A276">
        <v>374</v>
      </c>
    </row>
    <row r="277" spans="1:1" x14ac:dyDescent="0.25">
      <c r="A277">
        <v>375</v>
      </c>
    </row>
    <row r="278" spans="1:1" x14ac:dyDescent="0.25">
      <c r="A278">
        <v>376</v>
      </c>
    </row>
    <row r="279" spans="1:1" x14ac:dyDescent="0.25">
      <c r="A279">
        <v>377</v>
      </c>
    </row>
    <row r="280" spans="1:1" x14ac:dyDescent="0.25">
      <c r="A280">
        <v>378</v>
      </c>
    </row>
    <row r="281" spans="1:1" x14ac:dyDescent="0.25">
      <c r="A281">
        <v>379</v>
      </c>
    </row>
    <row r="282" spans="1:1" x14ac:dyDescent="0.25">
      <c r="A282">
        <v>380</v>
      </c>
    </row>
    <row r="283" spans="1:1" x14ac:dyDescent="0.25">
      <c r="A283">
        <v>381</v>
      </c>
    </row>
    <row r="284" spans="1:1" x14ac:dyDescent="0.25">
      <c r="A284">
        <v>382</v>
      </c>
    </row>
    <row r="285" spans="1:1" x14ac:dyDescent="0.25">
      <c r="A285">
        <v>383</v>
      </c>
    </row>
    <row r="286" spans="1:1" x14ac:dyDescent="0.25">
      <c r="A286">
        <v>384</v>
      </c>
    </row>
    <row r="287" spans="1:1" x14ac:dyDescent="0.25">
      <c r="A287">
        <v>385</v>
      </c>
    </row>
    <row r="288" spans="1:1" x14ac:dyDescent="0.25">
      <c r="A288">
        <v>386</v>
      </c>
    </row>
    <row r="289" spans="1:1" x14ac:dyDescent="0.25">
      <c r="A289">
        <v>387</v>
      </c>
    </row>
    <row r="290" spans="1:1" x14ac:dyDescent="0.25">
      <c r="A290">
        <v>388</v>
      </c>
    </row>
    <row r="291" spans="1:1" x14ac:dyDescent="0.25">
      <c r="A291">
        <v>389</v>
      </c>
    </row>
    <row r="292" spans="1:1" x14ac:dyDescent="0.25">
      <c r="A292">
        <v>390</v>
      </c>
    </row>
    <row r="293" spans="1:1" x14ac:dyDescent="0.25">
      <c r="A293">
        <v>391</v>
      </c>
    </row>
    <row r="294" spans="1:1" x14ac:dyDescent="0.25">
      <c r="A294">
        <v>392</v>
      </c>
    </row>
    <row r="295" spans="1:1" x14ac:dyDescent="0.25">
      <c r="A295">
        <v>393</v>
      </c>
    </row>
    <row r="296" spans="1:1" x14ac:dyDescent="0.25">
      <c r="A296">
        <v>394</v>
      </c>
    </row>
    <row r="297" spans="1:1" x14ac:dyDescent="0.25">
      <c r="A297">
        <v>395</v>
      </c>
    </row>
    <row r="298" spans="1:1" x14ac:dyDescent="0.25">
      <c r="A298">
        <v>396</v>
      </c>
    </row>
    <row r="299" spans="1:1" x14ac:dyDescent="0.25">
      <c r="A299">
        <v>397</v>
      </c>
    </row>
    <row r="300" spans="1:1" x14ac:dyDescent="0.25">
      <c r="A300">
        <v>398</v>
      </c>
    </row>
    <row r="301" spans="1:1" x14ac:dyDescent="0.25">
      <c r="A301">
        <v>399</v>
      </c>
    </row>
    <row r="302" spans="1:1" x14ac:dyDescent="0.25">
      <c r="A302">
        <v>400</v>
      </c>
    </row>
    <row r="303" spans="1:1" x14ac:dyDescent="0.25">
      <c r="A303">
        <v>401</v>
      </c>
    </row>
    <row r="304" spans="1:1" x14ac:dyDescent="0.25">
      <c r="A304">
        <v>402</v>
      </c>
    </row>
    <row r="305" spans="1:1" x14ac:dyDescent="0.25">
      <c r="A305">
        <v>403</v>
      </c>
    </row>
    <row r="306" spans="1:1" x14ac:dyDescent="0.25">
      <c r="A306">
        <v>404</v>
      </c>
    </row>
    <row r="307" spans="1:1" x14ac:dyDescent="0.25">
      <c r="A307">
        <v>405</v>
      </c>
    </row>
    <row r="308" spans="1:1" x14ac:dyDescent="0.25">
      <c r="A308">
        <v>406</v>
      </c>
    </row>
    <row r="309" spans="1:1" x14ac:dyDescent="0.25">
      <c r="A309">
        <v>407</v>
      </c>
    </row>
    <row r="310" spans="1:1" x14ac:dyDescent="0.25">
      <c r="A310">
        <v>408</v>
      </c>
    </row>
    <row r="311" spans="1:1" x14ac:dyDescent="0.25">
      <c r="A311">
        <v>409</v>
      </c>
    </row>
    <row r="312" spans="1:1" x14ac:dyDescent="0.25">
      <c r="A312">
        <v>410</v>
      </c>
    </row>
    <row r="313" spans="1:1" x14ac:dyDescent="0.25">
      <c r="A313">
        <v>411</v>
      </c>
    </row>
    <row r="314" spans="1:1" x14ac:dyDescent="0.25">
      <c r="A314">
        <v>412</v>
      </c>
    </row>
    <row r="315" spans="1:1" x14ac:dyDescent="0.25">
      <c r="A315">
        <v>413</v>
      </c>
    </row>
    <row r="316" spans="1:1" x14ac:dyDescent="0.25">
      <c r="A316">
        <v>414</v>
      </c>
    </row>
    <row r="317" spans="1:1" x14ac:dyDescent="0.25">
      <c r="A317">
        <v>415</v>
      </c>
    </row>
    <row r="318" spans="1:1" x14ac:dyDescent="0.25">
      <c r="A318">
        <v>416</v>
      </c>
    </row>
    <row r="319" spans="1:1" x14ac:dyDescent="0.25">
      <c r="A319">
        <v>417</v>
      </c>
    </row>
    <row r="320" spans="1:1" x14ac:dyDescent="0.25">
      <c r="A320">
        <v>418</v>
      </c>
    </row>
    <row r="321" spans="1:1" x14ac:dyDescent="0.25">
      <c r="A321">
        <v>419</v>
      </c>
    </row>
    <row r="322" spans="1:1" x14ac:dyDescent="0.25">
      <c r="A322">
        <v>420</v>
      </c>
    </row>
    <row r="323" spans="1:1" x14ac:dyDescent="0.25">
      <c r="A323">
        <v>421</v>
      </c>
    </row>
    <row r="324" spans="1:1" x14ac:dyDescent="0.25">
      <c r="A324">
        <v>422</v>
      </c>
    </row>
    <row r="325" spans="1:1" x14ac:dyDescent="0.25">
      <c r="A325">
        <v>423</v>
      </c>
    </row>
    <row r="326" spans="1:1" x14ac:dyDescent="0.25">
      <c r="A326">
        <v>424</v>
      </c>
    </row>
    <row r="327" spans="1:1" x14ac:dyDescent="0.25">
      <c r="A327">
        <v>425</v>
      </c>
    </row>
    <row r="328" spans="1:1" x14ac:dyDescent="0.25">
      <c r="A328">
        <v>426</v>
      </c>
    </row>
    <row r="329" spans="1:1" x14ac:dyDescent="0.25">
      <c r="A329">
        <v>427</v>
      </c>
    </row>
    <row r="330" spans="1:1" x14ac:dyDescent="0.25">
      <c r="A330">
        <v>428</v>
      </c>
    </row>
    <row r="331" spans="1:1" x14ac:dyDescent="0.25">
      <c r="A331">
        <v>429</v>
      </c>
    </row>
    <row r="332" spans="1:1" x14ac:dyDescent="0.25">
      <c r="A332">
        <v>430</v>
      </c>
    </row>
    <row r="333" spans="1:1" x14ac:dyDescent="0.25">
      <c r="A333">
        <v>431</v>
      </c>
    </row>
    <row r="334" spans="1:1" x14ac:dyDescent="0.25">
      <c r="A334">
        <v>432</v>
      </c>
    </row>
    <row r="335" spans="1:1" x14ac:dyDescent="0.25">
      <c r="A335">
        <v>433</v>
      </c>
    </row>
    <row r="336" spans="1:1" x14ac:dyDescent="0.25">
      <c r="A336">
        <v>434</v>
      </c>
    </row>
    <row r="337" spans="1:1" x14ac:dyDescent="0.25">
      <c r="A337">
        <v>435</v>
      </c>
    </row>
    <row r="338" spans="1:1" x14ac:dyDescent="0.25">
      <c r="A338">
        <v>436</v>
      </c>
    </row>
    <row r="339" spans="1:1" x14ac:dyDescent="0.25">
      <c r="A339">
        <v>437</v>
      </c>
    </row>
    <row r="340" spans="1:1" x14ac:dyDescent="0.25">
      <c r="A340">
        <v>438</v>
      </c>
    </row>
    <row r="341" spans="1:1" x14ac:dyDescent="0.25">
      <c r="A341">
        <v>439</v>
      </c>
    </row>
    <row r="342" spans="1:1" x14ac:dyDescent="0.25">
      <c r="A342">
        <v>440</v>
      </c>
    </row>
    <row r="343" spans="1:1" x14ac:dyDescent="0.25">
      <c r="A343">
        <v>441</v>
      </c>
    </row>
    <row r="344" spans="1:1" x14ac:dyDescent="0.25">
      <c r="A344">
        <v>442</v>
      </c>
    </row>
    <row r="345" spans="1:1" x14ac:dyDescent="0.25">
      <c r="A345">
        <v>443</v>
      </c>
    </row>
    <row r="346" spans="1:1" x14ac:dyDescent="0.25">
      <c r="A346">
        <v>444</v>
      </c>
    </row>
    <row r="347" spans="1:1" x14ac:dyDescent="0.25">
      <c r="A347">
        <v>445</v>
      </c>
    </row>
    <row r="348" spans="1:1" x14ac:dyDescent="0.25">
      <c r="A348">
        <v>446</v>
      </c>
    </row>
    <row r="349" spans="1:1" x14ac:dyDescent="0.25">
      <c r="A349">
        <v>447</v>
      </c>
    </row>
    <row r="350" spans="1:1" x14ac:dyDescent="0.25">
      <c r="A350">
        <v>448</v>
      </c>
    </row>
    <row r="351" spans="1:1" x14ac:dyDescent="0.25">
      <c r="A351">
        <v>449</v>
      </c>
    </row>
    <row r="352" spans="1:1" x14ac:dyDescent="0.25">
      <c r="A352">
        <v>450</v>
      </c>
    </row>
    <row r="353" spans="1:1" x14ac:dyDescent="0.25">
      <c r="A353">
        <v>451</v>
      </c>
    </row>
    <row r="354" spans="1:1" x14ac:dyDescent="0.25">
      <c r="A354">
        <v>452</v>
      </c>
    </row>
    <row r="355" spans="1:1" x14ac:dyDescent="0.25">
      <c r="A355">
        <v>453</v>
      </c>
    </row>
    <row r="356" spans="1:1" x14ac:dyDescent="0.25">
      <c r="A356">
        <v>454</v>
      </c>
    </row>
    <row r="357" spans="1:1" x14ac:dyDescent="0.25">
      <c r="A357">
        <v>455</v>
      </c>
    </row>
    <row r="358" spans="1:1" x14ac:dyDescent="0.25">
      <c r="A358">
        <v>456</v>
      </c>
    </row>
    <row r="359" spans="1:1" x14ac:dyDescent="0.25">
      <c r="A359">
        <v>457</v>
      </c>
    </row>
    <row r="360" spans="1:1" x14ac:dyDescent="0.25">
      <c r="A360">
        <v>458</v>
      </c>
    </row>
    <row r="361" spans="1:1" x14ac:dyDescent="0.25">
      <c r="A361">
        <v>459</v>
      </c>
    </row>
    <row r="362" spans="1:1" x14ac:dyDescent="0.25">
      <c r="A362">
        <v>460</v>
      </c>
    </row>
    <row r="363" spans="1:1" x14ac:dyDescent="0.25">
      <c r="A363">
        <v>461</v>
      </c>
    </row>
    <row r="364" spans="1:1" x14ac:dyDescent="0.25">
      <c r="A364">
        <v>462</v>
      </c>
    </row>
    <row r="365" spans="1:1" x14ac:dyDescent="0.25">
      <c r="A365">
        <v>463</v>
      </c>
    </row>
    <row r="366" spans="1:1" x14ac:dyDescent="0.25">
      <c r="A366">
        <v>464</v>
      </c>
    </row>
    <row r="367" spans="1:1" x14ac:dyDescent="0.25">
      <c r="A367">
        <v>465</v>
      </c>
    </row>
    <row r="368" spans="1:1" x14ac:dyDescent="0.25">
      <c r="A368">
        <v>466</v>
      </c>
    </row>
    <row r="369" spans="1:1" x14ac:dyDescent="0.25">
      <c r="A369">
        <v>467</v>
      </c>
    </row>
    <row r="370" spans="1:1" x14ac:dyDescent="0.25">
      <c r="A370">
        <v>468</v>
      </c>
    </row>
    <row r="371" spans="1:1" x14ac:dyDescent="0.25">
      <c r="A371">
        <v>469</v>
      </c>
    </row>
    <row r="372" spans="1:1" x14ac:dyDescent="0.25">
      <c r="A372">
        <v>470</v>
      </c>
    </row>
    <row r="373" spans="1:1" x14ac:dyDescent="0.25">
      <c r="A373">
        <v>471</v>
      </c>
    </row>
    <row r="374" spans="1:1" x14ac:dyDescent="0.25">
      <c r="A374">
        <v>472</v>
      </c>
    </row>
    <row r="375" spans="1:1" x14ac:dyDescent="0.25">
      <c r="A375">
        <v>473</v>
      </c>
    </row>
    <row r="376" spans="1:1" x14ac:dyDescent="0.25">
      <c r="A376">
        <v>474</v>
      </c>
    </row>
    <row r="377" spans="1:1" x14ac:dyDescent="0.25">
      <c r="A377">
        <v>475</v>
      </c>
    </row>
    <row r="378" spans="1:1" x14ac:dyDescent="0.25">
      <c r="A378">
        <v>476</v>
      </c>
    </row>
    <row r="379" spans="1:1" x14ac:dyDescent="0.25">
      <c r="A379">
        <v>477</v>
      </c>
    </row>
    <row r="380" spans="1:1" x14ac:dyDescent="0.25">
      <c r="A380">
        <v>478</v>
      </c>
    </row>
    <row r="381" spans="1:1" x14ac:dyDescent="0.25">
      <c r="A381">
        <v>479</v>
      </c>
    </row>
    <row r="382" spans="1:1" x14ac:dyDescent="0.25">
      <c r="A382">
        <v>480</v>
      </c>
    </row>
    <row r="383" spans="1:1" x14ac:dyDescent="0.25">
      <c r="A383">
        <v>481</v>
      </c>
    </row>
    <row r="384" spans="1:1" x14ac:dyDescent="0.25">
      <c r="A384">
        <v>482</v>
      </c>
    </row>
    <row r="385" spans="1:1" x14ac:dyDescent="0.25">
      <c r="A385">
        <v>483</v>
      </c>
    </row>
    <row r="386" spans="1:1" x14ac:dyDescent="0.25">
      <c r="A386">
        <v>484</v>
      </c>
    </row>
    <row r="387" spans="1:1" x14ac:dyDescent="0.25">
      <c r="A387">
        <v>485</v>
      </c>
    </row>
    <row r="388" spans="1:1" x14ac:dyDescent="0.25">
      <c r="A388">
        <v>486</v>
      </c>
    </row>
    <row r="389" spans="1:1" x14ac:dyDescent="0.25">
      <c r="A389">
        <v>487</v>
      </c>
    </row>
    <row r="390" spans="1:1" x14ac:dyDescent="0.25">
      <c r="A390">
        <v>488</v>
      </c>
    </row>
    <row r="391" spans="1:1" x14ac:dyDescent="0.25">
      <c r="A391">
        <v>489</v>
      </c>
    </row>
    <row r="392" spans="1:1" x14ac:dyDescent="0.25">
      <c r="A392">
        <v>490</v>
      </c>
    </row>
    <row r="393" spans="1:1" x14ac:dyDescent="0.25">
      <c r="A393">
        <v>491</v>
      </c>
    </row>
    <row r="394" spans="1:1" x14ac:dyDescent="0.25">
      <c r="A394">
        <v>492</v>
      </c>
    </row>
    <row r="395" spans="1:1" x14ac:dyDescent="0.25">
      <c r="A395">
        <v>493</v>
      </c>
    </row>
    <row r="396" spans="1:1" x14ac:dyDescent="0.25">
      <c r="A396">
        <v>494</v>
      </c>
    </row>
    <row r="397" spans="1:1" x14ac:dyDescent="0.25">
      <c r="A397">
        <v>495</v>
      </c>
    </row>
    <row r="398" spans="1:1" x14ac:dyDescent="0.25">
      <c r="A398">
        <v>496</v>
      </c>
    </row>
    <row r="399" spans="1:1" x14ac:dyDescent="0.25">
      <c r="A399">
        <v>497</v>
      </c>
    </row>
    <row r="400" spans="1:1" x14ac:dyDescent="0.25">
      <c r="A400">
        <v>498</v>
      </c>
    </row>
    <row r="401" spans="1:1" x14ac:dyDescent="0.25">
      <c r="A401">
        <v>499</v>
      </c>
    </row>
    <row r="402" spans="1:1" x14ac:dyDescent="0.25">
      <c r="A402">
        <v>500</v>
      </c>
    </row>
    <row r="403" spans="1:1" x14ac:dyDescent="0.25">
      <c r="A403">
        <v>501</v>
      </c>
    </row>
    <row r="404" spans="1:1" x14ac:dyDescent="0.25">
      <c r="A404">
        <v>502</v>
      </c>
    </row>
    <row r="405" spans="1:1" x14ac:dyDescent="0.25">
      <c r="A405">
        <v>503</v>
      </c>
    </row>
    <row r="406" spans="1:1" x14ac:dyDescent="0.25">
      <c r="A406">
        <v>504</v>
      </c>
    </row>
    <row r="407" spans="1:1" x14ac:dyDescent="0.25">
      <c r="A407">
        <v>505</v>
      </c>
    </row>
    <row r="408" spans="1:1" x14ac:dyDescent="0.25">
      <c r="A408">
        <v>506</v>
      </c>
    </row>
    <row r="409" spans="1:1" x14ac:dyDescent="0.25">
      <c r="A409">
        <v>507</v>
      </c>
    </row>
    <row r="410" spans="1:1" x14ac:dyDescent="0.25">
      <c r="A410">
        <v>508</v>
      </c>
    </row>
    <row r="411" spans="1:1" x14ac:dyDescent="0.25">
      <c r="A411">
        <v>509</v>
      </c>
    </row>
    <row r="412" spans="1:1" x14ac:dyDescent="0.25">
      <c r="A412">
        <v>510</v>
      </c>
    </row>
    <row r="413" spans="1:1" x14ac:dyDescent="0.25">
      <c r="A413">
        <v>511</v>
      </c>
    </row>
    <row r="414" spans="1:1" x14ac:dyDescent="0.25">
      <c r="A414">
        <v>512</v>
      </c>
    </row>
    <row r="415" spans="1:1" x14ac:dyDescent="0.25">
      <c r="A415">
        <v>513</v>
      </c>
    </row>
    <row r="416" spans="1:1" x14ac:dyDescent="0.25">
      <c r="A416">
        <v>514</v>
      </c>
    </row>
    <row r="417" spans="1:1" x14ac:dyDescent="0.25">
      <c r="A417">
        <v>515</v>
      </c>
    </row>
    <row r="418" spans="1:1" x14ac:dyDescent="0.25">
      <c r="A418">
        <v>516</v>
      </c>
    </row>
    <row r="419" spans="1:1" x14ac:dyDescent="0.25">
      <c r="A419">
        <v>517</v>
      </c>
    </row>
    <row r="420" spans="1:1" x14ac:dyDescent="0.25">
      <c r="A420">
        <v>518</v>
      </c>
    </row>
    <row r="421" spans="1:1" x14ac:dyDescent="0.25">
      <c r="A421">
        <v>519</v>
      </c>
    </row>
    <row r="422" spans="1:1" x14ac:dyDescent="0.25">
      <c r="A422">
        <v>520</v>
      </c>
    </row>
    <row r="423" spans="1:1" x14ac:dyDescent="0.25">
      <c r="A423">
        <v>521</v>
      </c>
    </row>
    <row r="424" spans="1:1" x14ac:dyDescent="0.25">
      <c r="A424">
        <v>522</v>
      </c>
    </row>
    <row r="425" spans="1:1" x14ac:dyDescent="0.25">
      <c r="A425">
        <v>523</v>
      </c>
    </row>
    <row r="426" spans="1:1" x14ac:dyDescent="0.25">
      <c r="A426">
        <v>524</v>
      </c>
    </row>
    <row r="427" spans="1:1" x14ac:dyDescent="0.25">
      <c r="A427">
        <v>525</v>
      </c>
    </row>
    <row r="428" spans="1:1" x14ac:dyDescent="0.25">
      <c r="A428">
        <v>526</v>
      </c>
    </row>
    <row r="429" spans="1:1" x14ac:dyDescent="0.25">
      <c r="A429">
        <v>527</v>
      </c>
    </row>
    <row r="430" spans="1:1" x14ac:dyDescent="0.25">
      <c r="A430">
        <v>528</v>
      </c>
    </row>
    <row r="431" spans="1:1" x14ac:dyDescent="0.25">
      <c r="A431">
        <v>529</v>
      </c>
    </row>
    <row r="432" spans="1:1" x14ac:dyDescent="0.25">
      <c r="A432">
        <v>530</v>
      </c>
    </row>
    <row r="433" spans="1:1" x14ac:dyDescent="0.25">
      <c r="A433">
        <v>531</v>
      </c>
    </row>
    <row r="434" spans="1:1" x14ac:dyDescent="0.25">
      <c r="A434">
        <v>532</v>
      </c>
    </row>
    <row r="435" spans="1:1" x14ac:dyDescent="0.25">
      <c r="A435">
        <v>533</v>
      </c>
    </row>
    <row r="436" spans="1:1" x14ac:dyDescent="0.25">
      <c r="A436">
        <v>534</v>
      </c>
    </row>
    <row r="437" spans="1:1" x14ac:dyDescent="0.25">
      <c r="A437">
        <v>535</v>
      </c>
    </row>
    <row r="438" spans="1:1" x14ac:dyDescent="0.25">
      <c r="A438">
        <v>536</v>
      </c>
    </row>
    <row r="439" spans="1:1" x14ac:dyDescent="0.25">
      <c r="A439">
        <v>537</v>
      </c>
    </row>
    <row r="440" spans="1:1" x14ac:dyDescent="0.25">
      <c r="A440">
        <v>538</v>
      </c>
    </row>
    <row r="441" spans="1:1" x14ac:dyDescent="0.25">
      <c r="A441">
        <v>539</v>
      </c>
    </row>
    <row r="442" spans="1:1" x14ac:dyDescent="0.25">
      <c r="A442">
        <v>540</v>
      </c>
    </row>
    <row r="443" spans="1:1" x14ac:dyDescent="0.25">
      <c r="A443">
        <v>541</v>
      </c>
    </row>
    <row r="444" spans="1:1" x14ac:dyDescent="0.25">
      <c r="A444">
        <v>542</v>
      </c>
    </row>
    <row r="445" spans="1:1" x14ac:dyDescent="0.25">
      <c r="A445">
        <v>543</v>
      </c>
    </row>
    <row r="446" spans="1:1" x14ac:dyDescent="0.25">
      <c r="A446">
        <v>544</v>
      </c>
    </row>
    <row r="447" spans="1:1" x14ac:dyDescent="0.25">
      <c r="A447">
        <v>545</v>
      </c>
    </row>
    <row r="448" spans="1:1" x14ac:dyDescent="0.25">
      <c r="A448">
        <v>546</v>
      </c>
    </row>
    <row r="449" spans="1:1" x14ac:dyDescent="0.25">
      <c r="A449">
        <v>547</v>
      </c>
    </row>
    <row r="450" spans="1:1" x14ac:dyDescent="0.25">
      <c r="A450">
        <v>548</v>
      </c>
    </row>
    <row r="451" spans="1:1" x14ac:dyDescent="0.25">
      <c r="A451">
        <v>549</v>
      </c>
    </row>
    <row r="452" spans="1:1" x14ac:dyDescent="0.25">
      <c r="A452">
        <v>550</v>
      </c>
    </row>
    <row r="453" spans="1:1" x14ac:dyDescent="0.25">
      <c r="A453">
        <v>551</v>
      </c>
    </row>
    <row r="454" spans="1:1" x14ac:dyDescent="0.25">
      <c r="A454">
        <v>552</v>
      </c>
    </row>
    <row r="455" spans="1:1" x14ac:dyDescent="0.25">
      <c r="A455">
        <v>553</v>
      </c>
    </row>
    <row r="456" spans="1:1" x14ac:dyDescent="0.25">
      <c r="A456">
        <v>554</v>
      </c>
    </row>
    <row r="457" spans="1:1" x14ac:dyDescent="0.25">
      <c r="A457">
        <v>555</v>
      </c>
    </row>
    <row r="458" spans="1:1" x14ac:dyDescent="0.25">
      <c r="A458">
        <v>556</v>
      </c>
    </row>
    <row r="459" spans="1:1" x14ac:dyDescent="0.25">
      <c r="A459">
        <v>557</v>
      </c>
    </row>
    <row r="460" spans="1:1" x14ac:dyDescent="0.25">
      <c r="A460">
        <v>558</v>
      </c>
    </row>
    <row r="461" spans="1:1" x14ac:dyDescent="0.25">
      <c r="A461">
        <v>559</v>
      </c>
    </row>
    <row r="462" spans="1:1" x14ac:dyDescent="0.25">
      <c r="A462">
        <v>560</v>
      </c>
    </row>
    <row r="463" spans="1:1" x14ac:dyDescent="0.25">
      <c r="A463">
        <v>561</v>
      </c>
    </row>
    <row r="464" spans="1:1" x14ac:dyDescent="0.25">
      <c r="A464">
        <v>562</v>
      </c>
    </row>
    <row r="465" spans="1:1" x14ac:dyDescent="0.25">
      <c r="A465">
        <v>563</v>
      </c>
    </row>
    <row r="466" spans="1:1" x14ac:dyDescent="0.25">
      <c r="A466">
        <v>564</v>
      </c>
    </row>
    <row r="467" spans="1:1" x14ac:dyDescent="0.25">
      <c r="A467">
        <v>565</v>
      </c>
    </row>
    <row r="468" spans="1:1" x14ac:dyDescent="0.25">
      <c r="A468">
        <v>566</v>
      </c>
    </row>
    <row r="469" spans="1:1" x14ac:dyDescent="0.25">
      <c r="A469">
        <v>567</v>
      </c>
    </row>
    <row r="470" spans="1:1" x14ac:dyDescent="0.25">
      <c r="A470">
        <v>568</v>
      </c>
    </row>
    <row r="471" spans="1:1" x14ac:dyDescent="0.25">
      <c r="A471">
        <v>569</v>
      </c>
    </row>
    <row r="472" spans="1:1" x14ac:dyDescent="0.25">
      <c r="A472">
        <v>570</v>
      </c>
    </row>
    <row r="473" spans="1:1" x14ac:dyDescent="0.25">
      <c r="A473">
        <v>571</v>
      </c>
    </row>
    <row r="474" spans="1:1" x14ac:dyDescent="0.25">
      <c r="A474">
        <v>572</v>
      </c>
    </row>
    <row r="475" spans="1:1" x14ac:dyDescent="0.25">
      <c r="A475">
        <v>573</v>
      </c>
    </row>
    <row r="476" spans="1:1" x14ac:dyDescent="0.25">
      <c r="A476">
        <v>574</v>
      </c>
    </row>
    <row r="477" spans="1:1" x14ac:dyDescent="0.25">
      <c r="A477">
        <v>575</v>
      </c>
    </row>
    <row r="478" spans="1:1" x14ac:dyDescent="0.25">
      <c r="A478">
        <v>576</v>
      </c>
    </row>
    <row r="479" spans="1:1" x14ac:dyDescent="0.25">
      <c r="A479">
        <v>577</v>
      </c>
    </row>
    <row r="480" spans="1:1" x14ac:dyDescent="0.25">
      <c r="A480">
        <v>578</v>
      </c>
    </row>
    <row r="481" spans="1:1" x14ac:dyDescent="0.25">
      <c r="A481">
        <v>579</v>
      </c>
    </row>
    <row r="482" spans="1:1" x14ac:dyDescent="0.25">
      <c r="A482">
        <v>580</v>
      </c>
    </row>
    <row r="483" spans="1:1" x14ac:dyDescent="0.25">
      <c r="A483">
        <v>581</v>
      </c>
    </row>
    <row r="484" spans="1:1" x14ac:dyDescent="0.25">
      <c r="A484">
        <v>582</v>
      </c>
    </row>
    <row r="485" spans="1:1" x14ac:dyDescent="0.25">
      <c r="A485">
        <v>583</v>
      </c>
    </row>
    <row r="486" spans="1:1" x14ac:dyDescent="0.25">
      <c r="A486">
        <v>584</v>
      </c>
    </row>
    <row r="487" spans="1:1" x14ac:dyDescent="0.25">
      <c r="A487">
        <v>585</v>
      </c>
    </row>
    <row r="488" spans="1:1" x14ac:dyDescent="0.25">
      <c r="A488">
        <v>586</v>
      </c>
    </row>
    <row r="489" spans="1:1" x14ac:dyDescent="0.25">
      <c r="A489">
        <v>587</v>
      </c>
    </row>
    <row r="490" spans="1:1" x14ac:dyDescent="0.25">
      <c r="A490">
        <v>588</v>
      </c>
    </row>
    <row r="491" spans="1:1" x14ac:dyDescent="0.25">
      <c r="A491">
        <v>589</v>
      </c>
    </row>
    <row r="492" spans="1:1" x14ac:dyDescent="0.25">
      <c r="A492">
        <v>590</v>
      </c>
    </row>
    <row r="493" spans="1:1" x14ac:dyDescent="0.25">
      <c r="A493">
        <v>591</v>
      </c>
    </row>
    <row r="494" spans="1:1" x14ac:dyDescent="0.25">
      <c r="A494">
        <v>592</v>
      </c>
    </row>
    <row r="495" spans="1:1" x14ac:dyDescent="0.25">
      <c r="A495">
        <v>593</v>
      </c>
    </row>
    <row r="496" spans="1:1" x14ac:dyDescent="0.25">
      <c r="A496">
        <v>594</v>
      </c>
    </row>
    <row r="497" spans="1:1" x14ac:dyDescent="0.25">
      <c r="A497">
        <v>595</v>
      </c>
    </row>
    <row r="498" spans="1:1" x14ac:dyDescent="0.25">
      <c r="A498">
        <v>596</v>
      </c>
    </row>
    <row r="499" spans="1:1" x14ac:dyDescent="0.25">
      <c r="A499">
        <v>597</v>
      </c>
    </row>
    <row r="500" spans="1:1" x14ac:dyDescent="0.25">
      <c r="A500">
        <v>598</v>
      </c>
    </row>
    <row r="501" spans="1:1" x14ac:dyDescent="0.25">
      <c r="A501">
        <v>599</v>
      </c>
    </row>
    <row r="502" spans="1:1" x14ac:dyDescent="0.25">
      <c r="A502">
        <v>600</v>
      </c>
    </row>
    <row r="503" spans="1:1" x14ac:dyDescent="0.25">
      <c r="A503">
        <v>601</v>
      </c>
    </row>
    <row r="504" spans="1:1" x14ac:dyDescent="0.25">
      <c r="A504">
        <v>602</v>
      </c>
    </row>
    <row r="505" spans="1:1" x14ac:dyDescent="0.25">
      <c r="A505">
        <v>603</v>
      </c>
    </row>
    <row r="506" spans="1:1" x14ac:dyDescent="0.25">
      <c r="A506">
        <v>604</v>
      </c>
    </row>
    <row r="507" spans="1:1" x14ac:dyDescent="0.25">
      <c r="A507">
        <v>605</v>
      </c>
    </row>
    <row r="508" spans="1:1" x14ac:dyDescent="0.25">
      <c r="A508">
        <v>606</v>
      </c>
    </row>
    <row r="509" spans="1:1" x14ac:dyDescent="0.25">
      <c r="A509">
        <v>607</v>
      </c>
    </row>
    <row r="510" spans="1:1" x14ac:dyDescent="0.25">
      <c r="A510">
        <v>608</v>
      </c>
    </row>
    <row r="511" spans="1:1" x14ac:dyDescent="0.25">
      <c r="A511">
        <v>609</v>
      </c>
    </row>
    <row r="512" spans="1:1" x14ac:dyDescent="0.25">
      <c r="A512">
        <v>610</v>
      </c>
    </row>
    <row r="513" spans="1:1" x14ac:dyDescent="0.25">
      <c r="A513">
        <v>611</v>
      </c>
    </row>
    <row r="514" spans="1:1" x14ac:dyDescent="0.25">
      <c r="A514">
        <v>612</v>
      </c>
    </row>
    <row r="515" spans="1:1" x14ac:dyDescent="0.25">
      <c r="A515">
        <v>613</v>
      </c>
    </row>
    <row r="516" spans="1:1" x14ac:dyDescent="0.25">
      <c r="A516">
        <v>614</v>
      </c>
    </row>
    <row r="517" spans="1:1" x14ac:dyDescent="0.25">
      <c r="A517">
        <v>615</v>
      </c>
    </row>
    <row r="518" spans="1:1" x14ac:dyDescent="0.25">
      <c r="A518">
        <v>616</v>
      </c>
    </row>
    <row r="519" spans="1:1" x14ac:dyDescent="0.25">
      <c r="A519">
        <v>617</v>
      </c>
    </row>
    <row r="520" spans="1:1" x14ac:dyDescent="0.25">
      <c r="A520">
        <v>618</v>
      </c>
    </row>
    <row r="521" spans="1:1" x14ac:dyDescent="0.25">
      <c r="A521">
        <v>619</v>
      </c>
    </row>
    <row r="522" spans="1:1" x14ac:dyDescent="0.25">
      <c r="A522">
        <v>620</v>
      </c>
    </row>
    <row r="523" spans="1:1" x14ac:dyDescent="0.25">
      <c r="A523">
        <v>621</v>
      </c>
    </row>
    <row r="524" spans="1:1" x14ac:dyDescent="0.25">
      <c r="A524">
        <v>622</v>
      </c>
    </row>
    <row r="525" spans="1:1" x14ac:dyDescent="0.25">
      <c r="A525">
        <v>623</v>
      </c>
    </row>
    <row r="526" spans="1:1" x14ac:dyDescent="0.25">
      <c r="A526">
        <v>624</v>
      </c>
    </row>
    <row r="527" spans="1:1" x14ac:dyDescent="0.25">
      <c r="A527">
        <v>625</v>
      </c>
    </row>
    <row r="528" spans="1:1" x14ac:dyDescent="0.25">
      <c r="A528">
        <v>626</v>
      </c>
    </row>
    <row r="529" spans="1:1" x14ac:dyDescent="0.25">
      <c r="A529">
        <v>627</v>
      </c>
    </row>
    <row r="530" spans="1:1" x14ac:dyDescent="0.25">
      <c r="A530">
        <v>628</v>
      </c>
    </row>
    <row r="531" spans="1:1" x14ac:dyDescent="0.25">
      <c r="A531">
        <v>629</v>
      </c>
    </row>
    <row r="532" spans="1:1" x14ac:dyDescent="0.25">
      <c r="A532">
        <v>630</v>
      </c>
    </row>
    <row r="533" spans="1:1" x14ac:dyDescent="0.25">
      <c r="A533">
        <v>631</v>
      </c>
    </row>
    <row r="534" spans="1:1" x14ac:dyDescent="0.25">
      <c r="A534">
        <v>632</v>
      </c>
    </row>
    <row r="535" spans="1:1" x14ac:dyDescent="0.25">
      <c r="A535">
        <v>633</v>
      </c>
    </row>
    <row r="536" spans="1:1" x14ac:dyDescent="0.25">
      <c r="A536">
        <v>634</v>
      </c>
    </row>
    <row r="537" spans="1:1" x14ac:dyDescent="0.25">
      <c r="A537">
        <v>635</v>
      </c>
    </row>
    <row r="538" spans="1:1" x14ac:dyDescent="0.25">
      <c r="A538">
        <v>636</v>
      </c>
    </row>
    <row r="539" spans="1:1" x14ac:dyDescent="0.25">
      <c r="A539">
        <v>637</v>
      </c>
    </row>
    <row r="540" spans="1:1" x14ac:dyDescent="0.25">
      <c r="A540">
        <v>638</v>
      </c>
    </row>
    <row r="541" spans="1:1" x14ac:dyDescent="0.25">
      <c r="A541">
        <v>639</v>
      </c>
    </row>
    <row r="542" spans="1:1" x14ac:dyDescent="0.25">
      <c r="A542">
        <v>640</v>
      </c>
    </row>
    <row r="543" spans="1:1" x14ac:dyDescent="0.25">
      <c r="A543">
        <v>641</v>
      </c>
    </row>
    <row r="544" spans="1:1" x14ac:dyDescent="0.25">
      <c r="A544">
        <v>642</v>
      </c>
    </row>
    <row r="545" spans="1:1" x14ac:dyDescent="0.25">
      <c r="A545">
        <v>643</v>
      </c>
    </row>
    <row r="546" spans="1:1" x14ac:dyDescent="0.25">
      <c r="A546">
        <v>644</v>
      </c>
    </row>
    <row r="547" spans="1:1" x14ac:dyDescent="0.25">
      <c r="A547">
        <v>645</v>
      </c>
    </row>
    <row r="548" spans="1:1" x14ac:dyDescent="0.25">
      <c r="A548">
        <v>646</v>
      </c>
    </row>
    <row r="549" spans="1:1" x14ac:dyDescent="0.25">
      <c r="A549">
        <v>647</v>
      </c>
    </row>
    <row r="550" spans="1:1" x14ac:dyDescent="0.25">
      <c r="A550">
        <v>648</v>
      </c>
    </row>
    <row r="551" spans="1:1" x14ac:dyDescent="0.25">
      <c r="A551">
        <v>649</v>
      </c>
    </row>
    <row r="552" spans="1:1" x14ac:dyDescent="0.25">
      <c r="A552">
        <v>650</v>
      </c>
    </row>
    <row r="553" spans="1:1" x14ac:dyDescent="0.25">
      <c r="A553">
        <v>651</v>
      </c>
    </row>
    <row r="554" spans="1:1" x14ac:dyDescent="0.25">
      <c r="A554">
        <v>652</v>
      </c>
    </row>
    <row r="555" spans="1:1" x14ac:dyDescent="0.25">
      <c r="A555">
        <v>653</v>
      </c>
    </row>
    <row r="556" spans="1:1" x14ac:dyDescent="0.25">
      <c r="A556">
        <v>654</v>
      </c>
    </row>
    <row r="557" spans="1:1" x14ac:dyDescent="0.25">
      <c r="A557">
        <v>655</v>
      </c>
    </row>
    <row r="558" spans="1:1" x14ac:dyDescent="0.25">
      <c r="A558">
        <v>656</v>
      </c>
    </row>
    <row r="559" spans="1:1" x14ac:dyDescent="0.25">
      <c r="A559">
        <v>657</v>
      </c>
    </row>
    <row r="560" spans="1:1" x14ac:dyDescent="0.25">
      <c r="A560">
        <v>658</v>
      </c>
    </row>
    <row r="561" spans="1:1" x14ac:dyDescent="0.25">
      <c r="A561">
        <v>659</v>
      </c>
    </row>
    <row r="562" spans="1:1" x14ac:dyDescent="0.25">
      <c r="A562">
        <v>660</v>
      </c>
    </row>
    <row r="563" spans="1:1" x14ac:dyDescent="0.25">
      <c r="A563">
        <v>661</v>
      </c>
    </row>
    <row r="564" spans="1:1" x14ac:dyDescent="0.25">
      <c r="A564">
        <v>662</v>
      </c>
    </row>
    <row r="565" spans="1:1" x14ac:dyDescent="0.25">
      <c r="A565">
        <v>663</v>
      </c>
    </row>
    <row r="566" spans="1:1" x14ac:dyDescent="0.25">
      <c r="A566">
        <v>664</v>
      </c>
    </row>
    <row r="567" spans="1:1" x14ac:dyDescent="0.25">
      <c r="A567">
        <v>665</v>
      </c>
    </row>
    <row r="568" spans="1:1" x14ac:dyDescent="0.25">
      <c r="A568">
        <v>666</v>
      </c>
    </row>
    <row r="569" spans="1:1" x14ac:dyDescent="0.25">
      <c r="A569">
        <v>667</v>
      </c>
    </row>
    <row r="570" spans="1:1" x14ac:dyDescent="0.25">
      <c r="A570">
        <v>668</v>
      </c>
    </row>
    <row r="571" spans="1:1" x14ac:dyDescent="0.25">
      <c r="A571">
        <v>669</v>
      </c>
    </row>
    <row r="572" spans="1:1" x14ac:dyDescent="0.25">
      <c r="A572">
        <v>670</v>
      </c>
    </row>
    <row r="573" spans="1:1" x14ac:dyDescent="0.25">
      <c r="A573">
        <v>671</v>
      </c>
    </row>
    <row r="574" spans="1:1" x14ac:dyDescent="0.25">
      <c r="A574">
        <v>672</v>
      </c>
    </row>
    <row r="575" spans="1:1" x14ac:dyDescent="0.25">
      <c r="A575">
        <v>673</v>
      </c>
    </row>
    <row r="576" spans="1:1" x14ac:dyDescent="0.25">
      <c r="A576">
        <v>674</v>
      </c>
    </row>
    <row r="577" spans="1:1" x14ac:dyDescent="0.25">
      <c r="A577">
        <v>675</v>
      </c>
    </row>
    <row r="578" spans="1:1" x14ac:dyDescent="0.25">
      <c r="A578">
        <v>676</v>
      </c>
    </row>
    <row r="579" spans="1:1" x14ac:dyDescent="0.25">
      <c r="A579">
        <v>677</v>
      </c>
    </row>
    <row r="580" spans="1:1" x14ac:dyDescent="0.25">
      <c r="A580">
        <v>678</v>
      </c>
    </row>
    <row r="581" spans="1:1" x14ac:dyDescent="0.25">
      <c r="A581">
        <v>679</v>
      </c>
    </row>
    <row r="582" spans="1:1" x14ac:dyDescent="0.25">
      <c r="A582">
        <v>680</v>
      </c>
    </row>
    <row r="583" spans="1:1" x14ac:dyDescent="0.25">
      <c r="A583">
        <v>681</v>
      </c>
    </row>
    <row r="584" spans="1:1" x14ac:dyDescent="0.25">
      <c r="A584">
        <v>682</v>
      </c>
    </row>
    <row r="585" spans="1:1" x14ac:dyDescent="0.25">
      <c r="A585">
        <v>683</v>
      </c>
    </row>
    <row r="586" spans="1:1" x14ac:dyDescent="0.25">
      <c r="A586">
        <v>684</v>
      </c>
    </row>
    <row r="587" spans="1:1" x14ac:dyDescent="0.25">
      <c r="A587">
        <v>685</v>
      </c>
    </row>
    <row r="588" spans="1:1" x14ac:dyDescent="0.25">
      <c r="A588">
        <v>686</v>
      </c>
    </row>
    <row r="589" spans="1:1" x14ac:dyDescent="0.25">
      <c r="A589">
        <v>687</v>
      </c>
    </row>
    <row r="590" spans="1:1" x14ac:dyDescent="0.25">
      <c r="A590">
        <v>688</v>
      </c>
    </row>
    <row r="591" spans="1:1" x14ac:dyDescent="0.25">
      <c r="A591">
        <v>689</v>
      </c>
    </row>
    <row r="592" spans="1:1" x14ac:dyDescent="0.25">
      <c r="A592">
        <v>690</v>
      </c>
    </row>
    <row r="593" spans="1:1" x14ac:dyDescent="0.25">
      <c r="A593">
        <v>691</v>
      </c>
    </row>
    <row r="594" spans="1:1" x14ac:dyDescent="0.25">
      <c r="A594">
        <v>692</v>
      </c>
    </row>
    <row r="595" spans="1:1" x14ac:dyDescent="0.25">
      <c r="A595">
        <v>693</v>
      </c>
    </row>
    <row r="596" spans="1:1" x14ac:dyDescent="0.25">
      <c r="A596">
        <v>694</v>
      </c>
    </row>
    <row r="597" spans="1:1" x14ac:dyDescent="0.25">
      <c r="A597">
        <v>695</v>
      </c>
    </row>
    <row r="598" spans="1:1" x14ac:dyDescent="0.25">
      <c r="A598">
        <v>696</v>
      </c>
    </row>
    <row r="599" spans="1:1" x14ac:dyDescent="0.25">
      <c r="A599">
        <v>697</v>
      </c>
    </row>
    <row r="600" spans="1:1" x14ac:dyDescent="0.25">
      <c r="A600">
        <v>698</v>
      </c>
    </row>
    <row r="601" spans="1:1" x14ac:dyDescent="0.25">
      <c r="A601">
        <v>699</v>
      </c>
    </row>
    <row r="602" spans="1:1" x14ac:dyDescent="0.25">
      <c r="A602">
        <v>700</v>
      </c>
    </row>
    <row r="603" spans="1:1" x14ac:dyDescent="0.25">
      <c r="A603">
        <v>701</v>
      </c>
    </row>
    <row r="604" spans="1:1" x14ac:dyDescent="0.25">
      <c r="A604">
        <v>702</v>
      </c>
    </row>
    <row r="605" spans="1:1" x14ac:dyDescent="0.25">
      <c r="A605">
        <v>703</v>
      </c>
    </row>
    <row r="606" spans="1:1" x14ac:dyDescent="0.25">
      <c r="A606">
        <v>704</v>
      </c>
    </row>
    <row r="607" spans="1:1" x14ac:dyDescent="0.25">
      <c r="A607">
        <v>705</v>
      </c>
    </row>
    <row r="608" spans="1:1" x14ac:dyDescent="0.25">
      <c r="A608">
        <v>706</v>
      </c>
    </row>
    <row r="609" spans="1:1" x14ac:dyDescent="0.25">
      <c r="A609">
        <v>707</v>
      </c>
    </row>
    <row r="610" spans="1:1" x14ac:dyDescent="0.25">
      <c r="A610">
        <v>708</v>
      </c>
    </row>
    <row r="611" spans="1:1" x14ac:dyDescent="0.25">
      <c r="A611">
        <v>709</v>
      </c>
    </row>
    <row r="612" spans="1:1" x14ac:dyDescent="0.25">
      <c r="A612">
        <v>710</v>
      </c>
    </row>
    <row r="613" spans="1:1" x14ac:dyDescent="0.25">
      <c r="A613">
        <v>711</v>
      </c>
    </row>
    <row r="614" spans="1:1" x14ac:dyDescent="0.25">
      <c r="A614">
        <v>712</v>
      </c>
    </row>
    <row r="615" spans="1:1" x14ac:dyDescent="0.25">
      <c r="A615">
        <v>713</v>
      </c>
    </row>
    <row r="616" spans="1:1" x14ac:dyDescent="0.25">
      <c r="A616">
        <v>714</v>
      </c>
    </row>
    <row r="617" spans="1:1" x14ac:dyDescent="0.25">
      <c r="A617">
        <v>715</v>
      </c>
    </row>
    <row r="618" spans="1:1" x14ac:dyDescent="0.25">
      <c r="A618">
        <v>716</v>
      </c>
    </row>
    <row r="619" spans="1:1" x14ac:dyDescent="0.25">
      <c r="A619">
        <v>717</v>
      </c>
    </row>
    <row r="620" spans="1:1" x14ac:dyDescent="0.25">
      <c r="A620">
        <v>718</v>
      </c>
    </row>
    <row r="621" spans="1:1" x14ac:dyDescent="0.25">
      <c r="A621">
        <v>719</v>
      </c>
    </row>
    <row r="622" spans="1:1" x14ac:dyDescent="0.25">
      <c r="A622">
        <v>720</v>
      </c>
    </row>
    <row r="623" spans="1:1" x14ac:dyDescent="0.25">
      <c r="A623">
        <v>721</v>
      </c>
    </row>
    <row r="624" spans="1:1" x14ac:dyDescent="0.25">
      <c r="A624">
        <v>722</v>
      </c>
    </row>
    <row r="625" spans="1:1" x14ac:dyDescent="0.25">
      <c r="A625">
        <v>723</v>
      </c>
    </row>
    <row r="626" spans="1:1" x14ac:dyDescent="0.25">
      <c r="A626">
        <v>724</v>
      </c>
    </row>
    <row r="627" spans="1:1" x14ac:dyDescent="0.25">
      <c r="A627">
        <v>725</v>
      </c>
    </row>
    <row r="628" spans="1:1" x14ac:dyDescent="0.25">
      <c r="A628">
        <v>726</v>
      </c>
    </row>
    <row r="629" spans="1:1" x14ac:dyDescent="0.25">
      <c r="A629">
        <v>727</v>
      </c>
    </row>
    <row r="630" spans="1:1" x14ac:dyDescent="0.25">
      <c r="A630">
        <v>728</v>
      </c>
    </row>
    <row r="631" spans="1:1" x14ac:dyDescent="0.25">
      <c r="A631">
        <v>729</v>
      </c>
    </row>
    <row r="632" spans="1:1" x14ac:dyDescent="0.25">
      <c r="A632">
        <v>730</v>
      </c>
    </row>
    <row r="633" spans="1:1" x14ac:dyDescent="0.25">
      <c r="A633">
        <v>731</v>
      </c>
    </row>
    <row r="634" spans="1:1" x14ac:dyDescent="0.25">
      <c r="A634">
        <v>732</v>
      </c>
    </row>
    <row r="635" spans="1:1" x14ac:dyDescent="0.25">
      <c r="A635">
        <v>733</v>
      </c>
    </row>
    <row r="636" spans="1:1" x14ac:dyDescent="0.25">
      <c r="A636">
        <v>734</v>
      </c>
    </row>
    <row r="637" spans="1:1" x14ac:dyDescent="0.25">
      <c r="A637">
        <v>735</v>
      </c>
    </row>
    <row r="638" spans="1:1" x14ac:dyDescent="0.25">
      <c r="A638">
        <v>736</v>
      </c>
    </row>
    <row r="639" spans="1:1" x14ac:dyDescent="0.25">
      <c r="A639">
        <v>737</v>
      </c>
    </row>
    <row r="640" spans="1:1" x14ac:dyDescent="0.25">
      <c r="A640">
        <v>738</v>
      </c>
    </row>
    <row r="641" spans="1:1" x14ac:dyDescent="0.25">
      <c r="A641">
        <v>739</v>
      </c>
    </row>
    <row r="642" spans="1:1" x14ac:dyDescent="0.25">
      <c r="A642">
        <v>740</v>
      </c>
    </row>
    <row r="643" spans="1:1" x14ac:dyDescent="0.25">
      <c r="A643">
        <v>741</v>
      </c>
    </row>
    <row r="644" spans="1:1" x14ac:dyDescent="0.25">
      <c r="A644">
        <v>742</v>
      </c>
    </row>
    <row r="645" spans="1:1" x14ac:dyDescent="0.25">
      <c r="A645">
        <v>743</v>
      </c>
    </row>
    <row r="646" spans="1:1" x14ac:dyDescent="0.25">
      <c r="A646">
        <v>744</v>
      </c>
    </row>
    <row r="647" spans="1:1" x14ac:dyDescent="0.25">
      <c r="A647">
        <v>745</v>
      </c>
    </row>
    <row r="648" spans="1:1" x14ac:dyDescent="0.25">
      <c r="A648">
        <v>746</v>
      </c>
    </row>
    <row r="649" spans="1:1" x14ac:dyDescent="0.25">
      <c r="A649">
        <v>747</v>
      </c>
    </row>
    <row r="650" spans="1:1" x14ac:dyDescent="0.25">
      <c r="A650">
        <v>748</v>
      </c>
    </row>
    <row r="651" spans="1:1" x14ac:dyDescent="0.25">
      <c r="A651">
        <v>749</v>
      </c>
    </row>
    <row r="652" spans="1:1" x14ac:dyDescent="0.25">
      <c r="A652">
        <v>750</v>
      </c>
    </row>
    <row r="653" spans="1:1" x14ac:dyDescent="0.25">
      <c r="A653">
        <v>751</v>
      </c>
    </row>
    <row r="654" spans="1:1" x14ac:dyDescent="0.25">
      <c r="A654">
        <v>752</v>
      </c>
    </row>
    <row r="655" spans="1:1" x14ac:dyDescent="0.25">
      <c r="A655">
        <v>753</v>
      </c>
    </row>
    <row r="656" spans="1:1" x14ac:dyDescent="0.25">
      <c r="A656">
        <v>754</v>
      </c>
    </row>
    <row r="657" spans="1:1" x14ac:dyDescent="0.25">
      <c r="A657">
        <v>755</v>
      </c>
    </row>
    <row r="658" spans="1:1" x14ac:dyDescent="0.25">
      <c r="A658">
        <v>756</v>
      </c>
    </row>
    <row r="659" spans="1:1" x14ac:dyDescent="0.25">
      <c r="A659">
        <v>757</v>
      </c>
    </row>
    <row r="660" spans="1:1" x14ac:dyDescent="0.25">
      <c r="A660">
        <v>758</v>
      </c>
    </row>
    <row r="661" spans="1:1" x14ac:dyDescent="0.25">
      <c r="A661">
        <v>759</v>
      </c>
    </row>
    <row r="662" spans="1:1" x14ac:dyDescent="0.25">
      <c r="A662">
        <v>760</v>
      </c>
    </row>
    <row r="663" spans="1:1" x14ac:dyDescent="0.25">
      <c r="A663">
        <v>761</v>
      </c>
    </row>
    <row r="664" spans="1:1" x14ac:dyDescent="0.25">
      <c r="A664">
        <v>762</v>
      </c>
    </row>
    <row r="665" spans="1:1" x14ac:dyDescent="0.25">
      <c r="A665">
        <v>763</v>
      </c>
    </row>
    <row r="666" spans="1:1" x14ac:dyDescent="0.25">
      <c r="A666">
        <v>764</v>
      </c>
    </row>
    <row r="667" spans="1:1" x14ac:dyDescent="0.25">
      <c r="A667">
        <v>765</v>
      </c>
    </row>
    <row r="668" spans="1:1" x14ac:dyDescent="0.25">
      <c r="A668">
        <v>766</v>
      </c>
    </row>
    <row r="669" spans="1:1" x14ac:dyDescent="0.25">
      <c r="A669">
        <v>767</v>
      </c>
    </row>
    <row r="670" spans="1:1" x14ac:dyDescent="0.25">
      <c r="A670">
        <v>768</v>
      </c>
    </row>
    <row r="671" spans="1:1" x14ac:dyDescent="0.25">
      <c r="A671">
        <v>769</v>
      </c>
    </row>
    <row r="672" spans="1:1" x14ac:dyDescent="0.25">
      <c r="A672">
        <v>770</v>
      </c>
    </row>
    <row r="673" spans="1:1" x14ac:dyDescent="0.25">
      <c r="A673">
        <v>771</v>
      </c>
    </row>
    <row r="674" spans="1:1" x14ac:dyDescent="0.25">
      <c r="A674">
        <v>772</v>
      </c>
    </row>
    <row r="675" spans="1:1" x14ac:dyDescent="0.25">
      <c r="A675">
        <v>773</v>
      </c>
    </row>
    <row r="676" spans="1:1" x14ac:dyDescent="0.25">
      <c r="A676">
        <v>774</v>
      </c>
    </row>
    <row r="677" spans="1:1" x14ac:dyDescent="0.25">
      <c r="A677">
        <v>775</v>
      </c>
    </row>
    <row r="678" spans="1:1" x14ac:dyDescent="0.25">
      <c r="A678">
        <v>776</v>
      </c>
    </row>
    <row r="679" spans="1:1" x14ac:dyDescent="0.25">
      <c r="A679">
        <v>777</v>
      </c>
    </row>
    <row r="680" spans="1:1" x14ac:dyDescent="0.25">
      <c r="A680">
        <v>778</v>
      </c>
    </row>
    <row r="681" spans="1:1" x14ac:dyDescent="0.25">
      <c r="A681">
        <v>779</v>
      </c>
    </row>
    <row r="682" spans="1:1" x14ac:dyDescent="0.25">
      <c r="A682">
        <v>780</v>
      </c>
    </row>
    <row r="683" spans="1:1" x14ac:dyDescent="0.25">
      <c r="A683">
        <v>781</v>
      </c>
    </row>
    <row r="684" spans="1:1" x14ac:dyDescent="0.25">
      <c r="A684">
        <v>782</v>
      </c>
    </row>
    <row r="685" spans="1:1" x14ac:dyDescent="0.25">
      <c r="A685">
        <v>783</v>
      </c>
    </row>
    <row r="686" spans="1:1" x14ac:dyDescent="0.25">
      <c r="A686">
        <v>784</v>
      </c>
    </row>
    <row r="687" spans="1:1" x14ac:dyDescent="0.25">
      <c r="A687">
        <v>785</v>
      </c>
    </row>
    <row r="688" spans="1:1" x14ac:dyDescent="0.25">
      <c r="A688">
        <v>786</v>
      </c>
    </row>
    <row r="689" spans="1:1" x14ac:dyDescent="0.25">
      <c r="A689">
        <v>787</v>
      </c>
    </row>
    <row r="690" spans="1:1" x14ac:dyDescent="0.25">
      <c r="A690">
        <v>788</v>
      </c>
    </row>
    <row r="691" spans="1:1" x14ac:dyDescent="0.25">
      <c r="A691">
        <v>789</v>
      </c>
    </row>
    <row r="692" spans="1:1" x14ac:dyDescent="0.25">
      <c r="A692">
        <v>790</v>
      </c>
    </row>
    <row r="693" spans="1:1" x14ac:dyDescent="0.25">
      <c r="A693">
        <v>791</v>
      </c>
    </row>
    <row r="694" spans="1:1" x14ac:dyDescent="0.25">
      <c r="A694">
        <v>792</v>
      </c>
    </row>
    <row r="695" spans="1:1" x14ac:dyDescent="0.25">
      <c r="A695">
        <v>793</v>
      </c>
    </row>
    <row r="696" spans="1:1" x14ac:dyDescent="0.25">
      <c r="A696">
        <v>794</v>
      </c>
    </row>
    <row r="697" spans="1:1" x14ac:dyDescent="0.25">
      <c r="A697">
        <v>795</v>
      </c>
    </row>
    <row r="698" spans="1:1" x14ac:dyDescent="0.25">
      <c r="A698">
        <v>796</v>
      </c>
    </row>
    <row r="699" spans="1:1" x14ac:dyDescent="0.25">
      <c r="A699">
        <v>797</v>
      </c>
    </row>
    <row r="700" spans="1:1" x14ac:dyDescent="0.25">
      <c r="A700">
        <v>798</v>
      </c>
    </row>
    <row r="701" spans="1:1" x14ac:dyDescent="0.25">
      <c r="A701">
        <v>799</v>
      </c>
    </row>
    <row r="702" spans="1:1" x14ac:dyDescent="0.25">
      <c r="A702">
        <v>800</v>
      </c>
    </row>
    <row r="703" spans="1:1" x14ac:dyDescent="0.25">
      <c r="A703">
        <v>801</v>
      </c>
    </row>
    <row r="704" spans="1:1" x14ac:dyDescent="0.25">
      <c r="A704">
        <v>802</v>
      </c>
    </row>
    <row r="705" spans="1:1" x14ac:dyDescent="0.25">
      <c r="A705">
        <v>803</v>
      </c>
    </row>
    <row r="706" spans="1:1" x14ac:dyDescent="0.25">
      <c r="A706">
        <v>804</v>
      </c>
    </row>
    <row r="707" spans="1:1" x14ac:dyDescent="0.25">
      <c r="A707">
        <v>805</v>
      </c>
    </row>
    <row r="708" spans="1:1" x14ac:dyDescent="0.25">
      <c r="A708">
        <v>806</v>
      </c>
    </row>
    <row r="709" spans="1:1" x14ac:dyDescent="0.25">
      <c r="A709">
        <v>807</v>
      </c>
    </row>
    <row r="710" spans="1:1" x14ac:dyDescent="0.25">
      <c r="A710">
        <v>808</v>
      </c>
    </row>
    <row r="711" spans="1:1" x14ac:dyDescent="0.25">
      <c r="A711">
        <v>809</v>
      </c>
    </row>
    <row r="712" spans="1:1" x14ac:dyDescent="0.25">
      <c r="A712">
        <v>810</v>
      </c>
    </row>
    <row r="713" spans="1:1" x14ac:dyDescent="0.25">
      <c r="A713">
        <v>811</v>
      </c>
    </row>
    <row r="714" spans="1:1" x14ac:dyDescent="0.25">
      <c r="A714">
        <v>812</v>
      </c>
    </row>
    <row r="715" spans="1:1" x14ac:dyDescent="0.25">
      <c r="A715">
        <v>813</v>
      </c>
    </row>
    <row r="716" spans="1:1" x14ac:dyDescent="0.25">
      <c r="A716">
        <v>814</v>
      </c>
    </row>
    <row r="717" spans="1:1" x14ac:dyDescent="0.25">
      <c r="A717">
        <v>815</v>
      </c>
    </row>
    <row r="718" spans="1:1" x14ac:dyDescent="0.25">
      <c r="A718">
        <v>816</v>
      </c>
    </row>
    <row r="719" spans="1:1" x14ac:dyDescent="0.25">
      <c r="A719">
        <v>817</v>
      </c>
    </row>
    <row r="720" spans="1:1" x14ac:dyDescent="0.25">
      <c r="A720">
        <v>818</v>
      </c>
    </row>
    <row r="721" spans="1:1" x14ac:dyDescent="0.25">
      <c r="A721">
        <v>819</v>
      </c>
    </row>
    <row r="722" spans="1:1" x14ac:dyDescent="0.25">
      <c r="A722">
        <v>820</v>
      </c>
    </row>
    <row r="723" spans="1:1" x14ac:dyDescent="0.25">
      <c r="A723">
        <v>821</v>
      </c>
    </row>
    <row r="724" spans="1:1" x14ac:dyDescent="0.25">
      <c r="A724">
        <v>822</v>
      </c>
    </row>
    <row r="725" spans="1:1" x14ac:dyDescent="0.25">
      <c r="A725">
        <v>823</v>
      </c>
    </row>
    <row r="726" spans="1:1" x14ac:dyDescent="0.25">
      <c r="A726">
        <v>824</v>
      </c>
    </row>
    <row r="727" spans="1:1" x14ac:dyDescent="0.25">
      <c r="A727">
        <v>825</v>
      </c>
    </row>
    <row r="728" spans="1:1" x14ac:dyDescent="0.25">
      <c r="A728">
        <v>826</v>
      </c>
    </row>
    <row r="729" spans="1:1" x14ac:dyDescent="0.25">
      <c r="A729">
        <v>827</v>
      </c>
    </row>
    <row r="730" spans="1:1" x14ac:dyDescent="0.25">
      <c r="A730">
        <v>828</v>
      </c>
    </row>
    <row r="731" spans="1:1" x14ac:dyDescent="0.25">
      <c r="A731">
        <v>829</v>
      </c>
    </row>
    <row r="732" spans="1:1" x14ac:dyDescent="0.25">
      <c r="A732">
        <v>830</v>
      </c>
    </row>
    <row r="733" spans="1:1" x14ac:dyDescent="0.25">
      <c r="A733">
        <v>831</v>
      </c>
    </row>
    <row r="734" spans="1:1" x14ac:dyDescent="0.25">
      <c r="A734">
        <v>832</v>
      </c>
    </row>
    <row r="735" spans="1:1" x14ac:dyDescent="0.25">
      <c r="A735">
        <v>833</v>
      </c>
    </row>
    <row r="736" spans="1:1" x14ac:dyDescent="0.25">
      <c r="A736">
        <v>834</v>
      </c>
    </row>
    <row r="737" spans="1:1" x14ac:dyDescent="0.25">
      <c r="A737">
        <v>835</v>
      </c>
    </row>
    <row r="738" spans="1:1" x14ac:dyDescent="0.25">
      <c r="A738">
        <v>836</v>
      </c>
    </row>
    <row r="739" spans="1:1" x14ac:dyDescent="0.25">
      <c r="A739">
        <v>837</v>
      </c>
    </row>
    <row r="740" spans="1:1" x14ac:dyDescent="0.25">
      <c r="A740">
        <v>838</v>
      </c>
    </row>
    <row r="741" spans="1:1" x14ac:dyDescent="0.25">
      <c r="A741">
        <v>839</v>
      </c>
    </row>
    <row r="742" spans="1:1" x14ac:dyDescent="0.25">
      <c r="A742">
        <v>840</v>
      </c>
    </row>
    <row r="743" spans="1:1" x14ac:dyDescent="0.25">
      <c r="A743">
        <v>841</v>
      </c>
    </row>
    <row r="744" spans="1:1" x14ac:dyDescent="0.25">
      <c r="A744">
        <v>842</v>
      </c>
    </row>
    <row r="745" spans="1:1" x14ac:dyDescent="0.25">
      <c r="A745">
        <v>843</v>
      </c>
    </row>
    <row r="746" spans="1:1" x14ac:dyDescent="0.25">
      <c r="A746">
        <v>844</v>
      </c>
    </row>
    <row r="747" spans="1:1" x14ac:dyDescent="0.25">
      <c r="A747">
        <v>845</v>
      </c>
    </row>
    <row r="748" spans="1:1" x14ac:dyDescent="0.25">
      <c r="A748">
        <v>846</v>
      </c>
    </row>
    <row r="749" spans="1:1" x14ac:dyDescent="0.25">
      <c r="A749">
        <v>847</v>
      </c>
    </row>
    <row r="750" spans="1:1" x14ac:dyDescent="0.25">
      <c r="A750">
        <v>848</v>
      </c>
    </row>
    <row r="751" spans="1:1" x14ac:dyDescent="0.25">
      <c r="A751">
        <v>849</v>
      </c>
    </row>
    <row r="752" spans="1:1" x14ac:dyDescent="0.25">
      <c r="A752">
        <v>850</v>
      </c>
    </row>
    <row r="753" spans="1:1" x14ac:dyDescent="0.25">
      <c r="A753">
        <v>851</v>
      </c>
    </row>
    <row r="754" spans="1:1" x14ac:dyDescent="0.25">
      <c r="A754">
        <v>852</v>
      </c>
    </row>
    <row r="755" spans="1:1" x14ac:dyDescent="0.25">
      <c r="A755">
        <v>853</v>
      </c>
    </row>
    <row r="756" spans="1:1" x14ac:dyDescent="0.25">
      <c r="A756">
        <v>854</v>
      </c>
    </row>
    <row r="757" spans="1:1" x14ac:dyDescent="0.25">
      <c r="A757">
        <v>855</v>
      </c>
    </row>
    <row r="758" spans="1:1" x14ac:dyDescent="0.25">
      <c r="A758">
        <v>856</v>
      </c>
    </row>
    <row r="759" spans="1:1" x14ac:dyDescent="0.25">
      <c r="A759">
        <v>857</v>
      </c>
    </row>
    <row r="760" spans="1:1" x14ac:dyDescent="0.25">
      <c r="A760">
        <v>858</v>
      </c>
    </row>
    <row r="761" spans="1:1" x14ac:dyDescent="0.25">
      <c r="A761">
        <v>859</v>
      </c>
    </row>
    <row r="762" spans="1:1" x14ac:dyDescent="0.25">
      <c r="A762">
        <v>860</v>
      </c>
    </row>
    <row r="763" spans="1:1" x14ac:dyDescent="0.25">
      <c r="A763">
        <v>861</v>
      </c>
    </row>
    <row r="764" spans="1:1" x14ac:dyDescent="0.25">
      <c r="A764">
        <v>862</v>
      </c>
    </row>
    <row r="765" spans="1:1" x14ac:dyDescent="0.25">
      <c r="A765">
        <v>863</v>
      </c>
    </row>
    <row r="766" spans="1:1" x14ac:dyDescent="0.25">
      <c r="A766">
        <v>864</v>
      </c>
    </row>
    <row r="767" spans="1:1" x14ac:dyDescent="0.25">
      <c r="A767">
        <v>865</v>
      </c>
    </row>
    <row r="768" spans="1:1" x14ac:dyDescent="0.25">
      <c r="A768">
        <v>866</v>
      </c>
    </row>
    <row r="769" spans="1:1" x14ac:dyDescent="0.25">
      <c r="A769">
        <v>867</v>
      </c>
    </row>
    <row r="770" spans="1:1" x14ac:dyDescent="0.25">
      <c r="A770">
        <v>868</v>
      </c>
    </row>
    <row r="771" spans="1:1" x14ac:dyDescent="0.25">
      <c r="A771">
        <v>869</v>
      </c>
    </row>
    <row r="772" spans="1:1" x14ac:dyDescent="0.25">
      <c r="A772">
        <v>870</v>
      </c>
    </row>
    <row r="773" spans="1:1" x14ac:dyDescent="0.25">
      <c r="A773">
        <v>871</v>
      </c>
    </row>
    <row r="774" spans="1:1" x14ac:dyDescent="0.25">
      <c r="A774">
        <v>872</v>
      </c>
    </row>
    <row r="775" spans="1:1" x14ac:dyDescent="0.25">
      <c r="A775">
        <v>873</v>
      </c>
    </row>
    <row r="776" spans="1:1" x14ac:dyDescent="0.25">
      <c r="A776">
        <v>874</v>
      </c>
    </row>
    <row r="777" spans="1:1" x14ac:dyDescent="0.25">
      <c r="A777">
        <v>875</v>
      </c>
    </row>
    <row r="778" spans="1:1" x14ac:dyDescent="0.25">
      <c r="A778">
        <v>876</v>
      </c>
    </row>
    <row r="779" spans="1:1" x14ac:dyDescent="0.25">
      <c r="A779">
        <v>877</v>
      </c>
    </row>
    <row r="780" spans="1:1" x14ac:dyDescent="0.25">
      <c r="A780">
        <v>878</v>
      </c>
    </row>
    <row r="781" spans="1:1" x14ac:dyDescent="0.25">
      <c r="A781">
        <v>879</v>
      </c>
    </row>
    <row r="782" spans="1:1" x14ac:dyDescent="0.25">
      <c r="A782">
        <v>880</v>
      </c>
    </row>
    <row r="783" spans="1:1" x14ac:dyDescent="0.25">
      <c r="A783">
        <v>881</v>
      </c>
    </row>
    <row r="784" spans="1:1" x14ac:dyDescent="0.25">
      <c r="A784">
        <v>882</v>
      </c>
    </row>
    <row r="785" spans="1:1" x14ac:dyDescent="0.25">
      <c r="A785">
        <v>883</v>
      </c>
    </row>
    <row r="786" spans="1:1" x14ac:dyDescent="0.25">
      <c r="A786">
        <v>884</v>
      </c>
    </row>
    <row r="787" spans="1:1" x14ac:dyDescent="0.25">
      <c r="A787">
        <v>885</v>
      </c>
    </row>
    <row r="788" spans="1:1" x14ac:dyDescent="0.25">
      <c r="A788">
        <v>886</v>
      </c>
    </row>
    <row r="789" spans="1:1" x14ac:dyDescent="0.25">
      <c r="A789">
        <v>887</v>
      </c>
    </row>
    <row r="790" spans="1:1" x14ac:dyDescent="0.25">
      <c r="A790">
        <v>888</v>
      </c>
    </row>
    <row r="791" spans="1:1" x14ac:dyDescent="0.25">
      <c r="A791">
        <v>889</v>
      </c>
    </row>
    <row r="792" spans="1:1" x14ac:dyDescent="0.25">
      <c r="A792">
        <v>890</v>
      </c>
    </row>
    <row r="793" spans="1:1" x14ac:dyDescent="0.25">
      <c r="A793">
        <v>891</v>
      </c>
    </row>
    <row r="794" spans="1:1" x14ac:dyDescent="0.25">
      <c r="A794">
        <v>892</v>
      </c>
    </row>
    <row r="795" spans="1:1" x14ac:dyDescent="0.25">
      <c r="A795">
        <v>893</v>
      </c>
    </row>
    <row r="796" spans="1:1" x14ac:dyDescent="0.25">
      <c r="A796">
        <v>894</v>
      </c>
    </row>
    <row r="797" spans="1:1" x14ac:dyDescent="0.25">
      <c r="A797">
        <v>895</v>
      </c>
    </row>
    <row r="798" spans="1:1" x14ac:dyDescent="0.25">
      <c r="A798">
        <v>896</v>
      </c>
    </row>
    <row r="799" spans="1:1" x14ac:dyDescent="0.25">
      <c r="A799">
        <v>897</v>
      </c>
    </row>
    <row r="800" spans="1:1" x14ac:dyDescent="0.25">
      <c r="A800">
        <v>898</v>
      </c>
    </row>
    <row r="801" spans="1:1" x14ac:dyDescent="0.25">
      <c r="A801">
        <v>899</v>
      </c>
    </row>
    <row r="802" spans="1:1" x14ac:dyDescent="0.25">
      <c r="A802">
        <v>900</v>
      </c>
    </row>
    <row r="803" spans="1:1" x14ac:dyDescent="0.25">
      <c r="A803">
        <v>901</v>
      </c>
    </row>
    <row r="804" spans="1:1" x14ac:dyDescent="0.25">
      <c r="A804">
        <v>902</v>
      </c>
    </row>
    <row r="805" spans="1:1" x14ac:dyDescent="0.25">
      <c r="A805">
        <v>903</v>
      </c>
    </row>
    <row r="806" spans="1:1" x14ac:dyDescent="0.25">
      <c r="A806">
        <v>904</v>
      </c>
    </row>
    <row r="807" spans="1:1" x14ac:dyDescent="0.25">
      <c r="A807">
        <v>905</v>
      </c>
    </row>
    <row r="808" spans="1:1" x14ac:dyDescent="0.25">
      <c r="A808">
        <v>906</v>
      </c>
    </row>
    <row r="809" spans="1:1" x14ac:dyDescent="0.25">
      <c r="A809">
        <v>907</v>
      </c>
    </row>
    <row r="810" spans="1:1" x14ac:dyDescent="0.25">
      <c r="A810">
        <v>908</v>
      </c>
    </row>
    <row r="811" spans="1:1" x14ac:dyDescent="0.25">
      <c r="A811">
        <v>909</v>
      </c>
    </row>
    <row r="812" spans="1:1" x14ac:dyDescent="0.25">
      <c r="A812">
        <v>910</v>
      </c>
    </row>
    <row r="813" spans="1:1" x14ac:dyDescent="0.25">
      <c r="A813">
        <v>911</v>
      </c>
    </row>
    <row r="814" spans="1:1" x14ac:dyDescent="0.25">
      <c r="A814">
        <v>912</v>
      </c>
    </row>
    <row r="815" spans="1:1" x14ac:dyDescent="0.25">
      <c r="A815">
        <v>913</v>
      </c>
    </row>
    <row r="816" spans="1:1" x14ac:dyDescent="0.25">
      <c r="A816">
        <v>914</v>
      </c>
    </row>
    <row r="817" spans="1:1" x14ac:dyDescent="0.25">
      <c r="A817">
        <v>915</v>
      </c>
    </row>
    <row r="818" spans="1:1" x14ac:dyDescent="0.25">
      <c r="A818">
        <v>916</v>
      </c>
    </row>
    <row r="819" spans="1:1" x14ac:dyDescent="0.25">
      <c r="A819">
        <v>917</v>
      </c>
    </row>
    <row r="820" spans="1:1" x14ac:dyDescent="0.25">
      <c r="A820">
        <v>918</v>
      </c>
    </row>
    <row r="821" spans="1:1" x14ac:dyDescent="0.25">
      <c r="A821">
        <v>919</v>
      </c>
    </row>
    <row r="822" spans="1:1" x14ac:dyDescent="0.25">
      <c r="A822">
        <v>920</v>
      </c>
    </row>
    <row r="823" spans="1:1" x14ac:dyDescent="0.25">
      <c r="A823">
        <v>921</v>
      </c>
    </row>
    <row r="824" spans="1:1" x14ac:dyDescent="0.25">
      <c r="A824">
        <v>922</v>
      </c>
    </row>
    <row r="825" spans="1:1" x14ac:dyDescent="0.25">
      <c r="A825">
        <v>923</v>
      </c>
    </row>
    <row r="826" spans="1:1" x14ac:dyDescent="0.25">
      <c r="A826">
        <v>924</v>
      </c>
    </row>
    <row r="827" spans="1:1" x14ac:dyDescent="0.25">
      <c r="A827">
        <v>925</v>
      </c>
    </row>
    <row r="828" spans="1:1" x14ac:dyDescent="0.25">
      <c r="A828">
        <v>926</v>
      </c>
    </row>
    <row r="829" spans="1:1" x14ac:dyDescent="0.25">
      <c r="A829">
        <v>927</v>
      </c>
    </row>
    <row r="830" spans="1:1" x14ac:dyDescent="0.25">
      <c r="A830">
        <v>928</v>
      </c>
    </row>
    <row r="831" spans="1:1" x14ac:dyDescent="0.25">
      <c r="A831">
        <v>929</v>
      </c>
    </row>
    <row r="832" spans="1:1" x14ac:dyDescent="0.25">
      <c r="A832">
        <v>930</v>
      </c>
    </row>
    <row r="833" spans="1:1" x14ac:dyDescent="0.25">
      <c r="A833">
        <v>931</v>
      </c>
    </row>
    <row r="834" spans="1:1" x14ac:dyDescent="0.25">
      <c r="A834">
        <v>932</v>
      </c>
    </row>
    <row r="835" spans="1:1" x14ac:dyDescent="0.25">
      <c r="A835">
        <v>933</v>
      </c>
    </row>
    <row r="836" spans="1:1" x14ac:dyDescent="0.25">
      <c r="A836">
        <v>934</v>
      </c>
    </row>
    <row r="837" spans="1:1" x14ac:dyDescent="0.25">
      <c r="A837">
        <v>935</v>
      </c>
    </row>
    <row r="838" spans="1:1" x14ac:dyDescent="0.25">
      <c r="A838">
        <v>936</v>
      </c>
    </row>
    <row r="839" spans="1:1" x14ac:dyDescent="0.25">
      <c r="A839">
        <v>937</v>
      </c>
    </row>
    <row r="840" spans="1:1" x14ac:dyDescent="0.25">
      <c r="A840">
        <v>938</v>
      </c>
    </row>
    <row r="841" spans="1:1" x14ac:dyDescent="0.25">
      <c r="A841">
        <v>939</v>
      </c>
    </row>
    <row r="842" spans="1:1" x14ac:dyDescent="0.25">
      <c r="A842">
        <v>940</v>
      </c>
    </row>
    <row r="843" spans="1:1" x14ac:dyDescent="0.25">
      <c r="A843">
        <v>941</v>
      </c>
    </row>
    <row r="844" spans="1:1" x14ac:dyDescent="0.25">
      <c r="A844">
        <v>942</v>
      </c>
    </row>
    <row r="845" spans="1:1" x14ac:dyDescent="0.25">
      <c r="A845">
        <v>943</v>
      </c>
    </row>
    <row r="846" spans="1:1" x14ac:dyDescent="0.25">
      <c r="A846">
        <v>944</v>
      </c>
    </row>
    <row r="847" spans="1:1" x14ac:dyDescent="0.25">
      <c r="A847">
        <v>945</v>
      </c>
    </row>
    <row r="848" spans="1:1" x14ac:dyDescent="0.25">
      <c r="A848">
        <v>946</v>
      </c>
    </row>
    <row r="849" spans="1:1" x14ac:dyDescent="0.25">
      <c r="A849">
        <v>947</v>
      </c>
    </row>
    <row r="850" spans="1:1" x14ac:dyDescent="0.25">
      <c r="A850">
        <v>948</v>
      </c>
    </row>
    <row r="851" spans="1:1" x14ac:dyDescent="0.25">
      <c r="A851">
        <v>949</v>
      </c>
    </row>
    <row r="852" spans="1:1" x14ac:dyDescent="0.25">
      <c r="A852">
        <v>950</v>
      </c>
    </row>
    <row r="853" spans="1:1" x14ac:dyDescent="0.25">
      <c r="A853">
        <v>951</v>
      </c>
    </row>
    <row r="854" spans="1:1" x14ac:dyDescent="0.25">
      <c r="A854">
        <v>952</v>
      </c>
    </row>
    <row r="855" spans="1:1" x14ac:dyDescent="0.25">
      <c r="A855">
        <v>953</v>
      </c>
    </row>
    <row r="856" spans="1:1" x14ac:dyDescent="0.25">
      <c r="A856">
        <v>954</v>
      </c>
    </row>
    <row r="857" spans="1:1" x14ac:dyDescent="0.25">
      <c r="A857">
        <v>955</v>
      </c>
    </row>
    <row r="858" spans="1:1" x14ac:dyDescent="0.25">
      <c r="A858">
        <v>956</v>
      </c>
    </row>
    <row r="859" spans="1:1" x14ac:dyDescent="0.25">
      <c r="A859">
        <v>957</v>
      </c>
    </row>
    <row r="860" spans="1:1" x14ac:dyDescent="0.25">
      <c r="A860">
        <v>958</v>
      </c>
    </row>
    <row r="861" spans="1:1" x14ac:dyDescent="0.25">
      <c r="A861">
        <v>959</v>
      </c>
    </row>
    <row r="862" spans="1:1" x14ac:dyDescent="0.25">
      <c r="A862">
        <v>960</v>
      </c>
    </row>
    <row r="863" spans="1:1" x14ac:dyDescent="0.25">
      <c r="A863">
        <v>961</v>
      </c>
    </row>
    <row r="864" spans="1:1" x14ac:dyDescent="0.25">
      <c r="A864">
        <v>962</v>
      </c>
    </row>
    <row r="865" spans="1:1" x14ac:dyDescent="0.25">
      <c r="A865">
        <v>963</v>
      </c>
    </row>
    <row r="866" spans="1:1" x14ac:dyDescent="0.25">
      <c r="A866">
        <v>964</v>
      </c>
    </row>
    <row r="867" spans="1:1" x14ac:dyDescent="0.25">
      <c r="A867">
        <v>965</v>
      </c>
    </row>
    <row r="868" spans="1:1" x14ac:dyDescent="0.25">
      <c r="A868">
        <v>966</v>
      </c>
    </row>
    <row r="869" spans="1:1" x14ac:dyDescent="0.25">
      <c r="A869">
        <v>967</v>
      </c>
    </row>
    <row r="870" spans="1:1" x14ac:dyDescent="0.25">
      <c r="A870">
        <v>968</v>
      </c>
    </row>
    <row r="871" spans="1:1" x14ac:dyDescent="0.25">
      <c r="A871">
        <v>969</v>
      </c>
    </row>
    <row r="872" spans="1:1" x14ac:dyDescent="0.25">
      <c r="A872">
        <v>970</v>
      </c>
    </row>
    <row r="873" spans="1:1" x14ac:dyDescent="0.25">
      <c r="A873">
        <v>971</v>
      </c>
    </row>
    <row r="874" spans="1:1" x14ac:dyDescent="0.25">
      <c r="A874">
        <v>972</v>
      </c>
    </row>
    <row r="875" spans="1:1" x14ac:dyDescent="0.25">
      <c r="A875">
        <v>973</v>
      </c>
    </row>
    <row r="876" spans="1:1" x14ac:dyDescent="0.25">
      <c r="A876">
        <v>974</v>
      </c>
    </row>
    <row r="877" spans="1:1" x14ac:dyDescent="0.25">
      <c r="A877">
        <v>975</v>
      </c>
    </row>
    <row r="878" spans="1:1" x14ac:dyDescent="0.25">
      <c r="A878">
        <v>976</v>
      </c>
    </row>
    <row r="879" spans="1:1" x14ac:dyDescent="0.25">
      <c r="A879">
        <v>977</v>
      </c>
    </row>
    <row r="880" spans="1:1" x14ac:dyDescent="0.25">
      <c r="A880">
        <v>978</v>
      </c>
    </row>
    <row r="881" spans="1:1" x14ac:dyDescent="0.25">
      <c r="A881">
        <v>979</v>
      </c>
    </row>
    <row r="882" spans="1:1" x14ac:dyDescent="0.25">
      <c r="A882">
        <v>980</v>
      </c>
    </row>
    <row r="883" spans="1:1" x14ac:dyDescent="0.25">
      <c r="A883">
        <v>981</v>
      </c>
    </row>
    <row r="884" spans="1:1" x14ac:dyDescent="0.25">
      <c r="A884">
        <v>982</v>
      </c>
    </row>
    <row r="885" spans="1:1" x14ac:dyDescent="0.25">
      <c r="A885">
        <v>983</v>
      </c>
    </row>
    <row r="886" spans="1:1" x14ac:dyDescent="0.25">
      <c r="A886">
        <v>984</v>
      </c>
    </row>
    <row r="887" spans="1:1" x14ac:dyDescent="0.25">
      <c r="A887">
        <v>985</v>
      </c>
    </row>
    <row r="888" spans="1:1" x14ac:dyDescent="0.25">
      <c r="A888">
        <v>986</v>
      </c>
    </row>
    <row r="889" spans="1:1" x14ac:dyDescent="0.25">
      <c r="A889">
        <v>987</v>
      </c>
    </row>
    <row r="890" spans="1:1" x14ac:dyDescent="0.25">
      <c r="A890">
        <v>988</v>
      </c>
    </row>
    <row r="891" spans="1:1" x14ac:dyDescent="0.25">
      <c r="A891">
        <v>989</v>
      </c>
    </row>
    <row r="892" spans="1:1" x14ac:dyDescent="0.25">
      <c r="A892">
        <v>990</v>
      </c>
    </row>
    <row r="893" spans="1:1" x14ac:dyDescent="0.25">
      <c r="A893">
        <v>991</v>
      </c>
    </row>
    <row r="894" spans="1:1" x14ac:dyDescent="0.25">
      <c r="A894">
        <v>992</v>
      </c>
    </row>
    <row r="895" spans="1:1" x14ac:dyDescent="0.25">
      <c r="A895">
        <v>993</v>
      </c>
    </row>
    <row r="896" spans="1:1" x14ac:dyDescent="0.25">
      <c r="A896">
        <v>994</v>
      </c>
    </row>
    <row r="897" spans="1:1" x14ac:dyDescent="0.25">
      <c r="A897">
        <v>995</v>
      </c>
    </row>
    <row r="898" spans="1:1" x14ac:dyDescent="0.25">
      <c r="A898">
        <v>996</v>
      </c>
    </row>
    <row r="899" spans="1:1" x14ac:dyDescent="0.25">
      <c r="A899">
        <v>997</v>
      </c>
    </row>
    <row r="900" spans="1:1" x14ac:dyDescent="0.25">
      <c r="A900">
        <v>998</v>
      </c>
    </row>
    <row r="901" spans="1:1" x14ac:dyDescent="0.25">
      <c r="A901">
        <v>999</v>
      </c>
    </row>
    <row r="902" spans="1:1" x14ac:dyDescent="0.25">
      <c r="A902">
        <v>1000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dimension ref="A2:A902"/>
  <sheetViews>
    <sheetView workbookViewId="0"/>
  </sheetViews>
  <sheetFormatPr defaultColWidth="9.140625" defaultRowHeight="15" x14ac:dyDescent="0.25"/>
  <cols>
    <col min="1" max="16384" width="9.140625" style="24"/>
  </cols>
  <sheetData>
    <row r="2" spans="1:1" x14ac:dyDescent="0.25">
      <c r="A2" s="24">
        <v>100</v>
      </c>
    </row>
    <row r="3" spans="1:1" x14ac:dyDescent="0.25">
      <c r="A3" s="24">
        <v>101</v>
      </c>
    </row>
    <row r="4" spans="1:1" x14ac:dyDescent="0.25">
      <c r="A4" s="24">
        <v>102</v>
      </c>
    </row>
    <row r="5" spans="1:1" x14ac:dyDescent="0.25">
      <c r="A5" s="24">
        <v>103</v>
      </c>
    </row>
    <row r="6" spans="1:1" x14ac:dyDescent="0.25">
      <c r="A6" s="24">
        <v>104</v>
      </c>
    </row>
    <row r="7" spans="1:1" x14ac:dyDescent="0.25">
      <c r="A7" s="24">
        <v>105</v>
      </c>
    </row>
    <row r="8" spans="1:1" x14ac:dyDescent="0.25">
      <c r="A8" s="24">
        <v>106</v>
      </c>
    </row>
    <row r="9" spans="1:1" x14ac:dyDescent="0.25">
      <c r="A9" s="24">
        <v>107</v>
      </c>
    </row>
    <row r="10" spans="1:1" x14ac:dyDescent="0.25">
      <c r="A10" s="24">
        <v>108</v>
      </c>
    </row>
    <row r="11" spans="1:1" x14ac:dyDescent="0.25">
      <c r="A11" s="24">
        <v>109</v>
      </c>
    </row>
    <row r="12" spans="1:1" x14ac:dyDescent="0.25">
      <c r="A12" s="24">
        <v>110</v>
      </c>
    </row>
    <row r="13" spans="1:1" x14ac:dyDescent="0.25">
      <c r="A13" s="24">
        <v>111</v>
      </c>
    </row>
    <row r="14" spans="1:1" x14ac:dyDescent="0.25">
      <c r="A14" s="24">
        <v>112</v>
      </c>
    </row>
    <row r="15" spans="1:1" x14ac:dyDescent="0.25">
      <c r="A15" s="24">
        <v>113</v>
      </c>
    </row>
    <row r="16" spans="1:1" x14ac:dyDescent="0.25">
      <c r="A16" s="24">
        <v>114</v>
      </c>
    </row>
    <row r="17" spans="1:1" x14ac:dyDescent="0.25">
      <c r="A17" s="24">
        <v>115</v>
      </c>
    </row>
    <row r="18" spans="1:1" x14ac:dyDescent="0.25">
      <c r="A18" s="24">
        <v>116</v>
      </c>
    </row>
    <row r="19" spans="1:1" x14ac:dyDescent="0.25">
      <c r="A19" s="24">
        <v>117</v>
      </c>
    </row>
    <row r="20" spans="1:1" x14ac:dyDescent="0.25">
      <c r="A20" s="24">
        <v>118</v>
      </c>
    </row>
    <row r="21" spans="1:1" x14ac:dyDescent="0.25">
      <c r="A21" s="24">
        <v>119</v>
      </c>
    </row>
    <row r="22" spans="1:1" x14ac:dyDescent="0.25">
      <c r="A22" s="24">
        <v>120</v>
      </c>
    </row>
    <row r="23" spans="1:1" x14ac:dyDescent="0.25">
      <c r="A23" s="24">
        <v>121</v>
      </c>
    </row>
    <row r="24" spans="1:1" x14ac:dyDescent="0.25">
      <c r="A24" s="24">
        <v>122</v>
      </c>
    </row>
    <row r="25" spans="1:1" x14ac:dyDescent="0.25">
      <c r="A25" s="24">
        <v>123</v>
      </c>
    </row>
    <row r="26" spans="1:1" x14ac:dyDescent="0.25">
      <c r="A26" s="24">
        <v>124</v>
      </c>
    </row>
    <row r="27" spans="1:1" x14ac:dyDescent="0.25">
      <c r="A27" s="24">
        <v>125</v>
      </c>
    </row>
    <row r="28" spans="1:1" x14ac:dyDescent="0.25">
      <c r="A28" s="24">
        <v>126</v>
      </c>
    </row>
    <row r="29" spans="1:1" x14ac:dyDescent="0.25">
      <c r="A29" s="24">
        <v>127</v>
      </c>
    </row>
    <row r="30" spans="1:1" x14ac:dyDescent="0.25">
      <c r="A30" s="24">
        <v>128</v>
      </c>
    </row>
    <row r="31" spans="1:1" x14ac:dyDescent="0.25">
      <c r="A31" s="24">
        <v>129</v>
      </c>
    </row>
    <row r="32" spans="1:1" x14ac:dyDescent="0.25">
      <c r="A32" s="24">
        <v>130</v>
      </c>
    </row>
    <row r="33" spans="1:1" x14ac:dyDescent="0.25">
      <c r="A33" s="24">
        <v>131</v>
      </c>
    </row>
    <row r="34" spans="1:1" x14ac:dyDescent="0.25">
      <c r="A34" s="24">
        <v>132</v>
      </c>
    </row>
    <row r="35" spans="1:1" x14ac:dyDescent="0.25">
      <c r="A35" s="24">
        <v>133</v>
      </c>
    </row>
    <row r="36" spans="1:1" x14ac:dyDescent="0.25">
      <c r="A36" s="24">
        <v>134</v>
      </c>
    </row>
    <row r="37" spans="1:1" x14ac:dyDescent="0.25">
      <c r="A37" s="24">
        <v>135</v>
      </c>
    </row>
    <row r="38" spans="1:1" x14ac:dyDescent="0.25">
      <c r="A38" s="24">
        <v>136</v>
      </c>
    </row>
    <row r="39" spans="1:1" x14ac:dyDescent="0.25">
      <c r="A39" s="24">
        <v>137</v>
      </c>
    </row>
    <row r="40" spans="1:1" x14ac:dyDescent="0.25">
      <c r="A40" s="24">
        <v>138</v>
      </c>
    </row>
    <row r="41" spans="1:1" x14ac:dyDescent="0.25">
      <c r="A41" s="24">
        <v>139</v>
      </c>
    </row>
    <row r="42" spans="1:1" x14ac:dyDescent="0.25">
      <c r="A42" s="24">
        <v>140</v>
      </c>
    </row>
    <row r="43" spans="1:1" x14ac:dyDescent="0.25">
      <c r="A43" s="24">
        <v>141</v>
      </c>
    </row>
    <row r="44" spans="1:1" x14ac:dyDescent="0.25">
      <c r="A44" s="24">
        <v>142</v>
      </c>
    </row>
    <row r="45" spans="1:1" x14ac:dyDescent="0.25">
      <c r="A45" s="24">
        <v>143</v>
      </c>
    </row>
    <row r="46" spans="1:1" x14ac:dyDescent="0.25">
      <c r="A46" s="24">
        <v>144</v>
      </c>
    </row>
    <row r="47" spans="1:1" x14ac:dyDescent="0.25">
      <c r="A47" s="24">
        <v>145</v>
      </c>
    </row>
    <row r="48" spans="1:1" x14ac:dyDescent="0.25">
      <c r="A48" s="24">
        <v>146</v>
      </c>
    </row>
    <row r="49" spans="1:1" x14ac:dyDescent="0.25">
      <c r="A49" s="24">
        <v>147</v>
      </c>
    </row>
    <row r="50" spans="1:1" x14ac:dyDescent="0.25">
      <c r="A50" s="24">
        <v>148</v>
      </c>
    </row>
    <row r="51" spans="1:1" x14ac:dyDescent="0.25">
      <c r="A51" s="24">
        <v>149</v>
      </c>
    </row>
    <row r="52" spans="1:1" x14ac:dyDescent="0.25">
      <c r="A52" s="24">
        <v>150</v>
      </c>
    </row>
    <row r="53" spans="1:1" x14ac:dyDescent="0.25">
      <c r="A53" s="24">
        <v>151</v>
      </c>
    </row>
    <row r="54" spans="1:1" x14ac:dyDescent="0.25">
      <c r="A54" s="24">
        <v>152</v>
      </c>
    </row>
    <row r="55" spans="1:1" x14ac:dyDescent="0.25">
      <c r="A55" s="24">
        <v>153</v>
      </c>
    </row>
    <row r="56" spans="1:1" x14ac:dyDescent="0.25">
      <c r="A56" s="24">
        <v>154</v>
      </c>
    </row>
    <row r="57" spans="1:1" x14ac:dyDescent="0.25">
      <c r="A57" s="24">
        <v>155</v>
      </c>
    </row>
    <row r="58" spans="1:1" x14ac:dyDescent="0.25">
      <c r="A58" s="24">
        <v>156</v>
      </c>
    </row>
    <row r="59" spans="1:1" x14ac:dyDescent="0.25">
      <c r="A59" s="24">
        <v>157</v>
      </c>
    </row>
    <row r="60" spans="1:1" x14ac:dyDescent="0.25">
      <c r="A60" s="24">
        <v>158</v>
      </c>
    </row>
    <row r="61" spans="1:1" x14ac:dyDescent="0.25">
      <c r="A61" s="24">
        <v>159</v>
      </c>
    </row>
    <row r="62" spans="1:1" x14ac:dyDescent="0.25">
      <c r="A62" s="24">
        <v>160</v>
      </c>
    </row>
    <row r="63" spans="1:1" x14ac:dyDescent="0.25">
      <c r="A63" s="24">
        <v>161</v>
      </c>
    </row>
    <row r="64" spans="1:1" x14ac:dyDescent="0.25">
      <c r="A64" s="24">
        <v>162</v>
      </c>
    </row>
    <row r="65" spans="1:1" x14ac:dyDescent="0.25">
      <c r="A65" s="24">
        <v>163</v>
      </c>
    </row>
    <row r="66" spans="1:1" x14ac:dyDescent="0.25">
      <c r="A66" s="24">
        <v>164</v>
      </c>
    </row>
    <row r="67" spans="1:1" x14ac:dyDescent="0.25">
      <c r="A67" s="24">
        <v>165</v>
      </c>
    </row>
    <row r="68" spans="1:1" x14ac:dyDescent="0.25">
      <c r="A68" s="24">
        <v>166</v>
      </c>
    </row>
    <row r="69" spans="1:1" x14ac:dyDescent="0.25">
      <c r="A69" s="24">
        <v>167</v>
      </c>
    </row>
    <row r="70" spans="1:1" x14ac:dyDescent="0.25">
      <c r="A70" s="24">
        <v>168</v>
      </c>
    </row>
    <row r="71" spans="1:1" x14ac:dyDescent="0.25">
      <c r="A71" s="24">
        <v>169</v>
      </c>
    </row>
    <row r="72" spans="1:1" x14ac:dyDescent="0.25">
      <c r="A72" s="24">
        <v>170</v>
      </c>
    </row>
    <row r="73" spans="1:1" x14ac:dyDescent="0.25">
      <c r="A73" s="24">
        <v>171</v>
      </c>
    </row>
    <row r="74" spans="1:1" x14ac:dyDescent="0.25">
      <c r="A74" s="24">
        <v>172</v>
      </c>
    </row>
    <row r="75" spans="1:1" x14ac:dyDescent="0.25">
      <c r="A75" s="24">
        <v>173</v>
      </c>
    </row>
    <row r="76" spans="1:1" x14ac:dyDescent="0.25">
      <c r="A76" s="24">
        <v>174</v>
      </c>
    </row>
    <row r="77" spans="1:1" x14ac:dyDescent="0.25">
      <c r="A77" s="24">
        <v>175</v>
      </c>
    </row>
    <row r="78" spans="1:1" x14ac:dyDescent="0.25">
      <c r="A78" s="24">
        <v>176</v>
      </c>
    </row>
    <row r="79" spans="1:1" x14ac:dyDescent="0.25">
      <c r="A79" s="24">
        <v>177</v>
      </c>
    </row>
    <row r="80" spans="1:1" x14ac:dyDescent="0.25">
      <c r="A80" s="24">
        <v>178</v>
      </c>
    </row>
    <row r="81" spans="1:1" x14ac:dyDescent="0.25">
      <c r="A81" s="24">
        <v>179</v>
      </c>
    </row>
    <row r="82" spans="1:1" x14ac:dyDescent="0.25">
      <c r="A82" s="24">
        <v>180</v>
      </c>
    </row>
    <row r="83" spans="1:1" x14ac:dyDescent="0.25">
      <c r="A83" s="24">
        <v>181</v>
      </c>
    </row>
    <row r="84" spans="1:1" x14ac:dyDescent="0.25">
      <c r="A84" s="24">
        <v>182</v>
      </c>
    </row>
    <row r="85" spans="1:1" x14ac:dyDescent="0.25">
      <c r="A85" s="24">
        <v>183</v>
      </c>
    </row>
    <row r="86" spans="1:1" x14ac:dyDescent="0.25">
      <c r="A86" s="24">
        <v>184</v>
      </c>
    </row>
    <row r="87" spans="1:1" x14ac:dyDescent="0.25">
      <c r="A87" s="24">
        <v>185</v>
      </c>
    </row>
    <row r="88" spans="1:1" x14ac:dyDescent="0.25">
      <c r="A88" s="24">
        <v>186</v>
      </c>
    </row>
    <row r="89" spans="1:1" x14ac:dyDescent="0.25">
      <c r="A89" s="24">
        <v>187</v>
      </c>
    </row>
    <row r="90" spans="1:1" x14ac:dyDescent="0.25">
      <c r="A90" s="24">
        <v>188</v>
      </c>
    </row>
    <row r="91" spans="1:1" x14ac:dyDescent="0.25">
      <c r="A91" s="24">
        <v>189</v>
      </c>
    </row>
    <row r="92" spans="1:1" x14ac:dyDescent="0.25">
      <c r="A92" s="24">
        <v>190</v>
      </c>
    </row>
    <row r="93" spans="1:1" x14ac:dyDescent="0.25">
      <c r="A93" s="24">
        <v>191</v>
      </c>
    </row>
    <row r="94" spans="1:1" x14ac:dyDescent="0.25">
      <c r="A94" s="24">
        <v>192</v>
      </c>
    </row>
    <row r="95" spans="1:1" x14ac:dyDescent="0.25">
      <c r="A95" s="24">
        <v>193</v>
      </c>
    </row>
    <row r="96" spans="1:1" x14ac:dyDescent="0.25">
      <c r="A96" s="24">
        <v>194</v>
      </c>
    </row>
    <row r="97" spans="1:1" x14ac:dyDescent="0.25">
      <c r="A97" s="24">
        <v>195</v>
      </c>
    </row>
    <row r="98" spans="1:1" x14ac:dyDescent="0.25">
      <c r="A98" s="24">
        <v>196</v>
      </c>
    </row>
    <row r="99" spans="1:1" x14ac:dyDescent="0.25">
      <c r="A99" s="24">
        <v>197</v>
      </c>
    </row>
    <row r="100" spans="1:1" x14ac:dyDescent="0.25">
      <c r="A100" s="24">
        <v>198</v>
      </c>
    </row>
    <row r="101" spans="1:1" x14ac:dyDescent="0.25">
      <c r="A101" s="24">
        <v>199</v>
      </c>
    </row>
    <row r="102" spans="1:1" x14ac:dyDescent="0.25">
      <c r="A102" s="24">
        <v>200</v>
      </c>
    </row>
    <row r="103" spans="1:1" x14ac:dyDescent="0.25">
      <c r="A103" s="24">
        <v>201</v>
      </c>
    </row>
    <row r="104" spans="1:1" x14ac:dyDescent="0.25">
      <c r="A104" s="24">
        <v>202</v>
      </c>
    </row>
    <row r="105" spans="1:1" x14ac:dyDescent="0.25">
      <c r="A105" s="24">
        <v>203</v>
      </c>
    </row>
    <row r="106" spans="1:1" x14ac:dyDescent="0.25">
      <c r="A106" s="24">
        <v>204</v>
      </c>
    </row>
    <row r="107" spans="1:1" x14ac:dyDescent="0.25">
      <c r="A107" s="24">
        <v>205</v>
      </c>
    </row>
    <row r="108" spans="1:1" x14ac:dyDescent="0.25">
      <c r="A108" s="24">
        <v>206</v>
      </c>
    </row>
    <row r="109" spans="1:1" x14ac:dyDescent="0.25">
      <c r="A109" s="24">
        <v>207</v>
      </c>
    </row>
    <row r="110" spans="1:1" x14ac:dyDescent="0.25">
      <c r="A110" s="24">
        <v>208</v>
      </c>
    </row>
    <row r="111" spans="1:1" x14ac:dyDescent="0.25">
      <c r="A111" s="24">
        <v>209</v>
      </c>
    </row>
    <row r="112" spans="1:1" x14ac:dyDescent="0.25">
      <c r="A112" s="24">
        <v>210</v>
      </c>
    </row>
    <row r="113" spans="1:1" x14ac:dyDescent="0.25">
      <c r="A113" s="24">
        <v>211</v>
      </c>
    </row>
    <row r="114" spans="1:1" x14ac:dyDescent="0.25">
      <c r="A114" s="24">
        <v>212</v>
      </c>
    </row>
    <row r="115" spans="1:1" x14ac:dyDescent="0.25">
      <c r="A115" s="24">
        <v>213</v>
      </c>
    </row>
    <row r="116" spans="1:1" x14ac:dyDescent="0.25">
      <c r="A116" s="24">
        <v>214</v>
      </c>
    </row>
    <row r="117" spans="1:1" x14ac:dyDescent="0.25">
      <c r="A117" s="24">
        <v>215</v>
      </c>
    </row>
    <row r="118" spans="1:1" x14ac:dyDescent="0.25">
      <c r="A118" s="24">
        <v>216</v>
      </c>
    </row>
    <row r="119" spans="1:1" x14ac:dyDescent="0.25">
      <c r="A119" s="24">
        <v>217</v>
      </c>
    </row>
    <row r="120" spans="1:1" x14ac:dyDescent="0.25">
      <c r="A120" s="24">
        <v>218</v>
      </c>
    </row>
    <row r="121" spans="1:1" x14ac:dyDescent="0.25">
      <c r="A121" s="24">
        <v>219</v>
      </c>
    </row>
    <row r="122" spans="1:1" x14ac:dyDescent="0.25">
      <c r="A122" s="24">
        <v>220</v>
      </c>
    </row>
    <row r="123" spans="1:1" x14ac:dyDescent="0.25">
      <c r="A123" s="24">
        <v>221</v>
      </c>
    </row>
    <row r="124" spans="1:1" x14ac:dyDescent="0.25">
      <c r="A124" s="24">
        <v>222</v>
      </c>
    </row>
    <row r="125" spans="1:1" x14ac:dyDescent="0.25">
      <c r="A125" s="24">
        <v>223</v>
      </c>
    </row>
    <row r="126" spans="1:1" x14ac:dyDescent="0.25">
      <c r="A126" s="24">
        <v>224</v>
      </c>
    </row>
    <row r="127" spans="1:1" x14ac:dyDescent="0.25">
      <c r="A127" s="24">
        <v>225</v>
      </c>
    </row>
    <row r="128" spans="1:1" x14ac:dyDescent="0.25">
      <c r="A128" s="24">
        <v>226</v>
      </c>
    </row>
    <row r="129" spans="1:1" x14ac:dyDescent="0.25">
      <c r="A129" s="24">
        <v>227</v>
      </c>
    </row>
    <row r="130" spans="1:1" x14ac:dyDescent="0.25">
      <c r="A130" s="24">
        <v>228</v>
      </c>
    </row>
    <row r="131" spans="1:1" x14ac:dyDescent="0.25">
      <c r="A131" s="24">
        <v>229</v>
      </c>
    </row>
    <row r="132" spans="1:1" x14ac:dyDescent="0.25">
      <c r="A132" s="24">
        <v>230</v>
      </c>
    </row>
    <row r="133" spans="1:1" x14ac:dyDescent="0.25">
      <c r="A133" s="24">
        <v>231</v>
      </c>
    </row>
    <row r="134" spans="1:1" x14ac:dyDescent="0.25">
      <c r="A134" s="24">
        <v>232</v>
      </c>
    </row>
    <row r="135" spans="1:1" x14ac:dyDescent="0.25">
      <c r="A135" s="24">
        <v>233</v>
      </c>
    </row>
    <row r="136" spans="1:1" x14ac:dyDescent="0.25">
      <c r="A136" s="24">
        <v>234</v>
      </c>
    </row>
    <row r="137" spans="1:1" x14ac:dyDescent="0.25">
      <c r="A137" s="24">
        <v>235</v>
      </c>
    </row>
    <row r="138" spans="1:1" x14ac:dyDescent="0.25">
      <c r="A138" s="24">
        <v>236</v>
      </c>
    </row>
    <row r="139" spans="1:1" x14ac:dyDescent="0.25">
      <c r="A139" s="24">
        <v>237</v>
      </c>
    </row>
    <row r="140" spans="1:1" x14ac:dyDescent="0.25">
      <c r="A140" s="24">
        <v>238</v>
      </c>
    </row>
    <row r="141" spans="1:1" x14ac:dyDescent="0.25">
      <c r="A141" s="24">
        <v>239</v>
      </c>
    </row>
    <row r="142" spans="1:1" x14ac:dyDescent="0.25">
      <c r="A142" s="24">
        <v>240</v>
      </c>
    </row>
    <row r="143" spans="1:1" x14ac:dyDescent="0.25">
      <c r="A143" s="24">
        <v>241</v>
      </c>
    </row>
    <row r="144" spans="1:1" x14ac:dyDescent="0.25">
      <c r="A144" s="24">
        <v>242</v>
      </c>
    </row>
    <row r="145" spans="1:1" x14ac:dyDescent="0.25">
      <c r="A145" s="24">
        <v>243</v>
      </c>
    </row>
    <row r="146" spans="1:1" x14ac:dyDescent="0.25">
      <c r="A146" s="24">
        <v>244</v>
      </c>
    </row>
    <row r="147" spans="1:1" x14ac:dyDescent="0.25">
      <c r="A147" s="24">
        <v>245</v>
      </c>
    </row>
    <row r="148" spans="1:1" x14ac:dyDescent="0.25">
      <c r="A148" s="24">
        <v>246</v>
      </c>
    </row>
    <row r="149" spans="1:1" x14ac:dyDescent="0.25">
      <c r="A149" s="24">
        <v>247</v>
      </c>
    </row>
    <row r="150" spans="1:1" x14ac:dyDescent="0.25">
      <c r="A150" s="24">
        <v>248</v>
      </c>
    </row>
    <row r="151" spans="1:1" x14ac:dyDescent="0.25">
      <c r="A151" s="24">
        <v>249</v>
      </c>
    </row>
    <row r="152" spans="1:1" x14ac:dyDescent="0.25">
      <c r="A152" s="24">
        <v>250</v>
      </c>
    </row>
    <row r="153" spans="1:1" x14ac:dyDescent="0.25">
      <c r="A153" s="24">
        <v>251</v>
      </c>
    </row>
    <row r="154" spans="1:1" x14ac:dyDescent="0.25">
      <c r="A154" s="24">
        <v>252</v>
      </c>
    </row>
    <row r="155" spans="1:1" x14ac:dyDescent="0.25">
      <c r="A155" s="24">
        <v>253</v>
      </c>
    </row>
    <row r="156" spans="1:1" x14ac:dyDescent="0.25">
      <c r="A156" s="24">
        <v>254</v>
      </c>
    </row>
    <row r="157" spans="1:1" x14ac:dyDescent="0.25">
      <c r="A157" s="24">
        <v>255</v>
      </c>
    </row>
    <row r="158" spans="1:1" x14ac:dyDescent="0.25">
      <c r="A158" s="24">
        <v>256</v>
      </c>
    </row>
    <row r="159" spans="1:1" x14ac:dyDescent="0.25">
      <c r="A159" s="24">
        <v>257</v>
      </c>
    </row>
    <row r="160" spans="1:1" x14ac:dyDescent="0.25">
      <c r="A160" s="24">
        <v>258</v>
      </c>
    </row>
    <row r="161" spans="1:1" x14ac:dyDescent="0.25">
      <c r="A161" s="24">
        <v>259</v>
      </c>
    </row>
    <row r="162" spans="1:1" x14ac:dyDescent="0.25">
      <c r="A162" s="24">
        <v>260</v>
      </c>
    </row>
    <row r="163" spans="1:1" x14ac:dyDescent="0.25">
      <c r="A163" s="24">
        <v>261</v>
      </c>
    </row>
    <row r="164" spans="1:1" x14ac:dyDescent="0.25">
      <c r="A164" s="24">
        <v>262</v>
      </c>
    </row>
    <row r="165" spans="1:1" x14ac:dyDescent="0.25">
      <c r="A165" s="24">
        <v>263</v>
      </c>
    </row>
    <row r="166" spans="1:1" x14ac:dyDescent="0.25">
      <c r="A166" s="24">
        <v>264</v>
      </c>
    </row>
    <row r="167" spans="1:1" x14ac:dyDescent="0.25">
      <c r="A167" s="24">
        <v>265</v>
      </c>
    </row>
    <row r="168" spans="1:1" x14ac:dyDescent="0.25">
      <c r="A168" s="24">
        <v>266</v>
      </c>
    </row>
    <row r="169" spans="1:1" x14ac:dyDescent="0.25">
      <c r="A169" s="24">
        <v>267</v>
      </c>
    </row>
    <row r="170" spans="1:1" x14ac:dyDescent="0.25">
      <c r="A170" s="24">
        <v>268</v>
      </c>
    </row>
    <row r="171" spans="1:1" x14ac:dyDescent="0.25">
      <c r="A171" s="24">
        <v>269</v>
      </c>
    </row>
    <row r="172" spans="1:1" x14ac:dyDescent="0.25">
      <c r="A172" s="24">
        <v>270</v>
      </c>
    </row>
    <row r="173" spans="1:1" x14ac:dyDescent="0.25">
      <c r="A173" s="24">
        <v>271</v>
      </c>
    </row>
    <row r="174" spans="1:1" x14ac:dyDescent="0.25">
      <c r="A174" s="24">
        <v>272</v>
      </c>
    </row>
    <row r="175" spans="1:1" x14ac:dyDescent="0.25">
      <c r="A175" s="24">
        <v>273</v>
      </c>
    </row>
    <row r="176" spans="1:1" x14ac:dyDescent="0.25">
      <c r="A176" s="24">
        <v>274</v>
      </c>
    </row>
    <row r="177" spans="1:1" x14ac:dyDescent="0.25">
      <c r="A177" s="24">
        <v>275</v>
      </c>
    </row>
    <row r="178" spans="1:1" x14ac:dyDescent="0.25">
      <c r="A178" s="24">
        <v>276</v>
      </c>
    </row>
    <row r="179" spans="1:1" x14ac:dyDescent="0.25">
      <c r="A179" s="24">
        <v>277</v>
      </c>
    </row>
    <row r="180" spans="1:1" x14ac:dyDescent="0.25">
      <c r="A180" s="24">
        <v>278</v>
      </c>
    </row>
    <row r="181" spans="1:1" x14ac:dyDescent="0.25">
      <c r="A181" s="24">
        <v>279</v>
      </c>
    </row>
    <row r="182" spans="1:1" x14ac:dyDescent="0.25">
      <c r="A182" s="24">
        <v>280</v>
      </c>
    </row>
    <row r="183" spans="1:1" x14ac:dyDescent="0.25">
      <c r="A183" s="24">
        <v>281</v>
      </c>
    </row>
    <row r="184" spans="1:1" x14ac:dyDescent="0.25">
      <c r="A184" s="24">
        <v>282</v>
      </c>
    </row>
    <row r="185" spans="1:1" x14ac:dyDescent="0.25">
      <c r="A185" s="24">
        <v>283</v>
      </c>
    </row>
    <row r="186" spans="1:1" x14ac:dyDescent="0.25">
      <c r="A186" s="24">
        <v>284</v>
      </c>
    </row>
    <row r="187" spans="1:1" x14ac:dyDescent="0.25">
      <c r="A187" s="24">
        <v>285</v>
      </c>
    </row>
    <row r="188" spans="1:1" x14ac:dyDescent="0.25">
      <c r="A188" s="24">
        <v>286</v>
      </c>
    </row>
    <row r="189" spans="1:1" x14ac:dyDescent="0.25">
      <c r="A189" s="24">
        <v>287</v>
      </c>
    </row>
    <row r="190" spans="1:1" x14ac:dyDescent="0.25">
      <c r="A190" s="24">
        <v>288</v>
      </c>
    </row>
    <row r="191" spans="1:1" x14ac:dyDescent="0.25">
      <c r="A191" s="24">
        <v>289</v>
      </c>
    </row>
    <row r="192" spans="1:1" x14ac:dyDescent="0.25">
      <c r="A192" s="24">
        <v>290</v>
      </c>
    </row>
    <row r="193" spans="1:1" x14ac:dyDescent="0.25">
      <c r="A193" s="24">
        <v>291</v>
      </c>
    </row>
    <row r="194" spans="1:1" x14ac:dyDescent="0.25">
      <c r="A194" s="24">
        <v>292</v>
      </c>
    </row>
    <row r="195" spans="1:1" x14ac:dyDescent="0.25">
      <c r="A195" s="24">
        <v>293</v>
      </c>
    </row>
    <row r="196" spans="1:1" x14ac:dyDescent="0.25">
      <c r="A196" s="24">
        <v>294</v>
      </c>
    </row>
    <row r="197" spans="1:1" x14ac:dyDescent="0.25">
      <c r="A197" s="24">
        <v>295</v>
      </c>
    </row>
    <row r="198" spans="1:1" x14ac:dyDescent="0.25">
      <c r="A198" s="24">
        <v>296</v>
      </c>
    </row>
    <row r="199" spans="1:1" x14ac:dyDescent="0.25">
      <c r="A199" s="24">
        <v>297</v>
      </c>
    </row>
    <row r="200" spans="1:1" x14ac:dyDescent="0.25">
      <c r="A200" s="24">
        <v>298</v>
      </c>
    </row>
    <row r="201" spans="1:1" x14ac:dyDescent="0.25">
      <c r="A201" s="24">
        <v>299</v>
      </c>
    </row>
    <row r="202" spans="1:1" x14ac:dyDescent="0.25">
      <c r="A202" s="24">
        <v>300</v>
      </c>
    </row>
    <row r="203" spans="1:1" x14ac:dyDescent="0.25">
      <c r="A203" s="24">
        <v>301</v>
      </c>
    </row>
    <row r="204" spans="1:1" x14ac:dyDescent="0.25">
      <c r="A204" s="24">
        <v>302</v>
      </c>
    </row>
    <row r="205" spans="1:1" x14ac:dyDescent="0.25">
      <c r="A205" s="24">
        <v>303</v>
      </c>
    </row>
    <row r="206" spans="1:1" x14ac:dyDescent="0.25">
      <c r="A206" s="24">
        <v>304</v>
      </c>
    </row>
    <row r="207" spans="1:1" x14ac:dyDescent="0.25">
      <c r="A207" s="24">
        <v>305</v>
      </c>
    </row>
    <row r="208" spans="1:1" x14ac:dyDescent="0.25">
      <c r="A208" s="24">
        <v>306</v>
      </c>
    </row>
    <row r="209" spans="1:1" x14ac:dyDescent="0.25">
      <c r="A209" s="24">
        <v>307</v>
      </c>
    </row>
    <row r="210" spans="1:1" x14ac:dyDescent="0.25">
      <c r="A210" s="24">
        <v>308</v>
      </c>
    </row>
    <row r="211" spans="1:1" x14ac:dyDescent="0.25">
      <c r="A211" s="24">
        <v>309</v>
      </c>
    </row>
    <row r="212" spans="1:1" x14ac:dyDescent="0.25">
      <c r="A212" s="24">
        <v>310</v>
      </c>
    </row>
    <row r="213" spans="1:1" x14ac:dyDescent="0.25">
      <c r="A213" s="24">
        <v>311</v>
      </c>
    </row>
    <row r="214" spans="1:1" x14ac:dyDescent="0.25">
      <c r="A214" s="24">
        <v>312</v>
      </c>
    </row>
    <row r="215" spans="1:1" x14ac:dyDescent="0.25">
      <c r="A215" s="24">
        <v>313</v>
      </c>
    </row>
    <row r="216" spans="1:1" x14ac:dyDescent="0.25">
      <c r="A216" s="24">
        <v>314</v>
      </c>
    </row>
    <row r="217" spans="1:1" x14ac:dyDescent="0.25">
      <c r="A217" s="24">
        <v>315</v>
      </c>
    </row>
    <row r="218" spans="1:1" x14ac:dyDescent="0.25">
      <c r="A218" s="24">
        <v>316</v>
      </c>
    </row>
    <row r="219" spans="1:1" x14ac:dyDescent="0.25">
      <c r="A219" s="24">
        <v>317</v>
      </c>
    </row>
    <row r="220" spans="1:1" x14ac:dyDescent="0.25">
      <c r="A220" s="24">
        <v>318</v>
      </c>
    </row>
    <row r="221" spans="1:1" x14ac:dyDescent="0.25">
      <c r="A221" s="24">
        <v>319</v>
      </c>
    </row>
    <row r="222" spans="1:1" x14ac:dyDescent="0.25">
      <c r="A222" s="24">
        <v>320</v>
      </c>
    </row>
    <row r="223" spans="1:1" x14ac:dyDescent="0.25">
      <c r="A223" s="24">
        <v>321</v>
      </c>
    </row>
    <row r="224" spans="1:1" x14ac:dyDescent="0.25">
      <c r="A224" s="24">
        <v>322</v>
      </c>
    </row>
    <row r="225" spans="1:1" x14ac:dyDescent="0.25">
      <c r="A225" s="24">
        <v>323</v>
      </c>
    </row>
    <row r="226" spans="1:1" x14ac:dyDescent="0.25">
      <c r="A226" s="24">
        <v>324</v>
      </c>
    </row>
    <row r="227" spans="1:1" x14ac:dyDescent="0.25">
      <c r="A227" s="24">
        <v>325</v>
      </c>
    </row>
    <row r="228" spans="1:1" x14ac:dyDescent="0.25">
      <c r="A228" s="24">
        <v>326</v>
      </c>
    </row>
    <row r="229" spans="1:1" x14ac:dyDescent="0.25">
      <c r="A229" s="24">
        <v>327</v>
      </c>
    </row>
    <row r="230" spans="1:1" x14ac:dyDescent="0.25">
      <c r="A230" s="24">
        <v>328</v>
      </c>
    </row>
    <row r="231" spans="1:1" x14ac:dyDescent="0.25">
      <c r="A231" s="24">
        <v>329</v>
      </c>
    </row>
    <row r="232" spans="1:1" x14ac:dyDescent="0.25">
      <c r="A232" s="24">
        <v>330</v>
      </c>
    </row>
    <row r="233" spans="1:1" x14ac:dyDescent="0.25">
      <c r="A233" s="24">
        <v>331</v>
      </c>
    </row>
    <row r="234" spans="1:1" x14ac:dyDescent="0.25">
      <c r="A234" s="24">
        <v>332</v>
      </c>
    </row>
    <row r="235" spans="1:1" x14ac:dyDescent="0.25">
      <c r="A235" s="24">
        <v>333</v>
      </c>
    </row>
    <row r="236" spans="1:1" x14ac:dyDescent="0.25">
      <c r="A236" s="24">
        <v>334</v>
      </c>
    </row>
    <row r="237" spans="1:1" x14ac:dyDescent="0.25">
      <c r="A237" s="24">
        <v>335</v>
      </c>
    </row>
    <row r="238" spans="1:1" x14ac:dyDescent="0.25">
      <c r="A238" s="24">
        <v>336</v>
      </c>
    </row>
    <row r="239" spans="1:1" x14ac:dyDescent="0.25">
      <c r="A239" s="24">
        <v>337</v>
      </c>
    </row>
    <row r="240" spans="1:1" x14ac:dyDescent="0.25">
      <c r="A240" s="24">
        <v>338</v>
      </c>
    </row>
    <row r="241" spans="1:1" x14ac:dyDescent="0.25">
      <c r="A241" s="24">
        <v>339</v>
      </c>
    </row>
    <row r="242" spans="1:1" x14ac:dyDescent="0.25">
      <c r="A242" s="24">
        <v>340</v>
      </c>
    </row>
    <row r="243" spans="1:1" x14ac:dyDescent="0.25">
      <c r="A243" s="24">
        <v>341</v>
      </c>
    </row>
    <row r="244" spans="1:1" x14ac:dyDescent="0.25">
      <c r="A244" s="24">
        <v>342</v>
      </c>
    </row>
    <row r="245" spans="1:1" x14ac:dyDescent="0.25">
      <c r="A245" s="24">
        <v>343</v>
      </c>
    </row>
    <row r="246" spans="1:1" x14ac:dyDescent="0.25">
      <c r="A246" s="24">
        <v>344</v>
      </c>
    </row>
    <row r="247" spans="1:1" x14ac:dyDescent="0.25">
      <c r="A247" s="24">
        <v>345</v>
      </c>
    </row>
    <row r="248" spans="1:1" x14ac:dyDescent="0.25">
      <c r="A248" s="24">
        <v>346</v>
      </c>
    </row>
    <row r="249" spans="1:1" x14ac:dyDescent="0.25">
      <c r="A249" s="24">
        <v>347</v>
      </c>
    </row>
    <row r="250" spans="1:1" x14ac:dyDescent="0.25">
      <c r="A250" s="24">
        <v>348</v>
      </c>
    </row>
    <row r="251" spans="1:1" x14ac:dyDescent="0.25">
      <c r="A251" s="24">
        <v>349</v>
      </c>
    </row>
    <row r="252" spans="1:1" x14ac:dyDescent="0.25">
      <c r="A252" s="24">
        <v>350</v>
      </c>
    </row>
    <row r="253" spans="1:1" x14ac:dyDescent="0.25">
      <c r="A253" s="24">
        <v>351</v>
      </c>
    </row>
    <row r="254" spans="1:1" x14ac:dyDescent="0.25">
      <c r="A254" s="24">
        <v>352</v>
      </c>
    </row>
    <row r="255" spans="1:1" x14ac:dyDescent="0.25">
      <c r="A255" s="24">
        <v>353</v>
      </c>
    </row>
    <row r="256" spans="1:1" x14ac:dyDescent="0.25">
      <c r="A256" s="24">
        <v>354</v>
      </c>
    </row>
    <row r="257" spans="1:1" x14ac:dyDescent="0.25">
      <c r="A257" s="24">
        <v>355</v>
      </c>
    </row>
    <row r="258" spans="1:1" x14ac:dyDescent="0.25">
      <c r="A258" s="24">
        <v>356</v>
      </c>
    </row>
    <row r="259" spans="1:1" x14ac:dyDescent="0.25">
      <c r="A259" s="24">
        <v>357</v>
      </c>
    </row>
    <row r="260" spans="1:1" x14ac:dyDescent="0.25">
      <c r="A260" s="24">
        <v>358</v>
      </c>
    </row>
    <row r="261" spans="1:1" x14ac:dyDescent="0.25">
      <c r="A261" s="24">
        <v>359</v>
      </c>
    </row>
    <row r="262" spans="1:1" x14ac:dyDescent="0.25">
      <c r="A262" s="24">
        <v>360</v>
      </c>
    </row>
    <row r="263" spans="1:1" x14ac:dyDescent="0.25">
      <c r="A263" s="24">
        <v>361</v>
      </c>
    </row>
    <row r="264" spans="1:1" x14ac:dyDescent="0.25">
      <c r="A264" s="24">
        <v>362</v>
      </c>
    </row>
    <row r="265" spans="1:1" x14ac:dyDescent="0.25">
      <c r="A265" s="24">
        <v>363</v>
      </c>
    </row>
    <row r="266" spans="1:1" x14ac:dyDescent="0.25">
      <c r="A266" s="24">
        <v>364</v>
      </c>
    </row>
    <row r="267" spans="1:1" x14ac:dyDescent="0.25">
      <c r="A267" s="24">
        <v>365</v>
      </c>
    </row>
    <row r="268" spans="1:1" x14ac:dyDescent="0.25">
      <c r="A268" s="24">
        <v>366</v>
      </c>
    </row>
    <row r="269" spans="1:1" x14ac:dyDescent="0.25">
      <c r="A269" s="24">
        <v>367</v>
      </c>
    </row>
    <row r="270" spans="1:1" x14ac:dyDescent="0.25">
      <c r="A270" s="24">
        <v>368</v>
      </c>
    </row>
    <row r="271" spans="1:1" x14ac:dyDescent="0.25">
      <c r="A271" s="24">
        <v>369</v>
      </c>
    </row>
    <row r="272" spans="1:1" x14ac:dyDescent="0.25">
      <c r="A272" s="24">
        <v>370</v>
      </c>
    </row>
    <row r="273" spans="1:1" x14ac:dyDescent="0.25">
      <c r="A273" s="24">
        <v>371</v>
      </c>
    </row>
    <row r="274" spans="1:1" x14ac:dyDescent="0.25">
      <c r="A274" s="24">
        <v>372</v>
      </c>
    </row>
    <row r="275" spans="1:1" x14ac:dyDescent="0.25">
      <c r="A275" s="24">
        <v>373</v>
      </c>
    </row>
    <row r="276" spans="1:1" x14ac:dyDescent="0.25">
      <c r="A276" s="24">
        <v>374</v>
      </c>
    </row>
    <row r="277" spans="1:1" x14ac:dyDescent="0.25">
      <c r="A277" s="24">
        <v>375</v>
      </c>
    </row>
    <row r="278" spans="1:1" x14ac:dyDescent="0.25">
      <c r="A278" s="24">
        <v>376</v>
      </c>
    </row>
    <row r="279" spans="1:1" x14ac:dyDescent="0.25">
      <c r="A279" s="24">
        <v>377</v>
      </c>
    </row>
    <row r="280" spans="1:1" x14ac:dyDescent="0.25">
      <c r="A280" s="24">
        <v>378</v>
      </c>
    </row>
    <row r="281" spans="1:1" x14ac:dyDescent="0.25">
      <c r="A281" s="24">
        <v>379</v>
      </c>
    </row>
    <row r="282" spans="1:1" x14ac:dyDescent="0.25">
      <c r="A282" s="24">
        <v>380</v>
      </c>
    </row>
    <row r="283" spans="1:1" x14ac:dyDescent="0.25">
      <c r="A283" s="24">
        <v>381</v>
      </c>
    </row>
    <row r="284" spans="1:1" x14ac:dyDescent="0.25">
      <c r="A284" s="24">
        <v>382</v>
      </c>
    </row>
    <row r="285" spans="1:1" x14ac:dyDescent="0.25">
      <c r="A285" s="24">
        <v>383</v>
      </c>
    </row>
    <row r="286" spans="1:1" x14ac:dyDescent="0.25">
      <c r="A286" s="24">
        <v>384</v>
      </c>
    </row>
    <row r="287" spans="1:1" x14ac:dyDescent="0.25">
      <c r="A287" s="24">
        <v>385</v>
      </c>
    </row>
    <row r="288" spans="1:1" x14ac:dyDescent="0.25">
      <c r="A288" s="24">
        <v>386</v>
      </c>
    </row>
    <row r="289" spans="1:1" x14ac:dyDescent="0.25">
      <c r="A289" s="24">
        <v>387</v>
      </c>
    </row>
    <row r="290" spans="1:1" x14ac:dyDescent="0.25">
      <c r="A290" s="24">
        <v>388</v>
      </c>
    </row>
    <row r="291" spans="1:1" x14ac:dyDescent="0.25">
      <c r="A291" s="24">
        <v>389</v>
      </c>
    </row>
    <row r="292" spans="1:1" x14ac:dyDescent="0.25">
      <c r="A292" s="24">
        <v>390</v>
      </c>
    </row>
    <row r="293" spans="1:1" x14ac:dyDescent="0.25">
      <c r="A293" s="24">
        <v>391</v>
      </c>
    </row>
    <row r="294" spans="1:1" x14ac:dyDescent="0.25">
      <c r="A294" s="24">
        <v>392</v>
      </c>
    </row>
    <row r="295" spans="1:1" x14ac:dyDescent="0.25">
      <c r="A295" s="24">
        <v>393</v>
      </c>
    </row>
    <row r="296" spans="1:1" x14ac:dyDescent="0.25">
      <c r="A296" s="24">
        <v>394</v>
      </c>
    </row>
    <row r="297" spans="1:1" x14ac:dyDescent="0.25">
      <c r="A297" s="24">
        <v>395</v>
      </c>
    </row>
    <row r="298" spans="1:1" x14ac:dyDescent="0.25">
      <c r="A298" s="24">
        <v>396</v>
      </c>
    </row>
    <row r="299" spans="1:1" x14ac:dyDescent="0.25">
      <c r="A299" s="24">
        <v>397</v>
      </c>
    </row>
    <row r="300" spans="1:1" x14ac:dyDescent="0.25">
      <c r="A300" s="24">
        <v>398</v>
      </c>
    </row>
    <row r="301" spans="1:1" x14ac:dyDescent="0.25">
      <c r="A301" s="24">
        <v>399</v>
      </c>
    </row>
    <row r="302" spans="1:1" x14ac:dyDescent="0.25">
      <c r="A302" s="24">
        <v>400</v>
      </c>
    </row>
    <row r="303" spans="1:1" x14ac:dyDescent="0.25">
      <c r="A303" s="24">
        <v>401</v>
      </c>
    </row>
    <row r="304" spans="1:1" x14ac:dyDescent="0.25">
      <c r="A304" s="24">
        <v>402</v>
      </c>
    </row>
    <row r="305" spans="1:1" x14ac:dyDescent="0.25">
      <c r="A305" s="24">
        <v>403</v>
      </c>
    </row>
    <row r="306" spans="1:1" x14ac:dyDescent="0.25">
      <c r="A306" s="24">
        <v>404</v>
      </c>
    </row>
    <row r="307" spans="1:1" x14ac:dyDescent="0.25">
      <c r="A307" s="24">
        <v>405</v>
      </c>
    </row>
    <row r="308" spans="1:1" x14ac:dyDescent="0.25">
      <c r="A308" s="24">
        <v>406</v>
      </c>
    </row>
    <row r="309" spans="1:1" x14ac:dyDescent="0.25">
      <c r="A309" s="24">
        <v>407</v>
      </c>
    </row>
    <row r="310" spans="1:1" x14ac:dyDescent="0.25">
      <c r="A310" s="24">
        <v>408</v>
      </c>
    </row>
    <row r="311" spans="1:1" x14ac:dyDescent="0.25">
      <c r="A311" s="24">
        <v>409</v>
      </c>
    </row>
    <row r="312" spans="1:1" x14ac:dyDescent="0.25">
      <c r="A312" s="24">
        <v>410</v>
      </c>
    </row>
    <row r="313" spans="1:1" x14ac:dyDescent="0.25">
      <c r="A313" s="24">
        <v>411</v>
      </c>
    </row>
    <row r="314" spans="1:1" x14ac:dyDescent="0.25">
      <c r="A314" s="24">
        <v>412</v>
      </c>
    </row>
    <row r="315" spans="1:1" x14ac:dyDescent="0.25">
      <c r="A315" s="24">
        <v>413</v>
      </c>
    </row>
    <row r="316" spans="1:1" x14ac:dyDescent="0.25">
      <c r="A316" s="24">
        <v>414</v>
      </c>
    </row>
    <row r="317" spans="1:1" x14ac:dyDescent="0.25">
      <c r="A317" s="24">
        <v>415</v>
      </c>
    </row>
    <row r="318" spans="1:1" x14ac:dyDescent="0.25">
      <c r="A318" s="24">
        <v>416</v>
      </c>
    </row>
    <row r="319" spans="1:1" x14ac:dyDescent="0.25">
      <c r="A319" s="24">
        <v>417</v>
      </c>
    </row>
    <row r="320" spans="1:1" x14ac:dyDescent="0.25">
      <c r="A320" s="24">
        <v>418</v>
      </c>
    </row>
    <row r="321" spans="1:1" x14ac:dyDescent="0.25">
      <c r="A321" s="24">
        <v>419</v>
      </c>
    </row>
    <row r="322" spans="1:1" x14ac:dyDescent="0.25">
      <c r="A322" s="24">
        <v>420</v>
      </c>
    </row>
    <row r="323" spans="1:1" x14ac:dyDescent="0.25">
      <c r="A323" s="24">
        <v>421</v>
      </c>
    </row>
    <row r="324" spans="1:1" x14ac:dyDescent="0.25">
      <c r="A324" s="24">
        <v>422</v>
      </c>
    </row>
    <row r="325" spans="1:1" x14ac:dyDescent="0.25">
      <c r="A325" s="24">
        <v>423</v>
      </c>
    </row>
    <row r="326" spans="1:1" x14ac:dyDescent="0.25">
      <c r="A326" s="24">
        <v>424</v>
      </c>
    </row>
    <row r="327" spans="1:1" x14ac:dyDescent="0.25">
      <c r="A327" s="24">
        <v>425</v>
      </c>
    </row>
    <row r="328" spans="1:1" x14ac:dyDescent="0.25">
      <c r="A328" s="24">
        <v>426</v>
      </c>
    </row>
    <row r="329" spans="1:1" x14ac:dyDescent="0.25">
      <c r="A329" s="24">
        <v>427</v>
      </c>
    </row>
    <row r="330" spans="1:1" x14ac:dyDescent="0.25">
      <c r="A330" s="24">
        <v>428</v>
      </c>
    </row>
    <row r="331" spans="1:1" x14ac:dyDescent="0.25">
      <c r="A331" s="24">
        <v>429</v>
      </c>
    </row>
    <row r="332" spans="1:1" x14ac:dyDescent="0.25">
      <c r="A332" s="24">
        <v>430</v>
      </c>
    </row>
    <row r="333" spans="1:1" x14ac:dyDescent="0.25">
      <c r="A333" s="24">
        <v>431</v>
      </c>
    </row>
    <row r="334" spans="1:1" x14ac:dyDescent="0.25">
      <c r="A334" s="24">
        <v>432</v>
      </c>
    </row>
    <row r="335" spans="1:1" x14ac:dyDescent="0.25">
      <c r="A335" s="24">
        <v>433</v>
      </c>
    </row>
    <row r="336" spans="1:1" x14ac:dyDescent="0.25">
      <c r="A336" s="24">
        <v>434</v>
      </c>
    </row>
    <row r="337" spans="1:1" x14ac:dyDescent="0.25">
      <c r="A337" s="24">
        <v>435</v>
      </c>
    </row>
    <row r="338" spans="1:1" x14ac:dyDescent="0.25">
      <c r="A338" s="24">
        <v>436</v>
      </c>
    </row>
    <row r="339" spans="1:1" x14ac:dyDescent="0.25">
      <c r="A339" s="24">
        <v>437</v>
      </c>
    </row>
    <row r="340" spans="1:1" x14ac:dyDescent="0.25">
      <c r="A340" s="24">
        <v>438</v>
      </c>
    </row>
    <row r="341" spans="1:1" x14ac:dyDescent="0.25">
      <c r="A341" s="24">
        <v>439</v>
      </c>
    </row>
    <row r="342" spans="1:1" x14ac:dyDescent="0.25">
      <c r="A342" s="24">
        <v>440</v>
      </c>
    </row>
    <row r="343" spans="1:1" x14ac:dyDescent="0.25">
      <c r="A343" s="24">
        <v>441</v>
      </c>
    </row>
    <row r="344" spans="1:1" x14ac:dyDescent="0.25">
      <c r="A344" s="24">
        <v>442</v>
      </c>
    </row>
    <row r="345" spans="1:1" x14ac:dyDescent="0.25">
      <c r="A345" s="24">
        <v>443</v>
      </c>
    </row>
    <row r="346" spans="1:1" x14ac:dyDescent="0.25">
      <c r="A346" s="24">
        <v>444</v>
      </c>
    </row>
    <row r="347" spans="1:1" x14ac:dyDescent="0.25">
      <c r="A347" s="24">
        <v>445</v>
      </c>
    </row>
    <row r="348" spans="1:1" x14ac:dyDescent="0.25">
      <c r="A348" s="24">
        <v>446</v>
      </c>
    </row>
    <row r="349" spans="1:1" x14ac:dyDescent="0.25">
      <c r="A349" s="24">
        <v>447</v>
      </c>
    </row>
    <row r="350" spans="1:1" x14ac:dyDescent="0.25">
      <c r="A350" s="24">
        <v>448</v>
      </c>
    </row>
    <row r="351" spans="1:1" x14ac:dyDescent="0.25">
      <c r="A351" s="24">
        <v>449</v>
      </c>
    </row>
    <row r="352" spans="1:1" x14ac:dyDescent="0.25">
      <c r="A352" s="24">
        <v>450</v>
      </c>
    </row>
    <row r="353" spans="1:1" x14ac:dyDescent="0.25">
      <c r="A353" s="24">
        <v>451</v>
      </c>
    </row>
    <row r="354" spans="1:1" x14ac:dyDescent="0.25">
      <c r="A354" s="24">
        <v>452</v>
      </c>
    </row>
    <row r="355" spans="1:1" x14ac:dyDescent="0.25">
      <c r="A355" s="24">
        <v>453</v>
      </c>
    </row>
    <row r="356" spans="1:1" x14ac:dyDescent="0.25">
      <c r="A356" s="24">
        <v>454</v>
      </c>
    </row>
    <row r="357" spans="1:1" x14ac:dyDescent="0.25">
      <c r="A357" s="24">
        <v>455</v>
      </c>
    </row>
    <row r="358" spans="1:1" x14ac:dyDescent="0.25">
      <c r="A358" s="24">
        <v>456</v>
      </c>
    </row>
    <row r="359" spans="1:1" x14ac:dyDescent="0.25">
      <c r="A359" s="24">
        <v>457</v>
      </c>
    </row>
    <row r="360" spans="1:1" x14ac:dyDescent="0.25">
      <c r="A360" s="24">
        <v>458</v>
      </c>
    </row>
    <row r="361" spans="1:1" x14ac:dyDescent="0.25">
      <c r="A361" s="24">
        <v>459</v>
      </c>
    </row>
    <row r="362" spans="1:1" x14ac:dyDescent="0.25">
      <c r="A362" s="24">
        <v>460</v>
      </c>
    </row>
    <row r="363" spans="1:1" x14ac:dyDescent="0.25">
      <c r="A363" s="24">
        <v>461</v>
      </c>
    </row>
    <row r="364" spans="1:1" x14ac:dyDescent="0.25">
      <c r="A364" s="24">
        <v>462</v>
      </c>
    </row>
    <row r="365" spans="1:1" x14ac:dyDescent="0.25">
      <c r="A365" s="24">
        <v>463</v>
      </c>
    </row>
    <row r="366" spans="1:1" x14ac:dyDescent="0.25">
      <c r="A366" s="24">
        <v>464</v>
      </c>
    </row>
    <row r="367" spans="1:1" x14ac:dyDescent="0.25">
      <c r="A367" s="24">
        <v>465</v>
      </c>
    </row>
    <row r="368" spans="1:1" x14ac:dyDescent="0.25">
      <c r="A368" s="24">
        <v>466</v>
      </c>
    </row>
    <row r="369" spans="1:1" x14ac:dyDescent="0.25">
      <c r="A369" s="24">
        <v>467</v>
      </c>
    </row>
    <row r="370" spans="1:1" x14ac:dyDescent="0.25">
      <c r="A370" s="24">
        <v>468</v>
      </c>
    </row>
    <row r="371" spans="1:1" x14ac:dyDescent="0.25">
      <c r="A371" s="24">
        <v>469</v>
      </c>
    </row>
    <row r="372" spans="1:1" x14ac:dyDescent="0.25">
      <c r="A372" s="24">
        <v>470</v>
      </c>
    </row>
    <row r="373" spans="1:1" x14ac:dyDescent="0.25">
      <c r="A373" s="24">
        <v>471</v>
      </c>
    </row>
    <row r="374" spans="1:1" x14ac:dyDescent="0.25">
      <c r="A374" s="24">
        <v>472</v>
      </c>
    </row>
    <row r="375" spans="1:1" x14ac:dyDescent="0.25">
      <c r="A375" s="24">
        <v>473</v>
      </c>
    </row>
    <row r="376" spans="1:1" x14ac:dyDescent="0.25">
      <c r="A376" s="24">
        <v>474</v>
      </c>
    </row>
    <row r="377" spans="1:1" x14ac:dyDescent="0.25">
      <c r="A377" s="24">
        <v>475</v>
      </c>
    </row>
    <row r="378" spans="1:1" x14ac:dyDescent="0.25">
      <c r="A378" s="24">
        <v>476</v>
      </c>
    </row>
    <row r="379" spans="1:1" x14ac:dyDescent="0.25">
      <c r="A379" s="24">
        <v>477</v>
      </c>
    </row>
    <row r="380" spans="1:1" x14ac:dyDescent="0.25">
      <c r="A380" s="24">
        <v>478</v>
      </c>
    </row>
    <row r="381" spans="1:1" x14ac:dyDescent="0.25">
      <c r="A381" s="24">
        <v>479</v>
      </c>
    </row>
    <row r="382" spans="1:1" x14ac:dyDescent="0.25">
      <c r="A382" s="24">
        <v>480</v>
      </c>
    </row>
    <row r="383" spans="1:1" x14ac:dyDescent="0.25">
      <c r="A383" s="24">
        <v>481</v>
      </c>
    </row>
    <row r="384" spans="1:1" x14ac:dyDescent="0.25">
      <c r="A384" s="24">
        <v>482</v>
      </c>
    </row>
    <row r="385" spans="1:1" x14ac:dyDescent="0.25">
      <c r="A385" s="24">
        <v>483</v>
      </c>
    </row>
    <row r="386" spans="1:1" x14ac:dyDescent="0.25">
      <c r="A386" s="24">
        <v>484</v>
      </c>
    </row>
    <row r="387" spans="1:1" x14ac:dyDescent="0.25">
      <c r="A387" s="24">
        <v>485</v>
      </c>
    </row>
    <row r="388" spans="1:1" x14ac:dyDescent="0.25">
      <c r="A388" s="24">
        <v>486</v>
      </c>
    </row>
    <row r="389" spans="1:1" x14ac:dyDescent="0.25">
      <c r="A389" s="24">
        <v>487</v>
      </c>
    </row>
    <row r="390" spans="1:1" x14ac:dyDescent="0.25">
      <c r="A390" s="24">
        <v>488</v>
      </c>
    </row>
    <row r="391" spans="1:1" x14ac:dyDescent="0.25">
      <c r="A391" s="24">
        <v>489</v>
      </c>
    </row>
    <row r="392" spans="1:1" x14ac:dyDescent="0.25">
      <c r="A392" s="24">
        <v>490</v>
      </c>
    </row>
    <row r="393" spans="1:1" x14ac:dyDescent="0.25">
      <c r="A393" s="24">
        <v>491</v>
      </c>
    </row>
    <row r="394" spans="1:1" x14ac:dyDescent="0.25">
      <c r="A394" s="24">
        <v>492</v>
      </c>
    </row>
    <row r="395" spans="1:1" x14ac:dyDescent="0.25">
      <c r="A395" s="24">
        <v>493</v>
      </c>
    </row>
    <row r="396" spans="1:1" x14ac:dyDescent="0.25">
      <c r="A396" s="24">
        <v>494</v>
      </c>
    </row>
    <row r="397" spans="1:1" x14ac:dyDescent="0.25">
      <c r="A397" s="24">
        <v>495</v>
      </c>
    </row>
    <row r="398" spans="1:1" x14ac:dyDescent="0.25">
      <c r="A398" s="24">
        <v>496</v>
      </c>
    </row>
    <row r="399" spans="1:1" x14ac:dyDescent="0.25">
      <c r="A399" s="24">
        <v>497</v>
      </c>
    </row>
    <row r="400" spans="1:1" x14ac:dyDescent="0.25">
      <c r="A400" s="24">
        <v>498</v>
      </c>
    </row>
    <row r="401" spans="1:1" x14ac:dyDescent="0.25">
      <c r="A401" s="24">
        <v>499</v>
      </c>
    </row>
    <row r="402" spans="1:1" x14ac:dyDescent="0.25">
      <c r="A402" s="24">
        <v>500</v>
      </c>
    </row>
    <row r="403" spans="1:1" x14ac:dyDescent="0.25">
      <c r="A403" s="24">
        <v>501</v>
      </c>
    </row>
    <row r="404" spans="1:1" x14ac:dyDescent="0.25">
      <c r="A404" s="24">
        <v>502</v>
      </c>
    </row>
    <row r="405" spans="1:1" x14ac:dyDescent="0.25">
      <c r="A405" s="24">
        <v>503</v>
      </c>
    </row>
    <row r="406" spans="1:1" x14ac:dyDescent="0.25">
      <c r="A406" s="24">
        <v>504</v>
      </c>
    </row>
    <row r="407" spans="1:1" x14ac:dyDescent="0.25">
      <c r="A407" s="24">
        <v>505</v>
      </c>
    </row>
    <row r="408" spans="1:1" x14ac:dyDescent="0.25">
      <c r="A408" s="24">
        <v>506</v>
      </c>
    </row>
    <row r="409" spans="1:1" x14ac:dyDescent="0.25">
      <c r="A409" s="24">
        <v>507</v>
      </c>
    </row>
    <row r="410" spans="1:1" x14ac:dyDescent="0.25">
      <c r="A410" s="24">
        <v>508</v>
      </c>
    </row>
    <row r="411" spans="1:1" x14ac:dyDescent="0.25">
      <c r="A411" s="24">
        <v>509</v>
      </c>
    </row>
    <row r="412" spans="1:1" x14ac:dyDescent="0.25">
      <c r="A412" s="24">
        <v>510</v>
      </c>
    </row>
    <row r="413" spans="1:1" x14ac:dyDescent="0.25">
      <c r="A413" s="24">
        <v>511</v>
      </c>
    </row>
    <row r="414" spans="1:1" x14ac:dyDescent="0.25">
      <c r="A414" s="24">
        <v>512</v>
      </c>
    </row>
    <row r="415" spans="1:1" x14ac:dyDescent="0.25">
      <c r="A415" s="24">
        <v>513</v>
      </c>
    </row>
    <row r="416" spans="1:1" x14ac:dyDescent="0.25">
      <c r="A416" s="24">
        <v>514</v>
      </c>
    </row>
    <row r="417" spans="1:1" x14ac:dyDescent="0.25">
      <c r="A417" s="24">
        <v>515</v>
      </c>
    </row>
    <row r="418" spans="1:1" x14ac:dyDescent="0.25">
      <c r="A418" s="24">
        <v>516</v>
      </c>
    </row>
    <row r="419" spans="1:1" x14ac:dyDescent="0.25">
      <c r="A419" s="24">
        <v>517</v>
      </c>
    </row>
    <row r="420" spans="1:1" x14ac:dyDescent="0.25">
      <c r="A420" s="24">
        <v>518</v>
      </c>
    </row>
    <row r="421" spans="1:1" x14ac:dyDescent="0.25">
      <c r="A421" s="24">
        <v>519</v>
      </c>
    </row>
    <row r="422" spans="1:1" x14ac:dyDescent="0.25">
      <c r="A422" s="24">
        <v>520</v>
      </c>
    </row>
    <row r="423" spans="1:1" x14ac:dyDescent="0.25">
      <c r="A423" s="24">
        <v>521</v>
      </c>
    </row>
    <row r="424" spans="1:1" x14ac:dyDescent="0.25">
      <c r="A424" s="24">
        <v>522</v>
      </c>
    </row>
    <row r="425" spans="1:1" x14ac:dyDescent="0.25">
      <c r="A425" s="24">
        <v>523</v>
      </c>
    </row>
    <row r="426" spans="1:1" x14ac:dyDescent="0.25">
      <c r="A426" s="24">
        <v>524</v>
      </c>
    </row>
    <row r="427" spans="1:1" x14ac:dyDescent="0.25">
      <c r="A427" s="24">
        <v>525</v>
      </c>
    </row>
    <row r="428" spans="1:1" x14ac:dyDescent="0.25">
      <c r="A428" s="24">
        <v>526</v>
      </c>
    </row>
    <row r="429" spans="1:1" x14ac:dyDescent="0.25">
      <c r="A429" s="24">
        <v>527</v>
      </c>
    </row>
    <row r="430" spans="1:1" x14ac:dyDescent="0.25">
      <c r="A430" s="24">
        <v>528</v>
      </c>
    </row>
    <row r="431" spans="1:1" x14ac:dyDescent="0.25">
      <c r="A431" s="24">
        <v>529</v>
      </c>
    </row>
    <row r="432" spans="1:1" x14ac:dyDescent="0.25">
      <c r="A432" s="24">
        <v>530</v>
      </c>
    </row>
    <row r="433" spans="1:1" x14ac:dyDescent="0.25">
      <c r="A433" s="24">
        <v>531</v>
      </c>
    </row>
    <row r="434" spans="1:1" x14ac:dyDescent="0.25">
      <c r="A434" s="24">
        <v>532</v>
      </c>
    </row>
    <row r="435" spans="1:1" x14ac:dyDescent="0.25">
      <c r="A435" s="24">
        <v>533</v>
      </c>
    </row>
    <row r="436" spans="1:1" x14ac:dyDescent="0.25">
      <c r="A436" s="24">
        <v>534</v>
      </c>
    </row>
    <row r="437" spans="1:1" x14ac:dyDescent="0.25">
      <c r="A437" s="24">
        <v>535</v>
      </c>
    </row>
    <row r="438" spans="1:1" x14ac:dyDescent="0.25">
      <c r="A438" s="24">
        <v>536</v>
      </c>
    </row>
    <row r="439" spans="1:1" x14ac:dyDescent="0.25">
      <c r="A439" s="24">
        <v>537</v>
      </c>
    </row>
    <row r="440" spans="1:1" x14ac:dyDescent="0.25">
      <c r="A440" s="24">
        <v>538</v>
      </c>
    </row>
    <row r="441" spans="1:1" x14ac:dyDescent="0.25">
      <c r="A441" s="24">
        <v>539</v>
      </c>
    </row>
    <row r="442" spans="1:1" x14ac:dyDescent="0.25">
      <c r="A442" s="24">
        <v>540</v>
      </c>
    </row>
    <row r="443" spans="1:1" x14ac:dyDescent="0.25">
      <c r="A443" s="24">
        <v>541</v>
      </c>
    </row>
    <row r="444" spans="1:1" x14ac:dyDescent="0.25">
      <c r="A444" s="24">
        <v>542</v>
      </c>
    </row>
    <row r="445" spans="1:1" x14ac:dyDescent="0.25">
      <c r="A445" s="24">
        <v>543</v>
      </c>
    </row>
    <row r="446" spans="1:1" x14ac:dyDescent="0.25">
      <c r="A446" s="24">
        <v>544</v>
      </c>
    </row>
    <row r="447" spans="1:1" x14ac:dyDescent="0.25">
      <c r="A447" s="24">
        <v>545</v>
      </c>
    </row>
    <row r="448" spans="1:1" x14ac:dyDescent="0.25">
      <c r="A448" s="24">
        <v>546</v>
      </c>
    </row>
    <row r="449" spans="1:1" x14ac:dyDescent="0.25">
      <c r="A449" s="24">
        <v>547</v>
      </c>
    </row>
    <row r="450" spans="1:1" x14ac:dyDescent="0.25">
      <c r="A450" s="24">
        <v>548</v>
      </c>
    </row>
    <row r="451" spans="1:1" x14ac:dyDescent="0.25">
      <c r="A451" s="24">
        <v>549</v>
      </c>
    </row>
    <row r="452" spans="1:1" x14ac:dyDescent="0.25">
      <c r="A452" s="24">
        <v>550</v>
      </c>
    </row>
    <row r="453" spans="1:1" x14ac:dyDescent="0.25">
      <c r="A453" s="24">
        <v>551</v>
      </c>
    </row>
    <row r="454" spans="1:1" x14ac:dyDescent="0.25">
      <c r="A454" s="24">
        <v>552</v>
      </c>
    </row>
    <row r="455" spans="1:1" x14ac:dyDescent="0.25">
      <c r="A455" s="24">
        <v>553</v>
      </c>
    </row>
    <row r="456" spans="1:1" x14ac:dyDescent="0.25">
      <c r="A456" s="24">
        <v>554</v>
      </c>
    </row>
    <row r="457" spans="1:1" x14ac:dyDescent="0.25">
      <c r="A457" s="24">
        <v>555</v>
      </c>
    </row>
    <row r="458" spans="1:1" x14ac:dyDescent="0.25">
      <c r="A458" s="24">
        <v>556</v>
      </c>
    </row>
    <row r="459" spans="1:1" x14ac:dyDescent="0.25">
      <c r="A459" s="24">
        <v>557</v>
      </c>
    </row>
    <row r="460" spans="1:1" x14ac:dyDescent="0.25">
      <c r="A460" s="24">
        <v>558</v>
      </c>
    </row>
    <row r="461" spans="1:1" x14ac:dyDescent="0.25">
      <c r="A461" s="24">
        <v>559</v>
      </c>
    </row>
    <row r="462" spans="1:1" x14ac:dyDescent="0.25">
      <c r="A462" s="24">
        <v>560</v>
      </c>
    </row>
    <row r="463" spans="1:1" x14ac:dyDescent="0.25">
      <c r="A463" s="24">
        <v>561</v>
      </c>
    </row>
    <row r="464" spans="1:1" x14ac:dyDescent="0.25">
      <c r="A464" s="24">
        <v>562</v>
      </c>
    </row>
    <row r="465" spans="1:1" x14ac:dyDescent="0.25">
      <c r="A465" s="24">
        <v>563</v>
      </c>
    </row>
    <row r="466" spans="1:1" x14ac:dyDescent="0.25">
      <c r="A466" s="24">
        <v>564</v>
      </c>
    </row>
    <row r="467" spans="1:1" x14ac:dyDescent="0.25">
      <c r="A467" s="24">
        <v>565</v>
      </c>
    </row>
    <row r="468" spans="1:1" x14ac:dyDescent="0.25">
      <c r="A468" s="24">
        <v>566</v>
      </c>
    </row>
    <row r="469" spans="1:1" x14ac:dyDescent="0.25">
      <c r="A469" s="24">
        <v>567</v>
      </c>
    </row>
    <row r="470" spans="1:1" x14ac:dyDescent="0.25">
      <c r="A470" s="24">
        <v>568</v>
      </c>
    </row>
    <row r="471" spans="1:1" x14ac:dyDescent="0.25">
      <c r="A471" s="24">
        <v>569</v>
      </c>
    </row>
    <row r="472" spans="1:1" x14ac:dyDescent="0.25">
      <c r="A472" s="24">
        <v>570</v>
      </c>
    </row>
    <row r="473" spans="1:1" x14ac:dyDescent="0.25">
      <c r="A473" s="24">
        <v>571</v>
      </c>
    </row>
    <row r="474" spans="1:1" x14ac:dyDescent="0.25">
      <c r="A474" s="24">
        <v>572</v>
      </c>
    </row>
    <row r="475" spans="1:1" x14ac:dyDescent="0.25">
      <c r="A475" s="24">
        <v>573</v>
      </c>
    </row>
    <row r="476" spans="1:1" x14ac:dyDescent="0.25">
      <c r="A476" s="24">
        <v>574</v>
      </c>
    </row>
    <row r="477" spans="1:1" x14ac:dyDescent="0.25">
      <c r="A477" s="24">
        <v>575</v>
      </c>
    </row>
    <row r="478" spans="1:1" x14ac:dyDescent="0.25">
      <c r="A478" s="24">
        <v>576</v>
      </c>
    </row>
    <row r="479" spans="1:1" x14ac:dyDescent="0.25">
      <c r="A479" s="24">
        <v>577</v>
      </c>
    </row>
    <row r="480" spans="1:1" x14ac:dyDescent="0.25">
      <c r="A480" s="24">
        <v>578</v>
      </c>
    </row>
    <row r="481" spans="1:1" x14ac:dyDescent="0.25">
      <c r="A481" s="24">
        <v>579</v>
      </c>
    </row>
    <row r="482" spans="1:1" x14ac:dyDescent="0.25">
      <c r="A482" s="24">
        <v>580</v>
      </c>
    </row>
    <row r="483" spans="1:1" x14ac:dyDescent="0.25">
      <c r="A483" s="24">
        <v>581</v>
      </c>
    </row>
    <row r="484" spans="1:1" x14ac:dyDescent="0.25">
      <c r="A484" s="24">
        <v>582</v>
      </c>
    </row>
    <row r="485" spans="1:1" x14ac:dyDescent="0.25">
      <c r="A485" s="24">
        <v>583</v>
      </c>
    </row>
    <row r="486" spans="1:1" x14ac:dyDescent="0.25">
      <c r="A486" s="24">
        <v>584</v>
      </c>
    </row>
    <row r="487" spans="1:1" x14ac:dyDescent="0.25">
      <c r="A487" s="24">
        <v>585</v>
      </c>
    </row>
    <row r="488" spans="1:1" x14ac:dyDescent="0.25">
      <c r="A488" s="24">
        <v>586</v>
      </c>
    </row>
    <row r="489" spans="1:1" x14ac:dyDescent="0.25">
      <c r="A489" s="24">
        <v>587</v>
      </c>
    </row>
    <row r="490" spans="1:1" x14ac:dyDescent="0.25">
      <c r="A490" s="24">
        <v>588</v>
      </c>
    </row>
    <row r="491" spans="1:1" x14ac:dyDescent="0.25">
      <c r="A491" s="24">
        <v>589</v>
      </c>
    </row>
    <row r="492" spans="1:1" x14ac:dyDescent="0.25">
      <c r="A492" s="24">
        <v>590</v>
      </c>
    </row>
    <row r="493" spans="1:1" x14ac:dyDescent="0.25">
      <c r="A493" s="24">
        <v>591</v>
      </c>
    </row>
    <row r="494" spans="1:1" x14ac:dyDescent="0.25">
      <c r="A494" s="24">
        <v>592</v>
      </c>
    </row>
    <row r="495" spans="1:1" x14ac:dyDescent="0.25">
      <c r="A495" s="24">
        <v>593</v>
      </c>
    </row>
    <row r="496" spans="1:1" x14ac:dyDescent="0.25">
      <c r="A496" s="24">
        <v>594</v>
      </c>
    </row>
    <row r="497" spans="1:1" x14ac:dyDescent="0.25">
      <c r="A497" s="24">
        <v>595</v>
      </c>
    </row>
    <row r="498" spans="1:1" x14ac:dyDescent="0.25">
      <c r="A498" s="24">
        <v>596</v>
      </c>
    </row>
    <row r="499" spans="1:1" x14ac:dyDescent="0.25">
      <c r="A499" s="24">
        <v>597</v>
      </c>
    </row>
    <row r="500" spans="1:1" x14ac:dyDescent="0.25">
      <c r="A500" s="24">
        <v>598</v>
      </c>
    </row>
    <row r="501" spans="1:1" x14ac:dyDescent="0.25">
      <c r="A501" s="24">
        <v>599</v>
      </c>
    </row>
    <row r="502" spans="1:1" x14ac:dyDescent="0.25">
      <c r="A502" s="24">
        <v>600</v>
      </c>
    </row>
    <row r="503" spans="1:1" x14ac:dyDescent="0.25">
      <c r="A503" s="24">
        <v>601</v>
      </c>
    </row>
    <row r="504" spans="1:1" x14ac:dyDescent="0.25">
      <c r="A504" s="24">
        <v>602</v>
      </c>
    </row>
    <row r="505" spans="1:1" x14ac:dyDescent="0.25">
      <c r="A505" s="24">
        <v>603</v>
      </c>
    </row>
    <row r="506" spans="1:1" x14ac:dyDescent="0.25">
      <c r="A506" s="24">
        <v>604</v>
      </c>
    </row>
    <row r="507" spans="1:1" x14ac:dyDescent="0.25">
      <c r="A507" s="24">
        <v>605</v>
      </c>
    </row>
    <row r="508" spans="1:1" x14ac:dyDescent="0.25">
      <c r="A508" s="24">
        <v>606</v>
      </c>
    </row>
    <row r="509" spans="1:1" x14ac:dyDescent="0.25">
      <c r="A509" s="24">
        <v>607</v>
      </c>
    </row>
    <row r="510" spans="1:1" x14ac:dyDescent="0.25">
      <c r="A510" s="24">
        <v>608</v>
      </c>
    </row>
    <row r="511" spans="1:1" x14ac:dyDescent="0.25">
      <c r="A511" s="24">
        <v>609</v>
      </c>
    </row>
    <row r="512" spans="1:1" x14ac:dyDescent="0.25">
      <c r="A512" s="24">
        <v>610</v>
      </c>
    </row>
    <row r="513" spans="1:1" x14ac:dyDescent="0.25">
      <c r="A513" s="24">
        <v>611</v>
      </c>
    </row>
    <row r="514" spans="1:1" x14ac:dyDescent="0.25">
      <c r="A514" s="24">
        <v>612</v>
      </c>
    </row>
    <row r="515" spans="1:1" x14ac:dyDescent="0.25">
      <c r="A515" s="24">
        <v>613</v>
      </c>
    </row>
    <row r="516" spans="1:1" x14ac:dyDescent="0.25">
      <c r="A516" s="24">
        <v>614</v>
      </c>
    </row>
    <row r="517" spans="1:1" x14ac:dyDescent="0.25">
      <c r="A517" s="24">
        <v>615</v>
      </c>
    </row>
    <row r="518" spans="1:1" x14ac:dyDescent="0.25">
      <c r="A518" s="24">
        <v>616</v>
      </c>
    </row>
    <row r="519" spans="1:1" x14ac:dyDescent="0.25">
      <c r="A519" s="24">
        <v>617</v>
      </c>
    </row>
    <row r="520" spans="1:1" x14ac:dyDescent="0.25">
      <c r="A520" s="24">
        <v>618</v>
      </c>
    </row>
    <row r="521" spans="1:1" x14ac:dyDescent="0.25">
      <c r="A521" s="24">
        <v>619</v>
      </c>
    </row>
    <row r="522" spans="1:1" x14ac:dyDescent="0.25">
      <c r="A522" s="24">
        <v>620</v>
      </c>
    </row>
    <row r="523" spans="1:1" x14ac:dyDescent="0.25">
      <c r="A523" s="24">
        <v>621</v>
      </c>
    </row>
    <row r="524" spans="1:1" x14ac:dyDescent="0.25">
      <c r="A524" s="24">
        <v>622</v>
      </c>
    </row>
    <row r="525" spans="1:1" x14ac:dyDescent="0.25">
      <c r="A525" s="24">
        <v>623</v>
      </c>
    </row>
    <row r="526" spans="1:1" x14ac:dyDescent="0.25">
      <c r="A526" s="24">
        <v>624</v>
      </c>
    </row>
    <row r="527" spans="1:1" x14ac:dyDescent="0.25">
      <c r="A527" s="24">
        <v>625</v>
      </c>
    </row>
    <row r="528" spans="1:1" x14ac:dyDescent="0.25">
      <c r="A528" s="24">
        <v>626</v>
      </c>
    </row>
    <row r="529" spans="1:1" x14ac:dyDescent="0.25">
      <c r="A529" s="24">
        <v>627</v>
      </c>
    </row>
    <row r="530" spans="1:1" x14ac:dyDescent="0.25">
      <c r="A530" s="24">
        <v>628</v>
      </c>
    </row>
    <row r="531" spans="1:1" x14ac:dyDescent="0.25">
      <c r="A531" s="24">
        <v>629</v>
      </c>
    </row>
    <row r="532" spans="1:1" x14ac:dyDescent="0.25">
      <c r="A532" s="24">
        <v>630</v>
      </c>
    </row>
    <row r="533" spans="1:1" x14ac:dyDescent="0.25">
      <c r="A533" s="24">
        <v>631</v>
      </c>
    </row>
    <row r="534" spans="1:1" x14ac:dyDescent="0.25">
      <c r="A534" s="24">
        <v>632</v>
      </c>
    </row>
    <row r="535" spans="1:1" x14ac:dyDescent="0.25">
      <c r="A535" s="24">
        <v>633</v>
      </c>
    </row>
    <row r="536" spans="1:1" x14ac:dyDescent="0.25">
      <c r="A536" s="24">
        <v>634</v>
      </c>
    </row>
    <row r="537" spans="1:1" x14ac:dyDescent="0.25">
      <c r="A537" s="24">
        <v>635</v>
      </c>
    </row>
    <row r="538" spans="1:1" x14ac:dyDescent="0.25">
      <c r="A538" s="24">
        <v>636</v>
      </c>
    </row>
    <row r="539" spans="1:1" x14ac:dyDescent="0.25">
      <c r="A539" s="24">
        <v>637</v>
      </c>
    </row>
    <row r="540" spans="1:1" x14ac:dyDescent="0.25">
      <c r="A540" s="24">
        <v>638</v>
      </c>
    </row>
    <row r="541" spans="1:1" x14ac:dyDescent="0.25">
      <c r="A541" s="24">
        <v>639</v>
      </c>
    </row>
    <row r="542" spans="1:1" x14ac:dyDescent="0.25">
      <c r="A542" s="24">
        <v>640</v>
      </c>
    </row>
    <row r="543" spans="1:1" x14ac:dyDescent="0.25">
      <c r="A543" s="24">
        <v>641</v>
      </c>
    </row>
    <row r="544" spans="1:1" x14ac:dyDescent="0.25">
      <c r="A544" s="24">
        <v>642</v>
      </c>
    </row>
    <row r="545" spans="1:1" x14ac:dyDescent="0.25">
      <c r="A545" s="24">
        <v>643</v>
      </c>
    </row>
    <row r="546" spans="1:1" x14ac:dyDescent="0.25">
      <c r="A546" s="24">
        <v>644</v>
      </c>
    </row>
    <row r="547" spans="1:1" x14ac:dyDescent="0.25">
      <c r="A547" s="24">
        <v>645</v>
      </c>
    </row>
    <row r="548" spans="1:1" x14ac:dyDescent="0.25">
      <c r="A548" s="24">
        <v>646</v>
      </c>
    </row>
    <row r="549" spans="1:1" x14ac:dyDescent="0.25">
      <c r="A549" s="24">
        <v>647</v>
      </c>
    </row>
    <row r="550" spans="1:1" x14ac:dyDescent="0.25">
      <c r="A550" s="24">
        <v>648</v>
      </c>
    </row>
    <row r="551" spans="1:1" x14ac:dyDescent="0.25">
      <c r="A551" s="24">
        <v>649</v>
      </c>
    </row>
    <row r="552" spans="1:1" x14ac:dyDescent="0.25">
      <c r="A552" s="24">
        <v>650</v>
      </c>
    </row>
    <row r="553" spans="1:1" x14ac:dyDescent="0.25">
      <c r="A553" s="24">
        <v>651</v>
      </c>
    </row>
    <row r="554" spans="1:1" x14ac:dyDescent="0.25">
      <c r="A554" s="24">
        <v>652</v>
      </c>
    </row>
    <row r="555" spans="1:1" x14ac:dyDescent="0.25">
      <c r="A555" s="24">
        <v>653</v>
      </c>
    </row>
    <row r="556" spans="1:1" x14ac:dyDescent="0.25">
      <c r="A556" s="24">
        <v>654</v>
      </c>
    </row>
    <row r="557" spans="1:1" x14ac:dyDescent="0.25">
      <c r="A557" s="24">
        <v>655</v>
      </c>
    </row>
    <row r="558" spans="1:1" x14ac:dyDescent="0.25">
      <c r="A558" s="24">
        <v>656</v>
      </c>
    </row>
    <row r="559" spans="1:1" x14ac:dyDescent="0.25">
      <c r="A559" s="24">
        <v>657</v>
      </c>
    </row>
    <row r="560" spans="1:1" x14ac:dyDescent="0.25">
      <c r="A560" s="24">
        <v>658</v>
      </c>
    </row>
    <row r="561" spans="1:1" x14ac:dyDescent="0.25">
      <c r="A561" s="24">
        <v>659</v>
      </c>
    </row>
    <row r="562" spans="1:1" x14ac:dyDescent="0.25">
      <c r="A562" s="24">
        <v>660</v>
      </c>
    </row>
    <row r="563" spans="1:1" x14ac:dyDescent="0.25">
      <c r="A563" s="24">
        <v>661</v>
      </c>
    </row>
    <row r="564" spans="1:1" x14ac:dyDescent="0.25">
      <c r="A564" s="24">
        <v>662</v>
      </c>
    </row>
    <row r="565" spans="1:1" x14ac:dyDescent="0.25">
      <c r="A565" s="24">
        <v>663</v>
      </c>
    </row>
    <row r="566" spans="1:1" x14ac:dyDescent="0.25">
      <c r="A566" s="24">
        <v>664</v>
      </c>
    </row>
    <row r="567" spans="1:1" x14ac:dyDescent="0.25">
      <c r="A567" s="24">
        <v>665</v>
      </c>
    </row>
    <row r="568" spans="1:1" x14ac:dyDescent="0.25">
      <c r="A568" s="24">
        <v>666</v>
      </c>
    </row>
    <row r="569" spans="1:1" x14ac:dyDescent="0.25">
      <c r="A569" s="24">
        <v>667</v>
      </c>
    </row>
    <row r="570" spans="1:1" x14ac:dyDescent="0.25">
      <c r="A570" s="24">
        <v>668</v>
      </c>
    </row>
    <row r="571" spans="1:1" x14ac:dyDescent="0.25">
      <c r="A571" s="24">
        <v>669</v>
      </c>
    </row>
    <row r="572" spans="1:1" x14ac:dyDescent="0.25">
      <c r="A572" s="24">
        <v>670</v>
      </c>
    </row>
    <row r="573" spans="1:1" x14ac:dyDescent="0.25">
      <c r="A573" s="24">
        <v>671</v>
      </c>
    </row>
    <row r="574" spans="1:1" x14ac:dyDescent="0.25">
      <c r="A574" s="24">
        <v>672</v>
      </c>
    </row>
    <row r="575" spans="1:1" x14ac:dyDescent="0.25">
      <c r="A575" s="24">
        <v>673</v>
      </c>
    </row>
    <row r="576" spans="1:1" x14ac:dyDescent="0.25">
      <c r="A576" s="24">
        <v>674</v>
      </c>
    </row>
    <row r="577" spans="1:1" x14ac:dyDescent="0.25">
      <c r="A577" s="24">
        <v>675</v>
      </c>
    </row>
    <row r="578" spans="1:1" x14ac:dyDescent="0.25">
      <c r="A578" s="24">
        <v>676</v>
      </c>
    </row>
    <row r="579" spans="1:1" x14ac:dyDescent="0.25">
      <c r="A579" s="24">
        <v>677</v>
      </c>
    </row>
    <row r="580" spans="1:1" x14ac:dyDescent="0.25">
      <c r="A580" s="24">
        <v>678</v>
      </c>
    </row>
    <row r="581" spans="1:1" x14ac:dyDescent="0.25">
      <c r="A581" s="24">
        <v>679</v>
      </c>
    </row>
    <row r="582" spans="1:1" x14ac:dyDescent="0.25">
      <c r="A582" s="24">
        <v>680</v>
      </c>
    </row>
    <row r="583" spans="1:1" x14ac:dyDescent="0.25">
      <c r="A583" s="24">
        <v>681</v>
      </c>
    </row>
    <row r="584" spans="1:1" x14ac:dyDescent="0.25">
      <c r="A584" s="24">
        <v>682</v>
      </c>
    </row>
    <row r="585" spans="1:1" x14ac:dyDescent="0.25">
      <c r="A585" s="24">
        <v>683</v>
      </c>
    </row>
    <row r="586" spans="1:1" x14ac:dyDescent="0.25">
      <c r="A586" s="24">
        <v>684</v>
      </c>
    </row>
    <row r="587" spans="1:1" x14ac:dyDescent="0.25">
      <c r="A587" s="24">
        <v>685</v>
      </c>
    </row>
    <row r="588" spans="1:1" x14ac:dyDescent="0.25">
      <c r="A588" s="24">
        <v>686</v>
      </c>
    </row>
    <row r="589" spans="1:1" x14ac:dyDescent="0.25">
      <c r="A589" s="24">
        <v>687</v>
      </c>
    </row>
    <row r="590" spans="1:1" x14ac:dyDescent="0.25">
      <c r="A590" s="24">
        <v>688</v>
      </c>
    </row>
    <row r="591" spans="1:1" x14ac:dyDescent="0.25">
      <c r="A591" s="24">
        <v>689</v>
      </c>
    </row>
    <row r="592" spans="1:1" x14ac:dyDescent="0.25">
      <c r="A592" s="24">
        <v>690</v>
      </c>
    </row>
    <row r="593" spans="1:1" x14ac:dyDescent="0.25">
      <c r="A593" s="24">
        <v>691</v>
      </c>
    </row>
    <row r="594" spans="1:1" x14ac:dyDescent="0.25">
      <c r="A594" s="24">
        <v>692</v>
      </c>
    </row>
    <row r="595" spans="1:1" x14ac:dyDescent="0.25">
      <c r="A595" s="24">
        <v>693</v>
      </c>
    </row>
    <row r="596" spans="1:1" x14ac:dyDescent="0.25">
      <c r="A596" s="24">
        <v>694</v>
      </c>
    </row>
    <row r="597" spans="1:1" x14ac:dyDescent="0.25">
      <c r="A597" s="24">
        <v>695</v>
      </c>
    </row>
    <row r="598" spans="1:1" x14ac:dyDescent="0.25">
      <c r="A598" s="24">
        <v>696</v>
      </c>
    </row>
    <row r="599" spans="1:1" x14ac:dyDescent="0.25">
      <c r="A599" s="24">
        <v>697</v>
      </c>
    </row>
    <row r="600" spans="1:1" x14ac:dyDescent="0.25">
      <c r="A600" s="24">
        <v>698</v>
      </c>
    </row>
    <row r="601" spans="1:1" x14ac:dyDescent="0.25">
      <c r="A601" s="24">
        <v>699</v>
      </c>
    </row>
    <row r="602" spans="1:1" x14ac:dyDescent="0.25">
      <c r="A602" s="24">
        <v>700</v>
      </c>
    </row>
    <row r="603" spans="1:1" x14ac:dyDescent="0.25">
      <c r="A603" s="24">
        <v>701</v>
      </c>
    </row>
    <row r="604" spans="1:1" x14ac:dyDescent="0.25">
      <c r="A604" s="24">
        <v>702</v>
      </c>
    </row>
    <row r="605" spans="1:1" x14ac:dyDescent="0.25">
      <c r="A605" s="24">
        <v>703</v>
      </c>
    </row>
    <row r="606" spans="1:1" x14ac:dyDescent="0.25">
      <c r="A606" s="24">
        <v>704</v>
      </c>
    </row>
    <row r="607" spans="1:1" x14ac:dyDescent="0.25">
      <c r="A607" s="24">
        <v>705</v>
      </c>
    </row>
    <row r="608" spans="1:1" x14ac:dyDescent="0.25">
      <c r="A608" s="24">
        <v>706</v>
      </c>
    </row>
    <row r="609" spans="1:1" x14ac:dyDescent="0.25">
      <c r="A609" s="24">
        <v>707</v>
      </c>
    </row>
    <row r="610" spans="1:1" x14ac:dyDescent="0.25">
      <c r="A610" s="24">
        <v>708</v>
      </c>
    </row>
    <row r="611" spans="1:1" x14ac:dyDescent="0.25">
      <c r="A611" s="24">
        <v>709</v>
      </c>
    </row>
    <row r="612" spans="1:1" x14ac:dyDescent="0.25">
      <c r="A612" s="24">
        <v>710</v>
      </c>
    </row>
    <row r="613" spans="1:1" x14ac:dyDescent="0.25">
      <c r="A613" s="24">
        <v>711</v>
      </c>
    </row>
    <row r="614" spans="1:1" x14ac:dyDescent="0.25">
      <c r="A614" s="24">
        <v>712</v>
      </c>
    </row>
    <row r="615" spans="1:1" x14ac:dyDescent="0.25">
      <c r="A615" s="24">
        <v>713</v>
      </c>
    </row>
    <row r="616" spans="1:1" x14ac:dyDescent="0.25">
      <c r="A616" s="24">
        <v>714</v>
      </c>
    </row>
    <row r="617" spans="1:1" x14ac:dyDescent="0.25">
      <c r="A617" s="24">
        <v>715</v>
      </c>
    </row>
    <row r="618" spans="1:1" x14ac:dyDescent="0.25">
      <c r="A618" s="24">
        <v>716</v>
      </c>
    </row>
    <row r="619" spans="1:1" x14ac:dyDescent="0.25">
      <c r="A619" s="24">
        <v>717</v>
      </c>
    </row>
    <row r="620" spans="1:1" x14ac:dyDescent="0.25">
      <c r="A620" s="24">
        <v>718</v>
      </c>
    </row>
    <row r="621" spans="1:1" x14ac:dyDescent="0.25">
      <c r="A621" s="24">
        <v>719</v>
      </c>
    </row>
    <row r="622" spans="1:1" x14ac:dyDescent="0.25">
      <c r="A622" s="24">
        <v>720</v>
      </c>
    </row>
    <row r="623" spans="1:1" x14ac:dyDescent="0.25">
      <c r="A623" s="24">
        <v>721</v>
      </c>
    </row>
    <row r="624" spans="1:1" x14ac:dyDescent="0.25">
      <c r="A624" s="24">
        <v>722</v>
      </c>
    </row>
    <row r="625" spans="1:1" x14ac:dyDescent="0.25">
      <c r="A625" s="24">
        <v>723</v>
      </c>
    </row>
    <row r="626" spans="1:1" x14ac:dyDescent="0.25">
      <c r="A626" s="24">
        <v>724</v>
      </c>
    </row>
    <row r="627" spans="1:1" x14ac:dyDescent="0.25">
      <c r="A627" s="24">
        <v>725</v>
      </c>
    </row>
    <row r="628" spans="1:1" x14ac:dyDescent="0.25">
      <c r="A628" s="24">
        <v>726</v>
      </c>
    </row>
    <row r="629" spans="1:1" x14ac:dyDescent="0.25">
      <c r="A629" s="24">
        <v>727</v>
      </c>
    </row>
    <row r="630" spans="1:1" x14ac:dyDescent="0.25">
      <c r="A630" s="24">
        <v>728</v>
      </c>
    </row>
    <row r="631" spans="1:1" x14ac:dyDescent="0.25">
      <c r="A631" s="24">
        <v>729</v>
      </c>
    </row>
    <row r="632" spans="1:1" x14ac:dyDescent="0.25">
      <c r="A632" s="24">
        <v>730</v>
      </c>
    </row>
    <row r="633" spans="1:1" x14ac:dyDescent="0.25">
      <c r="A633" s="24">
        <v>731</v>
      </c>
    </row>
    <row r="634" spans="1:1" x14ac:dyDescent="0.25">
      <c r="A634" s="24">
        <v>732</v>
      </c>
    </row>
    <row r="635" spans="1:1" x14ac:dyDescent="0.25">
      <c r="A635" s="24">
        <v>733</v>
      </c>
    </row>
    <row r="636" spans="1:1" x14ac:dyDescent="0.25">
      <c r="A636" s="24">
        <v>734</v>
      </c>
    </row>
    <row r="637" spans="1:1" x14ac:dyDescent="0.25">
      <c r="A637" s="24">
        <v>735</v>
      </c>
    </row>
    <row r="638" spans="1:1" x14ac:dyDescent="0.25">
      <c r="A638" s="24">
        <v>736</v>
      </c>
    </row>
    <row r="639" spans="1:1" x14ac:dyDescent="0.25">
      <c r="A639" s="24">
        <v>737</v>
      </c>
    </row>
    <row r="640" spans="1:1" x14ac:dyDescent="0.25">
      <c r="A640" s="24">
        <v>738</v>
      </c>
    </row>
    <row r="641" spans="1:1" x14ac:dyDescent="0.25">
      <c r="A641" s="24">
        <v>739</v>
      </c>
    </row>
    <row r="642" spans="1:1" x14ac:dyDescent="0.25">
      <c r="A642" s="24">
        <v>740</v>
      </c>
    </row>
    <row r="643" spans="1:1" x14ac:dyDescent="0.25">
      <c r="A643" s="24">
        <v>741</v>
      </c>
    </row>
    <row r="644" spans="1:1" x14ac:dyDescent="0.25">
      <c r="A644" s="24">
        <v>742</v>
      </c>
    </row>
    <row r="645" spans="1:1" x14ac:dyDescent="0.25">
      <c r="A645" s="24">
        <v>743</v>
      </c>
    </row>
    <row r="646" spans="1:1" x14ac:dyDescent="0.25">
      <c r="A646" s="24">
        <v>744</v>
      </c>
    </row>
    <row r="647" spans="1:1" x14ac:dyDescent="0.25">
      <c r="A647" s="24">
        <v>745</v>
      </c>
    </row>
    <row r="648" spans="1:1" x14ac:dyDescent="0.25">
      <c r="A648" s="24">
        <v>746</v>
      </c>
    </row>
    <row r="649" spans="1:1" x14ac:dyDescent="0.25">
      <c r="A649" s="24">
        <v>747</v>
      </c>
    </row>
    <row r="650" spans="1:1" x14ac:dyDescent="0.25">
      <c r="A650" s="24">
        <v>748</v>
      </c>
    </row>
    <row r="651" spans="1:1" x14ac:dyDescent="0.25">
      <c r="A651" s="24">
        <v>749</v>
      </c>
    </row>
    <row r="652" spans="1:1" x14ac:dyDescent="0.25">
      <c r="A652" s="24">
        <v>750</v>
      </c>
    </row>
    <row r="653" spans="1:1" x14ac:dyDescent="0.25">
      <c r="A653" s="24">
        <v>751</v>
      </c>
    </row>
    <row r="654" spans="1:1" x14ac:dyDescent="0.25">
      <c r="A654" s="24">
        <v>752</v>
      </c>
    </row>
    <row r="655" spans="1:1" x14ac:dyDescent="0.25">
      <c r="A655" s="24">
        <v>753</v>
      </c>
    </row>
    <row r="656" spans="1:1" x14ac:dyDescent="0.25">
      <c r="A656" s="24">
        <v>754</v>
      </c>
    </row>
    <row r="657" spans="1:1" x14ac:dyDescent="0.25">
      <c r="A657" s="24">
        <v>755</v>
      </c>
    </row>
    <row r="658" spans="1:1" x14ac:dyDescent="0.25">
      <c r="A658" s="24">
        <v>756</v>
      </c>
    </row>
    <row r="659" spans="1:1" x14ac:dyDescent="0.25">
      <c r="A659" s="24">
        <v>757</v>
      </c>
    </row>
    <row r="660" spans="1:1" x14ac:dyDescent="0.25">
      <c r="A660" s="24">
        <v>758</v>
      </c>
    </row>
    <row r="661" spans="1:1" x14ac:dyDescent="0.25">
      <c r="A661" s="24">
        <v>759</v>
      </c>
    </row>
    <row r="662" spans="1:1" x14ac:dyDescent="0.25">
      <c r="A662" s="24">
        <v>760</v>
      </c>
    </row>
    <row r="663" spans="1:1" x14ac:dyDescent="0.25">
      <c r="A663" s="24">
        <v>761</v>
      </c>
    </row>
    <row r="664" spans="1:1" x14ac:dyDescent="0.25">
      <c r="A664" s="24">
        <v>762</v>
      </c>
    </row>
    <row r="665" spans="1:1" x14ac:dyDescent="0.25">
      <c r="A665" s="24">
        <v>763</v>
      </c>
    </row>
    <row r="666" spans="1:1" x14ac:dyDescent="0.25">
      <c r="A666" s="24">
        <v>764</v>
      </c>
    </row>
    <row r="667" spans="1:1" x14ac:dyDescent="0.25">
      <c r="A667" s="24">
        <v>765</v>
      </c>
    </row>
    <row r="668" spans="1:1" x14ac:dyDescent="0.25">
      <c r="A668" s="24">
        <v>766</v>
      </c>
    </row>
    <row r="669" spans="1:1" x14ac:dyDescent="0.25">
      <c r="A669" s="24">
        <v>767</v>
      </c>
    </row>
    <row r="670" spans="1:1" x14ac:dyDescent="0.25">
      <c r="A670" s="24">
        <v>768</v>
      </c>
    </row>
    <row r="671" spans="1:1" x14ac:dyDescent="0.25">
      <c r="A671" s="24">
        <v>769</v>
      </c>
    </row>
    <row r="672" spans="1:1" x14ac:dyDescent="0.25">
      <c r="A672" s="24">
        <v>770</v>
      </c>
    </row>
    <row r="673" spans="1:1" x14ac:dyDescent="0.25">
      <c r="A673" s="24">
        <v>771</v>
      </c>
    </row>
    <row r="674" spans="1:1" x14ac:dyDescent="0.25">
      <c r="A674" s="24">
        <v>772</v>
      </c>
    </row>
    <row r="675" spans="1:1" x14ac:dyDescent="0.25">
      <c r="A675" s="24">
        <v>773</v>
      </c>
    </row>
    <row r="676" spans="1:1" x14ac:dyDescent="0.25">
      <c r="A676" s="24">
        <v>774</v>
      </c>
    </row>
    <row r="677" spans="1:1" x14ac:dyDescent="0.25">
      <c r="A677" s="24">
        <v>775</v>
      </c>
    </row>
    <row r="678" spans="1:1" x14ac:dyDescent="0.25">
      <c r="A678" s="24">
        <v>776</v>
      </c>
    </row>
    <row r="679" spans="1:1" x14ac:dyDescent="0.25">
      <c r="A679" s="24">
        <v>777</v>
      </c>
    </row>
    <row r="680" spans="1:1" x14ac:dyDescent="0.25">
      <c r="A680" s="24">
        <v>778</v>
      </c>
    </row>
    <row r="681" spans="1:1" x14ac:dyDescent="0.25">
      <c r="A681" s="24">
        <v>779</v>
      </c>
    </row>
    <row r="682" spans="1:1" x14ac:dyDescent="0.25">
      <c r="A682" s="24">
        <v>780</v>
      </c>
    </row>
    <row r="683" spans="1:1" x14ac:dyDescent="0.25">
      <c r="A683" s="24">
        <v>781</v>
      </c>
    </row>
    <row r="684" spans="1:1" x14ac:dyDescent="0.25">
      <c r="A684" s="24">
        <v>782</v>
      </c>
    </row>
    <row r="685" spans="1:1" x14ac:dyDescent="0.25">
      <c r="A685" s="24">
        <v>783</v>
      </c>
    </row>
    <row r="686" spans="1:1" x14ac:dyDescent="0.25">
      <c r="A686" s="24">
        <v>784</v>
      </c>
    </row>
    <row r="687" spans="1:1" x14ac:dyDescent="0.25">
      <c r="A687" s="24">
        <v>785</v>
      </c>
    </row>
    <row r="688" spans="1:1" x14ac:dyDescent="0.25">
      <c r="A688" s="24">
        <v>786</v>
      </c>
    </row>
    <row r="689" spans="1:1" x14ac:dyDescent="0.25">
      <c r="A689" s="24">
        <v>787</v>
      </c>
    </row>
    <row r="690" spans="1:1" x14ac:dyDescent="0.25">
      <c r="A690" s="24">
        <v>788</v>
      </c>
    </row>
    <row r="691" spans="1:1" x14ac:dyDescent="0.25">
      <c r="A691" s="24">
        <v>789</v>
      </c>
    </row>
    <row r="692" spans="1:1" x14ac:dyDescent="0.25">
      <c r="A692" s="24">
        <v>790</v>
      </c>
    </row>
    <row r="693" spans="1:1" x14ac:dyDescent="0.25">
      <c r="A693" s="24">
        <v>791</v>
      </c>
    </row>
    <row r="694" spans="1:1" x14ac:dyDescent="0.25">
      <c r="A694" s="24">
        <v>792</v>
      </c>
    </row>
    <row r="695" spans="1:1" x14ac:dyDescent="0.25">
      <c r="A695" s="24">
        <v>793</v>
      </c>
    </row>
    <row r="696" spans="1:1" x14ac:dyDescent="0.25">
      <c r="A696" s="24">
        <v>794</v>
      </c>
    </row>
    <row r="697" spans="1:1" x14ac:dyDescent="0.25">
      <c r="A697" s="24">
        <v>795</v>
      </c>
    </row>
    <row r="698" spans="1:1" x14ac:dyDescent="0.25">
      <c r="A698" s="24">
        <v>796</v>
      </c>
    </row>
    <row r="699" spans="1:1" x14ac:dyDescent="0.25">
      <c r="A699" s="24">
        <v>797</v>
      </c>
    </row>
    <row r="700" spans="1:1" x14ac:dyDescent="0.25">
      <c r="A700" s="24">
        <v>798</v>
      </c>
    </row>
    <row r="701" spans="1:1" x14ac:dyDescent="0.25">
      <c r="A701" s="24">
        <v>799</v>
      </c>
    </row>
    <row r="702" spans="1:1" x14ac:dyDescent="0.25">
      <c r="A702" s="24">
        <v>800</v>
      </c>
    </row>
    <row r="703" spans="1:1" x14ac:dyDescent="0.25">
      <c r="A703" s="24">
        <v>801</v>
      </c>
    </row>
    <row r="704" spans="1:1" x14ac:dyDescent="0.25">
      <c r="A704" s="24">
        <v>802</v>
      </c>
    </row>
    <row r="705" spans="1:1" x14ac:dyDescent="0.25">
      <c r="A705" s="24">
        <v>803</v>
      </c>
    </row>
    <row r="706" spans="1:1" x14ac:dyDescent="0.25">
      <c r="A706" s="24">
        <v>804</v>
      </c>
    </row>
    <row r="707" spans="1:1" x14ac:dyDescent="0.25">
      <c r="A707" s="24">
        <v>805</v>
      </c>
    </row>
    <row r="708" spans="1:1" x14ac:dyDescent="0.25">
      <c r="A708" s="24">
        <v>806</v>
      </c>
    </row>
    <row r="709" spans="1:1" x14ac:dyDescent="0.25">
      <c r="A709" s="24">
        <v>807</v>
      </c>
    </row>
    <row r="710" spans="1:1" x14ac:dyDescent="0.25">
      <c r="A710" s="24">
        <v>808</v>
      </c>
    </row>
    <row r="711" spans="1:1" x14ac:dyDescent="0.25">
      <c r="A711" s="24">
        <v>809</v>
      </c>
    </row>
    <row r="712" spans="1:1" x14ac:dyDescent="0.25">
      <c r="A712" s="24">
        <v>810</v>
      </c>
    </row>
    <row r="713" spans="1:1" x14ac:dyDescent="0.25">
      <c r="A713" s="24">
        <v>811</v>
      </c>
    </row>
    <row r="714" spans="1:1" x14ac:dyDescent="0.25">
      <c r="A714" s="24">
        <v>812</v>
      </c>
    </row>
    <row r="715" spans="1:1" x14ac:dyDescent="0.25">
      <c r="A715" s="24">
        <v>813</v>
      </c>
    </row>
    <row r="716" spans="1:1" x14ac:dyDescent="0.25">
      <c r="A716" s="24">
        <v>814</v>
      </c>
    </row>
    <row r="717" spans="1:1" x14ac:dyDescent="0.25">
      <c r="A717" s="24">
        <v>815</v>
      </c>
    </row>
    <row r="718" spans="1:1" x14ac:dyDescent="0.25">
      <c r="A718" s="24">
        <v>816</v>
      </c>
    </row>
    <row r="719" spans="1:1" x14ac:dyDescent="0.25">
      <c r="A719" s="24">
        <v>817</v>
      </c>
    </row>
    <row r="720" spans="1:1" x14ac:dyDescent="0.25">
      <c r="A720" s="24">
        <v>818</v>
      </c>
    </row>
    <row r="721" spans="1:1" x14ac:dyDescent="0.25">
      <c r="A721" s="24">
        <v>819</v>
      </c>
    </row>
    <row r="722" spans="1:1" x14ac:dyDescent="0.25">
      <c r="A722" s="24">
        <v>820</v>
      </c>
    </row>
    <row r="723" spans="1:1" x14ac:dyDescent="0.25">
      <c r="A723" s="24">
        <v>821</v>
      </c>
    </row>
    <row r="724" spans="1:1" x14ac:dyDescent="0.25">
      <c r="A724" s="24">
        <v>822</v>
      </c>
    </row>
    <row r="725" spans="1:1" x14ac:dyDescent="0.25">
      <c r="A725" s="24">
        <v>823</v>
      </c>
    </row>
    <row r="726" spans="1:1" x14ac:dyDescent="0.25">
      <c r="A726" s="24">
        <v>824</v>
      </c>
    </row>
    <row r="727" spans="1:1" x14ac:dyDescent="0.25">
      <c r="A727" s="24">
        <v>825</v>
      </c>
    </row>
    <row r="728" spans="1:1" x14ac:dyDescent="0.25">
      <c r="A728" s="24">
        <v>826</v>
      </c>
    </row>
    <row r="729" spans="1:1" x14ac:dyDescent="0.25">
      <c r="A729" s="24">
        <v>827</v>
      </c>
    </row>
    <row r="730" spans="1:1" x14ac:dyDescent="0.25">
      <c r="A730" s="24">
        <v>828</v>
      </c>
    </row>
    <row r="731" spans="1:1" x14ac:dyDescent="0.25">
      <c r="A731" s="24">
        <v>829</v>
      </c>
    </row>
    <row r="732" spans="1:1" x14ac:dyDescent="0.25">
      <c r="A732" s="24">
        <v>830</v>
      </c>
    </row>
    <row r="733" spans="1:1" x14ac:dyDescent="0.25">
      <c r="A733" s="24">
        <v>831</v>
      </c>
    </row>
    <row r="734" spans="1:1" x14ac:dyDescent="0.25">
      <c r="A734" s="24">
        <v>832</v>
      </c>
    </row>
    <row r="735" spans="1:1" x14ac:dyDescent="0.25">
      <c r="A735" s="24">
        <v>833</v>
      </c>
    </row>
    <row r="736" spans="1:1" x14ac:dyDescent="0.25">
      <c r="A736" s="24">
        <v>834</v>
      </c>
    </row>
    <row r="737" spans="1:1" x14ac:dyDescent="0.25">
      <c r="A737" s="24">
        <v>835</v>
      </c>
    </row>
    <row r="738" spans="1:1" x14ac:dyDescent="0.25">
      <c r="A738" s="24">
        <v>836</v>
      </c>
    </row>
    <row r="739" spans="1:1" x14ac:dyDescent="0.25">
      <c r="A739" s="24">
        <v>837</v>
      </c>
    </row>
    <row r="740" spans="1:1" x14ac:dyDescent="0.25">
      <c r="A740" s="24">
        <v>838</v>
      </c>
    </row>
    <row r="741" spans="1:1" x14ac:dyDescent="0.25">
      <c r="A741" s="24">
        <v>839</v>
      </c>
    </row>
    <row r="742" spans="1:1" x14ac:dyDescent="0.25">
      <c r="A742" s="24">
        <v>840</v>
      </c>
    </row>
    <row r="743" spans="1:1" x14ac:dyDescent="0.25">
      <c r="A743" s="24">
        <v>841</v>
      </c>
    </row>
    <row r="744" spans="1:1" x14ac:dyDescent="0.25">
      <c r="A744" s="24">
        <v>842</v>
      </c>
    </row>
    <row r="745" spans="1:1" x14ac:dyDescent="0.25">
      <c r="A745" s="24">
        <v>843</v>
      </c>
    </row>
    <row r="746" spans="1:1" x14ac:dyDescent="0.25">
      <c r="A746" s="24">
        <v>844</v>
      </c>
    </row>
    <row r="747" spans="1:1" x14ac:dyDescent="0.25">
      <c r="A747" s="24">
        <v>845</v>
      </c>
    </row>
    <row r="748" spans="1:1" x14ac:dyDescent="0.25">
      <c r="A748" s="24">
        <v>846</v>
      </c>
    </row>
    <row r="749" spans="1:1" x14ac:dyDescent="0.25">
      <c r="A749" s="24">
        <v>847</v>
      </c>
    </row>
    <row r="750" spans="1:1" x14ac:dyDescent="0.25">
      <c r="A750" s="24">
        <v>848</v>
      </c>
    </row>
    <row r="751" spans="1:1" x14ac:dyDescent="0.25">
      <c r="A751" s="24">
        <v>849</v>
      </c>
    </row>
    <row r="752" spans="1:1" x14ac:dyDescent="0.25">
      <c r="A752" s="24">
        <v>850</v>
      </c>
    </row>
    <row r="753" spans="1:1" x14ac:dyDescent="0.25">
      <c r="A753" s="24">
        <v>851</v>
      </c>
    </row>
    <row r="754" spans="1:1" x14ac:dyDescent="0.25">
      <c r="A754" s="24">
        <v>852</v>
      </c>
    </row>
    <row r="755" spans="1:1" x14ac:dyDescent="0.25">
      <c r="A755" s="24">
        <v>853</v>
      </c>
    </row>
    <row r="756" spans="1:1" x14ac:dyDescent="0.25">
      <c r="A756" s="24">
        <v>854</v>
      </c>
    </row>
    <row r="757" spans="1:1" x14ac:dyDescent="0.25">
      <c r="A757" s="24">
        <v>855</v>
      </c>
    </row>
    <row r="758" spans="1:1" x14ac:dyDescent="0.25">
      <c r="A758" s="24">
        <v>856</v>
      </c>
    </row>
    <row r="759" spans="1:1" x14ac:dyDescent="0.25">
      <c r="A759" s="24">
        <v>857</v>
      </c>
    </row>
    <row r="760" spans="1:1" x14ac:dyDescent="0.25">
      <c r="A760" s="24">
        <v>858</v>
      </c>
    </row>
    <row r="761" spans="1:1" x14ac:dyDescent="0.25">
      <c r="A761" s="24">
        <v>859</v>
      </c>
    </row>
    <row r="762" spans="1:1" x14ac:dyDescent="0.25">
      <c r="A762" s="24">
        <v>860</v>
      </c>
    </row>
    <row r="763" spans="1:1" x14ac:dyDescent="0.25">
      <c r="A763" s="24">
        <v>861</v>
      </c>
    </row>
    <row r="764" spans="1:1" x14ac:dyDescent="0.25">
      <c r="A764" s="24">
        <v>862</v>
      </c>
    </row>
    <row r="765" spans="1:1" x14ac:dyDescent="0.25">
      <c r="A765" s="24">
        <v>863</v>
      </c>
    </row>
    <row r="766" spans="1:1" x14ac:dyDescent="0.25">
      <c r="A766" s="24">
        <v>864</v>
      </c>
    </row>
    <row r="767" spans="1:1" x14ac:dyDescent="0.25">
      <c r="A767" s="24">
        <v>865</v>
      </c>
    </row>
    <row r="768" spans="1:1" x14ac:dyDescent="0.25">
      <c r="A768" s="24">
        <v>866</v>
      </c>
    </row>
    <row r="769" spans="1:1" x14ac:dyDescent="0.25">
      <c r="A769" s="24">
        <v>867</v>
      </c>
    </row>
    <row r="770" spans="1:1" x14ac:dyDescent="0.25">
      <c r="A770" s="24">
        <v>868</v>
      </c>
    </row>
    <row r="771" spans="1:1" x14ac:dyDescent="0.25">
      <c r="A771" s="24">
        <v>869</v>
      </c>
    </row>
    <row r="772" spans="1:1" x14ac:dyDescent="0.25">
      <c r="A772" s="24">
        <v>870</v>
      </c>
    </row>
    <row r="773" spans="1:1" x14ac:dyDescent="0.25">
      <c r="A773" s="24">
        <v>871</v>
      </c>
    </row>
    <row r="774" spans="1:1" x14ac:dyDescent="0.25">
      <c r="A774" s="24">
        <v>872</v>
      </c>
    </row>
    <row r="775" spans="1:1" x14ac:dyDescent="0.25">
      <c r="A775" s="24">
        <v>873</v>
      </c>
    </row>
    <row r="776" spans="1:1" x14ac:dyDescent="0.25">
      <c r="A776" s="24">
        <v>874</v>
      </c>
    </row>
    <row r="777" spans="1:1" x14ac:dyDescent="0.25">
      <c r="A777" s="24">
        <v>875</v>
      </c>
    </row>
    <row r="778" spans="1:1" x14ac:dyDescent="0.25">
      <c r="A778" s="24">
        <v>876</v>
      </c>
    </row>
    <row r="779" spans="1:1" x14ac:dyDescent="0.25">
      <c r="A779" s="24">
        <v>877</v>
      </c>
    </row>
    <row r="780" spans="1:1" x14ac:dyDescent="0.25">
      <c r="A780" s="24">
        <v>878</v>
      </c>
    </row>
    <row r="781" spans="1:1" x14ac:dyDescent="0.25">
      <c r="A781" s="24">
        <v>879</v>
      </c>
    </row>
    <row r="782" spans="1:1" x14ac:dyDescent="0.25">
      <c r="A782" s="24">
        <v>880</v>
      </c>
    </row>
    <row r="783" spans="1:1" x14ac:dyDescent="0.25">
      <c r="A783" s="24">
        <v>881</v>
      </c>
    </row>
    <row r="784" spans="1:1" x14ac:dyDescent="0.25">
      <c r="A784" s="24">
        <v>882</v>
      </c>
    </row>
    <row r="785" spans="1:1" x14ac:dyDescent="0.25">
      <c r="A785" s="24">
        <v>883</v>
      </c>
    </row>
    <row r="786" spans="1:1" x14ac:dyDescent="0.25">
      <c r="A786" s="24">
        <v>884</v>
      </c>
    </row>
    <row r="787" spans="1:1" x14ac:dyDescent="0.25">
      <c r="A787" s="24">
        <v>885</v>
      </c>
    </row>
    <row r="788" spans="1:1" x14ac:dyDescent="0.25">
      <c r="A788" s="24">
        <v>886</v>
      </c>
    </row>
    <row r="789" spans="1:1" x14ac:dyDescent="0.25">
      <c r="A789" s="24">
        <v>887</v>
      </c>
    </row>
    <row r="790" spans="1:1" x14ac:dyDescent="0.25">
      <c r="A790" s="24">
        <v>888</v>
      </c>
    </row>
    <row r="791" spans="1:1" x14ac:dyDescent="0.25">
      <c r="A791" s="24">
        <v>889</v>
      </c>
    </row>
    <row r="792" spans="1:1" x14ac:dyDescent="0.25">
      <c r="A792" s="24">
        <v>890</v>
      </c>
    </row>
    <row r="793" spans="1:1" x14ac:dyDescent="0.25">
      <c r="A793" s="24">
        <v>891</v>
      </c>
    </row>
    <row r="794" spans="1:1" x14ac:dyDescent="0.25">
      <c r="A794" s="24">
        <v>892</v>
      </c>
    </row>
    <row r="795" spans="1:1" x14ac:dyDescent="0.25">
      <c r="A795" s="24">
        <v>893</v>
      </c>
    </row>
    <row r="796" spans="1:1" x14ac:dyDescent="0.25">
      <c r="A796" s="24">
        <v>894</v>
      </c>
    </row>
    <row r="797" spans="1:1" x14ac:dyDescent="0.25">
      <c r="A797" s="24">
        <v>895</v>
      </c>
    </row>
    <row r="798" spans="1:1" x14ac:dyDescent="0.25">
      <c r="A798" s="24">
        <v>896</v>
      </c>
    </row>
    <row r="799" spans="1:1" x14ac:dyDescent="0.25">
      <c r="A799" s="24">
        <v>897</v>
      </c>
    </row>
    <row r="800" spans="1:1" x14ac:dyDescent="0.25">
      <c r="A800" s="24">
        <v>898</v>
      </c>
    </row>
    <row r="801" spans="1:1" x14ac:dyDescent="0.25">
      <c r="A801" s="24">
        <v>899</v>
      </c>
    </row>
    <row r="802" spans="1:1" x14ac:dyDescent="0.25">
      <c r="A802" s="24">
        <v>900</v>
      </c>
    </row>
    <row r="803" spans="1:1" x14ac:dyDescent="0.25">
      <c r="A803" s="24">
        <v>901</v>
      </c>
    </row>
    <row r="804" spans="1:1" x14ac:dyDescent="0.25">
      <c r="A804" s="24">
        <v>902</v>
      </c>
    </row>
    <row r="805" spans="1:1" x14ac:dyDescent="0.25">
      <c r="A805" s="24">
        <v>903</v>
      </c>
    </row>
    <row r="806" spans="1:1" x14ac:dyDescent="0.25">
      <c r="A806" s="24">
        <v>904</v>
      </c>
    </row>
    <row r="807" spans="1:1" x14ac:dyDescent="0.25">
      <c r="A807" s="24">
        <v>905</v>
      </c>
    </row>
    <row r="808" spans="1:1" x14ac:dyDescent="0.25">
      <c r="A808" s="24">
        <v>906</v>
      </c>
    </row>
    <row r="809" spans="1:1" x14ac:dyDescent="0.25">
      <c r="A809" s="24">
        <v>907</v>
      </c>
    </row>
    <row r="810" spans="1:1" x14ac:dyDescent="0.25">
      <c r="A810" s="24">
        <v>908</v>
      </c>
    </row>
    <row r="811" spans="1:1" x14ac:dyDescent="0.25">
      <c r="A811" s="24">
        <v>909</v>
      </c>
    </row>
    <row r="812" spans="1:1" x14ac:dyDescent="0.25">
      <c r="A812" s="24">
        <v>910</v>
      </c>
    </row>
    <row r="813" spans="1:1" x14ac:dyDescent="0.25">
      <c r="A813" s="24">
        <v>911</v>
      </c>
    </row>
    <row r="814" spans="1:1" x14ac:dyDescent="0.25">
      <c r="A814" s="24">
        <v>912</v>
      </c>
    </row>
    <row r="815" spans="1:1" x14ac:dyDescent="0.25">
      <c r="A815" s="24">
        <v>913</v>
      </c>
    </row>
    <row r="816" spans="1:1" x14ac:dyDescent="0.25">
      <c r="A816" s="24">
        <v>914</v>
      </c>
    </row>
    <row r="817" spans="1:1" x14ac:dyDescent="0.25">
      <c r="A817" s="24">
        <v>915</v>
      </c>
    </row>
    <row r="818" spans="1:1" x14ac:dyDescent="0.25">
      <c r="A818" s="24">
        <v>916</v>
      </c>
    </row>
    <row r="819" spans="1:1" x14ac:dyDescent="0.25">
      <c r="A819" s="24">
        <v>917</v>
      </c>
    </row>
    <row r="820" spans="1:1" x14ac:dyDescent="0.25">
      <c r="A820" s="24">
        <v>918</v>
      </c>
    </row>
    <row r="821" spans="1:1" x14ac:dyDescent="0.25">
      <c r="A821" s="24">
        <v>919</v>
      </c>
    </row>
    <row r="822" spans="1:1" x14ac:dyDescent="0.25">
      <c r="A822" s="24">
        <v>920</v>
      </c>
    </row>
    <row r="823" spans="1:1" x14ac:dyDescent="0.25">
      <c r="A823" s="24">
        <v>921</v>
      </c>
    </row>
    <row r="824" spans="1:1" x14ac:dyDescent="0.25">
      <c r="A824" s="24">
        <v>922</v>
      </c>
    </row>
    <row r="825" spans="1:1" x14ac:dyDescent="0.25">
      <c r="A825" s="24">
        <v>923</v>
      </c>
    </row>
    <row r="826" spans="1:1" x14ac:dyDescent="0.25">
      <c r="A826" s="24">
        <v>924</v>
      </c>
    </row>
    <row r="827" spans="1:1" x14ac:dyDescent="0.25">
      <c r="A827" s="24">
        <v>925</v>
      </c>
    </row>
    <row r="828" spans="1:1" x14ac:dyDescent="0.25">
      <c r="A828" s="24">
        <v>926</v>
      </c>
    </row>
    <row r="829" spans="1:1" x14ac:dyDescent="0.25">
      <c r="A829" s="24">
        <v>927</v>
      </c>
    </row>
    <row r="830" spans="1:1" x14ac:dyDescent="0.25">
      <c r="A830" s="24">
        <v>928</v>
      </c>
    </row>
    <row r="831" spans="1:1" x14ac:dyDescent="0.25">
      <c r="A831" s="24">
        <v>929</v>
      </c>
    </row>
    <row r="832" spans="1:1" x14ac:dyDescent="0.25">
      <c r="A832" s="24">
        <v>930</v>
      </c>
    </row>
    <row r="833" spans="1:1" x14ac:dyDescent="0.25">
      <c r="A833" s="24">
        <v>931</v>
      </c>
    </row>
    <row r="834" spans="1:1" x14ac:dyDescent="0.25">
      <c r="A834" s="24">
        <v>932</v>
      </c>
    </row>
    <row r="835" spans="1:1" x14ac:dyDescent="0.25">
      <c r="A835" s="24">
        <v>933</v>
      </c>
    </row>
    <row r="836" spans="1:1" x14ac:dyDescent="0.25">
      <c r="A836" s="24">
        <v>934</v>
      </c>
    </row>
    <row r="837" spans="1:1" x14ac:dyDescent="0.25">
      <c r="A837" s="24">
        <v>935</v>
      </c>
    </row>
    <row r="838" spans="1:1" x14ac:dyDescent="0.25">
      <c r="A838" s="24">
        <v>936</v>
      </c>
    </row>
    <row r="839" spans="1:1" x14ac:dyDescent="0.25">
      <c r="A839" s="24">
        <v>937</v>
      </c>
    </row>
    <row r="840" spans="1:1" x14ac:dyDescent="0.25">
      <c r="A840" s="24">
        <v>938</v>
      </c>
    </row>
    <row r="841" spans="1:1" x14ac:dyDescent="0.25">
      <c r="A841" s="24">
        <v>939</v>
      </c>
    </row>
    <row r="842" spans="1:1" x14ac:dyDescent="0.25">
      <c r="A842" s="24">
        <v>940</v>
      </c>
    </row>
    <row r="843" spans="1:1" x14ac:dyDescent="0.25">
      <c r="A843" s="24">
        <v>941</v>
      </c>
    </row>
    <row r="844" spans="1:1" x14ac:dyDescent="0.25">
      <c r="A844" s="24">
        <v>942</v>
      </c>
    </row>
    <row r="845" spans="1:1" x14ac:dyDescent="0.25">
      <c r="A845" s="24">
        <v>943</v>
      </c>
    </row>
    <row r="846" spans="1:1" x14ac:dyDescent="0.25">
      <c r="A846" s="24">
        <v>944</v>
      </c>
    </row>
    <row r="847" spans="1:1" x14ac:dyDescent="0.25">
      <c r="A847" s="24">
        <v>945</v>
      </c>
    </row>
    <row r="848" spans="1:1" x14ac:dyDescent="0.25">
      <c r="A848" s="24">
        <v>946</v>
      </c>
    </row>
    <row r="849" spans="1:1" x14ac:dyDescent="0.25">
      <c r="A849" s="24">
        <v>947</v>
      </c>
    </row>
    <row r="850" spans="1:1" x14ac:dyDescent="0.25">
      <c r="A850" s="24">
        <v>948</v>
      </c>
    </row>
    <row r="851" spans="1:1" x14ac:dyDescent="0.25">
      <c r="A851" s="24">
        <v>949</v>
      </c>
    </row>
    <row r="852" spans="1:1" x14ac:dyDescent="0.25">
      <c r="A852" s="24">
        <v>950</v>
      </c>
    </row>
    <row r="853" spans="1:1" x14ac:dyDescent="0.25">
      <c r="A853" s="24">
        <v>951</v>
      </c>
    </row>
    <row r="854" spans="1:1" x14ac:dyDescent="0.25">
      <c r="A854" s="24">
        <v>952</v>
      </c>
    </row>
    <row r="855" spans="1:1" x14ac:dyDescent="0.25">
      <c r="A855" s="24">
        <v>953</v>
      </c>
    </row>
    <row r="856" spans="1:1" x14ac:dyDescent="0.25">
      <c r="A856" s="24">
        <v>954</v>
      </c>
    </row>
    <row r="857" spans="1:1" x14ac:dyDescent="0.25">
      <c r="A857" s="24">
        <v>955</v>
      </c>
    </row>
    <row r="858" spans="1:1" x14ac:dyDescent="0.25">
      <c r="A858" s="24">
        <v>956</v>
      </c>
    </row>
    <row r="859" spans="1:1" x14ac:dyDescent="0.25">
      <c r="A859" s="24">
        <v>957</v>
      </c>
    </row>
    <row r="860" spans="1:1" x14ac:dyDescent="0.25">
      <c r="A860" s="24">
        <v>958</v>
      </c>
    </row>
    <row r="861" spans="1:1" x14ac:dyDescent="0.25">
      <c r="A861" s="24">
        <v>959</v>
      </c>
    </row>
    <row r="862" spans="1:1" x14ac:dyDescent="0.25">
      <c r="A862" s="24">
        <v>960</v>
      </c>
    </row>
    <row r="863" spans="1:1" x14ac:dyDescent="0.25">
      <c r="A863" s="24">
        <v>961</v>
      </c>
    </row>
    <row r="864" spans="1:1" x14ac:dyDescent="0.25">
      <c r="A864" s="24">
        <v>962</v>
      </c>
    </row>
    <row r="865" spans="1:1" x14ac:dyDescent="0.25">
      <c r="A865" s="24">
        <v>963</v>
      </c>
    </row>
    <row r="866" spans="1:1" x14ac:dyDescent="0.25">
      <c r="A866" s="24">
        <v>964</v>
      </c>
    </row>
    <row r="867" spans="1:1" x14ac:dyDescent="0.25">
      <c r="A867" s="24">
        <v>965</v>
      </c>
    </row>
    <row r="868" spans="1:1" x14ac:dyDescent="0.25">
      <c r="A868" s="24">
        <v>966</v>
      </c>
    </row>
    <row r="869" spans="1:1" x14ac:dyDescent="0.25">
      <c r="A869" s="24">
        <v>967</v>
      </c>
    </row>
    <row r="870" spans="1:1" x14ac:dyDescent="0.25">
      <c r="A870" s="24">
        <v>968</v>
      </c>
    </row>
    <row r="871" spans="1:1" x14ac:dyDescent="0.25">
      <c r="A871" s="24">
        <v>969</v>
      </c>
    </row>
    <row r="872" spans="1:1" x14ac:dyDescent="0.25">
      <c r="A872" s="24">
        <v>970</v>
      </c>
    </row>
    <row r="873" spans="1:1" x14ac:dyDescent="0.25">
      <c r="A873" s="24">
        <v>971</v>
      </c>
    </row>
    <row r="874" spans="1:1" x14ac:dyDescent="0.25">
      <c r="A874" s="24">
        <v>972</v>
      </c>
    </row>
    <row r="875" spans="1:1" x14ac:dyDescent="0.25">
      <c r="A875" s="24">
        <v>973</v>
      </c>
    </row>
    <row r="876" spans="1:1" x14ac:dyDescent="0.25">
      <c r="A876" s="24">
        <v>974</v>
      </c>
    </row>
    <row r="877" spans="1:1" x14ac:dyDescent="0.25">
      <c r="A877" s="24">
        <v>975</v>
      </c>
    </row>
    <row r="878" spans="1:1" x14ac:dyDescent="0.25">
      <c r="A878" s="24">
        <v>976</v>
      </c>
    </row>
    <row r="879" spans="1:1" x14ac:dyDescent="0.25">
      <c r="A879" s="24">
        <v>977</v>
      </c>
    </row>
    <row r="880" spans="1:1" x14ac:dyDescent="0.25">
      <c r="A880" s="24">
        <v>978</v>
      </c>
    </row>
    <row r="881" spans="1:1" x14ac:dyDescent="0.25">
      <c r="A881" s="24">
        <v>979</v>
      </c>
    </row>
    <row r="882" spans="1:1" x14ac:dyDescent="0.25">
      <c r="A882" s="24">
        <v>980</v>
      </c>
    </row>
    <row r="883" spans="1:1" x14ac:dyDescent="0.25">
      <c r="A883" s="24">
        <v>981</v>
      </c>
    </row>
    <row r="884" spans="1:1" x14ac:dyDescent="0.25">
      <c r="A884" s="24">
        <v>982</v>
      </c>
    </row>
    <row r="885" spans="1:1" x14ac:dyDescent="0.25">
      <c r="A885" s="24">
        <v>983</v>
      </c>
    </row>
    <row r="886" spans="1:1" x14ac:dyDescent="0.25">
      <c r="A886" s="24">
        <v>984</v>
      </c>
    </row>
    <row r="887" spans="1:1" x14ac:dyDescent="0.25">
      <c r="A887" s="24">
        <v>985</v>
      </c>
    </row>
    <row r="888" spans="1:1" x14ac:dyDescent="0.25">
      <c r="A888" s="24">
        <v>986</v>
      </c>
    </row>
    <row r="889" spans="1:1" x14ac:dyDescent="0.25">
      <c r="A889" s="24">
        <v>987</v>
      </c>
    </row>
    <row r="890" spans="1:1" x14ac:dyDescent="0.25">
      <c r="A890" s="24">
        <v>988</v>
      </c>
    </row>
    <row r="891" spans="1:1" x14ac:dyDescent="0.25">
      <c r="A891" s="24">
        <v>989</v>
      </c>
    </row>
    <row r="892" spans="1:1" x14ac:dyDescent="0.25">
      <c r="A892" s="24">
        <v>990</v>
      </c>
    </row>
    <row r="893" spans="1:1" x14ac:dyDescent="0.25">
      <c r="A893" s="24">
        <v>991</v>
      </c>
    </row>
    <row r="894" spans="1:1" x14ac:dyDescent="0.25">
      <c r="A894" s="24">
        <v>992</v>
      </c>
    </row>
    <row r="895" spans="1:1" x14ac:dyDescent="0.25">
      <c r="A895" s="24">
        <v>993</v>
      </c>
    </row>
    <row r="896" spans="1:1" x14ac:dyDescent="0.25">
      <c r="A896" s="24">
        <v>994</v>
      </c>
    </row>
    <row r="897" spans="1:1" x14ac:dyDescent="0.25">
      <c r="A897" s="24">
        <v>995</v>
      </c>
    </row>
    <row r="898" spans="1:1" x14ac:dyDescent="0.25">
      <c r="A898" s="24">
        <v>996</v>
      </c>
    </row>
    <row r="899" spans="1:1" x14ac:dyDescent="0.25">
      <c r="A899" s="24">
        <v>997</v>
      </c>
    </row>
    <row r="900" spans="1:1" x14ac:dyDescent="0.25">
      <c r="A900" s="24">
        <v>998</v>
      </c>
    </row>
    <row r="901" spans="1:1" x14ac:dyDescent="0.25">
      <c r="A901" s="24">
        <v>999</v>
      </c>
    </row>
    <row r="902" spans="1:1" x14ac:dyDescent="0.25">
      <c r="A902" s="24">
        <v>1000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dimension ref="A1:K358"/>
  <sheetViews>
    <sheetView workbookViewId="0"/>
  </sheetViews>
  <sheetFormatPr defaultRowHeight="15" x14ac:dyDescent="0.25"/>
  <sheetData>
    <row r="1" spans="1:11" x14ac:dyDescent="0.25">
      <c r="A1" s="5" t="s">
        <v>29</v>
      </c>
      <c r="B1" s="5" t="s">
        <v>33</v>
      </c>
      <c r="C1" s="5" t="s">
        <v>34</v>
      </c>
      <c r="D1" s="5" t="s">
        <v>29</v>
      </c>
      <c r="E1" s="5" t="s">
        <v>35</v>
      </c>
      <c r="F1" s="5" t="s">
        <v>36</v>
      </c>
      <c r="H1" s="5" t="s">
        <v>37</v>
      </c>
      <c r="I1" s="5" t="s">
        <v>38</v>
      </c>
      <c r="J1" s="5" t="s">
        <v>39</v>
      </c>
      <c r="K1" s="5" t="s">
        <v>40</v>
      </c>
    </row>
    <row r="2" spans="1:11" x14ac:dyDescent="0.25">
      <c r="A2">
        <v>0.51</v>
      </c>
      <c r="B2">
        <v>40.961685640159864</v>
      </c>
      <c r="C2">
        <v>8.5295637379455371</v>
      </c>
      <c r="H2">
        <v>8.2550000000000008</v>
      </c>
      <c r="I2">
        <v>3.5369999999999999</v>
      </c>
    </row>
    <row r="3" spans="1:11" x14ac:dyDescent="0.25">
      <c r="A3">
        <v>0.53600000000000003</v>
      </c>
      <c r="B3">
        <v>40.880013739659411</v>
      </c>
      <c r="C3">
        <v>6.7558175911793494</v>
      </c>
      <c r="H3">
        <v>8.2159999999999993</v>
      </c>
      <c r="I3">
        <v>2.69</v>
      </c>
    </row>
    <row r="4" spans="1:11" x14ac:dyDescent="0.25">
      <c r="A4">
        <v>0.56299999999999994</v>
      </c>
      <c r="B4">
        <v>39.409919530651301</v>
      </c>
      <c r="C4">
        <v>5.3757718878512293</v>
      </c>
      <c r="H4">
        <v>7.5140000000000002</v>
      </c>
      <c r="I4">
        <v>2.0310000000000001</v>
      </c>
    </row>
    <row r="5" spans="1:11" x14ac:dyDescent="0.25">
      <c r="A5">
        <v>0.59</v>
      </c>
      <c r="B5">
        <v>38.004744011784588</v>
      </c>
      <c r="C5">
        <v>5.2940999873507781</v>
      </c>
      <c r="H5">
        <v>6.843</v>
      </c>
      <c r="I5">
        <v>1.992</v>
      </c>
    </row>
    <row r="6" spans="1:11" x14ac:dyDescent="0.25">
      <c r="A6">
        <v>0.61599999999999999</v>
      </c>
      <c r="B6">
        <v>36.993268936355932</v>
      </c>
      <c r="C6">
        <v>5.9139687706362469</v>
      </c>
      <c r="H6">
        <v>6.36</v>
      </c>
      <c r="I6">
        <v>2.2879999999999998</v>
      </c>
    </row>
    <row r="7" spans="1:11" x14ac:dyDescent="0.25">
      <c r="A7">
        <v>0.64300000000000002</v>
      </c>
      <c r="B7">
        <v>36.013206130350525</v>
      </c>
      <c r="C7">
        <v>6.6029445466528651</v>
      </c>
      <c r="H7">
        <v>5.8920000000000003</v>
      </c>
      <c r="I7">
        <v>2.617</v>
      </c>
    </row>
    <row r="8" spans="1:11" x14ac:dyDescent="0.25">
      <c r="A8">
        <v>0.67</v>
      </c>
      <c r="B8">
        <v>34.685514209394491</v>
      </c>
      <c r="C8">
        <v>6.7641941963588827</v>
      </c>
      <c r="H8">
        <v>5.258</v>
      </c>
      <c r="I8">
        <v>2.694</v>
      </c>
    </row>
    <row r="9" spans="1:11" x14ac:dyDescent="0.25">
      <c r="A9">
        <v>0.69599999999999995</v>
      </c>
      <c r="B9">
        <v>33.577708174401195</v>
      </c>
      <c r="C9">
        <v>6.6448275725505326</v>
      </c>
      <c r="H9">
        <v>4.7290000000000001</v>
      </c>
      <c r="I9">
        <v>2.637</v>
      </c>
    </row>
    <row r="10" spans="1:11" x14ac:dyDescent="0.25">
      <c r="A10">
        <v>0.72299999999999998</v>
      </c>
      <c r="B10">
        <v>33.156783764129649</v>
      </c>
      <c r="C10">
        <v>6.6741456906788983</v>
      </c>
      <c r="H10">
        <v>4.5279999999999996</v>
      </c>
      <c r="I10">
        <v>2.6509999999999998</v>
      </c>
    </row>
    <row r="11" spans="1:11" x14ac:dyDescent="0.25">
      <c r="A11">
        <v>0.75</v>
      </c>
      <c r="B11">
        <v>32.832190313422743</v>
      </c>
      <c r="C11">
        <v>6.5170843435626482</v>
      </c>
      <c r="H11">
        <v>4.3730000000000002</v>
      </c>
      <c r="I11">
        <v>2.5760000000000001</v>
      </c>
    </row>
    <row r="12" spans="1:11" x14ac:dyDescent="0.25">
      <c r="A12">
        <v>0.77600000000000002</v>
      </c>
      <c r="B12">
        <v>32.208133227547499</v>
      </c>
      <c r="C12">
        <v>5.7150243976223294</v>
      </c>
      <c r="H12">
        <v>4.0750000000000002</v>
      </c>
      <c r="I12">
        <v>2.1930000000000001</v>
      </c>
    </row>
    <row r="13" spans="1:11" x14ac:dyDescent="0.25">
      <c r="A13">
        <v>0.80300000000000005</v>
      </c>
      <c r="B13">
        <v>31.412355735491833</v>
      </c>
      <c r="C13">
        <v>4.5841826983853258</v>
      </c>
      <c r="H13">
        <v>3.6949999999999998</v>
      </c>
      <c r="I13">
        <v>1.653</v>
      </c>
    </row>
    <row r="14" spans="1:11" x14ac:dyDescent="0.25">
      <c r="A14">
        <v>0.83</v>
      </c>
      <c r="B14">
        <v>30.991431325220276</v>
      </c>
      <c r="C14">
        <v>3.9685022176896236</v>
      </c>
      <c r="H14">
        <v>3.4940000000000002</v>
      </c>
      <c r="I14">
        <v>1.359</v>
      </c>
    </row>
    <row r="15" spans="1:11" x14ac:dyDescent="0.25">
      <c r="A15">
        <v>0.85599999999999998</v>
      </c>
      <c r="B15">
        <v>31.154775126221178</v>
      </c>
      <c r="C15">
        <v>4.3810500227816416</v>
      </c>
      <c r="H15">
        <v>3.5720000000000001</v>
      </c>
      <c r="I15">
        <v>1.556</v>
      </c>
    </row>
    <row r="16" spans="1:11" x14ac:dyDescent="0.25">
      <c r="A16">
        <v>0.88300000000000001</v>
      </c>
      <c r="B16">
        <v>32.15996774776518</v>
      </c>
      <c r="C16">
        <v>6.096159933291097</v>
      </c>
      <c r="H16">
        <v>4.0519999999999996</v>
      </c>
      <c r="I16">
        <v>2.375</v>
      </c>
    </row>
    <row r="17" spans="1:9" x14ac:dyDescent="0.25">
      <c r="A17">
        <v>0.91</v>
      </c>
      <c r="B17">
        <v>34.363014909982454</v>
      </c>
      <c r="C17">
        <v>9.2813640528086587</v>
      </c>
      <c r="H17">
        <v>5.1040000000000001</v>
      </c>
      <c r="I17">
        <v>3.8959999999999999</v>
      </c>
    </row>
    <row r="18" spans="1:9" x14ac:dyDescent="0.25">
      <c r="A18">
        <v>0.93600000000000005</v>
      </c>
      <c r="B18">
        <v>37.414193346627478</v>
      </c>
      <c r="C18">
        <v>13.17020300740702</v>
      </c>
      <c r="H18">
        <v>6.5609999999999999</v>
      </c>
      <c r="I18">
        <v>5.7530000000000001</v>
      </c>
    </row>
    <row r="19" spans="1:9" x14ac:dyDescent="0.25">
      <c r="A19">
        <v>0.96299999999999997</v>
      </c>
      <c r="B19">
        <v>40.06329473465491</v>
      </c>
      <c r="C19">
        <v>16.384725245052948</v>
      </c>
      <c r="H19">
        <v>7.8259999999999996</v>
      </c>
      <c r="I19">
        <v>7.2880000000000003</v>
      </c>
    </row>
    <row r="20" spans="1:9" x14ac:dyDescent="0.25">
      <c r="A20">
        <v>0.99</v>
      </c>
      <c r="B20">
        <v>41.85588824307505</v>
      </c>
      <c r="C20">
        <v>18.516571263244185</v>
      </c>
      <c r="H20">
        <v>8.6820000000000004</v>
      </c>
      <c r="I20">
        <v>8.3059999999999992</v>
      </c>
    </row>
    <row r="21" spans="1:9" x14ac:dyDescent="0.25">
      <c r="A21">
        <v>1.016</v>
      </c>
      <c r="B21">
        <v>43.02651881691483</v>
      </c>
      <c r="C21">
        <v>19.909181874341606</v>
      </c>
      <c r="H21">
        <v>9.2409999999999997</v>
      </c>
      <c r="I21">
        <v>8.9710000000000001</v>
      </c>
    </row>
    <row r="22" spans="1:9" x14ac:dyDescent="0.25">
      <c r="A22">
        <v>1.0429999999999999</v>
      </c>
      <c r="B22">
        <v>43.550056640635667</v>
      </c>
      <c r="C22">
        <v>20.681923702153561</v>
      </c>
      <c r="H22">
        <v>9.4909999999999997</v>
      </c>
      <c r="I22">
        <v>9.34</v>
      </c>
    </row>
    <row r="23" spans="1:9" x14ac:dyDescent="0.25">
      <c r="A23">
        <v>1.07</v>
      </c>
      <c r="B23">
        <v>42.988824093606929</v>
      </c>
      <c r="C23">
        <v>20.321729679433624</v>
      </c>
      <c r="H23">
        <v>9.2230000000000008</v>
      </c>
      <c r="I23">
        <v>9.1679999999999993</v>
      </c>
    </row>
    <row r="24" spans="1:9" x14ac:dyDescent="0.25">
      <c r="A24">
        <v>1.0960000000000001</v>
      </c>
      <c r="B24">
        <v>40.957497337570096</v>
      </c>
      <c r="C24">
        <v>18.294591225986551</v>
      </c>
      <c r="H24">
        <v>8.2530000000000001</v>
      </c>
      <c r="I24">
        <v>8.1999999999999993</v>
      </c>
    </row>
    <row r="25" spans="1:9" x14ac:dyDescent="0.25">
      <c r="A25">
        <v>1.123</v>
      </c>
      <c r="B25">
        <v>37.732504343449754</v>
      </c>
      <c r="C25">
        <v>14.849712345903457</v>
      </c>
      <c r="H25">
        <v>6.7130000000000001</v>
      </c>
      <c r="I25">
        <v>6.5549999999999997</v>
      </c>
    </row>
    <row r="26" spans="1:9" x14ac:dyDescent="0.25">
      <c r="A26">
        <v>1.1499999999999999</v>
      </c>
      <c r="B26">
        <v>33.96931446654439</v>
      </c>
      <c r="C26">
        <v>10.682351269085613</v>
      </c>
      <c r="H26">
        <v>4.9160000000000004</v>
      </c>
      <c r="I26">
        <v>4.5650000000000004</v>
      </c>
    </row>
    <row r="27" spans="1:9" x14ac:dyDescent="0.25">
      <c r="A27">
        <v>1.1759999999999999</v>
      </c>
      <c r="B27">
        <v>30.658461269333827</v>
      </c>
      <c r="C27">
        <v>6.9275379973597824</v>
      </c>
      <c r="H27">
        <v>3.335</v>
      </c>
      <c r="I27">
        <v>2.7719999999999998</v>
      </c>
    </row>
    <row r="28" spans="1:9" x14ac:dyDescent="0.25">
      <c r="A28">
        <v>1.2030000000000001</v>
      </c>
      <c r="B28">
        <v>28.524521099847703</v>
      </c>
      <c r="C28">
        <v>4.5234523108337097</v>
      </c>
      <c r="H28">
        <v>2.3159999999999998</v>
      </c>
      <c r="I28">
        <v>1.6240000000000001</v>
      </c>
    </row>
    <row r="29" spans="1:9" x14ac:dyDescent="0.25">
      <c r="A29">
        <v>1.23</v>
      </c>
      <c r="B29">
        <v>27.498386965354864</v>
      </c>
      <c r="C29">
        <v>3.4156462758404222</v>
      </c>
      <c r="H29">
        <v>1.8260000000000001</v>
      </c>
      <c r="I29">
        <v>1.095</v>
      </c>
    </row>
    <row r="30" spans="1:9" x14ac:dyDescent="0.25">
      <c r="A30">
        <v>1.256</v>
      </c>
      <c r="B30">
        <v>27.073274252493547</v>
      </c>
      <c r="C30">
        <v>2.994721865568871</v>
      </c>
      <c r="H30">
        <v>1.623</v>
      </c>
      <c r="I30">
        <v>0.89400000000000002</v>
      </c>
    </row>
    <row r="31" spans="1:9" x14ac:dyDescent="0.25">
      <c r="A31">
        <v>1.2829999999999999</v>
      </c>
      <c r="B31">
        <v>26.828258550992199</v>
      </c>
      <c r="C31">
        <v>2.8250956106833205</v>
      </c>
      <c r="H31">
        <v>1.506</v>
      </c>
      <c r="I31">
        <v>0.81299999999999994</v>
      </c>
    </row>
    <row r="32" spans="1:9" x14ac:dyDescent="0.25">
      <c r="A32">
        <v>1.31</v>
      </c>
      <c r="B32">
        <v>26.610466816324326</v>
      </c>
      <c r="C32">
        <v>2.7182938946442703</v>
      </c>
      <c r="H32">
        <v>1.4019999999999999</v>
      </c>
      <c r="I32">
        <v>0.76200000000000001</v>
      </c>
    </row>
    <row r="33" spans="1:9" x14ac:dyDescent="0.25">
      <c r="A33">
        <v>1.3360000000000001</v>
      </c>
      <c r="B33">
        <v>26.407334140720646</v>
      </c>
      <c r="C33">
        <v>2.619868783784753</v>
      </c>
      <c r="H33">
        <v>1.3049999999999999</v>
      </c>
      <c r="I33">
        <v>0.71499999999999997</v>
      </c>
    </row>
    <row r="34" spans="1:9" x14ac:dyDescent="0.25">
      <c r="A34">
        <v>1.363</v>
      </c>
      <c r="B34">
        <v>26.214672221591382</v>
      </c>
      <c r="C34">
        <v>2.5256319755150027</v>
      </c>
      <c r="H34">
        <v>1.2130000000000001</v>
      </c>
      <c r="I34">
        <v>0.67</v>
      </c>
    </row>
    <row r="35" spans="1:9" x14ac:dyDescent="0.25">
      <c r="A35">
        <v>1.39</v>
      </c>
      <c r="B35">
        <v>26.05342257188536</v>
      </c>
      <c r="C35">
        <v>2.4376776211299025</v>
      </c>
      <c r="H35">
        <v>1.1359999999999999</v>
      </c>
      <c r="I35">
        <v>0.628</v>
      </c>
    </row>
    <row r="36" spans="1:9" x14ac:dyDescent="0.25">
      <c r="A36">
        <v>1.4159999999999999</v>
      </c>
      <c r="B36">
        <v>25.904737829948644</v>
      </c>
      <c r="C36">
        <v>2.3539115693345689</v>
      </c>
      <c r="H36">
        <v>1.0649999999999999</v>
      </c>
      <c r="I36">
        <v>0.58799999999999997</v>
      </c>
    </row>
    <row r="37" spans="1:9" x14ac:dyDescent="0.25">
      <c r="A37">
        <v>1.4430000000000001</v>
      </c>
      <c r="B37">
        <v>25.78118290355053</v>
      </c>
      <c r="C37">
        <v>2.2659572149494687</v>
      </c>
      <c r="H37">
        <v>1.006</v>
      </c>
      <c r="I37">
        <v>0.54600000000000004</v>
      </c>
    </row>
    <row r="38" spans="1:9" x14ac:dyDescent="0.25">
      <c r="A38">
        <v>1.47</v>
      </c>
      <c r="B38">
        <v>25.689040246575662</v>
      </c>
      <c r="C38">
        <v>2.1968502222183184</v>
      </c>
      <c r="H38">
        <v>0.96199999999999997</v>
      </c>
      <c r="I38">
        <v>0.51300000000000001</v>
      </c>
    </row>
    <row r="39" spans="1:9" x14ac:dyDescent="0.25">
      <c r="A39">
        <v>1.496</v>
      </c>
      <c r="B39">
        <v>25.605274194780328</v>
      </c>
      <c r="C39">
        <v>2.1424022885513518</v>
      </c>
      <c r="H39">
        <v>0.92200000000000004</v>
      </c>
      <c r="I39">
        <v>0.48699999999999999</v>
      </c>
    </row>
    <row r="40" spans="1:9" x14ac:dyDescent="0.25">
      <c r="A40">
        <v>1.5229999999999999</v>
      </c>
      <c r="B40">
        <v>25.550826261113365</v>
      </c>
      <c r="C40">
        <v>2.0837660522946182</v>
      </c>
      <c r="H40">
        <v>0.89600000000000002</v>
      </c>
      <c r="I40">
        <v>0.45900000000000002</v>
      </c>
    </row>
    <row r="41" spans="1:9" x14ac:dyDescent="0.25">
      <c r="A41">
        <v>1.55</v>
      </c>
      <c r="B41">
        <v>25.519413991690111</v>
      </c>
      <c r="C41">
        <v>2.0460713289867178</v>
      </c>
      <c r="H41">
        <v>0.88100000000000001</v>
      </c>
      <c r="I41">
        <v>0.441</v>
      </c>
    </row>
    <row r="42" spans="1:9" x14ac:dyDescent="0.25">
      <c r="A42">
        <v>1.5760000000000001</v>
      </c>
      <c r="B42">
        <v>25.515225689100344</v>
      </c>
      <c r="C42">
        <v>2.0188473621532346</v>
      </c>
      <c r="H42">
        <v>0.879</v>
      </c>
      <c r="I42">
        <v>0.42799999999999999</v>
      </c>
    </row>
    <row r="43" spans="1:9" x14ac:dyDescent="0.25">
      <c r="A43">
        <v>1.603</v>
      </c>
      <c r="B43">
        <v>25.542449655933826</v>
      </c>
      <c r="C43">
        <v>2.0000000004992846</v>
      </c>
      <c r="H43">
        <v>0.89200000000000002</v>
      </c>
      <c r="I43">
        <v>0.41899999999999998</v>
      </c>
    </row>
    <row r="44" spans="1:9" x14ac:dyDescent="0.25">
      <c r="A44">
        <v>1.63</v>
      </c>
      <c r="B44">
        <v>25.590615135716142</v>
      </c>
      <c r="C44">
        <v>2.0000000004992846</v>
      </c>
      <c r="H44">
        <v>0.91500000000000004</v>
      </c>
      <c r="I44">
        <v>0.41899999999999998</v>
      </c>
    </row>
    <row r="45" spans="1:9" x14ac:dyDescent="0.25">
      <c r="A45">
        <v>1.6559999999999999</v>
      </c>
      <c r="B45">
        <v>25.666004582331944</v>
      </c>
      <c r="C45">
        <v>2.0062824543839346</v>
      </c>
      <c r="H45">
        <v>0.95099999999999996</v>
      </c>
      <c r="I45">
        <v>0.42199999999999999</v>
      </c>
    </row>
    <row r="46" spans="1:9" x14ac:dyDescent="0.25">
      <c r="A46">
        <v>1.6830000000000001</v>
      </c>
      <c r="B46">
        <v>25.743488180242629</v>
      </c>
      <c r="C46">
        <v>2.0167532108583512</v>
      </c>
      <c r="H46">
        <v>0.98799999999999999</v>
      </c>
      <c r="I46">
        <v>0.42699999999999999</v>
      </c>
    </row>
    <row r="47" spans="1:9" x14ac:dyDescent="0.25">
      <c r="A47">
        <v>1.71</v>
      </c>
      <c r="B47">
        <v>25.841913291102145</v>
      </c>
      <c r="C47">
        <v>2.0376947238071845</v>
      </c>
      <c r="H47">
        <v>1.0349999999999999</v>
      </c>
      <c r="I47">
        <v>0.437</v>
      </c>
    </row>
    <row r="48" spans="1:9" x14ac:dyDescent="0.25">
      <c r="A48">
        <v>1.736</v>
      </c>
      <c r="B48">
        <v>25.940338401961665</v>
      </c>
      <c r="C48">
        <v>2.0628245393457849</v>
      </c>
      <c r="H48">
        <v>1.0820000000000001</v>
      </c>
      <c r="I48">
        <v>0.44900000000000001</v>
      </c>
    </row>
    <row r="49" spans="1:9" x14ac:dyDescent="0.25">
      <c r="A49">
        <v>1.7629999999999999</v>
      </c>
      <c r="B49">
        <v>26.05132842059048</v>
      </c>
      <c r="C49">
        <v>2.0795777497048515</v>
      </c>
      <c r="H49">
        <v>1.135</v>
      </c>
      <c r="I49">
        <v>0.45700000000000002</v>
      </c>
    </row>
    <row r="50" spans="1:9" x14ac:dyDescent="0.25">
      <c r="A50">
        <v>1.79</v>
      </c>
      <c r="B50">
        <v>26.179071649578365</v>
      </c>
      <c r="C50">
        <v>2.1047075652434515</v>
      </c>
      <c r="H50">
        <v>1.196</v>
      </c>
      <c r="I50">
        <v>0.46899999999999997</v>
      </c>
    </row>
    <row r="51" spans="1:9" x14ac:dyDescent="0.25">
      <c r="A51">
        <v>1.8160000000000001</v>
      </c>
      <c r="B51">
        <v>26.350792055758799</v>
      </c>
      <c r="C51">
        <v>2.1444964398462352</v>
      </c>
      <c r="H51">
        <v>1.278</v>
      </c>
      <c r="I51">
        <v>0.48799999999999999</v>
      </c>
    </row>
    <row r="52" spans="1:9" x14ac:dyDescent="0.25">
      <c r="A52">
        <v>1.843</v>
      </c>
      <c r="B52">
        <v>26.566489639131781</v>
      </c>
      <c r="C52">
        <v>2.1842853144490184</v>
      </c>
      <c r="H52">
        <v>1.381</v>
      </c>
      <c r="I52">
        <v>0.50700000000000001</v>
      </c>
    </row>
    <row r="53" spans="1:9" x14ac:dyDescent="0.25">
      <c r="A53">
        <v>1.87</v>
      </c>
      <c r="B53">
        <v>26.824070248402432</v>
      </c>
      <c r="C53">
        <v>2.2429215507057521</v>
      </c>
      <c r="H53">
        <v>1.504</v>
      </c>
      <c r="I53">
        <v>0.53500000000000003</v>
      </c>
    </row>
    <row r="54" spans="1:9" x14ac:dyDescent="0.25">
      <c r="A54">
        <v>1.8959999999999999</v>
      </c>
      <c r="B54">
        <v>27.121439732275867</v>
      </c>
      <c r="C54">
        <v>2.3057460895522519</v>
      </c>
      <c r="H54">
        <v>1.6459999999999999</v>
      </c>
      <c r="I54">
        <v>0.56499999999999995</v>
      </c>
    </row>
    <row r="55" spans="1:9" x14ac:dyDescent="0.25">
      <c r="A55">
        <v>1.923</v>
      </c>
      <c r="B55">
        <v>27.446033182982784</v>
      </c>
      <c r="C55">
        <v>2.3769472335782855</v>
      </c>
      <c r="H55">
        <v>1.8009999999999999</v>
      </c>
      <c r="I55">
        <v>0.59899999999999998</v>
      </c>
    </row>
    <row r="56" spans="1:9" x14ac:dyDescent="0.25">
      <c r="A56">
        <v>1.95</v>
      </c>
      <c r="B56">
        <v>27.818792113472014</v>
      </c>
      <c r="C56">
        <v>2.4649015879633862</v>
      </c>
      <c r="H56">
        <v>1.9790000000000001</v>
      </c>
      <c r="I56">
        <v>0.64100000000000001</v>
      </c>
    </row>
    <row r="57" spans="1:9" x14ac:dyDescent="0.25">
      <c r="A57">
        <v>1.976</v>
      </c>
      <c r="B57">
        <v>28.243904826333338</v>
      </c>
      <c r="C57">
        <v>2.5800799091819697</v>
      </c>
      <c r="H57">
        <v>2.1819999999999999</v>
      </c>
      <c r="I57">
        <v>0.69599999999999995</v>
      </c>
    </row>
    <row r="58" spans="1:9" x14ac:dyDescent="0.25">
      <c r="A58">
        <v>2.0030000000000001</v>
      </c>
      <c r="B58">
        <v>28.635511118476522</v>
      </c>
      <c r="C58">
        <v>2.6973523816954366</v>
      </c>
      <c r="H58">
        <v>2.3690000000000002</v>
      </c>
      <c r="I58">
        <v>0.752</v>
      </c>
    </row>
    <row r="59" spans="1:9" x14ac:dyDescent="0.25">
      <c r="A59">
        <v>2.0299999999999998</v>
      </c>
      <c r="B59">
        <v>29.006175897670872</v>
      </c>
      <c r="C59">
        <v>2.8209073080935538</v>
      </c>
      <c r="H59">
        <v>2.5459999999999998</v>
      </c>
      <c r="I59">
        <v>0.81100000000000005</v>
      </c>
    </row>
    <row r="60" spans="1:9" x14ac:dyDescent="0.25">
      <c r="A60">
        <v>2.056</v>
      </c>
      <c r="B60">
        <v>29.485736544199156</v>
      </c>
      <c r="C60">
        <v>2.9842511090944543</v>
      </c>
      <c r="H60">
        <v>2.7749999999999999</v>
      </c>
      <c r="I60">
        <v>0.88900000000000001</v>
      </c>
    </row>
    <row r="61" spans="1:9" x14ac:dyDescent="0.25">
      <c r="A61">
        <v>2.0830000000000002</v>
      </c>
      <c r="B61">
        <v>29.99461530885581</v>
      </c>
      <c r="C61">
        <v>3.1538773639800048</v>
      </c>
      <c r="H61">
        <v>3.0179999999999998</v>
      </c>
      <c r="I61">
        <v>0.97</v>
      </c>
    </row>
    <row r="62" spans="1:9" x14ac:dyDescent="0.25">
      <c r="A62">
        <v>2.11</v>
      </c>
      <c r="B62">
        <v>30.409257265242712</v>
      </c>
      <c r="C62">
        <v>3.2669615339037055</v>
      </c>
      <c r="H62">
        <v>3.2160000000000002</v>
      </c>
      <c r="I62">
        <v>1.024</v>
      </c>
    </row>
    <row r="63" spans="1:9" x14ac:dyDescent="0.25">
      <c r="A63">
        <v>2.1360000000000001</v>
      </c>
      <c r="B63">
        <v>30.727568262064977</v>
      </c>
      <c r="C63">
        <v>3.3381626779297386</v>
      </c>
      <c r="H63">
        <v>3.3679999999999999</v>
      </c>
      <c r="I63">
        <v>1.0580000000000001</v>
      </c>
    </row>
    <row r="64" spans="1:9" x14ac:dyDescent="0.25">
      <c r="A64">
        <v>2.1629999999999998</v>
      </c>
      <c r="B64">
        <v>31.008184535579343</v>
      </c>
      <c r="C64">
        <v>3.382139855122289</v>
      </c>
      <c r="H64">
        <v>3.5019999999999998</v>
      </c>
      <c r="I64">
        <v>1.079</v>
      </c>
    </row>
    <row r="65" spans="1:9" x14ac:dyDescent="0.25">
      <c r="A65">
        <v>2.19</v>
      </c>
      <c r="B65">
        <v>31.106609646438862</v>
      </c>
      <c r="C65">
        <v>3.3674807960581052</v>
      </c>
      <c r="H65">
        <v>3.5489999999999999</v>
      </c>
      <c r="I65">
        <v>1.0720000000000001</v>
      </c>
    </row>
    <row r="66" spans="1:9" x14ac:dyDescent="0.25">
      <c r="A66">
        <v>2.2160000000000002</v>
      </c>
      <c r="B66">
        <v>31.288800809093711</v>
      </c>
      <c r="C66">
        <v>3.357010039583689</v>
      </c>
      <c r="H66">
        <v>3.6360000000000001</v>
      </c>
      <c r="I66">
        <v>1.0669999999999999</v>
      </c>
    </row>
    <row r="67" spans="1:9" x14ac:dyDescent="0.25">
      <c r="A67">
        <v>2.2429999999999999</v>
      </c>
      <c r="B67">
        <v>31.571511233902964</v>
      </c>
      <c r="C67">
        <v>3.4009872167762394</v>
      </c>
      <c r="H67">
        <v>3.7709999999999999</v>
      </c>
      <c r="I67">
        <v>1.0880000000000001</v>
      </c>
    </row>
    <row r="68" spans="1:9" x14ac:dyDescent="0.25">
      <c r="A68">
        <v>2.27</v>
      </c>
      <c r="B68">
        <v>31.891916382020113</v>
      </c>
      <c r="C68">
        <v>3.4784708146869225</v>
      </c>
      <c r="H68">
        <v>3.9239999999999999</v>
      </c>
      <c r="I68">
        <v>1.125</v>
      </c>
    </row>
    <row r="69" spans="1:9" x14ac:dyDescent="0.25">
      <c r="A69">
        <v>2.2959999999999998</v>
      </c>
      <c r="B69">
        <v>32.172532655534482</v>
      </c>
      <c r="C69">
        <v>3.5538602613027228</v>
      </c>
      <c r="H69">
        <v>4.0579999999999998</v>
      </c>
      <c r="I69">
        <v>1.161</v>
      </c>
    </row>
    <row r="70" spans="1:9" x14ac:dyDescent="0.25">
      <c r="A70">
        <v>2.323</v>
      </c>
      <c r="B70">
        <v>32.451054777753967</v>
      </c>
      <c r="C70">
        <v>3.6208731027389893</v>
      </c>
      <c r="H70">
        <v>4.1909999999999998</v>
      </c>
      <c r="I70">
        <v>1.1930000000000001</v>
      </c>
    </row>
    <row r="71" spans="1:9" x14ac:dyDescent="0.25">
      <c r="A71">
        <v>2.35</v>
      </c>
      <c r="B71">
        <v>32.861508431551101</v>
      </c>
      <c r="C71">
        <v>3.7109216084189729</v>
      </c>
      <c r="H71">
        <v>4.3869999999999996</v>
      </c>
      <c r="I71">
        <v>1.236</v>
      </c>
    </row>
    <row r="72" spans="1:9" x14ac:dyDescent="0.25">
      <c r="A72">
        <v>2.3759999999999999</v>
      </c>
      <c r="B72">
        <v>33.355728137143572</v>
      </c>
      <c r="C72">
        <v>3.7988759628040736</v>
      </c>
      <c r="H72">
        <v>4.6230000000000002</v>
      </c>
      <c r="I72">
        <v>1.278</v>
      </c>
    </row>
    <row r="73" spans="1:9" x14ac:dyDescent="0.25">
      <c r="A73">
        <v>2.403</v>
      </c>
      <c r="B73">
        <v>33.847853691441159</v>
      </c>
      <c r="C73">
        <v>3.9014893762533571</v>
      </c>
      <c r="H73">
        <v>4.8579999999999997</v>
      </c>
      <c r="I73">
        <v>1.327</v>
      </c>
    </row>
    <row r="74" spans="1:9" x14ac:dyDescent="0.25">
      <c r="A74">
        <v>2.4300000000000002</v>
      </c>
      <c r="B74">
        <v>34.279248858187117</v>
      </c>
      <c r="C74">
        <v>4.012479394882174</v>
      </c>
      <c r="H74">
        <v>5.0640000000000001</v>
      </c>
      <c r="I74">
        <v>1.38</v>
      </c>
    </row>
    <row r="75" spans="1:9" x14ac:dyDescent="0.25">
      <c r="A75">
        <v>2.456</v>
      </c>
      <c r="B75">
        <v>34.71692647881774</v>
      </c>
      <c r="C75">
        <v>4.1234694135109908</v>
      </c>
      <c r="H75">
        <v>5.2729999999999997</v>
      </c>
      <c r="I75">
        <v>1.4330000000000001</v>
      </c>
    </row>
    <row r="76" spans="1:9" x14ac:dyDescent="0.25">
      <c r="A76">
        <v>2.4830000000000001</v>
      </c>
      <c r="B76">
        <v>36.210056352069557</v>
      </c>
      <c r="C76">
        <v>4.5674294880262591</v>
      </c>
      <c r="H76">
        <v>5.9859999999999998</v>
      </c>
      <c r="I76">
        <v>1.645</v>
      </c>
    </row>
    <row r="77" spans="1:9" x14ac:dyDescent="0.25">
      <c r="A77">
        <v>2.5099999999999998</v>
      </c>
      <c r="B77">
        <v>39.206786855047625</v>
      </c>
      <c r="C77">
        <v>5.4365022754028445</v>
      </c>
      <c r="H77">
        <v>7.4169999999999998</v>
      </c>
      <c r="I77">
        <v>2.06</v>
      </c>
    </row>
    <row r="78" spans="1:9" x14ac:dyDescent="0.25">
      <c r="A78">
        <v>2.536</v>
      </c>
      <c r="B78">
        <v>41.074769810083552</v>
      </c>
      <c r="C78">
        <v>5.9349102835850802</v>
      </c>
      <c r="H78">
        <v>8.3089999999999993</v>
      </c>
      <c r="I78">
        <v>2.298</v>
      </c>
    </row>
    <row r="79" spans="1:9" x14ac:dyDescent="0.25">
      <c r="A79">
        <v>2.5630000000000002</v>
      </c>
      <c r="B79">
        <v>40.314592890040899</v>
      </c>
      <c r="C79">
        <v>5.6145051354679296</v>
      </c>
      <c r="H79">
        <v>7.9459999999999997</v>
      </c>
      <c r="I79">
        <v>2.145</v>
      </c>
    </row>
    <row r="80" spans="1:9" x14ac:dyDescent="0.25">
      <c r="A80">
        <v>2.59</v>
      </c>
      <c r="B80">
        <v>38.149240451131533</v>
      </c>
      <c r="C80">
        <v>4.9360001159257276</v>
      </c>
      <c r="H80">
        <v>6.9119999999999999</v>
      </c>
      <c r="I80">
        <v>1.821</v>
      </c>
    </row>
    <row r="81" spans="1:9" x14ac:dyDescent="0.25">
      <c r="A81">
        <v>2.6160000000000001</v>
      </c>
      <c r="B81">
        <v>37.085411593330797</v>
      </c>
      <c r="C81">
        <v>4.6323481781676428</v>
      </c>
      <c r="H81">
        <v>6.4039999999999999</v>
      </c>
      <c r="I81">
        <v>1.6759999999999999</v>
      </c>
    </row>
    <row r="82" spans="1:9" x14ac:dyDescent="0.25">
      <c r="A82">
        <v>2.6429999999999998</v>
      </c>
      <c r="B82">
        <v>36.857149102188515</v>
      </c>
      <c r="C82">
        <v>4.5674294880262591</v>
      </c>
      <c r="H82">
        <v>6.2949999999999999</v>
      </c>
      <c r="I82">
        <v>1.645</v>
      </c>
    </row>
    <row r="83" spans="1:9" x14ac:dyDescent="0.25">
      <c r="A83">
        <v>2.67</v>
      </c>
      <c r="B83">
        <v>36.57862697996903</v>
      </c>
      <c r="C83">
        <v>4.5255464621285917</v>
      </c>
      <c r="H83">
        <v>6.1619999999999999</v>
      </c>
      <c r="I83">
        <v>1.625</v>
      </c>
    </row>
    <row r="84" spans="1:9" x14ac:dyDescent="0.25">
      <c r="A84">
        <v>2.6960000000000002</v>
      </c>
      <c r="B84">
        <v>35.977605558337508</v>
      </c>
      <c r="C84">
        <v>4.4522511668076756</v>
      </c>
      <c r="H84">
        <v>5.875</v>
      </c>
      <c r="I84">
        <v>1.59</v>
      </c>
    </row>
    <row r="85" spans="1:9" x14ac:dyDescent="0.25">
      <c r="A85">
        <v>2.7229999999999999</v>
      </c>
      <c r="B85">
        <v>35.424749616488313</v>
      </c>
      <c r="C85">
        <v>4.4166505947946586</v>
      </c>
      <c r="H85">
        <v>5.6109999999999998</v>
      </c>
      <c r="I85">
        <v>1.573</v>
      </c>
    </row>
    <row r="86" spans="1:9" x14ac:dyDescent="0.25">
      <c r="A86">
        <v>2.75</v>
      </c>
      <c r="B86">
        <v>35.198581276640908</v>
      </c>
      <c r="C86">
        <v>4.435497956448609</v>
      </c>
      <c r="H86">
        <v>5.5030000000000001</v>
      </c>
      <c r="I86">
        <v>1.5820000000000001</v>
      </c>
    </row>
    <row r="87" spans="1:9" x14ac:dyDescent="0.25">
      <c r="A87">
        <v>2.7759999999999998</v>
      </c>
      <c r="B87">
        <v>35.223711092179506</v>
      </c>
      <c r="C87">
        <v>4.4773809823462756</v>
      </c>
      <c r="H87">
        <v>5.5149999999999997</v>
      </c>
      <c r="I87">
        <v>1.6020000000000001</v>
      </c>
    </row>
    <row r="88" spans="1:9" x14ac:dyDescent="0.25">
      <c r="A88">
        <v>2.8029999999999999</v>
      </c>
      <c r="B88">
        <v>35.554586996771079</v>
      </c>
      <c r="C88">
        <v>4.6365364807574085</v>
      </c>
      <c r="H88">
        <v>5.673</v>
      </c>
      <c r="I88">
        <v>1.6779999999999999</v>
      </c>
    </row>
    <row r="89" spans="1:9" x14ac:dyDescent="0.25">
      <c r="A89">
        <v>2.83</v>
      </c>
      <c r="B89">
        <v>35.981793860927276</v>
      </c>
      <c r="C89">
        <v>4.8480457615406269</v>
      </c>
      <c r="H89">
        <v>5.8769999999999998</v>
      </c>
      <c r="I89">
        <v>1.7789999999999999</v>
      </c>
    </row>
    <row r="90" spans="1:9" x14ac:dyDescent="0.25">
      <c r="A90">
        <v>2.8559999999999999</v>
      </c>
      <c r="B90">
        <v>36.182832385236075</v>
      </c>
      <c r="C90">
        <v>4.9485650236950267</v>
      </c>
      <c r="H90">
        <v>5.9729999999999999</v>
      </c>
      <c r="I90">
        <v>1.827</v>
      </c>
    </row>
    <row r="91" spans="1:9" x14ac:dyDescent="0.25">
      <c r="A91">
        <v>2.883</v>
      </c>
      <c r="B91">
        <v>36.076030669197031</v>
      </c>
      <c r="C91">
        <v>4.8941170900280602</v>
      </c>
      <c r="H91">
        <v>5.9219999999999997</v>
      </c>
      <c r="I91">
        <v>1.8009999999999999</v>
      </c>
    </row>
    <row r="92" spans="1:9" x14ac:dyDescent="0.25">
      <c r="A92">
        <v>2.91</v>
      </c>
      <c r="B92">
        <v>35.895933657837055</v>
      </c>
      <c r="C92">
        <v>4.822915946002027</v>
      </c>
      <c r="H92">
        <v>5.8360000000000003</v>
      </c>
      <c r="I92">
        <v>1.7669999999999999</v>
      </c>
    </row>
    <row r="93" spans="1:9" x14ac:dyDescent="0.25">
      <c r="A93">
        <v>2.9359999999999999</v>
      </c>
      <c r="B93">
        <v>35.655106258925478</v>
      </c>
      <c r="C93">
        <v>4.8040685843480766</v>
      </c>
      <c r="H93">
        <v>5.7210000000000001</v>
      </c>
      <c r="I93">
        <v>1.758</v>
      </c>
    </row>
    <row r="94" spans="1:9" x14ac:dyDescent="0.25">
      <c r="A94">
        <v>2.9630000000000001</v>
      </c>
      <c r="B94">
        <v>35.454067734616679</v>
      </c>
      <c r="C94">
        <v>4.8627048206048098</v>
      </c>
      <c r="H94">
        <v>5.625</v>
      </c>
      <c r="I94">
        <v>1.786</v>
      </c>
    </row>
    <row r="95" spans="1:9" x14ac:dyDescent="0.25">
      <c r="A95">
        <v>2.99</v>
      </c>
      <c r="B95">
        <v>35.248840907718112</v>
      </c>
      <c r="C95">
        <v>4.7935978278736595</v>
      </c>
      <c r="H95">
        <v>5.5270000000000001</v>
      </c>
      <c r="I95">
        <v>1.7529999999999999</v>
      </c>
    </row>
    <row r="96" spans="1:9" x14ac:dyDescent="0.25">
      <c r="A96">
        <v>3.016</v>
      </c>
      <c r="B96">
        <v>35.129474283909758</v>
      </c>
      <c r="C96">
        <v>4.6407247833471761</v>
      </c>
      <c r="H96">
        <v>5.47</v>
      </c>
      <c r="I96">
        <v>1.68</v>
      </c>
    </row>
    <row r="97" spans="1:9" x14ac:dyDescent="0.25">
      <c r="A97">
        <v>3.0430000000000001</v>
      </c>
      <c r="B97">
        <v>35.005919357511644</v>
      </c>
      <c r="C97">
        <v>4.5339230673081259</v>
      </c>
      <c r="H97">
        <v>5.4109999999999996</v>
      </c>
      <c r="I97">
        <v>1.629</v>
      </c>
    </row>
    <row r="98" spans="1:9" x14ac:dyDescent="0.25">
      <c r="A98">
        <v>3.07</v>
      </c>
      <c r="B98">
        <v>34.844669707805622</v>
      </c>
      <c r="C98">
        <v>4.5506762776671925</v>
      </c>
      <c r="H98">
        <v>5.3339999999999996</v>
      </c>
      <c r="I98">
        <v>1.637</v>
      </c>
    </row>
    <row r="99" spans="1:9" x14ac:dyDescent="0.25">
      <c r="A99">
        <v>3.0960000000000001</v>
      </c>
      <c r="B99">
        <v>34.827916497446559</v>
      </c>
      <c r="C99">
        <v>4.6888902631294931</v>
      </c>
      <c r="H99">
        <v>5.3259999999999996</v>
      </c>
      <c r="I99">
        <v>1.7030000000000001</v>
      </c>
    </row>
    <row r="100" spans="1:9" x14ac:dyDescent="0.25">
      <c r="A100">
        <v>3.1230000000000002</v>
      </c>
      <c r="B100">
        <v>35.169263158512543</v>
      </c>
      <c r="C100">
        <v>4.9485650236950267</v>
      </c>
      <c r="H100">
        <v>5.4889999999999999</v>
      </c>
      <c r="I100">
        <v>1.827</v>
      </c>
    </row>
    <row r="101" spans="1:9" x14ac:dyDescent="0.25">
      <c r="A101">
        <v>3.15</v>
      </c>
      <c r="B101">
        <v>35.621599838207338</v>
      </c>
      <c r="C101">
        <v>5.210333935555445</v>
      </c>
      <c r="H101">
        <v>5.7050000000000001</v>
      </c>
      <c r="I101">
        <v>1.952</v>
      </c>
    </row>
    <row r="102" spans="1:9" x14ac:dyDescent="0.25">
      <c r="A102">
        <v>3.1760000000000002</v>
      </c>
      <c r="B102">
        <v>36.015300281645409</v>
      </c>
      <c r="C102">
        <v>5.501420965544229</v>
      </c>
      <c r="H102">
        <v>5.8929999999999998</v>
      </c>
      <c r="I102">
        <v>2.0910000000000002</v>
      </c>
    </row>
    <row r="103" spans="1:9" x14ac:dyDescent="0.25">
      <c r="A103">
        <v>3.2029999999999998</v>
      </c>
      <c r="B103">
        <v>36.362929396596044</v>
      </c>
      <c r="C103">
        <v>5.7464366670455798</v>
      </c>
      <c r="H103">
        <v>6.0590000000000002</v>
      </c>
      <c r="I103">
        <v>2.2080000000000002</v>
      </c>
    </row>
    <row r="104" spans="1:9" x14ac:dyDescent="0.25">
      <c r="A104">
        <v>3.23</v>
      </c>
      <c r="B104">
        <v>36.593286039033217</v>
      </c>
      <c r="C104">
        <v>5.8616149882641633</v>
      </c>
      <c r="H104">
        <v>6.1689999999999996</v>
      </c>
      <c r="I104">
        <v>2.2629999999999999</v>
      </c>
    </row>
    <row r="105" spans="1:9" x14ac:dyDescent="0.25">
      <c r="A105">
        <v>3.2559999999999998</v>
      </c>
      <c r="B105">
        <v>36.505331684648112</v>
      </c>
      <c r="C105">
        <v>5.7171185489172132</v>
      </c>
      <c r="H105">
        <v>6.1269999999999998</v>
      </c>
      <c r="I105">
        <v>2.194</v>
      </c>
    </row>
    <row r="106" spans="1:9" x14ac:dyDescent="0.25">
      <c r="A106">
        <v>3.2829999999999999</v>
      </c>
      <c r="B106">
        <v>36.143043510633291</v>
      </c>
      <c r="C106">
        <v>5.4009017033898292</v>
      </c>
      <c r="H106">
        <v>5.9539999999999997</v>
      </c>
      <c r="I106">
        <v>2.0430000000000001</v>
      </c>
    </row>
    <row r="107" spans="1:9" x14ac:dyDescent="0.25">
      <c r="A107">
        <v>3.31</v>
      </c>
      <c r="B107">
        <v>35.671859469284541</v>
      </c>
      <c r="C107">
        <v>5.0700257987982607</v>
      </c>
      <c r="H107">
        <v>5.7290000000000001</v>
      </c>
      <c r="I107">
        <v>1.885</v>
      </c>
    </row>
    <row r="108" spans="1:9" x14ac:dyDescent="0.25">
      <c r="A108">
        <v>3.3359999999999999</v>
      </c>
      <c r="B108">
        <v>35.74934306719522</v>
      </c>
      <c r="C108">
        <v>4.8564223667201603</v>
      </c>
      <c r="H108">
        <v>5.766</v>
      </c>
      <c r="I108">
        <v>1.7829999999999999</v>
      </c>
    </row>
    <row r="109" spans="1:9" x14ac:dyDescent="0.25">
      <c r="A109">
        <v>3.363</v>
      </c>
      <c r="B109">
        <v>36.19120899041561</v>
      </c>
      <c r="C109">
        <v>4.9695065366438609</v>
      </c>
      <c r="H109">
        <v>5.9770000000000003</v>
      </c>
      <c r="I109">
        <v>1.837</v>
      </c>
    </row>
    <row r="110" spans="1:9" x14ac:dyDescent="0.25">
      <c r="A110">
        <v>3.39</v>
      </c>
      <c r="B110">
        <v>36.825736832765266</v>
      </c>
      <c r="C110">
        <v>5.3841484930307626</v>
      </c>
      <c r="H110">
        <v>6.28</v>
      </c>
      <c r="I110">
        <v>2.0350000000000001</v>
      </c>
    </row>
    <row r="111" spans="1:9" x14ac:dyDescent="0.25">
      <c r="A111">
        <v>3.4159999999999999</v>
      </c>
      <c r="B111">
        <v>37.648738291654425</v>
      </c>
      <c r="C111">
        <v>5.8762740473283461</v>
      </c>
      <c r="H111">
        <v>6.673</v>
      </c>
      <c r="I111">
        <v>2.27</v>
      </c>
    </row>
    <row r="112" spans="1:9" x14ac:dyDescent="0.25">
      <c r="A112">
        <v>3.4430000000000001</v>
      </c>
      <c r="B112">
        <v>38.735602813698868</v>
      </c>
      <c r="C112">
        <v>6.3788703581003476</v>
      </c>
      <c r="H112">
        <v>7.1920000000000002</v>
      </c>
      <c r="I112">
        <v>2.5099999999999998</v>
      </c>
    </row>
    <row r="113" spans="1:9" x14ac:dyDescent="0.25">
      <c r="A113">
        <v>3.47</v>
      </c>
      <c r="B113">
        <v>40.235015140835344</v>
      </c>
      <c r="C113">
        <v>7.0699402854118496</v>
      </c>
      <c r="H113">
        <v>7.9080000000000004</v>
      </c>
      <c r="I113">
        <v>2.84</v>
      </c>
    </row>
    <row r="114" spans="1:9" x14ac:dyDescent="0.25">
      <c r="A114">
        <v>3.496</v>
      </c>
      <c r="B114">
        <v>41.18157152612261</v>
      </c>
      <c r="C114">
        <v>7.6479260427996518</v>
      </c>
      <c r="H114">
        <v>8.36</v>
      </c>
      <c r="I114">
        <v>3.1160000000000001</v>
      </c>
    </row>
    <row r="115" spans="1:9" x14ac:dyDescent="0.25">
      <c r="A115">
        <v>3.5230000000000001</v>
      </c>
      <c r="B115">
        <v>41.028698481596123</v>
      </c>
      <c r="C115">
        <v>7.754727758838702</v>
      </c>
      <c r="H115">
        <v>8.2870000000000008</v>
      </c>
      <c r="I115">
        <v>3.1669999999999998</v>
      </c>
    </row>
    <row r="116" spans="1:9" x14ac:dyDescent="0.25">
      <c r="A116">
        <v>3.55</v>
      </c>
      <c r="B116">
        <v>39.82456148703821</v>
      </c>
      <c r="C116">
        <v>7.2667905071308843</v>
      </c>
      <c r="H116">
        <v>7.7119999999999997</v>
      </c>
      <c r="I116">
        <v>2.9340000000000002</v>
      </c>
    </row>
    <row r="117" spans="1:9" x14ac:dyDescent="0.25">
      <c r="A117">
        <v>3.5760000000000001</v>
      </c>
      <c r="B117">
        <v>38.082227609695266</v>
      </c>
      <c r="C117">
        <v>6.3893411145747647</v>
      </c>
      <c r="H117">
        <v>6.88</v>
      </c>
      <c r="I117">
        <v>2.5150000000000001</v>
      </c>
    </row>
    <row r="118" spans="1:9" x14ac:dyDescent="0.25">
      <c r="A118">
        <v>3.6030000000000002</v>
      </c>
      <c r="B118">
        <v>36.716840965431331</v>
      </c>
      <c r="C118">
        <v>5.6124109841730458</v>
      </c>
      <c r="H118">
        <v>6.2279999999999998</v>
      </c>
      <c r="I118">
        <v>2.1440000000000001</v>
      </c>
    </row>
    <row r="119" spans="1:9" x14ac:dyDescent="0.25">
      <c r="A119">
        <v>3.63</v>
      </c>
      <c r="B119">
        <v>36.019488584235177</v>
      </c>
      <c r="C119">
        <v>5.1789216661321946</v>
      </c>
      <c r="H119">
        <v>5.8949999999999996</v>
      </c>
      <c r="I119">
        <v>1.9370000000000001</v>
      </c>
    </row>
    <row r="120" spans="1:9" x14ac:dyDescent="0.25">
      <c r="A120">
        <v>3.6560000000000001</v>
      </c>
      <c r="B120">
        <v>35.820544211221261</v>
      </c>
      <c r="C120">
        <v>5.0679316475033769</v>
      </c>
      <c r="H120">
        <v>5.8</v>
      </c>
      <c r="I120">
        <v>1.8839999999999999</v>
      </c>
    </row>
    <row r="121" spans="1:9" x14ac:dyDescent="0.25">
      <c r="A121">
        <v>3.6829999999999998</v>
      </c>
      <c r="B121">
        <v>35.893839506542179</v>
      </c>
      <c r="C121">
        <v>5.1454152454140614</v>
      </c>
      <c r="H121">
        <v>5.835</v>
      </c>
      <c r="I121">
        <v>1.921</v>
      </c>
    </row>
    <row r="122" spans="1:9" x14ac:dyDescent="0.25">
      <c r="A122">
        <v>3.71</v>
      </c>
      <c r="B122">
        <v>36.128384451569104</v>
      </c>
      <c r="C122">
        <v>5.2794409282865953</v>
      </c>
      <c r="H122">
        <v>5.9470000000000001</v>
      </c>
      <c r="I122">
        <v>1.9850000000000001</v>
      </c>
    </row>
    <row r="123" spans="1:9" x14ac:dyDescent="0.25">
      <c r="A123">
        <v>3.7360000000000002</v>
      </c>
      <c r="B123">
        <v>38.348184824145441</v>
      </c>
      <c r="C123">
        <v>6.3223282731384982</v>
      </c>
      <c r="H123">
        <v>7.0069999999999997</v>
      </c>
      <c r="I123">
        <v>2.4830000000000001</v>
      </c>
    </row>
    <row r="124" spans="1:9" x14ac:dyDescent="0.25">
      <c r="A124">
        <v>3.7629999999999999</v>
      </c>
      <c r="B124">
        <v>40.322969495220434</v>
      </c>
      <c r="C124">
        <v>7.1830244553355502</v>
      </c>
      <c r="H124">
        <v>7.95</v>
      </c>
      <c r="I124">
        <v>2.8940000000000001</v>
      </c>
    </row>
    <row r="125" spans="1:9" x14ac:dyDescent="0.25">
      <c r="A125">
        <v>3.79</v>
      </c>
      <c r="B125">
        <v>40.892578647428714</v>
      </c>
      <c r="C125">
        <v>7.3589331641057516</v>
      </c>
      <c r="H125">
        <v>8.2219999999999995</v>
      </c>
      <c r="I125">
        <v>2.9780000000000002</v>
      </c>
    </row>
    <row r="126" spans="1:9" x14ac:dyDescent="0.25">
      <c r="A126">
        <v>3.8159999999999998</v>
      </c>
      <c r="B126">
        <v>39.598393147190798</v>
      </c>
      <c r="C126">
        <v>6.6846164471533163</v>
      </c>
      <c r="H126">
        <v>7.6040000000000001</v>
      </c>
      <c r="I126">
        <v>2.6560000000000001</v>
      </c>
    </row>
    <row r="127" spans="1:9" x14ac:dyDescent="0.25">
      <c r="A127">
        <v>3.843</v>
      </c>
      <c r="B127">
        <v>38.055003642861784</v>
      </c>
      <c r="C127">
        <v>6.0396178483292466</v>
      </c>
      <c r="H127">
        <v>6.867</v>
      </c>
      <c r="I127">
        <v>2.3479999999999999</v>
      </c>
    </row>
    <row r="128" spans="1:9" x14ac:dyDescent="0.25">
      <c r="A128">
        <v>3.87</v>
      </c>
      <c r="B128">
        <v>37.602666963166982</v>
      </c>
      <c r="C128">
        <v>5.9432868887646144</v>
      </c>
      <c r="H128">
        <v>6.6509999999999998</v>
      </c>
      <c r="I128">
        <v>2.302</v>
      </c>
    </row>
    <row r="129" spans="1:9" x14ac:dyDescent="0.25">
      <c r="A129">
        <v>3.8959999999999999</v>
      </c>
      <c r="B129">
        <v>37.232002183972632</v>
      </c>
      <c r="C129">
        <v>5.767378179994413</v>
      </c>
      <c r="H129">
        <v>6.4740000000000002</v>
      </c>
      <c r="I129">
        <v>2.218</v>
      </c>
    </row>
    <row r="130" spans="1:9" x14ac:dyDescent="0.25">
      <c r="A130">
        <v>3.923</v>
      </c>
      <c r="B130">
        <v>36.714746814136447</v>
      </c>
      <c r="C130">
        <v>5.501420965544229</v>
      </c>
      <c r="H130">
        <v>6.2270000000000003</v>
      </c>
      <c r="I130">
        <v>2.0910000000000002</v>
      </c>
    </row>
    <row r="131" spans="1:9" x14ac:dyDescent="0.25">
      <c r="A131">
        <v>3.95</v>
      </c>
      <c r="B131">
        <v>36.620510005866699</v>
      </c>
      <c r="C131">
        <v>5.3883367956205284</v>
      </c>
      <c r="H131">
        <v>6.1820000000000004</v>
      </c>
      <c r="I131">
        <v>2.0369999999999999</v>
      </c>
    </row>
    <row r="132" spans="1:9" x14ac:dyDescent="0.25">
      <c r="A132">
        <v>3.976</v>
      </c>
      <c r="B132">
        <v>37.747163402513934</v>
      </c>
      <c r="C132">
        <v>5.6898945820837294</v>
      </c>
      <c r="H132">
        <v>6.72</v>
      </c>
      <c r="I132">
        <v>2.181</v>
      </c>
    </row>
    <row r="133" spans="1:9" x14ac:dyDescent="0.25">
      <c r="A133">
        <v>4.0030000000000001</v>
      </c>
      <c r="B133">
        <v>40.764835418440825</v>
      </c>
      <c r="C133">
        <v>6.542214159101249</v>
      </c>
      <c r="H133">
        <v>8.1609999999999996</v>
      </c>
      <c r="I133">
        <v>2.5880000000000001</v>
      </c>
    </row>
    <row r="134" spans="1:9" x14ac:dyDescent="0.25">
      <c r="A134">
        <v>4.03</v>
      </c>
      <c r="B134">
        <v>42.371049461616344</v>
      </c>
      <c r="C134">
        <v>7.1327648242583503</v>
      </c>
      <c r="H134">
        <v>8.9280000000000008</v>
      </c>
      <c r="I134">
        <v>2.87</v>
      </c>
    </row>
    <row r="135" spans="1:9" x14ac:dyDescent="0.25">
      <c r="A135">
        <v>4.056</v>
      </c>
      <c r="B135">
        <v>41.906147874152246</v>
      </c>
      <c r="C135">
        <v>7.1641770936815998</v>
      </c>
      <c r="H135">
        <v>8.7059999999999995</v>
      </c>
      <c r="I135">
        <v>2.8849999999999998</v>
      </c>
    </row>
    <row r="136" spans="1:9" x14ac:dyDescent="0.25">
      <c r="A136">
        <v>4.0830000000000002</v>
      </c>
      <c r="B136">
        <v>39.412013681946185</v>
      </c>
      <c r="C136">
        <v>6.4961428306138149</v>
      </c>
      <c r="H136">
        <v>7.5149999999999997</v>
      </c>
      <c r="I136">
        <v>2.5659999999999998</v>
      </c>
    </row>
    <row r="137" spans="1:9" x14ac:dyDescent="0.25">
      <c r="A137">
        <v>4.1100000000000003</v>
      </c>
      <c r="B137">
        <v>36.905314581970828</v>
      </c>
      <c r="C137">
        <v>5.7275893053916294</v>
      </c>
      <c r="H137">
        <v>6.3179999999999996</v>
      </c>
      <c r="I137">
        <v>2.1989999999999998</v>
      </c>
    </row>
    <row r="138" spans="1:9" x14ac:dyDescent="0.25">
      <c r="A138">
        <v>4.1360000000000001</v>
      </c>
      <c r="B138">
        <v>36.147231813223058</v>
      </c>
      <c r="C138">
        <v>5.501420965544229</v>
      </c>
      <c r="H138">
        <v>5.9560000000000004</v>
      </c>
      <c r="I138">
        <v>2.0910000000000002</v>
      </c>
    </row>
    <row r="139" spans="1:9" x14ac:dyDescent="0.25">
      <c r="A139">
        <v>4.1630000000000003</v>
      </c>
      <c r="B139">
        <v>36.151420115812826</v>
      </c>
      <c r="C139">
        <v>5.5265507810828289</v>
      </c>
      <c r="H139">
        <v>5.9580000000000002</v>
      </c>
      <c r="I139">
        <v>2.1030000000000002</v>
      </c>
    </row>
    <row r="140" spans="1:9" x14ac:dyDescent="0.25">
      <c r="A140">
        <v>4.1900000000000004</v>
      </c>
      <c r="B140">
        <v>36.002735373876114</v>
      </c>
      <c r="C140">
        <v>5.4700086961209795</v>
      </c>
      <c r="H140">
        <v>5.8869999999999996</v>
      </c>
      <c r="I140">
        <v>2.0760000000000001</v>
      </c>
    </row>
    <row r="141" spans="1:9" x14ac:dyDescent="0.25">
      <c r="A141">
        <v>4.2160000000000002</v>
      </c>
      <c r="B141">
        <v>35.935722532439847</v>
      </c>
      <c r="C141">
        <v>5.4741969987107453</v>
      </c>
      <c r="H141">
        <v>5.8550000000000004</v>
      </c>
      <c r="I141">
        <v>2.0779999999999998</v>
      </c>
    </row>
    <row r="142" spans="1:9" x14ac:dyDescent="0.25">
      <c r="A142">
        <v>4.2430000000000003</v>
      </c>
      <c r="B142">
        <v>35.902216111721707</v>
      </c>
      <c r="C142">
        <v>5.4218432163386616</v>
      </c>
      <c r="H142">
        <v>5.8390000000000004</v>
      </c>
      <c r="I142">
        <v>2.0529999999999999</v>
      </c>
    </row>
    <row r="143" spans="1:9" x14ac:dyDescent="0.25">
      <c r="A143">
        <v>4.2699999999999996</v>
      </c>
      <c r="B143">
        <v>35.766096277554297</v>
      </c>
      <c r="C143">
        <v>5.3673952826716951</v>
      </c>
      <c r="H143">
        <v>5.774</v>
      </c>
      <c r="I143">
        <v>2.0270000000000001</v>
      </c>
    </row>
    <row r="144" spans="1:9" x14ac:dyDescent="0.25">
      <c r="A144">
        <v>4.2960000000000003</v>
      </c>
      <c r="B144">
        <v>36.580721131263914</v>
      </c>
      <c r="C144">
        <v>5.7401542131609293</v>
      </c>
      <c r="H144">
        <v>6.1630000000000003</v>
      </c>
      <c r="I144">
        <v>2.2050000000000001</v>
      </c>
    </row>
    <row r="145" spans="1:9" x14ac:dyDescent="0.25">
      <c r="A145">
        <v>4.3230000000000004</v>
      </c>
      <c r="B145">
        <v>54.313994296336034</v>
      </c>
      <c r="C145">
        <v>12.125221511260232</v>
      </c>
      <c r="H145">
        <v>14.631</v>
      </c>
      <c r="I145">
        <v>5.2539999999999996</v>
      </c>
    </row>
    <row r="146" spans="1:9" x14ac:dyDescent="0.25">
      <c r="A146">
        <v>4.3499999999999996</v>
      </c>
      <c r="B146">
        <v>83.667712996715792</v>
      </c>
      <c r="C146">
        <v>22.445199092445332</v>
      </c>
      <c r="H146">
        <v>28.648</v>
      </c>
      <c r="I146">
        <v>10.182</v>
      </c>
    </row>
    <row r="147" spans="1:9" x14ac:dyDescent="0.25">
      <c r="A147">
        <v>4.3760000000000003</v>
      </c>
      <c r="B147">
        <v>99.999998945510981</v>
      </c>
      <c r="C147">
        <v>31.803961229278976</v>
      </c>
      <c r="H147">
        <v>36.447000000000003</v>
      </c>
      <c r="I147">
        <v>14.651</v>
      </c>
    </row>
    <row r="148" spans="1:9" x14ac:dyDescent="0.25">
      <c r="A148">
        <v>4.4029999999999996</v>
      </c>
      <c r="B148">
        <v>98.642988906426567</v>
      </c>
      <c r="C148">
        <v>40.140777534209555</v>
      </c>
      <c r="H148">
        <v>35.798999999999999</v>
      </c>
      <c r="I148">
        <v>18.632000000000001</v>
      </c>
    </row>
    <row r="149" spans="1:9" x14ac:dyDescent="0.25">
      <c r="A149">
        <v>4.43</v>
      </c>
      <c r="B149">
        <v>81.594503214781298</v>
      </c>
      <c r="C149">
        <v>36.444600498740456</v>
      </c>
      <c r="H149">
        <v>27.658000000000001</v>
      </c>
      <c r="I149">
        <v>16.867000000000001</v>
      </c>
    </row>
    <row r="150" spans="1:9" x14ac:dyDescent="0.25">
      <c r="A150">
        <v>4.4560000000000004</v>
      </c>
      <c r="B150">
        <v>61.875974622159774</v>
      </c>
      <c r="C150">
        <v>23.289142064283318</v>
      </c>
      <c r="H150">
        <v>18.242000000000001</v>
      </c>
      <c r="I150">
        <v>10.585000000000001</v>
      </c>
    </row>
    <row r="151" spans="1:9" x14ac:dyDescent="0.25">
      <c r="A151">
        <v>4.4829999999999997</v>
      </c>
      <c r="B151">
        <v>49.445092535732265</v>
      </c>
      <c r="C151">
        <v>12.851892010584752</v>
      </c>
      <c r="H151">
        <v>12.305999999999999</v>
      </c>
      <c r="I151">
        <v>5.601</v>
      </c>
    </row>
    <row r="152" spans="1:9" x14ac:dyDescent="0.25">
      <c r="A152">
        <v>4.51</v>
      </c>
      <c r="B152">
        <v>44.605508893256868</v>
      </c>
      <c r="C152">
        <v>9.0133126870635891</v>
      </c>
      <c r="H152">
        <v>9.9949999999999992</v>
      </c>
      <c r="I152">
        <v>3.7679999999999998</v>
      </c>
    </row>
    <row r="153" spans="1:9" x14ac:dyDescent="0.25">
      <c r="A153">
        <v>4.5359999999999996</v>
      </c>
      <c r="B153">
        <v>42.649571583835829</v>
      </c>
      <c r="C153">
        <v>8.0144025194042356</v>
      </c>
      <c r="H153">
        <v>9.0609999999999999</v>
      </c>
      <c r="I153">
        <v>3.2909999999999999</v>
      </c>
    </row>
    <row r="154" spans="1:9" x14ac:dyDescent="0.25">
      <c r="A154">
        <v>4.5629999999999997</v>
      </c>
      <c r="B154">
        <v>41.244396064969109</v>
      </c>
      <c r="C154">
        <v>7.4908646956834009</v>
      </c>
      <c r="H154">
        <v>8.39</v>
      </c>
      <c r="I154">
        <v>3.0409999999999999</v>
      </c>
    </row>
    <row r="155" spans="1:9" x14ac:dyDescent="0.25">
      <c r="A155">
        <v>4.59</v>
      </c>
      <c r="B155">
        <v>40.046541524295833</v>
      </c>
      <c r="C155">
        <v>6.9945508387960498</v>
      </c>
      <c r="H155">
        <v>7.8179999999999996</v>
      </c>
      <c r="I155">
        <v>2.8039999999999998</v>
      </c>
    </row>
    <row r="156" spans="1:9" x14ac:dyDescent="0.25">
      <c r="A156">
        <v>4.6159999999999997</v>
      </c>
      <c r="B156">
        <v>39.384789715112703</v>
      </c>
      <c r="C156">
        <v>6.6490158751402983</v>
      </c>
      <c r="H156">
        <v>7.5019999999999998</v>
      </c>
      <c r="I156">
        <v>2.6389999999999998</v>
      </c>
    </row>
    <row r="157" spans="1:9" x14ac:dyDescent="0.25">
      <c r="A157">
        <v>4.6429999999999998</v>
      </c>
      <c r="B157">
        <v>38.995277574264399</v>
      </c>
      <c r="C157">
        <v>6.3830586606901143</v>
      </c>
      <c r="H157">
        <v>7.3159999999999998</v>
      </c>
      <c r="I157">
        <v>2.512</v>
      </c>
    </row>
    <row r="158" spans="1:9" x14ac:dyDescent="0.25">
      <c r="A158">
        <v>4.67</v>
      </c>
      <c r="B158">
        <v>38.917793976353721</v>
      </c>
      <c r="C158">
        <v>6.4437890482417322</v>
      </c>
      <c r="H158">
        <v>7.2789999999999999</v>
      </c>
      <c r="I158">
        <v>2.5409999999999999</v>
      </c>
    </row>
    <row r="159" spans="1:9" x14ac:dyDescent="0.25">
      <c r="A159">
        <v>4.6959999999999997</v>
      </c>
      <c r="B159">
        <v>38.77957999089142</v>
      </c>
      <c r="C159">
        <v>6.5443083103961319</v>
      </c>
      <c r="H159">
        <v>7.2130000000000001</v>
      </c>
      <c r="I159">
        <v>2.589</v>
      </c>
    </row>
    <row r="160" spans="1:9" x14ac:dyDescent="0.25">
      <c r="A160">
        <v>4.7229999999999999</v>
      </c>
      <c r="B160">
        <v>38.369126337094286</v>
      </c>
      <c r="C160">
        <v>6.4249416865877818</v>
      </c>
      <c r="H160">
        <v>7.0170000000000003</v>
      </c>
      <c r="I160">
        <v>2.532</v>
      </c>
    </row>
    <row r="161" spans="1:9" x14ac:dyDescent="0.25">
      <c r="A161">
        <v>4.75</v>
      </c>
      <c r="B161">
        <v>37.738786797334399</v>
      </c>
      <c r="C161">
        <v>6.0375236970343638</v>
      </c>
      <c r="H161">
        <v>6.7160000000000002</v>
      </c>
      <c r="I161">
        <v>2.347</v>
      </c>
    </row>
    <row r="162" spans="1:9" x14ac:dyDescent="0.25">
      <c r="A162">
        <v>4.7759999999999998</v>
      </c>
      <c r="B162">
        <v>37.095882349805208</v>
      </c>
      <c r="C162">
        <v>5.5705279582753793</v>
      </c>
      <c r="H162">
        <v>6.4089999999999998</v>
      </c>
      <c r="I162">
        <v>2.1240000000000001</v>
      </c>
    </row>
    <row r="163" spans="1:9" x14ac:dyDescent="0.25">
      <c r="A163">
        <v>4.8029999999999999</v>
      </c>
      <c r="B163">
        <v>36.739876629675045</v>
      </c>
      <c r="C163">
        <v>5.321323954184261</v>
      </c>
      <c r="H163">
        <v>6.2389999999999999</v>
      </c>
      <c r="I163">
        <v>2.0049999999999999</v>
      </c>
    </row>
    <row r="164" spans="1:9" x14ac:dyDescent="0.25">
      <c r="A164">
        <v>4.83</v>
      </c>
      <c r="B164">
        <v>36.626792459751343</v>
      </c>
      <c r="C164">
        <v>5.2731584744019449</v>
      </c>
      <c r="H164">
        <v>6.1849999999999996</v>
      </c>
      <c r="I164">
        <v>1.982</v>
      </c>
    </row>
    <row r="165" spans="1:9" x14ac:dyDescent="0.25">
      <c r="A165">
        <v>4.8559999999999999</v>
      </c>
      <c r="B165">
        <v>36.765006445213643</v>
      </c>
      <c r="C165">
        <v>5.5244566297879452</v>
      </c>
      <c r="H165">
        <v>6.2510000000000003</v>
      </c>
      <c r="I165">
        <v>2.1019999999999999</v>
      </c>
    </row>
    <row r="166" spans="1:9" x14ac:dyDescent="0.25">
      <c r="A166">
        <v>4.883</v>
      </c>
      <c r="B166">
        <v>37.135671224408</v>
      </c>
      <c r="C166">
        <v>5.8385793240204453</v>
      </c>
      <c r="H166">
        <v>6.4279999999999999</v>
      </c>
      <c r="I166">
        <v>2.2519999999999998</v>
      </c>
    </row>
    <row r="167" spans="1:9" x14ac:dyDescent="0.25">
      <c r="A167">
        <v>4.91</v>
      </c>
      <c r="B167">
        <v>37.541936575615367</v>
      </c>
      <c r="C167">
        <v>5.9118746193413632</v>
      </c>
      <c r="H167">
        <v>6.6219999999999999</v>
      </c>
      <c r="I167">
        <v>2.2869999999999999</v>
      </c>
    </row>
    <row r="168" spans="1:9" x14ac:dyDescent="0.25">
      <c r="A168">
        <v>4.9359999999999999</v>
      </c>
      <c r="B168">
        <v>37.613137719641394</v>
      </c>
      <c r="C168">
        <v>5.729683456686514</v>
      </c>
      <c r="H168">
        <v>6.6559999999999997</v>
      </c>
      <c r="I168">
        <v>2.2000000000000002</v>
      </c>
    </row>
    <row r="169" spans="1:9" x14ac:dyDescent="0.25">
      <c r="A169">
        <v>4.9630000000000001</v>
      </c>
      <c r="B169">
        <v>37.319956538357729</v>
      </c>
      <c r="C169">
        <v>5.5035151168391128</v>
      </c>
      <c r="H169">
        <v>6.516</v>
      </c>
      <c r="I169">
        <v>2.0920000000000001</v>
      </c>
    </row>
    <row r="170" spans="1:9" x14ac:dyDescent="0.25">
      <c r="A170">
        <v>4.99</v>
      </c>
      <c r="B170">
        <v>37.010022146715002</v>
      </c>
      <c r="C170">
        <v>5.379960190440995</v>
      </c>
      <c r="H170">
        <v>6.3680000000000003</v>
      </c>
      <c r="I170">
        <v>2.0329999999999999</v>
      </c>
    </row>
    <row r="171" spans="1:9" x14ac:dyDescent="0.25">
      <c r="A171">
        <v>5.016</v>
      </c>
      <c r="B171">
        <v>37.160801039946598</v>
      </c>
      <c r="C171">
        <v>5.4218432163386616</v>
      </c>
      <c r="H171">
        <v>6.44</v>
      </c>
      <c r="I171">
        <v>2.0529999999999999</v>
      </c>
    </row>
    <row r="172" spans="1:9" x14ac:dyDescent="0.25">
      <c r="A172">
        <v>5.0430000000000001</v>
      </c>
      <c r="B172">
        <v>37.311579933178201</v>
      </c>
      <c r="C172">
        <v>5.4679145448260957</v>
      </c>
      <c r="H172">
        <v>6.5119999999999996</v>
      </c>
      <c r="I172">
        <v>2.0750000000000002</v>
      </c>
    </row>
    <row r="173" spans="1:9" x14ac:dyDescent="0.25">
      <c r="A173">
        <v>5.07</v>
      </c>
      <c r="B173">
        <v>37.349274656486095</v>
      </c>
      <c r="C173">
        <v>5.5265507810828289</v>
      </c>
      <c r="H173">
        <v>6.53</v>
      </c>
      <c r="I173">
        <v>2.1030000000000002</v>
      </c>
    </row>
    <row r="174" spans="1:9" x14ac:dyDescent="0.25">
      <c r="A174">
        <v>5.0960000000000001</v>
      </c>
      <c r="B174">
        <v>37.621514324820929</v>
      </c>
      <c r="C174">
        <v>5.9998289737264638</v>
      </c>
      <c r="H174">
        <v>6.66</v>
      </c>
      <c r="I174">
        <v>2.3290000000000002</v>
      </c>
    </row>
    <row r="175" spans="1:9" x14ac:dyDescent="0.25">
      <c r="A175">
        <v>5.1230000000000002</v>
      </c>
      <c r="B175">
        <v>38.197405930913845</v>
      </c>
      <c r="C175">
        <v>6.88146666887235</v>
      </c>
      <c r="H175">
        <v>6.9349999999999996</v>
      </c>
      <c r="I175">
        <v>2.75</v>
      </c>
    </row>
    <row r="176" spans="1:9" x14ac:dyDescent="0.25">
      <c r="A176">
        <v>5.15</v>
      </c>
      <c r="B176">
        <v>38.151334602426417</v>
      </c>
      <c r="C176">
        <v>6.9987391413858164</v>
      </c>
      <c r="H176">
        <v>6.9130000000000003</v>
      </c>
      <c r="I176">
        <v>2.806</v>
      </c>
    </row>
    <row r="177" spans="1:9" x14ac:dyDescent="0.25">
      <c r="A177">
        <v>5.1760000000000002</v>
      </c>
      <c r="B177">
        <v>38.159711207605959</v>
      </c>
      <c r="C177">
        <v>7.4280401568369019</v>
      </c>
      <c r="H177">
        <v>6.9169999999999998</v>
      </c>
      <c r="I177">
        <v>3.0110000000000001</v>
      </c>
    </row>
    <row r="178" spans="1:9" x14ac:dyDescent="0.25">
      <c r="A178">
        <v>5.2030000000000003</v>
      </c>
      <c r="B178">
        <v>37.883283236681351</v>
      </c>
      <c r="C178">
        <v>7.3735922231699345</v>
      </c>
      <c r="H178">
        <v>6.7850000000000001</v>
      </c>
      <c r="I178">
        <v>2.9849999999999999</v>
      </c>
    </row>
    <row r="179" spans="1:9" x14ac:dyDescent="0.25">
      <c r="A179">
        <v>5.23</v>
      </c>
      <c r="B179">
        <v>37.278073512460068</v>
      </c>
      <c r="C179">
        <v>6.6008503953579822</v>
      </c>
      <c r="H179">
        <v>6.4960000000000004</v>
      </c>
      <c r="I179">
        <v>2.6160000000000001</v>
      </c>
    </row>
    <row r="180" spans="1:9" x14ac:dyDescent="0.25">
      <c r="A180">
        <v>5.2560000000000002</v>
      </c>
      <c r="B180">
        <v>36.829925135355026</v>
      </c>
      <c r="C180">
        <v>5.9935465198418143</v>
      </c>
      <c r="H180">
        <v>6.282</v>
      </c>
      <c r="I180">
        <v>2.3260000000000001</v>
      </c>
    </row>
    <row r="181" spans="1:9" x14ac:dyDescent="0.25">
      <c r="A181">
        <v>5.2830000000000004</v>
      </c>
      <c r="B181">
        <v>36.66239303176436</v>
      </c>
      <c r="C181">
        <v>5.81554365977673</v>
      </c>
      <c r="H181">
        <v>6.202</v>
      </c>
      <c r="I181">
        <v>2.2410000000000001</v>
      </c>
    </row>
    <row r="182" spans="1:9" x14ac:dyDescent="0.25">
      <c r="A182">
        <v>5.31</v>
      </c>
      <c r="B182">
        <v>36.517896592417408</v>
      </c>
      <c r="C182">
        <v>5.6019402276986288</v>
      </c>
      <c r="H182">
        <v>6.133</v>
      </c>
      <c r="I182">
        <v>2.1389999999999998</v>
      </c>
    </row>
    <row r="183" spans="1:9" x14ac:dyDescent="0.25">
      <c r="A183">
        <v>5.3360000000000003</v>
      </c>
      <c r="B183">
        <v>36.455072053570916</v>
      </c>
      <c r="C183">
        <v>5.2794409282865953</v>
      </c>
      <c r="H183">
        <v>6.1029999999999998</v>
      </c>
      <c r="I183">
        <v>1.9850000000000001</v>
      </c>
    </row>
    <row r="184" spans="1:9" x14ac:dyDescent="0.25">
      <c r="A184">
        <v>5.3630000000000004</v>
      </c>
      <c r="B184">
        <v>37.198495763254492</v>
      </c>
      <c r="C184">
        <v>5.369489433966578</v>
      </c>
      <c r="H184">
        <v>6.4580000000000002</v>
      </c>
      <c r="I184">
        <v>2.028</v>
      </c>
    </row>
    <row r="185" spans="1:9" x14ac:dyDescent="0.25">
      <c r="A185">
        <v>5.39</v>
      </c>
      <c r="B185">
        <v>38.080133458400375</v>
      </c>
      <c r="C185">
        <v>5.7548132722251131</v>
      </c>
      <c r="H185">
        <v>6.8789999999999996</v>
      </c>
      <c r="I185">
        <v>2.2120000000000002</v>
      </c>
    </row>
    <row r="186" spans="1:9" x14ac:dyDescent="0.25">
      <c r="A186">
        <v>5.4160000000000004</v>
      </c>
      <c r="B186">
        <v>43.139602986838533</v>
      </c>
      <c r="C186">
        <v>15.283201663944309</v>
      </c>
      <c r="H186">
        <v>9.2949999999999999</v>
      </c>
      <c r="I186">
        <v>6.7619999999999996</v>
      </c>
    </row>
    <row r="187" spans="1:9" x14ac:dyDescent="0.25">
      <c r="A187">
        <v>5.4429999999999996</v>
      </c>
      <c r="B187">
        <v>50.647135378995308</v>
      </c>
      <c r="C187">
        <v>30.564223662708038</v>
      </c>
      <c r="H187">
        <v>12.88</v>
      </c>
      <c r="I187">
        <v>14.058999999999999</v>
      </c>
    </row>
    <row r="188" spans="1:9" x14ac:dyDescent="0.25">
      <c r="A188">
        <v>5.47</v>
      </c>
      <c r="B188">
        <v>51.451289476230507</v>
      </c>
      <c r="C188">
        <v>33.125370696350359</v>
      </c>
      <c r="H188">
        <v>13.263999999999999</v>
      </c>
      <c r="I188">
        <v>15.282</v>
      </c>
    </row>
    <row r="189" spans="1:9" x14ac:dyDescent="0.25">
      <c r="A189">
        <v>5.4960000000000004</v>
      </c>
      <c r="B189">
        <v>46.20753463384262</v>
      </c>
      <c r="C189">
        <v>23.192811104718682</v>
      </c>
      <c r="H189">
        <v>10.76</v>
      </c>
      <c r="I189">
        <v>10.539</v>
      </c>
    </row>
    <row r="190" spans="1:9" x14ac:dyDescent="0.25">
      <c r="A190">
        <v>5.5229999999999997</v>
      </c>
      <c r="B190">
        <v>40.048635675590724</v>
      </c>
      <c r="C190">
        <v>11.210077395396214</v>
      </c>
      <c r="H190">
        <v>7.819</v>
      </c>
      <c r="I190">
        <v>4.8170000000000002</v>
      </c>
    </row>
    <row r="191" spans="1:9" x14ac:dyDescent="0.25">
      <c r="A191">
        <v>5.55</v>
      </c>
      <c r="B191">
        <v>37.386969379794003</v>
      </c>
      <c r="C191">
        <v>6.2176207083943309</v>
      </c>
      <c r="H191">
        <v>6.548</v>
      </c>
      <c r="I191">
        <v>2.4329999999999998</v>
      </c>
    </row>
    <row r="192" spans="1:9" x14ac:dyDescent="0.25">
      <c r="A192">
        <v>5.5759999999999996</v>
      </c>
      <c r="B192">
        <v>36.607945098097403</v>
      </c>
      <c r="C192">
        <v>4.9988246547722266</v>
      </c>
      <c r="H192">
        <v>6.1760000000000002</v>
      </c>
      <c r="I192">
        <v>1.851</v>
      </c>
    </row>
    <row r="193" spans="1:9" x14ac:dyDescent="0.25">
      <c r="A193">
        <v>5.6029999999999998</v>
      </c>
      <c r="B193">
        <v>36.547214710545774</v>
      </c>
      <c r="C193">
        <v>4.9632240827592105</v>
      </c>
      <c r="H193">
        <v>6.1470000000000002</v>
      </c>
      <c r="I193">
        <v>1.8340000000000001</v>
      </c>
    </row>
    <row r="194" spans="1:9" x14ac:dyDescent="0.25">
      <c r="A194">
        <v>5.63</v>
      </c>
      <c r="B194">
        <v>36.721029268021098</v>
      </c>
      <c r="C194">
        <v>4.9988246547722266</v>
      </c>
      <c r="H194">
        <v>6.23</v>
      </c>
      <c r="I194">
        <v>1.851</v>
      </c>
    </row>
    <row r="195" spans="1:9" x14ac:dyDescent="0.25">
      <c r="A195">
        <v>5.6559999999999997</v>
      </c>
      <c r="B195">
        <v>36.859243253483392</v>
      </c>
      <c r="C195">
        <v>4.9883538982978104</v>
      </c>
      <c r="H195">
        <v>6.2960000000000003</v>
      </c>
      <c r="I195">
        <v>1.8460000000000001</v>
      </c>
    </row>
    <row r="196" spans="1:9" x14ac:dyDescent="0.25">
      <c r="A196">
        <v>5.6829999999999998</v>
      </c>
      <c r="B196">
        <v>36.938821002688961</v>
      </c>
      <c r="C196">
        <v>4.9590357801694438</v>
      </c>
      <c r="H196">
        <v>6.3339999999999996</v>
      </c>
      <c r="I196">
        <v>1.8320000000000001</v>
      </c>
    </row>
    <row r="197" spans="1:9" x14ac:dyDescent="0.25">
      <c r="A197">
        <v>5.71</v>
      </c>
      <c r="B197">
        <v>36.808983622406195</v>
      </c>
      <c r="C197">
        <v>4.9066819977973601</v>
      </c>
      <c r="H197">
        <v>6.2720000000000002</v>
      </c>
      <c r="I197">
        <v>1.8069999999999999</v>
      </c>
    </row>
    <row r="198" spans="1:9" x14ac:dyDescent="0.25">
      <c r="A198">
        <v>5.7359999999999998</v>
      </c>
      <c r="B198">
        <v>36.687522847302958</v>
      </c>
      <c r="C198">
        <v>4.9255293594513105</v>
      </c>
      <c r="H198">
        <v>6.2140000000000004</v>
      </c>
      <c r="I198">
        <v>1.8160000000000001</v>
      </c>
    </row>
    <row r="199" spans="1:9" x14ac:dyDescent="0.25">
      <c r="A199">
        <v>5.7629999999999999</v>
      </c>
      <c r="B199">
        <v>36.651922275289948</v>
      </c>
      <c r="C199">
        <v>5.0134837138364112</v>
      </c>
      <c r="H199">
        <v>6.1970000000000001</v>
      </c>
      <c r="I199">
        <v>1.8580000000000001</v>
      </c>
    </row>
    <row r="200" spans="1:9" x14ac:dyDescent="0.25">
      <c r="A200">
        <v>5.79</v>
      </c>
      <c r="B200">
        <v>36.656110577879709</v>
      </c>
      <c r="C200">
        <v>5.0260486216057103</v>
      </c>
      <c r="H200">
        <v>6.1989999999999998</v>
      </c>
      <c r="I200">
        <v>1.8640000000000001</v>
      </c>
    </row>
    <row r="201" spans="1:9" x14ac:dyDescent="0.25">
      <c r="A201">
        <v>5.8159999999999998</v>
      </c>
      <c r="B201">
        <v>36.700087755072261</v>
      </c>
      <c r="C201">
        <v>4.9632240827592105</v>
      </c>
      <c r="H201">
        <v>6.22</v>
      </c>
      <c r="I201">
        <v>1.8340000000000001</v>
      </c>
    </row>
    <row r="202" spans="1:9" x14ac:dyDescent="0.25">
      <c r="A202">
        <v>5.843</v>
      </c>
      <c r="B202">
        <v>36.723123419315982</v>
      </c>
      <c r="C202">
        <v>4.8689872744894593</v>
      </c>
      <c r="H202">
        <v>6.2309999999999999</v>
      </c>
      <c r="I202">
        <v>1.7889999999999999</v>
      </c>
    </row>
    <row r="203" spans="1:9" x14ac:dyDescent="0.25">
      <c r="A203">
        <v>5.87</v>
      </c>
      <c r="B203">
        <v>36.737782478380161</v>
      </c>
      <c r="C203">
        <v>4.8271042485917928</v>
      </c>
      <c r="H203">
        <v>6.2380000000000004</v>
      </c>
      <c r="I203">
        <v>1.7689999999999999</v>
      </c>
    </row>
    <row r="204" spans="1:9" x14ac:dyDescent="0.25">
      <c r="A204">
        <v>5.8959999999999999</v>
      </c>
      <c r="B204">
        <v>36.708464360251796</v>
      </c>
      <c r="C204">
        <v>4.8019744330531928</v>
      </c>
      <c r="H204">
        <v>6.2240000000000002</v>
      </c>
      <c r="I204">
        <v>1.7569999999999999</v>
      </c>
    </row>
    <row r="205" spans="1:9" x14ac:dyDescent="0.25">
      <c r="A205">
        <v>5.923</v>
      </c>
      <c r="B205">
        <v>36.639357367520638</v>
      </c>
      <c r="C205">
        <v>4.7768446175145929</v>
      </c>
      <c r="H205">
        <v>6.1909999999999998</v>
      </c>
      <c r="I205">
        <v>1.7450000000000001</v>
      </c>
    </row>
    <row r="206" spans="1:9" x14ac:dyDescent="0.25">
      <c r="A206">
        <v>5.95</v>
      </c>
      <c r="B206">
        <v>36.637263216225769</v>
      </c>
      <c r="C206">
        <v>4.8312925511815603</v>
      </c>
      <c r="H206">
        <v>6.19</v>
      </c>
      <c r="I206">
        <v>1.7709999999999999</v>
      </c>
    </row>
    <row r="207" spans="1:9" x14ac:dyDescent="0.25">
      <c r="A207">
        <v>5.976</v>
      </c>
      <c r="B207">
        <v>36.687522847302958</v>
      </c>
      <c r="C207">
        <v>4.9255293594513105</v>
      </c>
      <c r="H207">
        <v>6.2140000000000004</v>
      </c>
      <c r="I207">
        <v>1.8160000000000001</v>
      </c>
    </row>
    <row r="208" spans="1:9" x14ac:dyDescent="0.25">
      <c r="A208">
        <v>6.0030000000000001</v>
      </c>
      <c r="B208">
        <v>36.708464360251796</v>
      </c>
      <c r="C208">
        <v>4.9171527542717772</v>
      </c>
      <c r="H208">
        <v>6.2240000000000002</v>
      </c>
      <c r="I208">
        <v>1.8120000000000001</v>
      </c>
    </row>
    <row r="209" spans="1:9" x14ac:dyDescent="0.25">
      <c r="A209">
        <v>6.03</v>
      </c>
      <c r="B209">
        <v>36.750347386149464</v>
      </c>
      <c r="C209">
        <v>4.8312925511815603</v>
      </c>
      <c r="H209">
        <v>6.2439999999999998</v>
      </c>
      <c r="I209">
        <v>1.7709999999999999</v>
      </c>
    </row>
    <row r="210" spans="1:9" x14ac:dyDescent="0.25">
      <c r="A210">
        <v>6.056</v>
      </c>
      <c r="B210">
        <v>36.84877249700898</v>
      </c>
      <c r="C210">
        <v>4.7831270713992424</v>
      </c>
      <c r="H210">
        <v>6.2910000000000004</v>
      </c>
      <c r="I210">
        <v>1.748</v>
      </c>
    </row>
    <row r="211" spans="1:9" x14ac:dyDescent="0.25">
      <c r="A211">
        <v>6.0830000000000002</v>
      </c>
      <c r="B211">
        <v>36.96604496952245</v>
      </c>
      <c r="C211">
        <v>4.7998802817583099</v>
      </c>
      <c r="H211">
        <v>6.3470000000000004</v>
      </c>
      <c r="I211">
        <v>1.756</v>
      </c>
    </row>
    <row r="212" spans="1:9" x14ac:dyDescent="0.25">
      <c r="A212">
        <v>6.11</v>
      </c>
      <c r="B212">
        <v>37.030963659663833</v>
      </c>
      <c r="C212">
        <v>4.822915946002027</v>
      </c>
      <c r="H212">
        <v>6.3780000000000001</v>
      </c>
      <c r="I212">
        <v>1.7669999999999999</v>
      </c>
    </row>
    <row r="213" spans="1:9" x14ac:dyDescent="0.25">
      <c r="A213">
        <v>6.1360000000000001</v>
      </c>
      <c r="B213">
        <v>37.072846685561494</v>
      </c>
      <c r="C213">
        <v>4.8354808537713261</v>
      </c>
      <c r="H213">
        <v>6.3979999999999997</v>
      </c>
      <c r="I213">
        <v>1.7729999999999999</v>
      </c>
    </row>
    <row r="214" spans="1:9" x14ac:dyDescent="0.25">
      <c r="A214">
        <v>6.1630000000000003</v>
      </c>
      <c r="B214">
        <v>37.064470080381959</v>
      </c>
      <c r="C214">
        <v>4.8082568869378433</v>
      </c>
      <c r="H214">
        <v>6.3940000000000001</v>
      </c>
      <c r="I214">
        <v>1.76</v>
      </c>
    </row>
    <row r="215" spans="1:9" x14ac:dyDescent="0.25">
      <c r="A215">
        <v>6.19</v>
      </c>
      <c r="B215">
        <v>37.097976501100099</v>
      </c>
      <c r="C215">
        <v>4.7831270713992424</v>
      </c>
      <c r="H215">
        <v>6.41</v>
      </c>
      <c r="I215">
        <v>1.748</v>
      </c>
    </row>
    <row r="216" spans="1:9" x14ac:dyDescent="0.25">
      <c r="A216">
        <v>6.2160000000000002</v>
      </c>
      <c r="B216">
        <v>37.148236132177303</v>
      </c>
      <c r="C216">
        <v>4.7831270713992424</v>
      </c>
      <c r="H216">
        <v>6.4340000000000002</v>
      </c>
      <c r="I216">
        <v>1.748</v>
      </c>
    </row>
    <row r="217" spans="1:9" x14ac:dyDescent="0.25">
      <c r="A217">
        <v>6.2430000000000003</v>
      </c>
      <c r="B217">
        <v>37.160801039946598</v>
      </c>
      <c r="C217">
        <v>4.78731537398901</v>
      </c>
      <c r="H217">
        <v>6.44</v>
      </c>
      <c r="I217">
        <v>1.75</v>
      </c>
    </row>
    <row r="218" spans="1:9" x14ac:dyDescent="0.25">
      <c r="A218">
        <v>6.27</v>
      </c>
      <c r="B218">
        <v>37.206872368434034</v>
      </c>
      <c r="C218">
        <v>4.8208217947071432</v>
      </c>
      <c r="H218">
        <v>6.4619999999999997</v>
      </c>
      <c r="I218">
        <v>1.766</v>
      </c>
    </row>
    <row r="219" spans="1:9" x14ac:dyDescent="0.25">
      <c r="A219">
        <v>6.2960000000000003</v>
      </c>
      <c r="B219">
        <v>37.35765126166563</v>
      </c>
      <c r="C219">
        <v>4.8354808537713261</v>
      </c>
      <c r="H219">
        <v>6.5339999999999998</v>
      </c>
      <c r="I219">
        <v>1.7729999999999999</v>
      </c>
    </row>
    <row r="220" spans="1:9" x14ac:dyDescent="0.25">
      <c r="A220">
        <v>6.3230000000000004</v>
      </c>
      <c r="B220">
        <v>37.491676944538163</v>
      </c>
      <c r="C220">
        <v>4.8417633076559765</v>
      </c>
      <c r="H220">
        <v>6.5979999999999999</v>
      </c>
      <c r="I220">
        <v>1.776</v>
      </c>
    </row>
    <row r="221" spans="1:9" x14ac:dyDescent="0.25">
      <c r="A221">
        <v>6.35</v>
      </c>
      <c r="B221">
        <v>37.479112036768861</v>
      </c>
      <c r="C221">
        <v>4.8375750050662099</v>
      </c>
      <c r="H221">
        <v>6.5919999999999996</v>
      </c>
      <c r="I221">
        <v>1.774</v>
      </c>
    </row>
    <row r="222" spans="1:9" x14ac:dyDescent="0.25">
      <c r="A222">
        <v>6.3760000000000003</v>
      </c>
      <c r="B222">
        <v>37.573348845038616</v>
      </c>
      <c r="C222">
        <v>4.8647989718996936</v>
      </c>
      <c r="H222">
        <v>6.6369999999999996</v>
      </c>
      <c r="I222">
        <v>1.7869999999999999</v>
      </c>
    </row>
    <row r="223" spans="1:9" x14ac:dyDescent="0.25">
      <c r="A223">
        <v>6.4029999999999996</v>
      </c>
      <c r="B223">
        <v>37.684338863667435</v>
      </c>
      <c r="C223">
        <v>4.8857404848485269</v>
      </c>
      <c r="H223">
        <v>6.69</v>
      </c>
      <c r="I223">
        <v>1.7969999999999999</v>
      </c>
    </row>
    <row r="224" spans="1:9" x14ac:dyDescent="0.25">
      <c r="A224">
        <v>6.43</v>
      </c>
      <c r="B224">
        <v>37.713656981795801</v>
      </c>
      <c r="C224">
        <v>4.8794580309638764</v>
      </c>
      <c r="H224">
        <v>6.7039999999999997</v>
      </c>
      <c r="I224">
        <v>1.794</v>
      </c>
    </row>
    <row r="225" spans="1:9" x14ac:dyDescent="0.25">
      <c r="A225">
        <v>6.4560000000000004</v>
      </c>
      <c r="B225">
        <v>37.581725450218144</v>
      </c>
      <c r="C225">
        <v>4.8480457615406269</v>
      </c>
      <c r="H225">
        <v>6.641</v>
      </c>
      <c r="I225">
        <v>1.7789999999999999</v>
      </c>
    </row>
    <row r="226" spans="1:9" x14ac:dyDescent="0.25">
      <c r="A226">
        <v>6.4829999999999997</v>
      </c>
      <c r="B226">
        <v>37.407910892742827</v>
      </c>
      <c r="C226">
        <v>4.8312925511815603</v>
      </c>
      <c r="H226">
        <v>6.5579999999999998</v>
      </c>
      <c r="I226">
        <v>1.7709999999999999</v>
      </c>
    </row>
    <row r="227" spans="1:9" x14ac:dyDescent="0.25">
      <c r="A227">
        <v>6.51</v>
      </c>
      <c r="B227">
        <v>37.345086353896328</v>
      </c>
      <c r="C227">
        <v>4.8480457615406269</v>
      </c>
      <c r="H227">
        <v>6.5279999999999996</v>
      </c>
      <c r="I227">
        <v>1.7789999999999999</v>
      </c>
    </row>
    <row r="228" spans="1:9" x14ac:dyDescent="0.25">
      <c r="A228">
        <v>6.5359999999999996</v>
      </c>
      <c r="B228">
        <v>37.3744044720247</v>
      </c>
      <c r="C228">
        <v>4.9045878465024773</v>
      </c>
      <c r="H228">
        <v>6.5419999999999998</v>
      </c>
      <c r="I228">
        <v>1.806</v>
      </c>
    </row>
    <row r="229" spans="1:9" x14ac:dyDescent="0.25">
      <c r="A229">
        <v>6.5629999999999997</v>
      </c>
      <c r="B229">
        <v>37.430946556986548</v>
      </c>
      <c r="C229">
        <v>4.9695065366438609</v>
      </c>
      <c r="H229">
        <v>6.569</v>
      </c>
      <c r="I229">
        <v>1.837</v>
      </c>
    </row>
    <row r="230" spans="1:9" x14ac:dyDescent="0.25">
      <c r="A230">
        <v>6.59</v>
      </c>
      <c r="B230">
        <v>37.445605616050734</v>
      </c>
      <c r="C230">
        <v>4.9841655957080437</v>
      </c>
      <c r="H230">
        <v>6.5759999999999996</v>
      </c>
      <c r="I230">
        <v>1.8440000000000001</v>
      </c>
    </row>
    <row r="231" spans="1:9" x14ac:dyDescent="0.25">
      <c r="A231">
        <v>6.6159999999999997</v>
      </c>
      <c r="B231">
        <v>37.428852405691657</v>
      </c>
      <c r="C231">
        <v>4.9213410568615439</v>
      </c>
      <c r="H231">
        <v>6.5679999999999996</v>
      </c>
      <c r="I231">
        <v>1.8140000000000001</v>
      </c>
    </row>
    <row r="232" spans="1:9" x14ac:dyDescent="0.25">
      <c r="A232">
        <v>6.6429999999999998</v>
      </c>
      <c r="B232">
        <v>37.35765126166563</v>
      </c>
      <c r="C232">
        <v>4.8689872744894593</v>
      </c>
      <c r="H232">
        <v>6.5339999999999998</v>
      </c>
      <c r="I232">
        <v>1.7889999999999999</v>
      </c>
    </row>
    <row r="233" spans="1:9" x14ac:dyDescent="0.25">
      <c r="A233">
        <v>6.67</v>
      </c>
      <c r="B233">
        <v>37.284355966344712</v>
      </c>
      <c r="C233">
        <v>4.8522340641303927</v>
      </c>
      <c r="H233">
        <v>6.4989999999999997</v>
      </c>
      <c r="I233">
        <v>1.7809999999999999</v>
      </c>
    </row>
    <row r="234" spans="1:9" x14ac:dyDescent="0.25">
      <c r="A234">
        <v>6.6959999999999997</v>
      </c>
      <c r="B234">
        <v>37.242472940447044</v>
      </c>
      <c r="C234">
        <v>4.8396691563610936</v>
      </c>
      <c r="H234">
        <v>6.4790000000000001</v>
      </c>
      <c r="I234">
        <v>1.7749999999999999</v>
      </c>
    </row>
    <row r="235" spans="1:9" x14ac:dyDescent="0.25">
      <c r="A235">
        <v>6.7229999999999999</v>
      </c>
      <c r="B235">
        <v>37.242472940447044</v>
      </c>
      <c r="C235">
        <v>4.8396691563610936</v>
      </c>
      <c r="H235">
        <v>6.4790000000000001</v>
      </c>
      <c r="I235">
        <v>1.7749999999999999</v>
      </c>
    </row>
    <row r="236" spans="1:9" x14ac:dyDescent="0.25">
      <c r="A236">
        <v>6.75</v>
      </c>
      <c r="B236">
        <v>37.319956538357729</v>
      </c>
      <c r="C236">
        <v>4.8417633076559765</v>
      </c>
      <c r="H236">
        <v>6.516</v>
      </c>
      <c r="I236">
        <v>1.776</v>
      </c>
    </row>
    <row r="237" spans="1:9" x14ac:dyDescent="0.25">
      <c r="A237">
        <v>6.7759999999999998</v>
      </c>
      <c r="B237">
        <v>37.428852405691657</v>
      </c>
      <c r="C237">
        <v>4.8480457615406269</v>
      </c>
      <c r="H237">
        <v>6.5679999999999996</v>
      </c>
      <c r="I237">
        <v>1.7789999999999999</v>
      </c>
    </row>
    <row r="238" spans="1:9" x14ac:dyDescent="0.25">
      <c r="A238">
        <v>6.8029999999999999</v>
      </c>
      <c r="B238">
        <v>37.546124878205127</v>
      </c>
      <c r="C238">
        <v>4.8585165180150431</v>
      </c>
      <c r="H238">
        <v>6.6239999999999997</v>
      </c>
      <c r="I238">
        <v>1.784</v>
      </c>
    </row>
    <row r="239" spans="1:9" x14ac:dyDescent="0.25">
      <c r="A239">
        <v>6.83</v>
      </c>
      <c r="B239">
        <v>37.663397350718597</v>
      </c>
      <c r="C239">
        <v>4.8543282154252765</v>
      </c>
      <c r="H239">
        <v>6.68</v>
      </c>
      <c r="I239">
        <v>1.782</v>
      </c>
    </row>
    <row r="240" spans="1:9" x14ac:dyDescent="0.25">
      <c r="A240">
        <v>6.8559999999999999</v>
      </c>
      <c r="B240">
        <v>37.766010764167881</v>
      </c>
      <c r="C240">
        <v>4.8857404848485269</v>
      </c>
      <c r="H240">
        <v>6.7290000000000001</v>
      </c>
      <c r="I240">
        <v>1.7969999999999999</v>
      </c>
    </row>
    <row r="241" spans="1:9" x14ac:dyDescent="0.25">
      <c r="A241">
        <v>6.883</v>
      </c>
      <c r="B241">
        <v>37.824647000424612</v>
      </c>
      <c r="C241">
        <v>4.9150586029768935</v>
      </c>
      <c r="H241">
        <v>6.7569999999999997</v>
      </c>
      <c r="I241">
        <v>1.8109999999999999</v>
      </c>
    </row>
    <row r="242" spans="1:9" x14ac:dyDescent="0.25">
      <c r="A242">
        <v>6.91</v>
      </c>
      <c r="B242">
        <v>37.837211908193908</v>
      </c>
      <c r="C242">
        <v>4.9255293594513105</v>
      </c>
      <c r="H242">
        <v>6.7629999999999999</v>
      </c>
      <c r="I242">
        <v>1.8160000000000001</v>
      </c>
    </row>
    <row r="243" spans="1:9" x14ac:dyDescent="0.25">
      <c r="A243">
        <v>6.9359999999999999</v>
      </c>
      <c r="B243">
        <v>37.843494362078566</v>
      </c>
      <c r="C243">
        <v>4.9506591749899105</v>
      </c>
      <c r="H243">
        <v>6.766</v>
      </c>
      <c r="I243">
        <v>1.8280000000000001</v>
      </c>
    </row>
    <row r="244" spans="1:9" x14ac:dyDescent="0.25">
      <c r="A244">
        <v>6.9630000000000001</v>
      </c>
      <c r="B244">
        <v>37.824647000424612</v>
      </c>
      <c r="C244">
        <v>4.9527533262847943</v>
      </c>
      <c r="H244">
        <v>6.7569999999999997</v>
      </c>
      <c r="I244">
        <v>1.829</v>
      </c>
    </row>
    <row r="245" spans="1:9" x14ac:dyDescent="0.25">
      <c r="A245">
        <v>6.99</v>
      </c>
      <c r="B245">
        <v>37.904224749630188</v>
      </c>
      <c r="C245">
        <v>4.9967305034773446</v>
      </c>
      <c r="H245">
        <v>6.7949999999999999</v>
      </c>
      <c r="I245">
        <v>1.85</v>
      </c>
    </row>
    <row r="246" spans="1:9" x14ac:dyDescent="0.25">
      <c r="A246">
        <v>7.016</v>
      </c>
      <c r="B246">
        <v>38.170181964080371</v>
      </c>
      <c r="C246">
        <v>5.0867790091573273</v>
      </c>
      <c r="H246">
        <v>6.9219999999999997</v>
      </c>
      <c r="I246">
        <v>1.893</v>
      </c>
    </row>
    <row r="247" spans="1:9" x14ac:dyDescent="0.25">
      <c r="A247">
        <v>7.0430000000000001</v>
      </c>
      <c r="B247">
        <v>38.199500082208736</v>
      </c>
      <c r="C247">
        <v>5.1035322195163939</v>
      </c>
      <c r="H247">
        <v>6.9359999999999999</v>
      </c>
      <c r="I247">
        <v>1.901</v>
      </c>
    </row>
    <row r="248" spans="1:9" x14ac:dyDescent="0.25">
      <c r="A248">
        <v>7.07</v>
      </c>
      <c r="B248">
        <v>38.170181964080371</v>
      </c>
      <c r="C248">
        <v>5.0909673117470948</v>
      </c>
      <c r="H248">
        <v>6.9219999999999997</v>
      </c>
      <c r="I248">
        <v>1.895</v>
      </c>
    </row>
    <row r="249" spans="1:9" x14ac:dyDescent="0.25">
      <c r="A249">
        <v>7.0960000000000001</v>
      </c>
      <c r="B249">
        <v>37.885377387976234</v>
      </c>
      <c r="C249">
        <v>4.9904480495926933</v>
      </c>
      <c r="H249">
        <v>6.7859999999999996</v>
      </c>
      <c r="I249">
        <v>1.847</v>
      </c>
    </row>
    <row r="250" spans="1:9" x14ac:dyDescent="0.25">
      <c r="A250">
        <v>7.1230000000000002</v>
      </c>
      <c r="B250">
        <v>37.722033586975328</v>
      </c>
      <c r="C250">
        <v>4.9464708724001438</v>
      </c>
      <c r="H250">
        <v>6.7080000000000002</v>
      </c>
      <c r="I250">
        <v>1.8260000000000001</v>
      </c>
    </row>
    <row r="251" spans="1:9" x14ac:dyDescent="0.25">
      <c r="A251">
        <v>7.15</v>
      </c>
      <c r="B251">
        <v>37.715751133090677</v>
      </c>
      <c r="C251">
        <v>4.9297176620410772</v>
      </c>
      <c r="H251">
        <v>6.7050000000000001</v>
      </c>
      <c r="I251">
        <v>1.8180000000000001</v>
      </c>
    </row>
    <row r="252" spans="1:9" x14ac:dyDescent="0.25">
      <c r="A252">
        <v>7.1760000000000002</v>
      </c>
      <c r="B252">
        <v>37.847682664668334</v>
      </c>
      <c r="C252">
        <v>4.9464708724001438</v>
      </c>
      <c r="H252">
        <v>6.7679999999999998</v>
      </c>
      <c r="I252">
        <v>1.8260000000000001</v>
      </c>
    </row>
    <row r="253" spans="1:9" x14ac:dyDescent="0.25">
      <c r="A253">
        <v>7.2030000000000003</v>
      </c>
      <c r="B253">
        <v>37.971237591066448</v>
      </c>
      <c r="C253">
        <v>4.9674123853489771</v>
      </c>
      <c r="H253">
        <v>6.827</v>
      </c>
      <c r="I253">
        <v>1.8360000000000001</v>
      </c>
    </row>
    <row r="254" spans="1:9" x14ac:dyDescent="0.25">
      <c r="A254">
        <v>7.23</v>
      </c>
      <c r="B254">
        <v>38.057097794156675</v>
      </c>
      <c r="C254">
        <v>4.9716006879387438</v>
      </c>
      <c r="H254">
        <v>6.8680000000000003</v>
      </c>
      <c r="I254">
        <v>1.8380000000000001</v>
      </c>
    </row>
    <row r="255" spans="1:9" x14ac:dyDescent="0.25">
      <c r="A255">
        <v>7.2560000000000002</v>
      </c>
      <c r="B255">
        <v>38.013120616964123</v>
      </c>
      <c r="C255">
        <v>4.9674123853489771</v>
      </c>
      <c r="H255">
        <v>6.8470000000000004</v>
      </c>
      <c r="I255">
        <v>1.8360000000000001</v>
      </c>
    </row>
    <row r="256" spans="1:9" x14ac:dyDescent="0.25">
      <c r="A256">
        <v>7.2830000000000004</v>
      </c>
      <c r="B256">
        <v>37.952390229412501</v>
      </c>
      <c r="C256">
        <v>4.9632240827592105</v>
      </c>
      <c r="H256">
        <v>6.8179999999999996</v>
      </c>
      <c r="I256">
        <v>1.8340000000000001</v>
      </c>
    </row>
    <row r="257" spans="1:9" x14ac:dyDescent="0.25">
      <c r="A257">
        <v>7.31</v>
      </c>
      <c r="B257">
        <v>37.933542867758554</v>
      </c>
      <c r="C257">
        <v>4.9757889905285104</v>
      </c>
      <c r="H257">
        <v>6.8090000000000002</v>
      </c>
      <c r="I257">
        <v>1.84</v>
      </c>
    </row>
    <row r="258" spans="1:9" x14ac:dyDescent="0.25">
      <c r="A258">
        <v>7.3360000000000003</v>
      </c>
      <c r="B258">
        <v>38.000555709194813</v>
      </c>
      <c r="C258">
        <v>5.0281427729005941</v>
      </c>
      <c r="H258">
        <v>6.8410000000000002</v>
      </c>
      <c r="I258">
        <v>1.865</v>
      </c>
    </row>
    <row r="259" spans="1:9" x14ac:dyDescent="0.25">
      <c r="A259">
        <v>7.3630000000000004</v>
      </c>
      <c r="B259">
        <v>38.096886668759453</v>
      </c>
      <c r="C259">
        <v>5.0742141013880273</v>
      </c>
      <c r="H259">
        <v>6.8869999999999996</v>
      </c>
      <c r="I259">
        <v>1.887</v>
      </c>
    </row>
    <row r="260" spans="1:9" x14ac:dyDescent="0.25">
      <c r="A260">
        <v>7.39</v>
      </c>
      <c r="B260">
        <v>38.1534287537213</v>
      </c>
      <c r="C260">
        <v>5.0888731604522102</v>
      </c>
      <c r="H260">
        <v>6.9139999999999997</v>
      </c>
      <c r="I260">
        <v>1.8939999999999999</v>
      </c>
    </row>
    <row r="261" spans="1:9" x14ac:dyDescent="0.25">
      <c r="A261">
        <v>7.4160000000000004</v>
      </c>
      <c r="B261">
        <v>38.134581392067354</v>
      </c>
      <c r="C261">
        <v>5.0721199500931444</v>
      </c>
      <c r="H261">
        <v>6.9050000000000002</v>
      </c>
      <c r="I261">
        <v>1.8859999999999999</v>
      </c>
    </row>
    <row r="262" spans="1:9" x14ac:dyDescent="0.25">
      <c r="A262">
        <v>7.4429999999999996</v>
      </c>
      <c r="B262">
        <v>38.092698366169678</v>
      </c>
      <c r="C262">
        <v>5.0637433449136111</v>
      </c>
      <c r="H262">
        <v>6.8849999999999998</v>
      </c>
      <c r="I262">
        <v>1.8819999999999999</v>
      </c>
    </row>
    <row r="263" spans="1:9" x14ac:dyDescent="0.25">
      <c r="A263">
        <v>7.47</v>
      </c>
      <c r="B263">
        <v>38.023591373438535</v>
      </c>
      <c r="C263">
        <v>5.0595550423238436</v>
      </c>
      <c r="H263">
        <v>6.8520000000000003</v>
      </c>
      <c r="I263">
        <v>1.88</v>
      </c>
    </row>
    <row r="264" spans="1:9" x14ac:dyDescent="0.25">
      <c r="A264">
        <v>7.4960000000000004</v>
      </c>
      <c r="B264">
        <v>37.979614196245983</v>
      </c>
      <c r="C264">
        <v>5.114002975990811</v>
      </c>
      <c r="H264">
        <v>6.8310000000000004</v>
      </c>
      <c r="I264">
        <v>1.9059999999999999</v>
      </c>
    </row>
    <row r="265" spans="1:9" x14ac:dyDescent="0.25">
      <c r="A265">
        <v>7.5229999999999997</v>
      </c>
      <c r="B265">
        <v>37.923072111284135</v>
      </c>
      <c r="C265">
        <v>5.1349444889396434</v>
      </c>
      <c r="H265">
        <v>6.8040000000000003</v>
      </c>
      <c r="I265">
        <v>1.9159999999999999</v>
      </c>
    </row>
    <row r="266" spans="1:9" x14ac:dyDescent="0.25">
      <c r="A266">
        <v>7.55</v>
      </c>
      <c r="B266">
        <v>37.893753993155762</v>
      </c>
      <c r="C266">
        <v>5.1516976992987109</v>
      </c>
      <c r="H266">
        <v>6.79</v>
      </c>
      <c r="I266">
        <v>1.9239999999999999</v>
      </c>
    </row>
    <row r="267" spans="1:9" x14ac:dyDescent="0.25">
      <c r="A267">
        <v>7.5759999999999996</v>
      </c>
      <c r="B267">
        <v>37.883283236681351</v>
      </c>
      <c r="C267">
        <v>5.1726392122475442</v>
      </c>
      <c r="H267">
        <v>6.7850000000000001</v>
      </c>
      <c r="I267">
        <v>1.9339999999999999</v>
      </c>
    </row>
    <row r="268" spans="1:9" x14ac:dyDescent="0.25">
      <c r="A268">
        <v>7.6029999999999998</v>
      </c>
      <c r="B268">
        <v>37.856059269847862</v>
      </c>
      <c r="C268">
        <v>5.1328503376447614</v>
      </c>
      <c r="H268">
        <v>6.7720000000000002</v>
      </c>
      <c r="I268">
        <v>1.915</v>
      </c>
    </row>
    <row r="269" spans="1:9" x14ac:dyDescent="0.25">
      <c r="A269">
        <v>7.63</v>
      </c>
      <c r="B269">
        <v>37.849776815963217</v>
      </c>
      <c r="C269">
        <v>5.1244737324652281</v>
      </c>
      <c r="H269">
        <v>6.7690000000000001</v>
      </c>
      <c r="I269">
        <v>1.911</v>
      </c>
    </row>
    <row r="270" spans="1:9" x14ac:dyDescent="0.25">
      <c r="A270">
        <v>7.6559999999999997</v>
      </c>
      <c r="B270">
        <v>37.822552849129735</v>
      </c>
      <c r="C270">
        <v>5.1014380682215101</v>
      </c>
      <c r="H270">
        <v>6.7560000000000002</v>
      </c>
      <c r="I270">
        <v>1.9</v>
      </c>
    </row>
    <row r="271" spans="1:9" x14ac:dyDescent="0.25">
      <c r="A271">
        <v>7.6829999999999998</v>
      </c>
      <c r="B271">
        <v>37.759728310283229</v>
      </c>
      <c r="C271">
        <v>5.0825907065675615</v>
      </c>
      <c r="H271">
        <v>6.726</v>
      </c>
      <c r="I271">
        <v>1.891</v>
      </c>
    </row>
    <row r="272" spans="1:9" x14ac:dyDescent="0.25">
      <c r="A272">
        <v>7.71</v>
      </c>
      <c r="B272">
        <v>37.650832442949294</v>
      </c>
      <c r="C272">
        <v>5.0616491936187273</v>
      </c>
      <c r="H272">
        <v>6.6740000000000004</v>
      </c>
      <c r="I272">
        <v>1.881</v>
      </c>
    </row>
    <row r="273" spans="1:9" x14ac:dyDescent="0.25">
      <c r="A273">
        <v>7.7359999999999998</v>
      </c>
      <c r="B273">
        <v>37.527277516551187</v>
      </c>
      <c r="C273">
        <v>5.0407076806698941</v>
      </c>
      <c r="H273">
        <v>6.6150000000000002</v>
      </c>
      <c r="I273">
        <v>1.871</v>
      </c>
    </row>
    <row r="274" spans="1:9" x14ac:dyDescent="0.25">
      <c r="A274">
        <v>7.7629999999999999</v>
      </c>
      <c r="B274">
        <v>37.458170523820037</v>
      </c>
      <c r="C274">
        <v>5.0407076806698941</v>
      </c>
      <c r="H274">
        <v>6.5819999999999999</v>
      </c>
      <c r="I274">
        <v>1.871</v>
      </c>
    </row>
    <row r="275" spans="1:9" x14ac:dyDescent="0.25">
      <c r="A275">
        <v>7.79</v>
      </c>
      <c r="B275">
        <v>37.456076372525146</v>
      </c>
      <c r="C275">
        <v>5.0595550423238436</v>
      </c>
      <c r="H275">
        <v>6.5810000000000004</v>
      </c>
      <c r="I275">
        <v>1.88</v>
      </c>
    </row>
    <row r="276" spans="1:9" x14ac:dyDescent="0.25">
      <c r="A276">
        <v>7.8159999999999998</v>
      </c>
      <c r="B276">
        <v>37.487488641948396</v>
      </c>
      <c r="C276">
        <v>5.0763082526829102</v>
      </c>
      <c r="H276">
        <v>6.5960000000000001</v>
      </c>
      <c r="I276">
        <v>1.8879999999999999</v>
      </c>
    </row>
    <row r="277" spans="1:9" x14ac:dyDescent="0.25">
      <c r="A277">
        <v>7.843</v>
      </c>
      <c r="B277">
        <v>37.53984242432049</v>
      </c>
      <c r="C277">
        <v>5.1035322195163939</v>
      </c>
      <c r="H277">
        <v>6.6210000000000004</v>
      </c>
      <c r="I277">
        <v>1.901</v>
      </c>
    </row>
    <row r="278" spans="1:9" x14ac:dyDescent="0.25">
      <c r="A278">
        <v>7.87</v>
      </c>
      <c r="B278">
        <v>37.564972239859081</v>
      </c>
      <c r="C278">
        <v>5.1119088246959272</v>
      </c>
      <c r="H278">
        <v>6.633</v>
      </c>
      <c r="I278">
        <v>1.905</v>
      </c>
    </row>
    <row r="279" spans="1:9" x14ac:dyDescent="0.25">
      <c r="A279">
        <v>7.8959999999999999</v>
      </c>
      <c r="B279">
        <v>37.548219029500018</v>
      </c>
      <c r="C279">
        <v>5.1056263708112777</v>
      </c>
      <c r="H279">
        <v>6.625</v>
      </c>
      <c r="I279">
        <v>1.9019999999999999</v>
      </c>
    </row>
    <row r="280" spans="1:9" x14ac:dyDescent="0.25">
      <c r="A280">
        <v>7.923</v>
      </c>
      <c r="B280">
        <v>37.489582793243279</v>
      </c>
      <c r="C280">
        <v>5.1223795811703443</v>
      </c>
      <c r="H280">
        <v>6.5970000000000004</v>
      </c>
      <c r="I280">
        <v>1.91</v>
      </c>
    </row>
    <row r="281" spans="1:9" x14ac:dyDescent="0.25">
      <c r="A281">
        <v>7.95</v>
      </c>
      <c r="B281">
        <v>37.363933715550274</v>
      </c>
      <c r="C281">
        <v>5.1475093967089443</v>
      </c>
      <c r="H281">
        <v>6.5369999999999999</v>
      </c>
      <c r="I281">
        <v>1.9219999999999999</v>
      </c>
    </row>
    <row r="282" spans="1:9" x14ac:dyDescent="0.25">
      <c r="A282">
        <v>7.976</v>
      </c>
      <c r="B282">
        <v>37.232002183972632</v>
      </c>
      <c r="C282">
        <v>5.1977690277861441</v>
      </c>
      <c r="H282">
        <v>6.4740000000000002</v>
      </c>
      <c r="I282">
        <v>1.946</v>
      </c>
    </row>
    <row r="283" spans="1:9" x14ac:dyDescent="0.25">
      <c r="A283">
        <v>8.0030000000000001</v>
      </c>
      <c r="B283">
        <v>37.074940836856385</v>
      </c>
      <c r="C283">
        <v>5.2208046920298612</v>
      </c>
      <c r="H283">
        <v>6.399</v>
      </c>
      <c r="I283">
        <v>1.9570000000000001</v>
      </c>
    </row>
    <row r="284" spans="1:9" x14ac:dyDescent="0.25">
      <c r="A284">
        <v>8.0299999999999994</v>
      </c>
      <c r="B284">
        <v>36.976515725996862</v>
      </c>
      <c r="C284">
        <v>5.2208046920298612</v>
      </c>
      <c r="H284">
        <v>6.3520000000000003</v>
      </c>
      <c r="I284">
        <v>1.9570000000000001</v>
      </c>
    </row>
    <row r="285" spans="1:9" x14ac:dyDescent="0.25">
      <c r="A285">
        <v>8.0559999999999992</v>
      </c>
      <c r="B285">
        <v>37.077034988151262</v>
      </c>
      <c r="C285">
        <v>5.2082397842605612</v>
      </c>
      <c r="H285">
        <v>6.4</v>
      </c>
      <c r="I285">
        <v>1.9510000000000001</v>
      </c>
    </row>
    <row r="286" spans="1:9" x14ac:dyDescent="0.25">
      <c r="A286">
        <v>8.0830000000000002</v>
      </c>
      <c r="B286">
        <v>36.991174785061055</v>
      </c>
      <c r="C286">
        <v>5.1810158174270775</v>
      </c>
      <c r="H286">
        <v>6.359</v>
      </c>
      <c r="I286">
        <v>1.9379999999999999</v>
      </c>
    </row>
    <row r="287" spans="1:9" x14ac:dyDescent="0.25">
      <c r="A287">
        <v>8.11</v>
      </c>
      <c r="B287">
        <v>36.911597035855472</v>
      </c>
      <c r="C287">
        <v>5.1579801531833613</v>
      </c>
      <c r="H287">
        <v>6.3209999999999997</v>
      </c>
      <c r="I287">
        <v>1.927</v>
      </c>
    </row>
    <row r="288" spans="1:9" x14ac:dyDescent="0.25">
      <c r="A288">
        <v>8.1359999999999992</v>
      </c>
      <c r="B288">
        <v>36.626792459751343</v>
      </c>
      <c r="C288">
        <v>5.1579801531833613</v>
      </c>
      <c r="H288">
        <v>6.1849999999999996</v>
      </c>
      <c r="I288">
        <v>1.927</v>
      </c>
    </row>
    <row r="289" spans="1:9" x14ac:dyDescent="0.25">
      <c r="A289">
        <v>8.1630000000000003</v>
      </c>
      <c r="B289">
        <v>36.354552791416509</v>
      </c>
      <c r="C289">
        <v>5.1579801531833613</v>
      </c>
      <c r="H289">
        <v>6.0549999999999997</v>
      </c>
      <c r="I289">
        <v>1.927</v>
      </c>
    </row>
    <row r="290" spans="1:9" x14ac:dyDescent="0.25">
      <c r="A290">
        <v>8.19</v>
      </c>
      <c r="B290">
        <v>36.2184329572491</v>
      </c>
      <c r="C290">
        <v>5.1642626070680109</v>
      </c>
      <c r="H290">
        <v>5.99</v>
      </c>
      <c r="I290">
        <v>1.93</v>
      </c>
    </row>
    <row r="291" spans="1:9" x14ac:dyDescent="0.25">
      <c r="A291">
        <v>8.2159999999999993</v>
      </c>
      <c r="B291">
        <v>36.159796720992361</v>
      </c>
      <c r="C291">
        <v>5.1852041200168442</v>
      </c>
      <c r="H291">
        <v>5.9619999999999997</v>
      </c>
      <c r="I291">
        <v>1.94</v>
      </c>
    </row>
    <row r="292" spans="1:9" x14ac:dyDescent="0.25">
      <c r="A292">
        <v>8.2430000000000003</v>
      </c>
      <c r="B292">
        <v>36.138855208043523</v>
      </c>
      <c r="C292">
        <v>5.2124280868503279</v>
      </c>
      <c r="H292">
        <v>5.952</v>
      </c>
      <c r="I292">
        <v>1.9530000000000001</v>
      </c>
    </row>
    <row r="293" spans="1:9" x14ac:dyDescent="0.25">
      <c r="A293">
        <v>8.27</v>
      </c>
      <c r="B293">
        <v>36.107442938620281</v>
      </c>
      <c r="C293">
        <v>5.2312754485042783</v>
      </c>
      <c r="H293">
        <v>5.9370000000000003</v>
      </c>
      <c r="I293">
        <v>1.962</v>
      </c>
    </row>
    <row r="294" spans="1:9" x14ac:dyDescent="0.25">
      <c r="A294">
        <v>8.2959999999999994</v>
      </c>
      <c r="B294">
        <v>36.032053492004479</v>
      </c>
      <c r="C294">
        <v>5.248028658863344</v>
      </c>
      <c r="H294">
        <v>5.9009999999999998</v>
      </c>
      <c r="I294">
        <v>1.97</v>
      </c>
    </row>
    <row r="295" spans="1:9" x14ac:dyDescent="0.25">
      <c r="A295">
        <v>8.3230000000000004</v>
      </c>
      <c r="B295">
        <v>35.885462901362644</v>
      </c>
      <c r="C295">
        <v>5.2689701718121782</v>
      </c>
      <c r="H295">
        <v>5.8310000000000004</v>
      </c>
      <c r="I295">
        <v>1.98</v>
      </c>
    </row>
    <row r="296" spans="1:9" x14ac:dyDescent="0.25">
      <c r="A296">
        <v>8.35</v>
      </c>
      <c r="B296">
        <v>35.688612679643612</v>
      </c>
      <c r="C296">
        <v>5.3129473490047285</v>
      </c>
      <c r="H296">
        <v>5.7370000000000001</v>
      </c>
      <c r="I296">
        <v>2.0009999999999999</v>
      </c>
    </row>
    <row r="297" spans="1:9" x14ac:dyDescent="0.25">
      <c r="A297">
        <v>8.3759999999999994</v>
      </c>
      <c r="B297">
        <v>35.428937919078074</v>
      </c>
      <c r="C297">
        <v>5.3276064080689114</v>
      </c>
      <c r="H297">
        <v>5.6130000000000004</v>
      </c>
      <c r="I297">
        <v>2.008</v>
      </c>
    </row>
    <row r="298" spans="1:9" x14ac:dyDescent="0.25">
      <c r="A298">
        <v>8.4030000000000005</v>
      </c>
      <c r="B298">
        <v>35.192298822756257</v>
      </c>
      <c r="C298">
        <v>5.344359618427978</v>
      </c>
      <c r="H298">
        <v>5.5</v>
      </c>
      <c r="I298">
        <v>2.016</v>
      </c>
    </row>
    <row r="299" spans="1:9" x14ac:dyDescent="0.25">
      <c r="A299">
        <v>8.43</v>
      </c>
      <c r="B299">
        <v>34.987071995857697</v>
      </c>
      <c r="C299">
        <v>5.3548303749023951</v>
      </c>
      <c r="H299">
        <v>5.4020000000000001</v>
      </c>
      <c r="I299">
        <v>2.0209999999999999</v>
      </c>
    </row>
    <row r="300" spans="1:9" x14ac:dyDescent="0.25">
      <c r="A300">
        <v>8.4559999999999995</v>
      </c>
      <c r="B300">
        <v>34.809069135792605</v>
      </c>
      <c r="C300">
        <v>5.3276064080689114</v>
      </c>
      <c r="H300">
        <v>5.3170000000000002</v>
      </c>
      <c r="I300">
        <v>2.008</v>
      </c>
    </row>
    <row r="301" spans="1:9" x14ac:dyDescent="0.25">
      <c r="A301">
        <v>8.4830000000000005</v>
      </c>
      <c r="B301">
        <v>34.999636903626993</v>
      </c>
      <c r="C301">
        <v>5.3255122567740285</v>
      </c>
      <c r="H301">
        <v>5.4080000000000004</v>
      </c>
      <c r="I301">
        <v>2.0070000000000001</v>
      </c>
    </row>
    <row r="302" spans="1:9" x14ac:dyDescent="0.25">
      <c r="A302">
        <v>8.51</v>
      </c>
      <c r="B302">
        <v>38.375408790978938</v>
      </c>
      <c r="C302">
        <v>5.3380771645433285</v>
      </c>
      <c r="H302">
        <v>7.02</v>
      </c>
      <c r="I302">
        <v>2.0129999999999999</v>
      </c>
    </row>
    <row r="303" spans="1:9" x14ac:dyDescent="0.25">
      <c r="A303">
        <v>8.5359999999999996</v>
      </c>
      <c r="B303">
        <v>40.915614311672428</v>
      </c>
      <c r="C303">
        <v>5.3632069800819284</v>
      </c>
      <c r="H303">
        <v>8.2330000000000005</v>
      </c>
      <c r="I303">
        <v>2.0249999999999999</v>
      </c>
    </row>
    <row r="304" spans="1:9" x14ac:dyDescent="0.25">
      <c r="A304">
        <v>8.5630000000000006</v>
      </c>
      <c r="B304">
        <v>41.587836877329984</v>
      </c>
      <c r="C304">
        <v>5.3757718878512293</v>
      </c>
      <c r="H304">
        <v>8.5540000000000003</v>
      </c>
      <c r="I304">
        <v>2.0310000000000001</v>
      </c>
    </row>
    <row r="305" spans="1:9" x14ac:dyDescent="0.25">
      <c r="A305">
        <v>8.59</v>
      </c>
      <c r="B305">
        <v>40.831848259877091</v>
      </c>
      <c r="C305">
        <v>5.3925250982102959</v>
      </c>
      <c r="H305">
        <v>8.1929999999999996</v>
      </c>
      <c r="I305">
        <v>2.0390000000000001</v>
      </c>
    </row>
    <row r="306" spans="1:9" x14ac:dyDescent="0.25">
      <c r="A306">
        <v>8.6159999999999997</v>
      </c>
      <c r="B306">
        <v>36.656110577879709</v>
      </c>
      <c r="C306">
        <v>5.4176549137488959</v>
      </c>
      <c r="H306">
        <v>6.1989999999999998</v>
      </c>
      <c r="I306">
        <v>2.0510000000000002</v>
      </c>
    </row>
    <row r="307" spans="1:9" x14ac:dyDescent="0.25">
      <c r="A307">
        <v>8.6430000000000007</v>
      </c>
      <c r="B307">
        <v>34.448875113072667</v>
      </c>
      <c r="C307">
        <v>5.4260315189284292</v>
      </c>
      <c r="H307">
        <v>5.1449999999999996</v>
      </c>
      <c r="I307">
        <v>2.0550000000000002</v>
      </c>
    </row>
    <row r="308" spans="1:9" x14ac:dyDescent="0.25">
      <c r="A308">
        <v>8.67</v>
      </c>
      <c r="B308">
        <v>33.477188912246802</v>
      </c>
      <c r="C308">
        <v>5.4344081241079625</v>
      </c>
      <c r="H308">
        <v>4.681</v>
      </c>
      <c r="I308">
        <v>2.0590000000000002</v>
      </c>
    </row>
    <row r="309" spans="1:9" x14ac:dyDescent="0.25">
      <c r="A309">
        <v>8.6959999999999997</v>
      </c>
      <c r="B309">
        <v>33.047887896795714</v>
      </c>
      <c r="C309">
        <v>5.4490671831721453</v>
      </c>
      <c r="H309">
        <v>4.476</v>
      </c>
      <c r="I309">
        <v>2.0659999999999998</v>
      </c>
    </row>
    <row r="310" spans="1:9" x14ac:dyDescent="0.25">
      <c r="A310">
        <v>8.7230000000000008</v>
      </c>
      <c r="B310">
        <v>32.649999150767883</v>
      </c>
      <c r="C310">
        <v>5.4574437883516786</v>
      </c>
      <c r="H310">
        <v>4.2859999999999996</v>
      </c>
      <c r="I310">
        <v>2.0699999999999998</v>
      </c>
    </row>
    <row r="311" spans="1:9" x14ac:dyDescent="0.25">
      <c r="A311">
        <v>8.75</v>
      </c>
      <c r="B311">
        <v>32.216509832727034</v>
      </c>
      <c r="C311">
        <v>5.4490671831721453</v>
      </c>
      <c r="H311">
        <v>4.0789999999999997</v>
      </c>
      <c r="I311">
        <v>2.0659999999999998</v>
      </c>
    </row>
    <row r="312" spans="1:9" x14ac:dyDescent="0.25">
      <c r="A312">
        <v>8.7759999999999998</v>
      </c>
      <c r="B312">
        <v>31.774643909506651</v>
      </c>
      <c r="C312">
        <v>5.4427847292874958</v>
      </c>
      <c r="H312">
        <v>3.8679999999999999</v>
      </c>
      <c r="I312">
        <v>2.0630000000000002</v>
      </c>
    </row>
    <row r="313" spans="1:9" x14ac:dyDescent="0.25">
      <c r="A313">
        <v>8.8030000000000008</v>
      </c>
      <c r="B313">
        <v>31.320213078516961</v>
      </c>
      <c r="C313">
        <v>5.4553496370567949</v>
      </c>
      <c r="H313">
        <v>3.6509999999999998</v>
      </c>
      <c r="I313">
        <v>2.069</v>
      </c>
    </row>
    <row r="314" spans="1:9" x14ac:dyDescent="0.25">
      <c r="A314">
        <v>8.83</v>
      </c>
      <c r="B314">
        <v>30.886723760476112</v>
      </c>
      <c r="C314">
        <v>5.476291150005629</v>
      </c>
      <c r="H314">
        <v>3.444</v>
      </c>
      <c r="I314">
        <v>2.0790000000000002</v>
      </c>
    </row>
    <row r="315" spans="1:9" x14ac:dyDescent="0.25">
      <c r="A315">
        <v>8.8559999999999999</v>
      </c>
      <c r="B315">
        <v>30.509776527397108</v>
      </c>
      <c r="C315">
        <v>5.5097975707237623</v>
      </c>
      <c r="H315">
        <v>3.2639999999999998</v>
      </c>
      <c r="I315">
        <v>2.0950000000000002</v>
      </c>
    </row>
    <row r="316" spans="1:9" x14ac:dyDescent="0.25">
      <c r="A316">
        <v>8.8829999999999991</v>
      </c>
      <c r="B316">
        <v>30.185183076690191</v>
      </c>
      <c r="C316">
        <v>5.5474922940316622</v>
      </c>
      <c r="H316">
        <v>3.109</v>
      </c>
      <c r="I316">
        <v>2.113</v>
      </c>
    </row>
    <row r="317" spans="1:9" x14ac:dyDescent="0.25">
      <c r="A317">
        <v>8.91</v>
      </c>
      <c r="B317">
        <v>29.933884921304191</v>
      </c>
      <c r="C317">
        <v>5.5830928660446784</v>
      </c>
      <c r="H317">
        <v>2.9889999999999999</v>
      </c>
      <c r="I317">
        <v>2.13</v>
      </c>
    </row>
    <row r="318" spans="1:9" x14ac:dyDescent="0.25">
      <c r="A318">
        <v>8.9359999999999999</v>
      </c>
      <c r="B318">
        <v>29.619762227071693</v>
      </c>
      <c r="C318">
        <v>5.6040343789935125</v>
      </c>
      <c r="H318">
        <v>2.839</v>
      </c>
      <c r="I318">
        <v>2.14</v>
      </c>
    </row>
    <row r="319" spans="1:9" x14ac:dyDescent="0.25">
      <c r="A319">
        <v>8.9629999999999992</v>
      </c>
      <c r="B319">
        <v>29.203026119389907</v>
      </c>
      <c r="C319">
        <v>5.6249758919423458</v>
      </c>
      <c r="H319">
        <v>2.64</v>
      </c>
      <c r="I319">
        <v>2.15</v>
      </c>
    </row>
    <row r="320" spans="1:9" x14ac:dyDescent="0.25">
      <c r="A320">
        <v>8.99</v>
      </c>
      <c r="B320">
        <v>28.700429808617901</v>
      </c>
      <c r="C320">
        <v>5.6333524971218791</v>
      </c>
      <c r="H320">
        <v>2.4</v>
      </c>
      <c r="I320">
        <v>2.1539999999999999</v>
      </c>
    </row>
    <row r="321" spans="1:9" x14ac:dyDescent="0.25">
      <c r="A321">
        <v>9.016</v>
      </c>
      <c r="B321">
        <v>28.193645195256138</v>
      </c>
      <c r="C321">
        <v>5.6521998587758286</v>
      </c>
      <c r="H321">
        <v>2.1579999999999999</v>
      </c>
      <c r="I321">
        <v>2.1629999999999998</v>
      </c>
    </row>
    <row r="322" spans="1:9" x14ac:dyDescent="0.25">
      <c r="A322">
        <v>9.0429999999999993</v>
      </c>
      <c r="B322">
        <v>27.877428349728753</v>
      </c>
      <c r="C322">
        <v>5.6773296743144286</v>
      </c>
      <c r="H322">
        <v>2.0070000000000001</v>
      </c>
      <c r="I322">
        <v>2.1749999999999998</v>
      </c>
    </row>
    <row r="323" spans="1:9" x14ac:dyDescent="0.25">
      <c r="A323">
        <v>9.07</v>
      </c>
      <c r="B323">
        <v>27.418809216149299</v>
      </c>
      <c r="C323">
        <v>5.708741943737679</v>
      </c>
      <c r="H323">
        <v>1.788</v>
      </c>
      <c r="I323">
        <v>2.19</v>
      </c>
    </row>
    <row r="324" spans="1:9" x14ac:dyDescent="0.25">
      <c r="A324">
        <v>9.0960000000000001</v>
      </c>
      <c r="B324">
        <v>27.020920470121467</v>
      </c>
      <c r="C324">
        <v>5.7631898774046473</v>
      </c>
      <c r="H324">
        <v>1.5980000000000001</v>
      </c>
      <c r="I324">
        <v>2.2160000000000002</v>
      </c>
    </row>
    <row r="325" spans="1:9" x14ac:dyDescent="0.25">
      <c r="A325">
        <v>9.1229999999999993</v>
      </c>
      <c r="B325">
        <v>26.430369804964364</v>
      </c>
      <c r="C325">
        <v>5.7966962981227805</v>
      </c>
      <c r="H325">
        <v>1.3160000000000001</v>
      </c>
      <c r="I325">
        <v>2.2320000000000002</v>
      </c>
    </row>
    <row r="326" spans="1:9" x14ac:dyDescent="0.25">
      <c r="A326">
        <v>9.15</v>
      </c>
      <c r="B326">
        <v>25.772806298370995</v>
      </c>
      <c r="C326">
        <v>5.82810856754603</v>
      </c>
      <c r="H326">
        <v>1.002</v>
      </c>
      <c r="I326">
        <v>2.2469999999999999</v>
      </c>
    </row>
    <row r="327" spans="1:9" x14ac:dyDescent="0.25">
      <c r="A327">
        <v>9.1760000000000002</v>
      </c>
      <c r="B327">
        <v>25.138278456021343</v>
      </c>
      <c r="C327">
        <v>5.8595208369692795</v>
      </c>
      <c r="H327">
        <v>0.69899999999999995</v>
      </c>
      <c r="I327">
        <v>2.262</v>
      </c>
    </row>
    <row r="328" spans="1:9" x14ac:dyDescent="0.25">
      <c r="A328">
        <v>9.2029999999999994</v>
      </c>
      <c r="B328">
        <v>24.486997403312625</v>
      </c>
      <c r="C328">
        <v>5.8658032908539308</v>
      </c>
      <c r="H328">
        <v>0.38800000000000001</v>
      </c>
      <c r="I328">
        <v>2.2650000000000001</v>
      </c>
    </row>
    <row r="329" spans="1:9" x14ac:dyDescent="0.25">
      <c r="A329">
        <v>9.23</v>
      </c>
      <c r="B329">
        <v>23.720538029385324</v>
      </c>
      <c r="C329">
        <v>5.8783681986232299</v>
      </c>
      <c r="H329">
        <v>2.1999999999999999E-2</v>
      </c>
      <c r="I329">
        <v>2.2709999999999999</v>
      </c>
    </row>
    <row r="330" spans="1:9" x14ac:dyDescent="0.25">
      <c r="A330">
        <v>9.2560000000000002</v>
      </c>
      <c r="B330">
        <v>22.905913175675703</v>
      </c>
      <c r="C330">
        <v>5.8972155602771803</v>
      </c>
      <c r="H330">
        <v>-0.36699999999999999</v>
      </c>
      <c r="I330">
        <v>2.2799999999999998</v>
      </c>
    </row>
    <row r="331" spans="1:9" x14ac:dyDescent="0.25">
      <c r="A331">
        <v>9.2829999999999995</v>
      </c>
      <c r="B331">
        <v>22.007522270170753</v>
      </c>
      <c r="C331">
        <v>5.9202512245208965</v>
      </c>
      <c r="H331">
        <v>-0.79600000000000004</v>
      </c>
      <c r="I331">
        <v>2.2909999999999999</v>
      </c>
    </row>
    <row r="332" spans="1:9" x14ac:dyDescent="0.25">
      <c r="A332">
        <v>9.31</v>
      </c>
      <c r="B332">
        <v>21.109131364665799</v>
      </c>
      <c r="C332">
        <v>5.9474751913543802</v>
      </c>
      <c r="H332">
        <v>-1.2250000000000001</v>
      </c>
      <c r="I332">
        <v>2.3039999999999998</v>
      </c>
    </row>
    <row r="333" spans="1:9" x14ac:dyDescent="0.25">
      <c r="A333">
        <v>9.3360000000000003</v>
      </c>
      <c r="B333">
        <v>20.208646307865962</v>
      </c>
      <c r="C333">
        <v>5.9726050068929801</v>
      </c>
      <c r="H333">
        <v>-1.655</v>
      </c>
      <c r="I333">
        <v>2.3159999999999998</v>
      </c>
    </row>
    <row r="334" spans="1:9" x14ac:dyDescent="0.25">
      <c r="A334">
        <v>9.3629999999999995</v>
      </c>
      <c r="B334">
        <v>19.268372376463343</v>
      </c>
      <c r="C334">
        <v>5.9998289737264638</v>
      </c>
      <c r="H334">
        <v>-2.1040000000000001</v>
      </c>
      <c r="I334">
        <v>2.3290000000000002</v>
      </c>
    </row>
    <row r="335" spans="1:9" x14ac:dyDescent="0.25">
      <c r="A335">
        <v>9.39</v>
      </c>
      <c r="B335">
        <v>18.275744662688641</v>
      </c>
      <c r="C335">
        <v>6.0270529405599476</v>
      </c>
      <c r="H335">
        <v>-2.5779999999999998</v>
      </c>
      <c r="I335">
        <v>2.3420000000000001</v>
      </c>
    </row>
    <row r="336" spans="1:9" x14ac:dyDescent="0.25">
      <c r="A336">
        <v>9.4160000000000004</v>
      </c>
      <c r="B336">
        <v>17.255892982080454</v>
      </c>
      <c r="C336">
        <v>6.0647476638678475</v>
      </c>
      <c r="H336">
        <v>-3.0649999999999999</v>
      </c>
      <c r="I336">
        <v>2.36</v>
      </c>
    </row>
    <row r="337" spans="1:9" x14ac:dyDescent="0.25">
      <c r="A337">
        <v>9.4429999999999996</v>
      </c>
      <c r="B337">
        <v>16.23813545276715</v>
      </c>
      <c r="C337">
        <v>6.1024423871757474</v>
      </c>
      <c r="H337">
        <v>-3.5510000000000002</v>
      </c>
      <c r="I337">
        <v>2.3780000000000001</v>
      </c>
    </row>
    <row r="338" spans="1:9" x14ac:dyDescent="0.25">
      <c r="A338">
        <v>9.4700000000000006</v>
      </c>
      <c r="B338">
        <v>15.230848679928261</v>
      </c>
      <c r="C338">
        <v>6.1443254130734148</v>
      </c>
      <c r="H338">
        <v>-4.032</v>
      </c>
      <c r="I338">
        <v>2.3980000000000001</v>
      </c>
    </row>
    <row r="339" spans="1:9" x14ac:dyDescent="0.25">
      <c r="A339">
        <v>9.4960000000000004</v>
      </c>
      <c r="B339">
        <v>14.275915689461458</v>
      </c>
      <c r="C339">
        <v>6.2008674980352634</v>
      </c>
      <c r="H339">
        <v>-4.4880000000000004</v>
      </c>
      <c r="I339">
        <v>2.4249999999999998</v>
      </c>
    </row>
    <row r="340" spans="1:9" x14ac:dyDescent="0.25">
      <c r="A340">
        <v>9.5229999999999997</v>
      </c>
      <c r="B340">
        <v>13.381713086546274</v>
      </c>
      <c r="C340">
        <v>6.2657861881766479</v>
      </c>
      <c r="H340">
        <v>-4.915</v>
      </c>
      <c r="I340">
        <v>2.456</v>
      </c>
    </row>
    <row r="341" spans="1:9" x14ac:dyDescent="0.25">
      <c r="A341">
        <v>9.5500000000000007</v>
      </c>
      <c r="B341">
        <v>12.535675963413404</v>
      </c>
      <c r="C341">
        <v>6.3516463912668639</v>
      </c>
      <c r="H341">
        <v>-5.319</v>
      </c>
      <c r="I341">
        <v>2.4969999999999999</v>
      </c>
    </row>
    <row r="342" spans="1:9" x14ac:dyDescent="0.25">
      <c r="A342">
        <v>9.5760000000000005</v>
      </c>
      <c r="B342">
        <v>11.959784357320485</v>
      </c>
      <c r="C342">
        <v>6.4081884762287151</v>
      </c>
      <c r="H342">
        <v>-5.5940000000000003</v>
      </c>
      <c r="I342">
        <v>2.524</v>
      </c>
    </row>
    <row r="343" spans="1:9" x14ac:dyDescent="0.25">
      <c r="A343">
        <v>9.6029999999999998</v>
      </c>
      <c r="B343">
        <v>11.737804320062851</v>
      </c>
      <c r="C343">
        <v>6.458448107305915</v>
      </c>
      <c r="H343">
        <v>-5.7</v>
      </c>
      <c r="I343">
        <v>2.548</v>
      </c>
    </row>
    <row r="344" spans="1:9" x14ac:dyDescent="0.25">
      <c r="A344">
        <v>9.6300000000000008</v>
      </c>
      <c r="B344">
        <v>11.080240813469484</v>
      </c>
      <c r="C344">
        <v>6.494048679318932</v>
      </c>
      <c r="H344">
        <v>-6.0140000000000002</v>
      </c>
      <c r="I344">
        <v>2.5649999999999999</v>
      </c>
    </row>
    <row r="345" spans="1:9" x14ac:dyDescent="0.25">
      <c r="A345">
        <v>9.6560000000000006</v>
      </c>
      <c r="B345">
        <v>9.9870938375403817</v>
      </c>
      <c r="C345">
        <v>6.5087077383831158</v>
      </c>
      <c r="H345">
        <v>-6.5359999999999996</v>
      </c>
      <c r="I345">
        <v>2.5720000000000001</v>
      </c>
    </row>
    <row r="346" spans="1:9" x14ac:dyDescent="0.25">
      <c r="A346">
        <v>9.6829999999999998</v>
      </c>
      <c r="B346">
        <v>8.3704090378904414</v>
      </c>
      <c r="C346">
        <v>6.5484966129858986</v>
      </c>
      <c r="H346">
        <v>-7.3079999999999998</v>
      </c>
      <c r="I346">
        <v>2.5910000000000002</v>
      </c>
    </row>
    <row r="347" spans="1:9" x14ac:dyDescent="0.25">
      <c r="A347">
        <v>9.7100000000000009</v>
      </c>
      <c r="B347">
        <v>7.358933962461788</v>
      </c>
      <c r="C347">
        <v>6.6050386979477489</v>
      </c>
      <c r="H347">
        <v>-7.7910000000000004</v>
      </c>
      <c r="I347">
        <v>2.6179999999999999</v>
      </c>
    </row>
    <row r="348" spans="1:9" x14ac:dyDescent="0.25">
      <c r="A348">
        <v>9.7360000000000007</v>
      </c>
      <c r="B348">
        <v>6.7055587584581868</v>
      </c>
      <c r="C348">
        <v>6.6762398419737821</v>
      </c>
      <c r="H348">
        <v>-8.1029999999999998</v>
      </c>
      <c r="I348">
        <v>2.6520000000000001</v>
      </c>
    </row>
    <row r="349" spans="1:9" x14ac:dyDescent="0.25">
      <c r="A349">
        <v>9.7629999999999999</v>
      </c>
      <c r="B349">
        <v>6.1066314881215522</v>
      </c>
      <c r="C349">
        <v>6.7369702295253999</v>
      </c>
      <c r="H349">
        <v>-8.3889999999999993</v>
      </c>
      <c r="I349">
        <v>2.681</v>
      </c>
    </row>
    <row r="350" spans="1:9" x14ac:dyDescent="0.25">
      <c r="A350">
        <v>9.7899999999999991</v>
      </c>
      <c r="B350">
        <v>5.4302206198742331</v>
      </c>
      <c r="C350">
        <v>6.7767591041281827</v>
      </c>
      <c r="H350">
        <v>-8.7119999999999997</v>
      </c>
      <c r="I350">
        <v>2.7</v>
      </c>
    </row>
    <row r="351" spans="1:9" x14ac:dyDescent="0.25">
      <c r="A351">
        <v>9.8160000000000007</v>
      </c>
      <c r="B351">
        <v>4.7391506925627311</v>
      </c>
      <c r="C351">
        <v>6.8207362813207331</v>
      </c>
      <c r="H351">
        <v>-9.0419999999999998</v>
      </c>
      <c r="I351">
        <v>2.7210000000000001</v>
      </c>
    </row>
    <row r="352" spans="1:9" x14ac:dyDescent="0.25">
      <c r="A352">
        <v>9.843</v>
      </c>
      <c r="B352">
        <v>4.1674473890595802</v>
      </c>
      <c r="C352">
        <v>6.8898432740518825</v>
      </c>
      <c r="H352">
        <v>-9.3149999999999995</v>
      </c>
      <c r="I352">
        <v>2.754</v>
      </c>
    </row>
    <row r="353" spans="1:9" x14ac:dyDescent="0.25">
      <c r="A353">
        <v>9.8699999999999992</v>
      </c>
      <c r="B353">
        <v>3.6732276834671103</v>
      </c>
      <c r="C353">
        <v>6.9966449900909344</v>
      </c>
      <c r="H353">
        <v>-9.5510000000000002</v>
      </c>
      <c r="I353">
        <v>2.8050000000000002</v>
      </c>
    </row>
    <row r="354" spans="1:9" x14ac:dyDescent="0.25">
      <c r="A354">
        <v>9.8960000000000008</v>
      </c>
      <c r="B354">
        <v>3.1957611882337091</v>
      </c>
      <c r="C354">
        <v>7.0552812263476667</v>
      </c>
      <c r="H354">
        <v>-9.7789999999999999</v>
      </c>
      <c r="I354">
        <v>2.8330000000000002</v>
      </c>
    </row>
    <row r="355" spans="1:9" x14ac:dyDescent="0.25">
      <c r="A355">
        <v>9.923</v>
      </c>
      <c r="B355">
        <v>2.7685543240775061</v>
      </c>
      <c r="C355">
        <v>7.0657519828220838</v>
      </c>
      <c r="H355">
        <v>-9.9830000000000005</v>
      </c>
      <c r="I355">
        <v>2.8380000000000001</v>
      </c>
    </row>
    <row r="356" spans="1:9" x14ac:dyDescent="0.25">
      <c r="A356">
        <v>9.9499999999999993</v>
      </c>
      <c r="B356">
        <v>2.4125486039473389</v>
      </c>
      <c r="C356">
        <v>7.0552812263476667</v>
      </c>
      <c r="H356">
        <v>-10.153</v>
      </c>
      <c r="I356">
        <v>2.8330000000000002</v>
      </c>
    </row>
    <row r="357" spans="1:9" x14ac:dyDescent="0.25">
      <c r="A357">
        <v>9.9760000000000009</v>
      </c>
      <c r="B357">
        <v>2.1863802640999408</v>
      </c>
      <c r="C357">
        <v>7.0825051931811505</v>
      </c>
      <c r="H357">
        <v>-10.260999999999999</v>
      </c>
      <c r="I357">
        <v>2.8460000000000001</v>
      </c>
    </row>
    <row r="358" spans="1:9" x14ac:dyDescent="0.25">
      <c r="A358">
        <v>10.003</v>
      </c>
      <c r="B358">
        <v>2.0000007988553228</v>
      </c>
      <c r="C358">
        <v>7.1139174626044008</v>
      </c>
      <c r="H358">
        <v>-10.35</v>
      </c>
      <c r="I358">
        <v>2.8610000000000002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Peaks</vt:lpstr>
      <vt:lpstr>Summary</vt:lpstr>
      <vt:lpstr>Chromatograms</vt:lpstr>
      <vt:lpstr>Overlay</vt:lpstr>
      <vt:lpstr>UVGrid</vt:lpstr>
      <vt:lpstr>UVSearch</vt:lpstr>
      <vt:lpstr>Database</vt:lpstr>
      <vt:lpstr>Controls</vt:lpstr>
      <vt:lpstr>UVVisData</vt:lpstr>
      <vt:lpstr>NormalisedUVVisData</vt:lpstr>
      <vt:lpstr>PeakLabels</vt:lpstr>
      <vt:lpstr>MSData</vt:lpstr>
      <vt:lpstr>MSSpectra</vt:lpstr>
      <vt:lpstr>MSPeakLabels</vt:lpstr>
      <vt:lpstr>ChromatogramData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Andrew Piggott</dc:creator>
  <cp:lastModifiedBy>Radicinol</cp:lastModifiedBy>
  <dcterms:created xsi:type="dcterms:W3CDTF">2016-03-16T04:32:06Z</dcterms:created>
  <dcterms:modified xsi:type="dcterms:W3CDTF">2020-09-28T03:22:28Z</dcterms:modified>
</cp:coreProperties>
</file>