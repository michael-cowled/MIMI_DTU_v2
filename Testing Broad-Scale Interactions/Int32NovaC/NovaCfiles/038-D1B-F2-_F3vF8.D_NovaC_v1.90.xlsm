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2.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3.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charts/chart1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harts/chart16.xml" ContentType="application/vnd.openxmlformats-officedocument.drawingml.chart+xml"/>
  <Override PartName="/xl/charts/style3.xml" ContentType="application/vnd.ms-office.chartstyle+xml"/>
  <Override PartName="/xl/charts/colors3.xml" ContentType="application/vnd.ms-office.chartcolorstyle+xml"/>
  <Override PartName="/xl/charts/chart17.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harts/chart1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activeX/activeX1.xml" ContentType="application/vnd.ms-office.activeX+xml"/>
  <Override PartName="/xl/activeX/activeX1.bin" ContentType="application/vnd.ms-office.activeX"/>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harts/chart19.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ml.chartshapes+xml"/>
  <Override PartName="/xl/charts/chart20.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drawings/drawing13.xml" ContentType="application/vnd.openxmlformats-officedocument.drawing+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Z:\Staff\Michael\Metabolomics\Int_Exp_32_novaC\13602_NCE222.S\NovaCfiles\"/>
    </mc:Choice>
  </mc:AlternateContent>
  <xr:revisionPtr revIDLastSave="0" documentId="13_ncr:1_{F332AC05-5641-4648-8EE5-251E8C5A7718}" xr6:coauthVersionLast="45" xr6:coauthVersionMax="45" xr10:uidLastSave="{00000000-0000-0000-0000-000000000000}"/>
  <bookViews>
    <workbookView xWindow="-120" yWindow="-120" windowWidth="29040" windowHeight="15840" xr2:uid="{00000000-000D-0000-FFFF-FFFF00000000}"/>
  </bookViews>
  <sheets>
    <sheet name="Peaks" sheetId="1" r:id="rId1"/>
    <sheet name="Summary" sheetId="11" r:id="rId2"/>
    <sheet name="Chromatograms" sheetId="14" r:id="rId3"/>
    <sheet name="Overlay" sheetId="12" r:id="rId4"/>
    <sheet name="UVGrid" sheetId="15" r:id="rId5"/>
    <sheet name="UVSearch" sheetId="17" r:id="rId6"/>
    <sheet name="Database" sheetId="16" r:id="rId7"/>
    <sheet name="Controls" sheetId="10" r:id="rId8"/>
    <sheet name="UVVisData" sheetId="2" state="hidden" r:id="rId9"/>
    <sheet name="NormalisedUVVisData" sheetId="3" state="hidden" r:id="rId10"/>
    <sheet name="PeakLabels" sheetId="5" state="hidden" r:id="rId11"/>
    <sheet name="MSData" sheetId="7" state="hidden" r:id="rId12"/>
    <sheet name="MSSpectra" sheetId="8" state="hidden" r:id="rId13"/>
    <sheet name="MSPeakLabels" sheetId="9" state="hidden" r:id="rId14"/>
    <sheet name="ChromatogramData" sheetId="13" state="hidden" r:id="rId15"/>
  </sheets>
  <functionGroups builtInGroupCount="19"/>
  <definedNames>
    <definedName name="_xlnm._FilterDatabase" localSheetId="6" hidden="1">Database!$B$1:$HX$1</definedName>
    <definedName name="_xlnm._FilterDatabase" localSheetId="0" hidden="1">Peaks!$A$4:$S$4</definedName>
  </definedNames>
  <calcPr calcId="191029" calcMode="manual"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 i="11" l="1"/>
  <c r="L6" i="11"/>
  <c r="L29" i="11" l="1"/>
  <c r="M29" i="11" s="1"/>
  <c r="L28" i="11"/>
  <c r="M28" i="11" s="1"/>
  <c r="L27" i="11"/>
  <c r="M27" i="11" s="1"/>
  <c r="L26" i="11"/>
  <c r="M26" i="11" s="1"/>
  <c r="L25" i="11"/>
  <c r="M25" i="11" s="1"/>
  <c r="L24" i="11"/>
  <c r="M24" i="11" s="1"/>
  <c r="L23" i="11"/>
  <c r="M23" i="11" s="1"/>
  <c r="L22" i="11"/>
  <c r="M22" i="11" s="1"/>
  <c r="L21" i="11"/>
  <c r="M21" i="11" s="1"/>
  <c r="L20" i="11"/>
  <c r="M20" i="11" s="1"/>
  <c r="L19" i="11"/>
  <c r="M19" i="11" s="1"/>
  <c r="L18" i="11"/>
  <c r="M18" i="11" s="1"/>
  <c r="L17" i="11"/>
  <c r="M17" i="11" s="1"/>
  <c r="L16" i="11"/>
  <c r="M16" i="11" s="1"/>
  <c r="L15" i="11"/>
  <c r="M15" i="11" s="1"/>
  <c r="L14" i="11"/>
  <c r="M14" i="11" s="1"/>
  <c r="L13" i="11"/>
  <c r="M13" i="11" s="1"/>
  <c r="L12" i="11"/>
  <c r="M12" i="11" s="1"/>
  <c r="L11" i="11"/>
  <c r="M11" i="11" s="1"/>
  <c r="L10" i="11"/>
  <c r="M10" i="11" s="1"/>
  <c r="D5" i="1" l="1"/>
  <c r="D6" i="1"/>
  <c r="D7" i="1"/>
  <c r="D8" i="1"/>
  <c r="D9" i="1"/>
  <c r="D10" i="1"/>
  <c r="D11" i="1"/>
  <c r="D12" i="1"/>
  <c r="D13" i="1"/>
  <c r="D14" i="1"/>
  <c r="D15" i="1"/>
  <c r="D16" i="1"/>
  <c r="D17" i="1"/>
  <c r="L9" i="11" l="1"/>
  <c r="M9" i="11" s="1"/>
  <c r="L8" i="11"/>
  <c r="M8" i="11" s="1"/>
  <c r="L7" i="11"/>
  <c r="M7" i="11" s="1"/>
  <c r="M6" i="11"/>
  <c r="L5" i="11"/>
  <c r="M5" i="11" s="1"/>
  <c r="L4" i="11"/>
  <c r="M4" i="11" s="1"/>
  <c r="M3" i="11"/>
  <c r="L2" i="11"/>
  <c r="M2" i="11" s="1"/>
  <c r="F17" i="1" l="1"/>
  <c r="F16" i="1"/>
  <c r="F15" i="1"/>
  <c r="F14" i="1"/>
  <c r="F13" i="1"/>
  <c r="F12" i="1"/>
  <c r="F11" i="1"/>
  <c r="F10" i="1"/>
  <c r="F9" i="1"/>
  <c r="F8" i="1"/>
  <c r="F7" i="1"/>
  <c r="F6" i="1"/>
  <c r="F5" i="1"/>
  <c r="I24" i="11" l="1"/>
  <c r="E24" i="11"/>
  <c r="E22" i="11"/>
  <c r="I22" i="11"/>
  <c r="G20" i="11" l="1"/>
  <c r="G18" i="11"/>
  <c r="G16" i="11"/>
  <c r="G14" i="11"/>
  <c r="G12" i="11"/>
  <c r="G10" i="11"/>
  <c r="C20" i="11"/>
  <c r="C18" i="11"/>
  <c r="C16" i="11"/>
  <c r="C14" i="11"/>
  <c r="C12" i="11"/>
  <c r="C10" i="11"/>
  <c r="G4" i="11"/>
  <c r="G6" i="11"/>
  <c r="G8" i="11"/>
  <c r="C8" i="11"/>
  <c r="C6" i="11"/>
  <c r="C4" i="11"/>
  <c r="I20" i="11" l="1"/>
  <c r="I18" i="11"/>
  <c r="I16" i="11"/>
  <c r="I14" i="11"/>
  <c r="I12" i="11"/>
  <c r="I10" i="11"/>
  <c r="E20" i="11" l="1"/>
  <c r="E18" i="11"/>
  <c r="E16" i="11"/>
  <c r="E14" i="11"/>
  <c r="E12" i="11"/>
  <c r="E10" i="11"/>
  <c r="E8" i="11"/>
  <c r="E6" i="11"/>
  <c r="E4" i="11"/>
  <c r="I17" i="1"/>
  <c r="I14" i="1"/>
  <c r="I11" i="1"/>
  <c r="I10" i="1"/>
  <c r="I12" i="1"/>
  <c r="I9" i="1"/>
  <c r="I13" i="1"/>
  <c r="I6" i="1"/>
  <c r="I5" i="1"/>
  <c r="I8" i="1"/>
  <c r="I16" i="1"/>
  <c r="I15" i="1"/>
  <c r="I7" i="1"/>
  <c r="K12" i="1"/>
  <c r="K11" i="1"/>
  <c r="K16" i="1"/>
  <c r="K13" i="1"/>
  <c r="K7" i="1"/>
  <c r="K15" i="1"/>
  <c r="K14" i="1"/>
  <c r="K10" i="1"/>
  <c r="K17" i="1"/>
  <c r="K9" i="1"/>
  <c r="K8" i="1"/>
  <c r="K6" i="1"/>
  <c r="K5" i="1"/>
</calcChain>
</file>

<file path=xl/sharedStrings.xml><?xml version="1.0" encoding="utf-8"?>
<sst xmlns="http://schemas.openxmlformats.org/spreadsheetml/2006/main" count="217" uniqueCount="163">
  <si>
    <t>RetTime</t>
  </si>
  <si>
    <t>Area</t>
  </si>
  <si>
    <t>%Area</t>
  </si>
  <si>
    <t>Cum%Area</t>
  </si>
  <si>
    <t>UV-Vis</t>
  </si>
  <si>
    <t>WL</t>
  </si>
  <si>
    <t>ID</t>
  </si>
  <si>
    <t>Path:</t>
  </si>
  <si>
    <t>Name:</t>
  </si>
  <si>
    <t>MW</t>
  </si>
  <si>
    <t>MS Positive</t>
  </si>
  <si>
    <t>MS Negative</t>
  </si>
  <si>
    <t>UV Peaks</t>
  </si>
  <si>
    <t>Pos/Neg</t>
  </si>
  <si>
    <t>Rank</t>
  </si>
  <si>
    <t>X</t>
  </si>
  <si>
    <t>Total number of peaks</t>
  </si>
  <si>
    <t>Total peak Area</t>
  </si>
  <si>
    <t>#</t>
  </si>
  <si>
    <t>%</t>
  </si>
  <si>
    <t>Cutoffs</t>
  </si>
  <si>
    <t>Peaks - UV</t>
  </si>
  <si>
    <t>Area - UV</t>
  </si>
  <si>
    <t>Peaks - Non-UV</t>
  </si>
  <si>
    <t>Area - Non-UV</t>
  </si>
  <si>
    <t>Red numbers are NOT linked to summary</t>
  </si>
  <si>
    <t>(min)</t>
  </si>
  <si>
    <t>(ratio)</t>
  </si>
  <si>
    <t>Class A</t>
  </si>
  <si>
    <t>Time</t>
  </si>
  <si>
    <t>x</t>
  </si>
  <si>
    <t>Height</t>
  </si>
  <si>
    <t>Peak</t>
  </si>
  <si>
    <t>210 nm</t>
  </si>
  <si>
    <t>254 nm</t>
  </si>
  <si>
    <t>MS Pos</t>
  </si>
  <si>
    <t>MS Neg</t>
  </si>
  <si>
    <t>210raw</t>
  </si>
  <si>
    <t>254raw</t>
  </si>
  <si>
    <t>Posraw</t>
  </si>
  <si>
    <t>Negraw</t>
  </si>
  <si>
    <t>Rel Height</t>
  </si>
  <si>
    <t>Inconclusive</t>
  </si>
  <si>
    <t>Unresolved</t>
  </si>
  <si>
    <r>
      <rPr>
        <b/>
        <sz val="11"/>
        <color theme="1"/>
        <rFont val="Calibri"/>
        <family val="2"/>
        <scheme val="minor"/>
      </rPr>
      <t>Step 1</t>
    </r>
    <r>
      <rPr>
        <sz val="11"/>
        <color theme="1"/>
        <rFont val="Calibri"/>
        <family val="2"/>
        <scheme val="minor"/>
      </rPr>
      <t>: Highlight label in list -----&gt;</t>
    </r>
  </si>
  <si>
    <r>
      <rPr>
        <b/>
        <sz val="11"/>
        <color theme="1"/>
        <rFont val="Calibri"/>
        <family val="2"/>
        <scheme val="minor"/>
      </rPr>
      <t>Step 2:</t>
    </r>
    <r>
      <rPr>
        <sz val="11"/>
        <color theme="1"/>
        <rFont val="Calibri"/>
        <family val="2"/>
        <scheme val="minor"/>
      </rPr>
      <t xml:space="preserve"> Click on a button below</t>
    </r>
  </si>
  <si>
    <t>Peaks - Hidden</t>
  </si>
  <si>
    <t>Exclude hidden peak area (0=No;1=Yes)</t>
  </si>
  <si>
    <t>Peak Label</t>
  </si>
  <si>
    <t>Class B</t>
  </si>
  <si>
    <t>Class C</t>
  </si>
  <si>
    <t>Class D</t>
  </si>
  <si>
    <t>Class E</t>
  </si>
  <si>
    <t>Class F</t>
  </si>
  <si>
    <t>Class G</t>
  </si>
  <si>
    <t>Class H</t>
  </si>
  <si>
    <t>Class I</t>
  </si>
  <si>
    <t>Class J</t>
  </si>
  <si>
    <t>Class K</t>
  </si>
  <si>
    <t>Class L</t>
  </si>
  <si>
    <t>Class M</t>
  </si>
  <si>
    <t>Class N</t>
  </si>
  <si>
    <t>Class O</t>
  </si>
  <si>
    <t>Class P</t>
  </si>
  <si>
    <t>Notes</t>
  </si>
  <si>
    <t>Class Q</t>
  </si>
  <si>
    <t>Class R</t>
  </si>
  <si>
    <t>Class S</t>
  </si>
  <si>
    <t>Class T</t>
  </si>
  <si>
    <t>Class U</t>
  </si>
  <si>
    <t>Class V</t>
  </si>
  <si>
    <t>Class W</t>
  </si>
  <si>
    <t>Class X</t>
  </si>
  <si>
    <t>Class Y</t>
  </si>
  <si>
    <t>Class Z</t>
  </si>
  <si>
    <t>Click Mode</t>
  </si>
  <si>
    <t>Relative Peak Threshold</t>
  </si>
  <si>
    <t>Absolute Peak Threshold</t>
  </si>
  <si>
    <t>Zap Peak Distance</t>
  </si>
  <si>
    <t>Relative Shoulder Threshold</t>
  </si>
  <si>
    <t>Absolute Shoulder Threshold</t>
  </si>
  <si>
    <t>Zap Shoulder Distance</t>
  </si>
  <si>
    <t>mAU</t>
  </si>
  <si>
    <t>nm</t>
  </si>
  <si>
    <t>Shoulder Sensitivity</t>
  </si>
  <si>
    <t>Slope Sensitivity</t>
  </si>
  <si>
    <t>To hide or show a particular class:</t>
  </si>
  <si>
    <t>Peak Label Settings</t>
  </si>
  <si>
    <t>Bogus Spectrum Sensitivity</t>
  </si>
  <si>
    <t>Bogus Spectrum Label</t>
  </si>
  <si>
    <t>Name</t>
  </si>
  <si>
    <t>Unique</t>
  </si>
  <si>
    <t>Retention Time</t>
  </si>
  <si>
    <t>Exact Mass</t>
  </si>
  <si>
    <t>Copy Table Settings</t>
  </si>
  <si>
    <t>Grid Options</t>
  </si>
  <si>
    <t>Auto Class and Database Lookup Settings</t>
  </si>
  <si>
    <t>Hash</t>
  </si>
  <si>
    <t>Root Mean Square</t>
  </si>
  <si>
    <t>Area Between Curves</t>
  </si>
  <si>
    <t>Kolmogorov-Smirnov</t>
  </si>
  <si>
    <t>Fréchet distance</t>
  </si>
  <si>
    <t>Euclidean Distance</t>
  </si>
  <si>
    <t>Sensitivity</t>
  </si>
  <si>
    <t>Range</t>
  </si>
  <si>
    <t>Algorithm for comparing UV-vis spectra</t>
  </si>
  <si>
    <t>Wavelengths of spectra to compare</t>
  </si>
  <si>
    <t>Retention Time Tolerance</t>
  </si>
  <si>
    <t>min</t>
  </si>
  <si>
    <t>Step</t>
  </si>
  <si>
    <t>Simplify</t>
  </si>
  <si>
    <t>RT</t>
  </si>
  <si>
    <t>Match</t>
  </si>
  <si>
    <t>l</t>
  </si>
  <si>
    <t>Down</t>
  </si>
  <si>
    <t>Up</t>
  </si>
  <si>
    <t>Wavelengths of spectra to search</t>
  </si>
  <si>
    <t>Max Rank</t>
  </si>
  <si>
    <t>Maximum Rank (return the 'n' largest peaks)</t>
  </si>
  <si>
    <t>Minimum absolute area of peak</t>
  </si>
  <si>
    <t>% Area</t>
  </si>
  <si>
    <t>Minimum percent of total peak area</t>
  </si>
  <si>
    <t>Minimum absolute peak height</t>
  </si>
  <si>
    <t>Minimum relative peak height (Largest peak = 100%)</t>
  </si>
  <si>
    <t>Min RT</t>
  </si>
  <si>
    <t>Minimum retention time (increase to avoid solvent front/early eluting peaks)</t>
  </si>
  <si>
    <t>Max RT</t>
  </si>
  <si>
    <t>Maximum retention time (decrease to avoid reequilibration artifacts/fats)</t>
  </si>
  <si>
    <t>Database "Add Peaks" Selection</t>
  </si>
  <si>
    <t>Maximum Database Hits to Display</t>
  </si>
  <si>
    <t>Filename</t>
  </si>
  <si>
    <t>Append to Database Peak Name</t>
  </si>
  <si>
    <t>Peak Name if no ID</t>
  </si>
  <si>
    <t>NovaC v1.90</t>
  </si>
  <si>
    <t>(02 Dec 2019)</t>
  </si>
  <si>
    <t>E:\HPLC 2 Data\13602_NCE222\13602_NCE222 2020-09-24 17-34-15\038-D1B-F2-_F3vF8.D</t>
  </si>
  <si>
    <t>_F3vF8</t>
  </si>
  <si>
    <t>WL(nm)</t>
  </si>
  <si>
    <t>284s</t>
  </si>
  <si>
    <t>262s</t>
  </si>
  <si>
    <t>300s</t>
  </si>
  <si>
    <t>330s</t>
  </si>
  <si>
    <t>364s</t>
  </si>
  <si>
    <t>374s</t>
  </si>
  <si>
    <t>390s</t>
  </si>
  <si>
    <t>280s</t>
  </si>
  <si>
    <t>402s</t>
  </si>
  <si>
    <t>368s</t>
  </si>
  <si>
    <t>398s</t>
  </si>
  <si>
    <t>388s</t>
  </si>
  <si>
    <t>1</t>
  </si>
  <si>
    <t>2</t>
  </si>
  <si>
    <t>3</t>
  </si>
  <si>
    <t>4</t>
  </si>
  <si>
    <t>5</t>
  </si>
  <si>
    <t>6</t>
  </si>
  <si>
    <t>7</t>
  </si>
  <si>
    <t>8</t>
  </si>
  <si>
    <t>9</t>
  </si>
  <si>
    <t>10</t>
  </si>
  <si>
    <t>11</t>
  </si>
  <si>
    <t>12</t>
  </si>
  <si>
    <t>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</si>
</sst>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23" x14ac:knownFonts="1">
    <font>
      <sz val="11"/>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b/>
      <sz val="11"/>
      <color theme="1"/>
      <name val="Calibri"/>
      <family val="2"/>
      <scheme val="minor"/>
    </font>
    <font>
      <b/>
      <sz val="11"/>
      <color rgb="FFFF0000"/>
      <name val="Calibri"/>
      <family val="2"/>
      <scheme val="minor"/>
    </font>
    <font>
      <b/>
      <sz val="11"/>
      <color rgb="FF0000FF"/>
      <name val="Calibri"/>
      <family val="2"/>
      <scheme val="minor"/>
    </font>
    <font>
      <b/>
      <sz val="11"/>
      <name val="Calibri"/>
      <family val="2"/>
      <scheme val="minor"/>
    </font>
    <font>
      <sz val="11"/>
      <color theme="1"/>
      <name val="Calibri"/>
      <family val="2"/>
      <scheme val="minor"/>
    </font>
    <font>
      <sz val="11"/>
      <color rgb="FFFF0000"/>
      <name val="Calibri"/>
      <family val="2"/>
      <scheme val="minor"/>
    </font>
    <font>
      <b/>
      <sz val="12"/>
      <color theme="1"/>
      <name val="Calibri"/>
      <family val="2"/>
      <scheme val="minor"/>
    </font>
    <font>
      <sz val="8"/>
      <color rgb="FF000000"/>
      <name val="Segoe UI"/>
      <family val="2"/>
    </font>
    <font>
      <b/>
      <sz val="12"/>
      <color rgb="FFFF0000"/>
      <name val="Calibri"/>
      <family val="2"/>
      <scheme val="minor"/>
    </font>
    <font>
      <b/>
      <sz val="14"/>
      <color rgb="FFFF0000"/>
      <name val="Calibri"/>
      <family val="2"/>
      <scheme val="minor"/>
    </font>
    <font>
      <i/>
      <sz val="11"/>
      <color theme="1"/>
      <name val="Calibri"/>
      <family val="2"/>
      <scheme val="minor"/>
    </font>
    <font>
      <b/>
      <sz val="14"/>
      <color rgb="FFFF0000"/>
      <name val="Calibri"/>
      <family val="2"/>
    </font>
    <font>
      <sz val="14"/>
      <color rgb="FF000000"/>
      <name val="Calibri"/>
      <family val="2"/>
    </font>
    <font>
      <sz val="16"/>
      <color rgb="FF000000"/>
      <name val="Calibri"/>
      <family val="2"/>
    </font>
    <font>
      <b/>
      <sz val="14"/>
      <color rgb="FF000000"/>
      <name val="Calibri"/>
      <family val="2"/>
    </font>
    <font>
      <sz val="10"/>
      <color theme="1"/>
      <name val="Calibri"/>
      <family val="2"/>
      <scheme val="minor"/>
    </font>
    <font>
      <sz val="8"/>
      <color rgb="FF000000"/>
      <name val="Calibri"/>
      <family val="2"/>
    </font>
    <font>
      <sz val="11"/>
      <name val="Calibri"/>
      <family val="2"/>
      <scheme val="minor"/>
    </font>
    <font>
      <b/>
      <sz val="11"/>
      <color theme="1"/>
      <name val="Symbol"/>
      <family val="1"/>
      <charset val="2"/>
    </font>
  </fonts>
  <fills count="5">
    <fill>
      <patternFill patternType="none"/>
    </fill>
    <fill>
      <patternFill patternType="gray125"/>
    </fill>
    <fill>
      <patternFill patternType="solid">
        <fgColor theme="7" tint="0.39994506668294322"/>
        <bgColor indexed="64"/>
      </patternFill>
    </fill>
    <fill>
      <patternFill patternType="solid">
        <fgColor theme="0" tint="-0.249977111117893"/>
        <bgColor indexed="64"/>
      </patternFill>
    </fill>
    <fill>
      <patternFill patternType="solid">
        <fgColor theme="5" tint="0.39994506668294322"/>
        <bgColor indexed="64"/>
      </patternFill>
    </fill>
  </fills>
  <borders count="37">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bottom/>
      <diagonal/>
    </border>
    <border>
      <left style="medium">
        <color rgb="FF0000FF"/>
      </left>
      <right style="medium">
        <color rgb="FF0000FF"/>
      </right>
      <top style="medium">
        <color rgb="FF0000FF"/>
      </top>
      <bottom style="medium">
        <color rgb="FF0000FF"/>
      </bottom>
      <diagonal/>
    </border>
    <border>
      <left style="medium">
        <color rgb="FFFF0000"/>
      </left>
      <right style="medium">
        <color rgb="FFFF0000"/>
      </right>
      <top style="medium">
        <color rgb="FFFF0000"/>
      </top>
      <bottom style="medium">
        <color rgb="FFFF0000"/>
      </bottom>
      <diagonal/>
    </border>
    <border>
      <left/>
      <right/>
      <top style="medium">
        <color rgb="FF0000FF"/>
      </top>
      <bottom/>
      <diagonal/>
    </border>
    <border>
      <left style="medium">
        <color rgb="FF0000FF"/>
      </left>
      <right/>
      <top style="medium">
        <color rgb="FF0000FF"/>
      </top>
      <bottom/>
      <diagonal/>
    </border>
    <border>
      <left/>
      <right/>
      <top/>
      <bottom style="medium">
        <color rgb="FFFF0000"/>
      </bottom>
      <diagonal/>
    </border>
    <border>
      <left/>
      <right/>
      <top style="medium">
        <color rgb="FFFF0000"/>
      </top>
      <bottom/>
      <diagonal/>
    </border>
    <border>
      <left style="thin">
        <color theme="1"/>
      </left>
      <right style="medium">
        <color rgb="FFFF0000"/>
      </right>
      <top style="medium">
        <color rgb="FFFF0000"/>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auto="1"/>
      </left>
      <right/>
      <top/>
      <bottom style="medium">
        <color indexed="64"/>
      </bottom>
      <diagonal/>
    </border>
    <border>
      <left style="thin">
        <color auto="1"/>
      </left>
      <right/>
      <top/>
      <bottom/>
      <diagonal/>
    </border>
    <border>
      <left style="thin">
        <color auto="1"/>
      </left>
      <right/>
      <top style="medium">
        <color indexed="64"/>
      </top>
      <bottom style="medium">
        <color indexed="64"/>
      </bottom>
      <diagonal/>
    </border>
  </borders>
  <cellStyleXfs count="2">
    <xf numFmtId="0" fontId="0" fillId="0" borderId="0"/>
    <xf numFmtId="9" fontId="8" fillId="0" borderId="0" applyFont="0" applyFill="0" applyBorder="0" applyAlignment="0" applyProtection="0"/>
  </cellStyleXfs>
  <cellXfs count="132">
    <xf numFmtId="0" fontId="0" fillId="0" borderId="0" xfId="0"/>
    <xf numFmtId="0" fontId="0" fillId="0" borderId="0" xfId="0" applyBorder="1"/>
    <xf numFmtId="0" fontId="5" fillId="0" borderId="1" xfId="0" applyFont="1" applyBorder="1" applyAlignment="1">
      <alignment horizontal="center"/>
    </xf>
    <xf numFmtId="0" fontId="0" fillId="0" borderId="0" xfId="0" applyNumberFormat="1"/>
    <xf numFmtId="0" fontId="0" fillId="0" borderId="4" xfId="0" applyBorder="1"/>
    <xf numFmtId="0" fontId="4" fillId="0" borderId="0" xfId="0" applyFont="1"/>
    <xf numFmtId="0" fontId="9" fillId="0" borderId="5" xfId="0" applyFont="1" applyBorder="1" applyAlignment="1">
      <alignment horizontal="center"/>
    </xf>
    <xf numFmtId="0" fontId="9" fillId="0" borderId="0" xfId="0" applyFont="1"/>
    <xf numFmtId="0" fontId="1" fillId="0" borderId="0" xfId="0" applyFont="1" applyBorder="1" applyAlignment="1">
      <alignment horizontal="center" vertical="center"/>
    </xf>
    <xf numFmtId="0" fontId="4" fillId="0" borderId="0" xfId="0" applyFont="1" applyAlignment="1">
      <alignment horizontal="center"/>
    </xf>
    <xf numFmtId="0" fontId="4" fillId="0" borderId="0" xfId="0" applyFont="1" applyAlignment="1">
      <alignment horizontal="center"/>
    </xf>
    <xf numFmtId="0" fontId="0" fillId="0" borderId="12" xfId="0" applyBorder="1"/>
    <xf numFmtId="0" fontId="0" fillId="0" borderId="13" xfId="0" applyBorder="1"/>
    <xf numFmtId="0" fontId="4" fillId="0" borderId="11" xfId="0" applyFont="1" applyBorder="1" applyAlignment="1">
      <alignment horizontal="center"/>
    </xf>
    <xf numFmtId="0" fontId="12"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4" fillId="0" borderId="16" xfId="0" applyFont="1" applyBorder="1" applyAlignment="1">
      <alignment horizontal="center"/>
    </xf>
    <xf numFmtId="0" fontId="4" fillId="0" borderId="18" xfId="0" applyFont="1" applyBorder="1" applyAlignment="1">
      <alignment horizontal="center"/>
    </xf>
    <xf numFmtId="0" fontId="4" fillId="0" borderId="17" xfId="0" applyFont="1" applyBorder="1" applyAlignment="1">
      <alignment horizontal="center"/>
    </xf>
    <xf numFmtId="0" fontId="0" fillId="0" borderId="0" xfId="0" applyAlignment="1" applyProtection="1">
      <alignment horizontal="left"/>
      <protection locked="0" hidden="1"/>
    </xf>
    <xf numFmtId="0" fontId="0" fillId="0" borderId="0" xfId="0" applyAlignment="1" applyProtection="1">
      <alignment horizontal="center"/>
      <protection locked="0" hidden="1"/>
    </xf>
    <xf numFmtId="0" fontId="4" fillId="0" borderId="0" xfId="0" applyFont="1" applyBorder="1" applyProtection="1">
      <protection locked="0" hidden="1"/>
    </xf>
    <xf numFmtId="0" fontId="0" fillId="0" borderId="0" xfId="0" applyBorder="1" applyProtection="1">
      <protection locked="0" hidden="1"/>
    </xf>
    <xf numFmtId="0" fontId="0" fillId="0" borderId="0" xfId="0" applyProtection="1">
      <protection locked="0" hidden="1"/>
    </xf>
    <xf numFmtId="0" fontId="5" fillId="0" borderId="1" xfId="0" applyFont="1" applyBorder="1" applyAlignment="1" applyProtection="1">
      <alignment horizontal="center"/>
      <protection locked="0" hidden="1"/>
    </xf>
    <xf numFmtId="0" fontId="4" fillId="0" borderId="0" xfId="0" applyFont="1" applyBorder="1" applyAlignment="1" applyProtection="1">
      <alignment horizontal="center"/>
      <protection locked="0" hidden="1"/>
    </xf>
    <xf numFmtId="0" fontId="5" fillId="0" borderId="0" xfId="0" applyFont="1" applyAlignment="1" applyProtection="1">
      <alignment horizontal="center"/>
      <protection locked="0" hidden="1"/>
    </xf>
    <xf numFmtId="0" fontId="4" fillId="0" borderId="5" xfId="0" applyFont="1" applyBorder="1" applyAlignment="1" applyProtection="1">
      <alignment horizontal="left"/>
      <protection locked="0" hidden="1"/>
    </xf>
    <xf numFmtId="0" fontId="0" fillId="0" borderId="5" xfId="0" applyBorder="1" applyAlignment="1" applyProtection="1">
      <alignment horizontal="center"/>
      <protection locked="0" hidden="1"/>
    </xf>
    <xf numFmtId="0" fontId="0" fillId="0" borderId="0" xfId="0" applyBorder="1" applyAlignment="1" applyProtection="1">
      <alignment horizontal="center"/>
      <protection locked="0" hidden="1"/>
    </xf>
    <xf numFmtId="0" fontId="14" fillId="0" borderId="0" xfId="0" applyFont="1" applyAlignment="1" applyProtection="1">
      <alignment horizontal="center"/>
      <protection locked="0" hidden="1"/>
    </xf>
    <xf numFmtId="0" fontId="1" fillId="0" borderId="0" xfId="0" applyFont="1" applyAlignment="1" applyProtection="1">
      <alignment horizontal="left"/>
      <protection locked="0" hidden="1"/>
    </xf>
    <xf numFmtId="0" fontId="1" fillId="0" borderId="0" xfId="0" applyFont="1" applyAlignment="1" applyProtection="1">
      <alignment horizontal="center"/>
      <protection locked="0" hidden="1"/>
    </xf>
    <xf numFmtId="0" fontId="2" fillId="0" borderId="0" xfId="0" applyFont="1" applyAlignment="1" applyProtection="1">
      <alignment horizontal="center" vertical="center"/>
      <protection locked="0" hidden="1"/>
    </xf>
    <xf numFmtId="2" fontId="2" fillId="0" borderId="0" xfId="0" applyNumberFormat="1" applyFont="1" applyAlignment="1" applyProtection="1">
      <alignment horizontal="center" vertical="center"/>
      <protection locked="0" hidden="1"/>
    </xf>
    <xf numFmtId="164" fontId="2" fillId="0" borderId="0" xfId="0" applyNumberFormat="1" applyFont="1" applyAlignment="1" applyProtection="1">
      <alignment horizontal="center" vertical="center"/>
      <protection locked="0" hidden="1"/>
    </xf>
    <xf numFmtId="1" fontId="2" fillId="0" borderId="0" xfId="0" applyNumberFormat="1" applyFont="1" applyAlignment="1" applyProtection="1">
      <alignment horizontal="center" vertical="center"/>
      <protection locked="0" hidden="1"/>
    </xf>
    <xf numFmtId="0" fontId="2" fillId="0" borderId="0" xfId="0" applyFont="1" applyAlignment="1" applyProtection="1">
      <alignment horizontal="center" vertical="center" wrapText="1"/>
      <protection locked="0" hidden="1"/>
    </xf>
    <xf numFmtId="164" fontId="2" fillId="0" borderId="0" xfId="0" applyNumberFormat="1" applyFont="1" applyAlignment="1" applyProtection="1">
      <alignment horizontal="center" vertical="center" wrapText="1"/>
      <protection locked="0" hidden="1"/>
    </xf>
    <xf numFmtId="0" fontId="9" fillId="0" borderId="0" xfId="0" quotePrefix="1" applyFont="1" applyBorder="1" applyAlignment="1">
      <alignment horizontal="center"/>
    </xf>
    <xf numFmtId="0" fontId="5" fillId="0" borderId="0" xfId="0" applyFont="1" applyBorder="1" applyAlignment="1">
      <alignment horizontal="center"/>
    </xf>
    <xf numFmtId="0" fontId="4" fillId="0" borderId="0" xfId="0" applyFont="1" applyAlignment="1" applyProtection="1">
      <alignment horizontal="center"/>
      <protection locked="0" hidden="1"/>
    </xf>
    <xf numFmtId="0" fontId="0" fillId="0" borderId="12" xfId="0" applyBorder="1" applyProtection="1">
      <protection locked="0" hidden="1"/>
    </xf>
    <xf numFmtId="0" fontId="0" fillId="0" borderId="13" xfId="0" applyBorder="1" applyProtection="1">
      <protection locked="0" hidden="1"/>
    </xf>
    <xf numFmtId="0" fontId="9" fillId="0" borderId="0" xfId="0" quotePrefix="1" applyFont="1" applyBorder="1" applyAlignment="1" applyProtection="1">
      <alignment horizontal="center"/>
      <protection locked="0" hidden="1"/>
    </xf>
    <xf numFmtId="0" fontId="5" fillId="0" borderId="0" xfId="0" applyFont="1" applyBorder="1" applyAlignment="1" applyProtection="1">
      <alignment horizontal="center"/>
      <protection locked="0" hidden="1"/>
    </xf>
    <xf numFmtId="0" fontId="4" fillId="0" borderId="0" xfId="0" applyFont="1" applyProtection="1">
      <protection locked="0" hidden="1"/>
    </xf>
    <xf numFmtId="49" fontId="2" fillId="0" borderId="0" xfId="0" applyNumberFormat="1" applyFont="1" applyAlignment="1" applyProtection="1">
      <alignment horizontal="center" vertical="center"/>
      <protection locked="0" hidden="1"/>
    </xf>
    <xf numFmtId="0" fontId="0" fillId="0" borderId="2" xfId="0" applyBorder="1"/>
    <xf numFmtId="0" fontId="4" fillId="0" borderId="0" xfId="0" applyFont="1" applyBorder="1"/>
    <xf numFmtId="0" fontId="0" fillId="0" borderId="0" xfId="0" applyFont="1" applyBorder="1" applyProtection="1">
      <protection locked="0" hidden="1"/>
    </xf>
    <xf numFmtId="0" fontId="9" fillId="0" borderId="0" xfId="0" applyFont="1" applyBorder="1" applyAlignment="1" applyProtection="1">
      <alignment horizontal="center"/>
      <protection locked="0" hidden="1"/>
    </xf>
    <xf numFmtId="0" fontId="6" fillId="0" borderId="19" xfId="0" applyFont="1" applyBorder="1"/>
    <xf numFmtId="0" fontId="0" fillId="0" borderId="7" xfId="0" applyBorder="1"/>
    <xf numFmtId="0" fontId="0" fillId="0" borderId="20" xfId="0" applyBorder="1"/>
    <xf numFmtId="0" fontId="0" fillId="0" borderId="11" xfId="0" applyBorder="1"/>
    <xf numFmtId="0" fontId="4" fillId="0" borderId="21" xfId="0" applyFont="1" applyBorder="1"/>
    <xf numFmtId="0" fontId="4" fillId="0" borderId="20" xfId="0" applyFont="1" applyBorder="1"/>
    <xf numFmtId="0" fontId="0" fillId="0" borderId="22" xfId="0" applyBorder="1"/>
    <xf numFmtId="0" fontId="0" fillId="0" borderId="8" xfId="0" applyBorder="1"/>
    <xf numFmtId="0" fontId="0" fillId="0" borderId="23" xfId="0" applyBorder="1"/>
    <xf numFmtId="0" fontId="4" fillId="0" borderId="3" xfId="0" applyFont="1" applyBorder="1"/>
    <xf numFmtId="0" fontId="0" fillId="0" borderId="0" xfId="0" applyProtection="1">
      <protection hidden="1"/>
    </xf>
    <xf numFmtId="0" fontId="10" fillId="0" borderId="0" xfId="0" applyFont="1" applyAlignment="1" applyProtection="1">
      <alignment horizontal="center"/>
      <protection hidden="1"/>
    </xf>
    <xf numFmtId="0" fontId="4" fillId="0" borderId="0" xfId="0" applyFont="1" applyAlignment="1" applyProtection="1">
      <alignment horizontal="center"/>
      <protection hidden="1"/>
    </xf>
    <xf numFmtId="0" fontId="5" fillId="0" borderId="0" xfId="0" applyFont="1" applyAlignment="1" applyProtection="1">
      <alignment horizontal="center"/>
      <protection hidden="1"/>
    </xf>
    <xf numFmtId="0" fontId="4" fillId="0" borderId="6" xfId="0" applyFont="1" applyBorder="1" applyProtection="1">
      <protection hidden="1"/>
    </xf>
    <xf numFmtId="0" fontId="0" fillId="0" borderId="5" xfId="0" applyBorder="1" applyProtection="1">
      <protection hidden="1"/>
    </xf>
    <xf numFmtId="165" fontId="0" fillId="0" borderId="0" xfId="1" applyNumberFormat="1" applyFont="1" applyBorder="1" applyProtection="1">
      <protection hidden="1"/>
    </xf>
    <xf numFmtId="164" fontId="0" fillId="0" borderId="5" xfId="0" applyNumberFormat="1" applyBorder="1" applyProtection="1">
      <protection hidden="1"/>
    </xf>
    <xf numFmtId="0" fontId="4" fillId="0" borderId="5" xfId="0" applyFont="1" applyBorder="1" applyProtection="1">
      <protection hidden="1"/>
    </xf>
    <xf numFmtId="0" fontId="0" fillId="0" borderId="5" xfId="0" applyBorder="1" applyAlignment="1" applyProtection="1">
      <alignment horizontal="center"/>
      <protection hidden="1"/>
    </xf>
    <xf numFmtId="165" fontId="0" fillId="0" borderId="5" xfId="0" applyNumberFormat="1" applyBorder="1" applyAlignment="1" applyProtection="1">
      <alignment horizontal="center"/>
      <protection hidden="1"/>
    </xf>
    <xf numFmtId="165" fontId="0" fillId="0" borderId="5" xfId="1" applyNumberFormat="1" applyFont="1" applyBorder="1" applyProtection="1">
      <protection hidden="1"/>
    </xf>
    <xf numFmtId="0" fontId="0" fillId="0" borderId="0" xfId="0" applyAlignment="1" applyProtection="1">
      <alignment horizontal="center"/>
      <protection hidden="1"/>
    </xf>
    <xf numFmtId="0" fontId="0" fillId="0" borderId="0" xfId="0" applyBorder="1" applyProtection="1">
      <protection hidden="1"/>
    </xf>
    <xf numFmtId="0" fontId="9" fillId="0" borderId="0" xfId="0" applyFont="1" applyBorder="1" applyAlignment="1" applyProtection="1">
      <alignment horizontal="center"/>
      <protection hidden="1"/>
    </xf>
    <xf numFmtId="0" fontId="4" fillId="0" borderId="0" xfId="0" applyFont="1" applyProtection="1">
      <protection hidden="1"/>
    </xf>
    <xf numFmtId="0" fontId="4" fillId="0" borderId="0" xfId="0" applyFont="1" applyBorder="1" applyProtection="1">
      <protection hidden="1"/>
    </xf>
    <xf numFmtId="0" fontId="0" fillId="0" borderId="0" xfId="0" applyBorder="1" applyAlignment="1" applyProtection="1">
      <alignment horizontal="center"/>
      <protection hidden="1"/>
    </xf>
    <xf numFmtId="165" fontId="0" fillId="0" borderId="0" xfId="0" applyNumberFormat="1" applyBorder="1" applyAlignment="1" applyProtection="1">
      <alignment horizontal="center"/>
      <protection hidden="1"/>
    </xf>
    <xf numFmtId="0" fontId="9" fillId="0" borderId="5" xfId="0" applyFont="1" applyBorder="1" applyAlignment="1" applyProtection="1">
      <alignment horizontal="center"/>
      <protection locked="0" hidden="1"/>
    </xf>
    <xf numFmtId="0" fontId="5" fillId="0" borderId="5" xfId="0" applyFont="1" applyBorder="1" applyAlignment="1" applyProtection="1">
      <alignment horizontal="center" vertical="center"/>
      <protection locked="0" hidden="1"/>
    </xf>
    <xf numFmtId="0" fontId="4" fillId="0" borderId="0" xfId="0" applyFont="1" applyAlignment="1">
      <alignment horizontal="left"/>
    </xf>
    <xf numFmtId="0" fontId="0" fillId="0" borderId="24" xfId="0" applyBorder="1"/>
    <xf numFmtId="0" fontId="0" fillId="0" borderId="25" xfId="0" applyBorder="1"/>
    <xf numFmtId="0" fontId="19" fillId="0" borderId="0" xfId="0" applyFont="1" applyBorder="1" applyAlignment="1">
      <alignment horizontal="center"/>
    </xf>
    <xf numFmtId="0" fontId="4" fillId="0" borderId="1" xfId="0" applyFont="1" applyBorder="1" applyAlignment="1">
      <alignment horizontal="center"/>
    </xf>
    <xf numFmtId="0" fontId="19" fillId="0" borderId="0" xfId="0" applyFont="1" applyBorder="1" applyAlignment="1">
      <alignment horizontal="left"/>
    </xf>
    <xf numFmtId="0" fontId="21" fillId="0" borderId="0" xfId="0" applyFont="1" applyBorder="1" applyAlignment="1" applyProtection="1">
      <alignment horizontal="center"/>
      <protection locked="0" hidden="1"/>
    </xf>
    <xf numFmtId="0" fontId="4" fillId="0" borderId="0" xfId="0" applyFont="1" applyAlignment="1" applyProtection="1">
      <alignment horizontal="right"/>
      <protection locked="0" hidden="1"/>
    </xf>
    <xf numFmtId="0" fontId="22" fillId="0" borderId="0" xfId="0" applyFont="1" applyAlignment="1" applyProtection="1">
      <alignment horizontal="right"/>
      <protection locked="0" hidden="1"/>
    </xf>
    <xf numFmtId="2" fontId="5" fillId="0" borderId="1" xfId="0" applyNumberFormat="1" applyFont="1" applyBorder="1" applyAlignment="1" applyProtection="1">
      <alignment horizontal="center"/>
      <protection locked="0" hidden="1"/>
    </xf>
    <xf numFmtId="0" fontId="6" fillId="0" borderId="20" xfId="0" applyFont="1" applyBorder="1"/>
    <xf numFmtId="0" fontId="5" fillId="0" borderId="1" xfId="0" applyFont="1" applyFill="1" applyBorder="1" applyAlignment="1">
      <alignment horizontal="center"/>
    </xf>
    <xf numFmtId="0" fontId="5" fillId="0" borderId="28" xfId="0" applyFont="1" applyFill="1" applyBorder="1" applyAlignment="1">
      <alignment horizontal="center"/>
    </xf>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8" xfId="0" applyBorder="1"/>
    <xf numFmtId="0" fontId="6" fillId="0" borderId="0" xfId="0" applyFont="1" applyBorder="1"/>
    <xf numFmtId="0" fontId="0" fillId="0" borderId="0" xfId="0" applyAlignment="1">
      <alignment horizontal="center"/>
    </xf>
    <xf numFmtId="0" fontId="5" fillId="0" borderId="3"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vertical="center"/>
    </xf>
    <xf numFmtId="0" fontId="0" fillId="0" borderId="8" xfId="0" applyBorder="1" applyAlignment="1">
      <alignment horizontal="center" vertical="center"/>
    </xf>
    <xf numFmtId="0" fontId="13" fillId="0" borderId="9" xfId="0" applyFont="1" applyBorder="1" applyAlignment="1">
      <alignment horizontal="center" vertical="center"/>
    </xf>
    <xf numFmtId="0" fontId="13" fillId="0" borderId="10" xfId="0" applyFont="1" applyBorder="1" applyAlignment="1">
      <alignment horizontal="center" vertical="center"/>
    </xf>
    <xf numFmtId="0" fontId="5" fillId="0" borderId="3" xfId="0" applyFont="1" applyBorder="1" applyAlignment="1" applyProtection="1">
      <alignment horizontal="center"/>
      <protection locked="0" hidden="1"/>
    </xf>
    <xf numFmtId="0" fontId="0" fillId="0" borderId="2" xfId="0" applyBorder="1" applyAlignment="1" applyProtection="1">
      <alignment horizontal="center"/>
      <protection locked="0" hidden="1"/>
    </xf>
    <xf numFmtId="0" fontId="4" fillId="0" borderId="26" xfId="0" applyFont="1" applyFill="1" applyBorder="1" applyAlignment="1">
      <alignment horizontal="left"/>
    </xf>
    <xf numFmtId="0" fontId="4" fillId="0" borderId="27" xfId="0" applyFont="1" applyFill="1" applyBorder="1" applyAlignment="1">
      <alignment horizontal="left"/>
    </xf>
    <xf numFmtId="0" fontId="4" fillId="0" borderId="26" xfId="0" applyFont="1" applyBorder="1" applyAlignment="1">
      <alignment horizontal="left"/>
    </xf>
    <xf numFmtId="0" fontId="4" fillId="0" borderId="27" xfId="0" applyFont="1" applyBorder="1" applyAlignment="1">
      <alignment horizontal="left"/>
    </xf>
    <xf numFmtId="0" fontId="0" fillId="0" borderId="0" xfId="0" applyFill="1" applyBorder="1" applyAlignment="1">
      <alignment horizontal="center"/>
    </xf>
    <xf numFmtId="0" fontId="6" fillId="0" borderId="0" xfId="0" applyFont="1" applyFill="1" applyBorder="1" applyAlignment="1">
      <alignment horizontal="center"/>
    </xf>
    <xf numFmtId="0" fontId="5" fillId="0" borderId="0" xfId="0" applyFont="1" applyFill="1" applyBorder="1" applyAlignment="1">
      <alignment horizontal="center"/>
    </xf>
    <xf numFmtId="0" fontId="0" fillId="0" borderId="0" xfId="0" applyFill="1" applyBorder="1"/>
    <xf numFmtId="0" fontId="7" fillId="0" borderId="0" xfId="0" applyFont="1" applyFill="1" applyBorder="1" applyAlignment="1">
      <alignment horizontal="left"/>
    </xf>
    <xf numFmtId="0" fontId="0" fillId="0" borderId="0" xfId="0" applyFill="1" applyBorder="1" applyAlignment="1">
      <alignment horizontal="right"/>
    </xf>
    <xf numFmtId="0" fontId="4" fillId="0" borderId="0" xfId="0" applyFont="1" applyFill="1" applyBorder="1"/>
    <xf numFmtId="0" fontId="19" fillId="0" borderId="35" xfId="0" applyFont="1" applyBorder="1" applyAlignment="1">
      <alignment horizontal="left"/>
    </xf>
    <xf numFmtId="0" fontId="4" fillId="0" borderId="36" xfId="0" applyFont="1" applyBorder="1"/>
    <xf numFmtId="0" fontId="0" fillId="0" borderId="35" xfId="0" applyBorder="1"/>
    <xf numFmtId="0" fontId="4" fillId="0" borderId="35" xfId="0" applyFont="1" applyFill="1" applyBorder="1"/>
    <xf numFmtId="0" fontId="0" fillId="0" borderId="34" xfId="0" applyFill="1" applyBorder="1"/>
    <xf numFmtId="2" fontId="2" fillId="2" borderId="0" xfId="0" applyNumberFormat="1" applyFont="1" applyFill="1" applyAlignment="1" applyProtection="1">
      <alignment horizontal="center" vertical="center"/>
      <protection locked="0" hidden="1"/>
    </xf>
    <xf numFmtId="2" fontId="2" fillId="3" borderId="0" xfId="0" applyNumberFormat="1" applyFont="1" applyFill="1" applyAlignment="1" applyProtection="1">
      <alignment horizontal="center" vertical="center"/>
      <protection locked="0" hidden="1"/>
    </xf>
    <xf numFmtId="2" fontId="2" fillId="4" borderId="0" xfId="0" applyNumberFormat="1" applyFont="1" applyFill="1" applyAlignment="1" applyProtection="1">
      <alignment horizontal="center" vertical="center"/>
      <protection locked="0" hidden="1"/>
    </xf>
  </cellXfs>
  <cellStyles count="2">
    <cellStyle name="Normal" xfId="0" builtinId="0"/>
    <cellStyle name="Percent" xfId="1" builtinId="5"/>
  </cellStyles>
  <dxfs count="2">
    <dxf>
      <fill>
        <patternFill>
          <bgColor rgb="FFFF8989"/>
        </patternFill>
      </fill>
    </dxf>
    <dxf>
      <fill>
        <patternFill>
          <bgColor theme="4" tint="0.39994506668294322"/>
        </patternFill>
      </fill>
    </dxf>
  </dxfs>
  <tableStyles count="0" defaultTableStyle="TableStyleMedium2" defaultPivotStyle="PivotStyleLight16"/>
  <colors>
    <mruColors>
      <color rgb="FF0000FF"/>
      <color rgb="FFFF8989"/>
      <color rgb="FFFF33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harts/_rels/chart1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1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4.xml"/><Relationship Id="rId1" Type="http://schemas.microsoft.com/office/2011/relationships/chartStyle" Target="style4.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5.xml"/><Relationship Id="rId1" Type="http://schemas.microsoft.com/office/2011/relationships/chartStyle" Target="style5.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6.xml"/><Relationship Id="rId1" Type="http://schemas.microsoft.com/office/2011/relationships/chartStyle" Target="style6.xml"/></Relationships>
</file>

<file path=xl/charts/_rels/chart2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62746099-B9F1-4672-81A1-58CD09B01F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7AED-4798-9B8F-77AC19248435}"/>
                </c:ext>
              </c:extLst>
            </c:dLbl>
            <c:dLbl>
              <c:idx val="1"/>
              <c:tx>
                <c:rich>
                  <a:bodyPr/>
                  <a:lstStyle/>
                  <a:p>
                    <a:fld id="{C3E02A2B-D6B8-49E9-88C7-45A502FE82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7AED-4798-9B8F-77AC19248435}"/>
                </c:ext>
              </c:extLst>
            </c:dLbl>
            <c:dLbl>
              <c:idx val="2"/>
              <c:tx>
                <c:rich>
                  <a:bodyPr/>
                  <a:lstStyle/>
                  <a:p>
                    <a:fld id="{8A707749-B763-4A57-AB1B-F2755A73CC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AED-4798-9B8F-77AC19248435}"/>
                </c:ext>
              </c:extLst>
            </c:dLbl>
            <c:dLbl>
              <c:idx val="3"/>
              <c:tx>
                <c:rich>
                  <a:bodyPr/>
                  <a:lstStyle/>
                  <a:p>
                    <a:fld id="{5E0943E3-6240-4F47-A922-5C73E81BD6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AED-4798-9B8F-77AC19248435}"/>
                </c:ext>
              </c:extLst>
            </c:dLbl>
            <c:dLbl>
              <c:idx val="4"/>
              <c:tx>
                <c:rich>
                  <a:bodyPr/>
                  <a:lstStyle/>
                  <a:p>
                    <a:fld id="{C6B26E59-8E69-4754-9B03-50B9DAA2F8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AED-4798-9B8F-77AC19248435}"/>
                </c:ext>
              </c:extLst>
            </c:dLbl>
            <c:dLbl>
              <c:idx val="5"/>
              <c:tx>
                <c:rich>
                  <a:bodyPr/>
                  <a:lstStyle/>
                  <a:p>
                    <a:fld id="{932ACE02-1F05-4E3F-BDEA-29EBF9FD64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7AED-4798-9B8F-77AC19248435}"/>
                </c:ext>
              </c:extLst>
            </c:dLbl>
            <c:dLbl>
              <c:idx val="6"/>
              <c:tx>
                <c:rich>
                  <a:bodyPr/>
                  <a:lstStyle/>
                  <a:p>
                    <a:fld id="{544A8E2E-0993-48B4-9F90-6A504995AF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AED-4798-9B8F-77AC19248435}"/>
                </c:ext>
              </c:extLst>
            </c:dLbl>
            <c:dLbl>
              <c:idx val="7"/>
              <c:tx>
                <c:rich>
                  <a:bodyPr/>
                  <a:lstStyle/>
                  <a:p>
                    <a:fld id="{7A485F74-8576-4A51-83A7-91711B6531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7AED-4798-9B8F-77AC19248435}"/>
                </c:ext>
              </c:extLst>
            </c:dLbl>
            <c:dLbl>
              <c:idx val="8"/>
              <c:tx>
                <c:rich>
                  <a:bodyPr/>
                  <a:lstStyle/>
                  <a:p>
                    <a:fld id="{D887DBD9-D1E7-495F-B04D-C868F683E3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7AED-4798-9B8F-77AC19248435}"/>
                </c:ext>
              </c:extLst>
            </c:dLbl>
            <c:dLbl>
              <c:idx val="9"/>
              <c:tx>
                <c:rich>
                  <a:bodyPr/>
                  <a:lstStyle/>
                  <a:p>
                    <a:fld id="{B6FB572E-09E6-45BF-8449-A0BA9EAAD2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7AED-4798-9B8F-77AC19248435}"/>
                </c:ext>
              </c:extLst>
            </c:dLbl>
            <c:dLbl>
              <c:idx val="10"/>
              <c:tx>
                <c:rich>
                  <a:bodyPr/>
                  <a:lstStyle/>
                  <a:p>
                    <a:fld id="{8AFD9FAB-3392-42C5-BDD1-5E92280DA5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7AED-4798-9B8F-77AC19248435}"/>
                </c:ext>
              </c:extLst>
            </c:dLbl>
            <c:dLbl>
              <c:idx val="11"/>
              <c:tx>
                <c:rich>
                  <a:bodyPr/>
                  <a:lstStyle/>
                  <a:p>
                    <a:fld id="{1A88A53C-0754-47D8-A95C-1DCEE1E6D2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7AED-4798-9B8F-77AC19248435}"/>
                </c:ext>
              </c:extLst>
            </c:dLbl>
            <c:dLbl>
              <c:idx val="12"/>
              <c:tx>
                <c:rich>
                  <a:bodyPr/>
                  <a:lstStyle/>
                  <a:p>
                    <a:fld id="{3DAA14A7-E4A7-4A83-90ED-F228B22A9C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7AED-4798-9B8F-77AC19248435}"/>
                </c:ext>
              </c:extLst>
            </c:dLbl>
            <c:dLbl>
              <c:idx val="13"/>
              <c:tx>
                <c:rich>
                  <a:bodyPr/>
                  <a:lstStyle/>
                  <a:p>
                    <a:fld id="{685991EF-6B1F-4BBB-B4AD-E49D64D503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7AED-4798-9B8F-77AC19248435}"/>
                </c:ext>
              </c:extLst>
            </c:dLbl>
            <c:dLbl>
              <c:idx val="14"/>
              <c:tx>
                <c:rich>
                  <a:bodyPr/>
                  <a:lstStyle/>
                  <a:p>
                    <a:fld id="{E841F422-B4B0-45E6-A9AF-0134274D91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7AED-4798-9B8F-77AC19248435}"/>
                </c:ext>
              </c:extLst>
            </c:dLbl>
            <c:dLbl>
              <c:idx val="15"/>
              <c:tx>
                <c:rich>
                  <a:bodyPr/>
                  <a:lstStyle/>
                  <a:p>
                    <a:fld id="{C0EA28C4-D3DD-4080-9856-695D7A2657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7AED-4798-9B8F-77AC19248435}"/>
                </c:ext>
              </c:extLst>
            </c:dLbl>
            <c:dLbl>
              <c:idx val="16"/>
              <c:tx>
                <c:rich>
                  <a:bodyPr/>
                  <a:lstStyle/>
                  <a:p>
                    <a:fld id="{123C1A65-2AC1-43F5-A00E-098F225B10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7AED-4798-9B8F-77AC19248435}"/>
                </c:ext>
              </c:extLst>
            </c:dLbl>
            <c:dLbl>
              <c:idx val="17"/>
              <c:tx>
                <c:rich>
                  <a:bodyPr/>
                  <a:lstStyle/>
                  <a:p>
                    <a:fld id="{EB691307-F23F-484D-A572-14E70EAFBF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7AED-4798-9B8F-77AC19248435}"/>
                </c:ext>
              </c:extLst>
            </c:dLbl>
            <c:dLbl>
              <c:idx val="18"/>
              <c:tx>
                <c:rich>
                  <a:bodyPr/>
                  <a:lstStyle/>
                  <a:p>
                    <a:fld id="{4F59A9D1-37C8-4A0D-AE7C-C5DD4B6922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7AED-4798-9B8F-77AC19248435}"/>
                </c:ext>
              </c:extLst>
            </c:dLbl>
            <c:dLbl>
              <c:idx val="19"/>
              <c:tx>
                <c:rich>
                  <a:bodyPr/>
                  <a:lstStyle/>
                  <a:p>
                    <a:fld id="{D4E82942-3E3F-408A-99BD-42D0B31764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7AED-4798-9B8F-77AC19248435}"/>
                </c:ext>
              </c:extLst>
            </c:dLbl>
            <c:dLbl>
              <c:idx val="20"/>
              <c:tx>
                <c:rich>
                  <a:bodyPr/>
                  <a:lstStyle/>
                  <a:p>
                    <a:fld id="{01A89DF0-55EA-4DBB-B3F9-3AD5F85557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7AED-4798-9B8F-77AC19248435}"/>
                </c:ext>
              </c:extLst>
            </c:dLbl>
            <c:dLbl>
              <c:idx val="21"/>
              <c:tx>
                <c:rich>
                  <a:bodyPr/>
                  <a:lstStyle/>
                  <a:p>
                    <a:fld id="{6D7CE6E5-CEC4-401B-A308-8B8422A6D3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7AED-4798-9B8F-77AC19248435}"/>
                </c:ext>
              </c:extLst>
            </c:dLbl>
            <c:dLbl>
              <c:idx val="22"/>
              <c:tx>
                <c:rich>
                  <a:bodyPr/>
                  <a:lstStyle/>
                  <a:p>
                    <a:fld id="{BFFE33F7-676A-4A4B-9474-DE75D5E81C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7AED-4798-9B8F-77AC19248435}"/>
                </c:ext>
              </c:extLst>
            </c:dLbl>
            <c:dLbl>
              <c:idx val="23"/>
              <c:tx>
                <c:rich>
                  <a:bodyPr/>
                  <a:lstStyle/>
                  <a:p>
                    <a:fld id="{BDD2F6F4-C9F5-4C5F-94B8-97A1C7BDDA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7AED-4798-9B8F-77AC19248435}"/>
                </c:ext>
              </c:extLst>
            </c:dLbl>
            <c:dLbl>
              <c:idx val="24"/>
              <c:tx>
                <c:rich>
                  <a:bodyPr/>
                  <a:lstStyle/>
                  <a:p>
                    <a:fld id="{3EAD071A-9197-4BBB-831E-22D0683AF2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7AED-4798-9B8F-77AC19248435}"/>
                </c:ext>
              </c:extLst>
            </c:dLbl>
            <c:dLbl>
              <c:idx val="25"/>
              <c:tx>
                <c:rich>
                  <a:bodyPr/>
                  <a:lstStyle/>
                  <a:p>
                    <a:fld id="{9E16045D-5B15-4D29-81C9-EE2CFD6D4F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7AED-4798-9B8F-77AC19248435}"/>
                </c:ext>
              </c:extLst>
            </c:dLbl>
            <c:dLbl>
              <c:idx val="26"/>
              <c:tx>
                <c:rich>
                  <a:bodyPr/>
                  <a:lstStyle/>
                  <a:p>
                    <a:fld id="{E230AF5C-5FFD-4D31-A688-5E4DAA8BEF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7AED-4798-9B8F-77AC19248435}"/>
                </c:ext>
              </c:extLst>
            </c:dLbl>
            <c:dLbl>
              <c:idx val="27"/>
              <c:tx>
                <c:rich>
                  <a:bodyPr/>
                  <a:lstStyle/>
                  <a:p>
                    <a:fld id="{EE338460-3E08-4957-B8EE-A02760A75D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7AED-4798-9B8F-77AC19248435}"/>
                </c:ext>
              </c:extLst>
            </c:dLbl>
            <c:dLbl>
              <c:idx val="28"/>
              <c:tx>
                <c:rich>
                  <a:bodyPr/>
                  <a:lstStyle/>
                  <a:p>
                    <a:fld id="{1D744597-F7BC-4F35-9A5D-E24F5E0287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7AED-4798-9B8F-77AC19248435}"/>
                </c:ext>
              </c:extLst>
            </c:dLbl>
            <c:dLbl>
              <c:idx val="29"/>
              <c:tx>
                <c:rich>
                  <a:bodyPr/>
                  <a:lstStyle/>
                  <a:p>
                    <a:fld id="{021D49F5-9B36-46A3-969F-4C5ED2F166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7AED-4798-9B8F-77AC19248435}"/>
                </c:ext>
              </c:extLst>
            </c:dLbl>
            <c:dLbl>
              <c:idx val="30"/>
              <c:tx>
                <c:rich>
                  <a:bodyPr/>
                  <a:lstStyle/>
                  <a:p>
                    <a:fld id="{525CAB21-8527-460B-B659-777DEFFB2A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7AED-4798-9B8F-77AC19248435}"/>
                </c:ext>
              </c:extLst>
            </c:dLbl>
            <c:dLbl>
              <c:idx val="31"/>
              <c:tx>
                <c:rich>
                  <a:bodyPr/>
                  <a:lstStyle/>
                  <a:p>
                    <a:fld id="{6C48AB50-74F6-4320-B912-87CB3F6F8A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7AED-4798-9B8F-77AC19248435}"/>
                </c:ext>
              </c:extLst>
            </c:dLbl>
            <c:dLbl>
              <c:idx val="32"/>
              <c:tx>
                <c:rich>
                  <a:bodyPr/>
                  <a:lstStyle/>
                  <a:p>
                    <a:fld id="{9C33CEE3-4E3A-4DAF-8F2E-3340BDE749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7AED-4798-9B8F-77AC19248435}"/>
                </c:ext>
              </c:extLst>
            </c:dLbl>
            <c:dLbl>
              <c:idx val="33"/>
              <c:tx>
                <c:rich>
                  <a:bodyPr/>
                  <a:lstStyle/>
                  <a:p>
                    <a:fld id="{8F68F9B1-8489-4869-A005-6158BFB210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7AED-4798-9B8F-77AC19248435}"/>
                </c:ext>
              </c:extLst>
            </c:dLbl>
            <c:dLbl>
              <c:idx val="34"/>
              <c:tx>
                <c:rich>
                  <a:bodyPr/>
                  <a:lstStyle/>
                  <a:p>
                    <a:fld id="{89B7032F-DA5A-4718-98F6-A5452B8D49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7AED-4798-9B8F-77AC19248435}"/>
                </c:ext>
              </c:extLst>
            </c:dLbl>
            <c:dLbl>
              <c:idx val="35"/>
              <c:tx>
                <c:rich>
                  <a:bodyPr/>
                  <a:lstStyle/>
                  <a:p>
                    <a:fld id="{0A389715-A0AD-4697-B76B-BEF76DAFFF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7AED-4798-9B8F-77AC19248435}"/>
                </c:ext>
              </c:extLst>
            </c:dLbl>
            <c:dLbl>
              <c:idx val="36"/>
              <c:tx>
                <c:rich>
                  <a:bodyPr/>
                  <a:lstStyle/>
                  <a:p>
                    <a:fld id="{3A7EE4BD-E315-42D7-8D2D-8EE4322874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7AED-4798-9B8F-77AC19248435}"/>
                </c:ext>
              </c:extLst>
            </c:dLbl>
            <c:dLbl>
              <c:idx val="37"/>
              <c:tx>
                <c:rich>
                  <a:bodyPr/>
                  <a:lstStyle/>
                  <a:p>
                    <a:fld id="{F9A79CC8-E430-4B54-86D1-D745BAF2CA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7AED-4798-9B8F-77AC19248435}"/>
                </c:ext>
              </c:extLst>
            </c:dLbl>
            <c:dLbl>
              <c:idx val="38"/>
              <c:tx>
                <c:rich>
                  <a:bodyPr/>
                  <a:lstStyle/>
                  <a:p>
                    <a:fld id="{EB277632-0876-4479-BDF0-938B77FCA6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7AED-4798-9B8F-77AC19248435}"/>
                </c:ext>
              </c:extLst>
            </c:dLbl>
            <c:dLbl>
              <c:idx val="39"/>
              <c:tx>
                <c:rich>
                  <a:bodyPr/>
                  <a:lstStyle/>
                  <a:p>
                    <a:fld id="{B9E19B54-81B2-475E-B739-5898DE939E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7AED-4798-9B8F-77AC19248435}"/>
                </c:ext>
              </c:extLst>
            </c:dLbl>
            <c:dLbl>
              <c:idx val="40"/>
              <c:tx>
                <c:rich>
                  <a:bodyPr/>
                  <a:lstStyle/>
                  <a:p>
                    <a:fld id="{A1B2C35B-0785-468C-A045-C7CE662509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7AED-4798-9B8F-77AC19248435}"/>
                </c:ext>
              </c:extLst>
            </c:dLbl>
            <c:dLbl>
              <c:idx val="41"/>
              <c:tx>
                <c:rich>
                  <a:bodyPr/>
                  <a:lstStyle/>
                  <a:p>
                    <a:fld id="{F6122890-3F84-4E8B-B31F-7DCA578AF9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7AED-4798-9B8F-77AC19248435}"/>
                </c:ext>
              </c:extLst>
            </c:dLbl>
            <c:dLbl>
              <c:idx val="42"/>
              <c:tx>
                <c:rich>
                  <a:bodyPr/>
                  <a:lstStyle/>
                  <a:p>
                    <a:fld id="{A3837BCE-F7B9-4794-BC0B-F803F566DB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7AED-4798-9B8F-77AC19248435}"/>
                </c:ext>
              </c:extLst>
            </c:dLbl>
            <c:dLbl>
              <c:idx val="43"/>
              <c:tx>
                <c:rich>
                  <a:bodyPr/>
                  <a:lstStyle/>
                  <a:p>
                    <a:fld id="{FAEEC1B3-BC04-4CFF-B39B-32B8EEBB78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7AED-4798-9B8F-77AC19248435}"/>
                </c:ext>
              </c:extLst>
            </c:dLbl>
            <c:dLbl>
              <c:idx val="44"/>
              <c:tx>
                <c:rich>
                  <a:bodyPr/>
                  <a:lstStyle/>
                  <a:p>
                    <a:fld id="{61CB012B-D584-44E6-ADD6-6A584C1BD6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7AED-4798-9B8F-77AC19248435}"/>
                </c:ext>
              </c:extLst>
            </c:dLbl>
            <c:dLbl>
              <c:idx val="45"/>
              <c:tx>
                <c:rich>
                  <a:bodyPr/>
                  <a:lstStyle/>
                  <a:p>
                    <a:fld id="{DF238E94-F783-446E-B381-0A20F6FCF1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7AED-4798-9B8F-77AC19248435}"/>
                </c:ext>
              </c:extLst>
            </c:dLbl>
            <c:dLbl>
              <c:idx val="46"/>
              <c:tx>
                <c:rich>
                  <a:bodyPr/>
                  <a:lstStyle/>
                  <a:p>
                    <a:fld id="{E1A90C35-E1B1-4180-AAC0-1E37FCE99B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7AED-4798-9B8F-77AC19248435}"/>
                </c:ext>
              </c:extLst>
            </c:dLbl>
            <c:dLbl>
              <c:idx val="47"/>
              <c:tx>
                <c:rich>
                  <a:bodyPr/>
                  <a:lstStyle/>
                  <a:p>
                    <a:fld id="{B81F22AB-618E-4301-9059-3C37796FD6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7AED-4798-9B8F-77AC19248435}"/>
                </c:ext>
              </c:extLst>
            </c:dLbl>
            <c:dLbl>
              <c:idx val="48"/>
              <c:tx>
                <c:rich>
                  <a:bodyPr/>
                  <a:lstStyle/>
                  <a:p>
                    <a:fld id="{9DD722F0-15C3-4156-A07A-16709F79A1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7AED-4798-9B8F-77AC19248435}"/>
                </c:ext>
              </c:extLst>
            </c:dLbl>
            <c:dLbl>
              <c:idx val="49"/>
              <c:tx>
                <c:rich>
                  <a:bodyPr/>
                  <a:lstStyle/>
                  <a:p>
                    <a:fld id="{09A47B58-B4EE-4F89-B1D8-6280922836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7AED-4798-9B8F-77AC19248435}"/>
                </c:ext>
              </c:extLst>
            </c:dLbl>
            <c:dLbl>
              <c:idx val="50"/>
              <c:tx>
                <c:rich>
                  <a:bodyPr/>
                  <a:lstStyle/>
                  <a:p>
                    <a:fld id="{2972BD04-CBA5-48D9-97F5-79432FA320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7AED-4798-9B8F-77AC19248435}"/>
                </c:ext>
              </c:extLst>
            </c:dLbl>
            <c:dLbl>
              <c:idx val="51"/>
              <c:tx>
                <c:rich>
                  <a:bodyPr/>
                  <a:lstStyle/>
                  <a:p>
                    <a:fld id="{FC52D0CA-B2EE-497C-B797-3E14AA6785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7AED-4798-9B8F-77AC19248435}"/>
                </c:ext>
              </c:extLst>
            </c:dLbl>
            <c:dLbl>
              <c:idx val="52"/>
              <c:tx>
                <c:rich>
                  <a:bodyPr/>
                  <a:lstStyle/>
                  <a:p>
                    <a:fld id="{2656EBFC-170E-41BB-A31A-469B2EF0EF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7AED-4798-9B8F-77AC19248435}"/>
                </c:ext>
              </c:extLst>
            </c:dLbl>
            <c:dLbl>
              <c:idx val="53"/>
              <c:tx>
                <c:rich>
                  <a:bodyPr/>
                  <a:lstStyle/>
                  <a:p>
                    <a:fld id="{6450C90C-3BEB-4393-8A8D-4311554991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7AED-4798-9B8F-77AC19248435}"/>
                </c:ext>
              </c:extLst>
            </c:dLbl>
            <c:dLbl>
              <c:idx val="54"/>
              <c:tx>
                <c:rich>
                  <a:bodyPr/>
                  <a:lstStyle/>
                  <a:p>
                    <a:fld id="{4FDC889D-7546-49BC-9E72-F4A5D2DB15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7AED-4798-9B8F-77AC19248435}"/>
                </c:ext>
              </c:extLst>
            </c:dLbl>
            <c:dLbl>
              <c:idx val="55"/>
              <c:tx>
                <c:rich>
                  <a:bodyPr/>
                  <a:lstStyle/>
                  <a:p>
                    <a:fld id="{D60164CE-9244-43B6-8B3C-9A0325D178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7AED-4798-9B8F-77AC19248435}"/>
                </c:ext>
              </c:extLst>
            </c:dLbl>
            <c:dLbl>
              <c:idx val="56"/>
              <c:tx>
                <c:rich>
                  <a:bodyPr/>
                  <a:lstStyle/>
                  <a:p>
                    <a:fld id="{67755C0E-BC26-4E27-B27D-3EA7B2B5C2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7AED-4798-9B8F-77AC19248435}"/>
                </c:ext>
              </c:extLst>
            </c:dLbl>
            <c:dLbl>
              <c:idx val="57"/>
              <c:tx>
                <c:rich>
                  <a:bodyPr/>
                  <a:lstStyle/>
                  <a:p>
                    <a:fld id="{96723EA0-F18C-4593-82FD-963038863F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7AED-4798-9B8F-77AC19248435}"/>
                </c:ext>
              </c:extLst>
            </c:dLbl>
            <c:dLbl>
              <c:idx val="58"/>
              <c:tx>
                <c:rich>
                  <a:bodyPr/>
                  <a:lstStyle/>
                  <a:p>
                    <a:fld id="{484B7AF4-8934-4CEA-ABDA-620B9FCDC0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7AED-4798-9B8F-77AC19248435}"/>
                </c:ext>
              </c:extLst>
            </c:dLbl>
            <c:dLbl>
              <c:idx val="59"/>
              <c:tx>
                <c:rich>
                  <a:bodyPr/>
                  <a:lstStyle/>
                  <a:p>
                    <a:fld id="{2222989D-D10E-44C3-B5B2-ABB5E562DB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7AED-4798-9B8F-77AC19248435}"/>
                </c:ext>
              </c:extLst>
            </c:dLbl>
            <c:dLbl>
              <c:idx val="60"/>
              <c:tx>
                <c:rich>
                  <a:bodyPr/>
                  <a:lstStyle/>
                  <a:p>
                    <a:fld id="{D5CF9DDE-B87F-425E-BDBF-1FAD973F30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7AED-4798-9B8F-77AC19248435}"/>
                </c:ext>
              </c:extLst>
            </c:dLbl>
            <c:dLbl>
              <c:idx val="61"/>
              <c:tx>
                <c:rich>
                  <a:bodyPr/>
                  <a:lstStyle/>
                  <a:p>
                    <a:fld id="{0E71A099-FBC2-4FC7-8504-95A49207EB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7AED-4798-9B8F-77AC19248435}"/>
                </c:ext>
              </c:extLst>
            </c:dLbl>
            <c:dLbl>
              <c:idx val="62"/>
              <c:tx>
                <c:rich>
                  <a:bodyPr/>
                  <a:lstStyle/>
                  <a:p>
                    <a:fld id="{C1A270B2-94C7-4BBB-BE7C-81E23BBEF5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7AED-4798-9B8F-77AC19248435}"/>
                </c:ext>
              </c:extLst>
            </c:dLbl>
            <c:dLbl>
              <c:idx val="63"/>
              <c:tx>
                <c:rich>
                  <a:bodyPr/>
                  <a:lstStyle/>
                  <a:p>
                    <a:fld id="{3FAAB74A-AD14-4CD4-B602-505E2A7929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7AED-4798-9B8F-77AC19248435}"/>
                </c:ext>
              </c:extLst>
            </c:dLbl>
            <c:dLbl>
              <c:idx val="64"/>
              <c:tx>
                <c:rich>
                  <a:bodyPr/>
                  <a:lstStyle/>
                  <a:p>
                    <a:fld id="{8FD79BE0-A5C3-4CD4-9FEE-ACA2D712FC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7AED-4798-9B8F-77AC19248435}"/>
                </c:ext>
              </c:extLst>
            </c:dLbl>
            <c:dLbl>
              <c:idx val="65"/>
              <c:tx>
                <c:rich>
                  <a:bodyPr/>
                  <a:lstStyle/>
                  <a:p>
                    <a:fld id="{EBF66980-33C1-4BA2-8F24-18A02A858A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7AED-4798-9B8F-77AC19248435}"/>
                </c:ext>
              </c:extLst>
            </c:dLbl>
            <c:dLbl>
              <c:idx val="66"/>
              <c:tx>
                <c:rich>
                  <a:bodyPr/>
                  <a:lstStyle/>
                  <a:p>
                    <a:fld id="{A8A92D72-99D5-4EEC-B9B2-79C0BC8659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7AED-4798-9B8F-77AC19248435}"/>
                </c:ext>
              </c:extLst>
            </c:dLbl>
            <c:dLbl>
              <c:idx val="67"/>
              <c:tx>
                <c:rich>
                  <a:bodyPr/>
                  <a:lstStyle/>
                  <a:p>
                    <a:fld id="{0D3FE422-235A-4BF2-B867-849538FAED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7AED-4798-9B8F-77AC19248435}"/>
                </c:ext>
              </c:extLst>
            </c:dLbl>
            <c:dLbl>
              <c:idx val="68"/>
              <c:tx>
                <c:rich>
                  <a:bodyPr/>
                  <a:lstStyle/>
                  <a:p>
                    <a:fld id="{0543AC1A-1C0A-487F-BA3D-E2DD8B2A91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7AED-4798-9B8F-77AC19248435}"/>
                </c:ext>
              </c:extLst>
            </c:dLbl>
            <c:dLbl>
              <c:idx val="69"/>
              <c:tx>
                <c:rich>
                  <a:bodyPr/>
                  <a:lstStyle/>
                  <a:p>
                    <a:fld id="{94F9CE14-949B-4820-B635-2D751CF1D9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7AED-4798-9B8F-77AC19248435}"/>
                </c:ext>
              </c:extLst>
            </c:dLbl>
            <c:dLbl>
              <c:idx val="70"/>
              <c:tx>
                <c:rich>
                  <a:bodyPr/>
                  <a:lstStyle/>
                  <a:p>
                    <a:fld id="{3354F9DD-4811-4BBC-98E8-2F8FDFB6FB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7AED-4798-9B8F-77AC19248435}"/>
                </c:ext>
              </c:extLst>
            </c:dLbl>
            <c:dLbl>
              <c:idx val="71"/>
              <c:tx>
                <c:rich>
                  <a:bodyPr/>
                  <a:lstStyle/>
                  <a:p>
                    <a:fld id="{F0E190D9-77F2-4F2F-AF4B-4EBC4CC2D2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7AED-4798-9B8F-77AC19248435}"/>
                </c:ext>
              </c:extLst>
            </c:dLbl>
            <c:dLbl>
              <c:idx val="72"/>
              <c:tx>
                <c:rich>
                  <a:bodyPr/>
                  <a:lstStyle/>
                  <a:p>
                    <a:fld id="{284345DD-8FEB-443E-8E1D-07A7665EB4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7AED-4798-9B8F-77AC19248435}"/>
                </c:ext>
              </c:extLst>
            </c:dLbl>
            <c:dLbl>
              <c:idx val="73"/>
              <c:tx>
                <c:rich>
                  <a:bodyPr/>
                  <a:lstStyle/>
                  <a:p>
                    <a:fld id="{8B51A7B8-8796-4624-858A-00D3FA3869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7AED-4798-9B8F-77AC19248435}"/>
                </c:ext>
              </c:extLst>
            </c:dLbl>
            <c:dLbl>
              <c:idx val="74"/>
              <c:tx>
                <c:rich>
                  <a:bodyPr/>
                  <a:lstStyle/>
                  <a:p>
                    <a:fld id="{226E0DA9-9CCE-433E-9019-3FEEFFE542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7AED-4798-9B8F-77AC19248435}"/>
                </c:ext>
              </c:extLst>
            </c:dLbl>
            <c:dLbl>
              <c:idx val="75"/>
              <c:tx>
                <c:rich>
                  <a:bodyPr/>
                  <a:lstStyle/>
                  <a:p>
                    <a:fld id="{51595737-BDDA-43D7-9968-3BF14E0EAC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7AED-4798-9B8F-77AC19248435}"/>
                </c:ext>
              </c:extLst>
            </c:dLbl>
            <c:dLbl>
              <c:idx val="76"/>
              <c:tx>
                <c:rich>
                  <a:bodyPr/>
                  <a:lstStyle/>
                  <a:p>
                    <a:fld id="{BFF2741C-0B59-4317-A525-9130D3D645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7AED-4798-9B8F-77AC19248435}"/>
                </c:ext>
              </c:extLst>
            </c:dLbl>
            <c:dLbl>
              <c:idx val="77"/>
              <c:tx>
                <c:rich>
                  <a:bodyPr/>
                  <a:lstStyle/>
                  <a:p>
                    <a:fld id="{5AD8DB0F-C668-4BC2-A6A1-A67266262B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7AED-4798-9B8F-77AC19248435}"/>
                </c:ext>
              </c:extLst>
            </c:dLbl>
            <c:dLbl>
              <c:idx val="78"/>
              <c:tx>
                <c:rich>
                  <a:bodyPr/>
                  <a:lstStyle/>
                  <a:p>
                    <a:fld id="{56CC5545-B032-4482-881E-771942E0FE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7AED-4798-9B8F-77AC19248435}"/>
                </c:ext>
              </c:extLst>
            </c:dLbl>
            <c:dLbl>
              <c:idx val="79"/>
              <c:tx>
                <c:rich>
                  <a:bodyPr/>
                  <a:lstStyle/>
                  <a:p>
                    <a:fld id="{8160BC50-4800-490A-8B3D-623804818B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7AED-4798-9B8F-77AC19248435}"/>
                </c:ext>
              </c:extLst>
            </c:dLbl>
            <c:dLbl>
              <c:idx val="80"/>
              <c:tx>
                <c:rich>
                  <a:bodyPr/>
                  <a:lstStyle/>
                  <a:p>
                    <a:fld id="{118BFB24-14C0-4AB7-AE39-713AC32C31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7AED-4798-9B8F-77AC19248435}"/>
                </c:ext>
              </c:extLst>
            </c:dLbl>
            <c:dLbl>
              <c:idx val="81"/>
              <c:tx>
                <c:rich>
                  <a:bodyPr/>
                  <a:lstStyle/>
                  <a:p>
                    <a:fld id="{EBD4948E-9F92-41E1-BE43-978D183D32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7AED-4798-9B8F-77AC19248435}"/>
                </c:ext>
              </c:extLst>
            </c:dLbl>
            <c:dLbl>
              <c:idx val="82"/>
              <c:tx>
                <c:rich>
                  <a:bodyPr/>
                  <a:lstStyle/>
                  <a:p>
                    <a:fld id="{BF12C79C-0396-4746-A59F-F6092B2885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7AED-4798-9B8F-77AC19248435}"/>
                </c:ext>
              </c:extLst>
            </c:dLbl>
            <c:dLbl>
              <c:idx val="83"/>
              <c:tx>
                <c:rich>
                  <a:bodyPr/>
                  <a:lstStyle/>
                  <a:p>
                    <a:fld id="{ED8127AB-7DC5-41E3-8CC0-C432F8BBD6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7AED-4798-9B8F-77AC19248435}"/>
                </c:ext>
              </c:extLst>
            </c:dLbl>
            <c:dLbl>
              <c:idx val="84"/>
              <c:tx>
                <c:rich>
                  <a:bodyPr/>
                  <a:lstStyle/>
                  <a:p>
                    <a:fld id="{28957C10-7C11-4925-B015-19AE705AE2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7AED-4798-9B8F-77AC19248435}"/>
                </c:ext>
              </c:extLst>
            </c:dLbl>
            <c:dLbl>
              <c:idx val="85"/>
              <c:tx>
                <c:rich>
                  <a:bodyPr/>
                  <a:lstStyle/>
                  <a:p>
                    <a:fld id="{622575DD-94A3-4F08-8729-DD6B1960C6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7AED-4798-9B8F-77AC19248435}"/>
                </c:ext>
              </c:extLst>
            </c:dLbl>
            <c:dLbl>
              <c:idx val="86"/>
              <c:tx>
                <c:rich>
                  <a:bodyPr/>
                  <a:lstStyle/>
                  <a:p>
                    <a:fld id="{4623D62B-996A-415D-B624-8E4DFB41F5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7AED-4798-9B8F-77AC19248435}"/>
                </c:ext>
              </c:extLst>
            </c:dLbl>
            <c:dLbl>
              <c:idx val="87"/>
              <c:tx>
                <c:rich>
                  <a:bodyPr/>
                  <a:lstStyle/>
                  <a:p>
                    <a:fld id="{73F86137-93CA-4171-862E-ED6045BD0E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7AED-4798-9B8F-77AC19248435}"/>
                </c:ext>
              </c:extLst>
            </c:dLbl>
            <c:dLbl>
              <c:idx val="88"/>
              <c:tx>
                <c:rich>
                  <a:bodyPr/>
                  <a:lstStyle/>
                  <a:p>
                    <a:fld id="{4C8A78F4-B619-491C-8CBB-95F2FCA0DF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7AED-4798-9B8F-77AC19248435}"/>
                </c:ext>
              </c:extLst>
            </c:dLbl>
            <c:dLbl>
              <c:idx val="89"/>
              <c:tx>
                <c:rich>
                  <a:bodyPr/>
                  <a:lstStyle/>
                  <a:p>
                    <a:fld id="{E120FF1D-B7C4-4A48-BC1C-1ED2721EB7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7AED-4798-9B8F-77AC19248435}"/>
                </c:ext>
              </c:extLst>
            </c:dLbl>
            <c:dLbl>
              <c:idx val="90"/>
              <c:tx>
                <c:rich>
                  <a:bodyPr/>
                  <a:lstStyle/>
                  <a:p>
                    <a:fld id="{82E8307C-892B-4123-ABB6-5F95C55F28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7AED-4798-9B8F-77AC19248435}"/>
                </c:ext>
              </c:extLst>
            </c:dLbl>
            <c:dLbl>
              <c:idx val="91"/>
              <c:tx>
                <c:rich>
                  <a:bodyPr/>
                  <a:lstStyle/>
                  <a:p>
                    <a:fld id="{C3221592-B064-4F74-976F-A18C40458B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7AED-4798-9B8F-77AC19248435}"/>
                </c:ext>
              </c:extLst>
            </c:dLbl>
            <c:dLbl>
              <c:idx val="92"/>
              <c:tx>
                <c:rich>
                  <a:bodyPr/>
                  <a:lstStyle/>
                  <a:p>
                    <a:fld id="{FA2726BF-441A-4600-BB46-232E9DE58D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7AED-4798-9B8F-77AC19248435}"/>
                </c:ext>
              </c:extLst>
            </c:dLbl>
            <c:dLbl>
              <c:idx val="93"/>
              <c:tx>
                <c:rich>
                  <a:bodyPr/>
                  <a:lstStyle/>
                  <a:p>
                    <a:fld id="{A2B7A3BC-43FC-44DB-B396-918A9BDE1C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7AED-4798-9B8F-77AC19248435}"/>
                </c:ext>
              </c:extLst>
            </c:dLbl>
            <c:dLbl>
              <c:idx val="94"/>
              <c:tx>
                <c:rich>
                  <a:bodyPr/>
                  <a:lstStyle/>
                  <a:p>
                    <a:fld id="{6B00ECD9-C5EC-436A-B745-F1CDE8AE9E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7AED-4798-9B8F-77AC19248435}"/>
                </c:ext>
              </c:extLst>
            </c:dLbl>
            <c:dLbl>
              <c:idx val="95"/>
              <c:tx>
                <c:rich>
                  <a:bodyPr/>
                  <a:lstStyle/>
                  <a:p>
                    <a:fld id="{9345A814-6F56-4AF0-B1B1-FC2F866642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7AED-4798-9B8F-77AC19248435}"/>
                </c:ext>
              </c:extLst>
            </c:dLbl>
            <c:dLbl>
              <c:idx val="96"/>
              <c:tx>
                <c:rich>
                  <a:bodyPr/>
                  <a:lstStyle/>
                  <a:p>
                    <a:fld id="{019EB8B0-6955-4123-91C6-553CC4B62B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7AED-4798-9B8F-77AC19248435}"/>
                </c:ext>
              </c:extLst>
            </c:dLbl>
            <c:dLbl>
              <c:idx val="97"/>
              <c:tx>
                <c:rich>
                  <a:bodyPr/>
                  <a:lstStyle/>
                  <a:p>
                    <a:fld id="{D813B3A4-4D5A-45E5-82D7-9F47388503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7AED-4798-9B8F-77AC19248435}"/>
                </c:ext>
              </c:extLst>
            </c:dLbl>
            <c:dLbl>
              <c:idx val="98"/>
              <c:tx>
                <c:rich>
                  <a:bodyPr/>
                  <a:lstStyle/>
                  <a:p>
                    <a:fld id="{00BCB87F-EC40-4236-B5AE-7D98559F44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7AED-4798-9B8F-77AC19248435}"/>
                </c:ext>
              </c:extLst>
            </c:dLbl>
            <c:dLbl>
              <c:idx val="99"/>
              <c:tx>
                <c:rich>
                  <a:bodyPr/>
                  <a:lstStyle/>
                  <a:p>
                    <a:fld id="{BE4903C3-F164-4D40-A933-134457EF4D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7AED-4798-9B8F-77AC19248435}"/>
                </c:ext>
              </c:extLst>
            </c:dLbl>
            <c:dLbl>
              <c:idx val="100"/>
              <c:tx>
                <c:rich>
                  <a:bodyPr/>
                  <a:lstStyle/>
                  <a:p>
                    <a:fld id="{3624065B-8A14-4001-A070-8BF1C004E4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7AED-4798-9B8F-77AC19248435}"/>
                </c:ext>
              </c:extLst>
            </c:dLbl>
            <c:dLbl>
              <c:idx val="101"/>
              <c:tx>
                <c:rich>
                  <a:bodyPr/>
                  <a:lstStyle/>
                  <a:p>
                    <a:fld id="{F9345FCA-3346-44BB-9896-9826FBB7DB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7AED-4798-9B8F-77AC19248435}"/>
                </c:ext>
              </c:extLst>
            </c:dLbl>
            <c:dLbl>
              <c:idx val="102"/>
              <c:tx>
                <c:rich>
                  <a:bodyPr/>
                  <a:lstStyle/>
                  <a:p>
                    <a:fld id="{3F94BCA6-C5C8-4F5B-A705-760DE56765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7AED-4798-9B8F-77AC19248435}"/>
                </c:ext>
              </c:extLst>
            </c:dLbl>
            <c:dLbl>
              <c:idx val="103"/>
              <c:tx>
                <c:rich>
                  <a:bodyPr/>
                  <a:lstStyle/>
                  <a:p>
                    <a:fld id="{727BF272-0637-4A62-9AA7-CB2DB688FF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7AED-4798-9B8F-77AC19248435}"/>
                </c:ext>
              </c:extLst>
            </c:dLbl>
            <c:dLbl>
              <c:idx val="104"/>
              <c:tx>
                <c:rich>
                  <a:bodyPr/>
                  <a:lstStyle/>
                  <a:p>
                    <a:fld id="{A4D51582-FC1C-4442-96CB-2042A82726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7AED-4798-9B8F-77AC19248435}"/>
                </c:ext>
              </c:extLst>
            </c:dLbl>
            <c:dLbl>
              <c:idx val="105"/>
              <c:tx>
                <c:rich>
                  <a:bodyPr/>
                  <a:lstStyle/>
                  <a:p>
                    <a:fld id="{AC38CB3C-7665-46AC-9ED6-E69C2A8799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7AED-4798-9B8F-77AC19248435}"/>
                </c:ext>
              </c:extLst>
            </c:dLbl>
            <c:dLbl>
              <c:idx val="106"/>
              <c:tx>
                <c:rich>
                  <a:bodyPr/>
                  <a:lstStyle/>
                  <a:p>
                    <a:fld id="{374909B6-7D0A-45FB-91F8-F45E284088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7AED-4798-9B8F-77AC19248435}"/>
                </c:ext>
              </c:extLst>
            </c:dLbl>
            <c:dLbl>
              <c:idx val="107"/>
              <c:tx>
                <c:rich>
                  <a:bodyPr/>
                  <a:lstStyle/>
                  <a:p>
                    <a:fld id="{FCA1CC8D-C893-4829-B98F-0235E6A479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7AED-4798-9B8F-77AC19248435}"/>
                </c:ext>
              </c:extLst>
            </c:dLbl>
            <c:dLbl>
              <c:idx val="108"/>
              <c:tx>
                <c:rich>
                  <a:bodyPr/>
                  <a:lstStyle/>
                  <a:p>
                    <a:fld id="{25032BD0-70CC-41B9-A73C-C04A3C86C7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7AED-4798-9B8F-77AC19248435}"/>
                </c:ext>
              </c:extLst>
            </c:dLbl>
            <c:dLbl>
              <c:idx val="109"/>
              <c:tx>
                <c:rich>
                  <a:bodyPr/>
                  <a:lstStyle/>
                  <a:p>
                    <a:fld id="{7E91C64E-5A93-4E73-88D9-75B9A50790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7AED-4798-9B8F-77AC19248435}"/>
                </c:ext>
              </c:extLst>
            </c:dLbl>
            <c:dLbl>
              <c:idx val="110"/>
              <c:tx>
                <c:rich>
                  <a:bodyPr/>
                  <a:lstStyle/>
                  <a:p>
                    <a:fld id="{87E481F7-9A61-4345-A840-EF2A06A584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7AED-4798-9B8F-77AC19248435}"/>
                </c:ext>
              </c:extLst>
            </c:dLbl>
            <c:dLbl>
              <c:idx val="111"/>
              <c:tx>
                <c:rich>
                  <a:bodyPr/>
                  <a:lstStyle/>
                  <a:p>
                    <a:fld id="{766C0042-D329-4ECD-80B4-FB5CDB812F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7AED-4798-9B8F-77AC19248435}"/>
                </c:ext>
              </c:extLst>
            </c:dLbl>
            <c:dLbl>
              <c:idx val="112"/>
              <c:tx>
                <c:rich>
                  <a:bodyPr/>
                  <a:lstStyle/>
                  <a:p>
                    <a:fld id="{555CB12F-F470-4CF6-90AD-A90E90ABEB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7AED-4798-9B8F-77AC19248435}"/>
                </c:ext>
              </c:extLst>
            </c:dLbl>
            <c:dLbl>
              <c:idx val="113"/>
              <c:tx>
                <c:rich>
                  <a:bodyPr/>
                  <a:lstStyle/>
                  <a:p>
                    <a:fld id="{5D319D36-33D8-4DEB-966C-E4FB10C276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7AED-4798-9B8F-77AC19248435}"/>
                </c:ext>
              </c:extLst>
            </c:dLbl>
            <c:dLbl>
              <c:idx val="114"/>
              <c:tx>
                <c:rich>
                  <a:bodyPr/>
                  <a:lstStyle/>
                  <a:p>
                    <a:fld id="{DF0FC38A-9751-4655-B998-F9E8C71989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7AED-4798-9B8F-77AC19248435}"/>
                </c:ext>
              </c:extLst>
            </c:dLbl>
            <c:dLbl>
              <c:idx val="115"/>
              <c:tx>
                <c:rich>
                  <a:bodyPr/>
                  <a:lstStyle/>
                  <a:p>
                    <a:fld id="{41EE3AF1-DB39-4896-AB17-0C672BE6D6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7AED-4798-9B8F-77AC19248435}"/>
                </c:ext>
              </c:extLst>
            </c:dLbl>
            <c:dLbl>
              <c:idx val="116"/>
              <c:tx>
                <c:rich>
                  <a:bodyPr/>
                  <a:lstStyle/>
                  <a:p>
                    <a:fld id="{FBE10B99-48D3-4A6C-9988-E557D69992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7AED-4798-9B8F-77AC19248435}"/>
                </c:ext>
              </c:extLst>
            </c:dLbl>
            <c:dLbl>
              <c:idx val="117"/>
              <c:tx>
                <c:rich>
                  <a:bodyPr/>
                  <a:lstStyle/>
                  <a:p>
                    <a:fld id="{C2CEDEBA-3D53-43C5-8FD2-CE4E49FADD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7AED-4798-9B8F-77AC19248435}"/>
                </c:ext>
              </c:extLst>
            </c:dLbl>
            <c:dLbl>
              <c:idx val="118"/>
              <c:tx>
                <c:rich>
                  <a:bodyPr/>
                  <a:lstStyle/>
                  <a:p>
                    <a:fld id="{664A6E67-3AEA-4710-BE5A-C621941CD9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7AED-4798-9B8F-77AC19248435}"/>
                </c:ext>
              </c:extLst>
            </c:dLbl>
            <c:dLbl>
              <c:idx val="119"/>
              <c:tx>
                <c:rich>
                  <a:bodyPr/>
                  <a:lstStyle/>
                  <a:p>
                    <a:fld id="{D7A1E7B5-CBED-4F13-B2B0-20E0E25956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7AED-4798-9B8F-77AC19248435}"/>
                </c:ext>
              </c:extLst>
            </c:dLbl>
            <c:dLbl>
              <c:idx val="120"/>
              <c:tx>
                <c:rich>
                  <a:bodyPr/>
                  <a:lstStyle/>
                  <a:p>
                    <a:fld id="{9C29E29C-1F2A-4F85-B760-3EA877C0B4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7AED-4798-9B8F-77AC19248435}"/>
                </c:ext>
              </c:extLst>
            </c:dLbl>
            <c:dLbl>
              <c:idx val="121"/>
              <c:tx>
                <c:rich>
                  <a:bodyPr/>
                  <a:lstStyle/>
                  <a:p>
                    <a:fld id="{567A22E2-1320-43A6-B187-96F462845E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7AED-4798-9B8F-77AC19248435}"/>
                </c:ext>
              </c:extLst>
            </c:dLbl>
            <c:dLbl>
              <c:idx val="122"/>
              <c:tx>
                <c:rich>
                  <a:bodyPr/>
                  <a:lstStyle/>
                  <a:p>
                    <a:fld id="{2C66F56D-6A96-4976-80F4-63509D911E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7AED-4798-9B8F-77AC19248435}"/>
                </c:ext>
              </c:extLst>
            </c:dLbl>
            <c:dLbl>
              <c:idx val="123"/>
              <c:tx>
                <c:rich>
                  <a:bodyPr/>
                  <a:lstStyle/>
                  <a:p>
                    <a:fld id="{7413AD76-3EF2-4E96-A2BE-1AAAAE90A5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7AED-4798-9B8F-77AC19248435}"/>
                </c:ext>
              </c:extLst>
            </c:dLbl>
            <c:dLbl>
              <c:idx val="124"/>
              <c:tx>
                <c:rich>
                  <a:bodyPr/>
                  <a:lstStyle/>
                  <a:p>
                    <a:fld id="{5CEC0BE9-1964-4D95-9CF4-A338052376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7AED-4798-9B8F-77AC19248435}"/>
                </c:ext>
              </c:extLst>
            </c:dLbl>
            <c:dLbl>
              <c:idx val="125"/>
              <c:tx>
                <c:rich>
                  <a:bodyPr/>
                  <a:lstStyle/>
                  <a:p>
                    <a:fld id="{8C97B0FF-3B58-4EB2-A455-47FBF8DA25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7AED-4798-9B8F-77AC19248435}"/>
                </c:ext>
              </c:extLst>
            </c:dLbl>
            <c:dLbl>
              <c:idx val="126"/>
              <c:tx>
                <c:rich>
                  <a:bodyPr/>
                  <a:lstStyle/>
                  <a:p>
                    <a:fld id="{1665B41F-DEC0-4073-80A0-8C89B92651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7AED-4798-9B8F-77AC19248435}"/>
                </c:ext>
              </c:extLst>
            </c:dLbl>
            <c:dLbl>
              <c:idx val="127"/>
              <c:tx>
                <c:rich>
                  <a:bodyPr/>
                  <a:lstStyle/>
                  <a:p>
                    <a:fld id="{EEA3A5FF-78FC-4FA0-91DE-6ACE19441C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7AED-4798-9B8F-77AC19248435}"/>
                </c:ext>
              </c:extLst>
            </c:dLbl>
            <c:dLbl>
              <c:idx val="128"/>
              <c:tx>
                <c:rich>
                  <a:bodyPr/>
                  <a:lstStyle/>
                  <a:p>
                    <a:fld id="{1AC12D39-97C8-454D-A6FA-52D8C300BB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7AED-4798-9B8F-77AC19248435}"/>
                </c:ext>
              </c:extLst>
            </c:dLbl>
            <c:dLbl>
              <c:idx val="129"/>
              <c:tx>
                <c:rich>
                  <a:bodyPr/>
                  <a:lstStyle/>
                  <a:p>
                    <a:fld id="{09693CA2-F5C4-4066-8DCD-0EE3E51E6D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7AED-4798-9B8F-77AC19248435}"/>
                </c:ext>
              </c:extLst>
            </c:dLbl>
            <c:dLbl>
              <c:idx val="130"/>
              <c:tx>
                <c:rich>
                  <a:bodyPr/>
                  <a:lstStyle/>
                  <a:p>
                    <a:fld id="{59E18AED-B19B-43C8-AFE5-19CBDCD3D9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7AED-4798-9B8F-77AC19248435}"/>
                </c:ext>
              </c:extLst>
            </c:dLbl>
            <c:dLbl>
              <c:idx val="131"/>
              <c:tx>
                <c:rich>
                  <a:bodyPr/>
                  <a:lstStyle/>
                  <a:p>
                    <a:fld id="{1234D4DC-8E10-4764-82F2-D2ED50EDB3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7AED-4798-9B8F-77AC19248435}"/>
                </c:ext>
              </c:extLst>
            </c:dLbl>
            <c:dLbl>
              <c:idx val="132"/>
              <c:tx>
                <c:rich>
                  <a:bodyPr/>
                  <a:lstStyle/>
                  <a:p>
                    <a:fld id="{695C46BB-5600-4801-960A-92937F2472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7AED-4798-9B8F-77AC19248435}"/>
                </c:ext>
              </c:extLst>
            </c:dLbl>
            <c:dLbl>
              <c:idx val="133"/>
              <c:tx>
                <c:rich>
                  <a:bodyPr/>
                  <a:lstStyle/>
                  <a:p>
                    <a:fld id="{948CEC7A-62FB-4282-B55B-FF1243CEA9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7AED-4798-9B8F-77AC19248435}"/>
                </c:ext>
              </c:extLst>
            </c:dLbl>
            <c:dLbl>
              <c:idx val="134"/>
              <c:tx>
                <c:rich>
                  <a:bodyPr/>
                  <a:lstStyle/>
                  <a:p>
                    <a:fld id="{D9D02BD2-0E50-4CA9-98EB-632E9C97BA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7AED-4798-9B8F-77AC19248435}"/>
                </c:ext>
              </c:extLst>
            </c:dLbl>
            <c:dLbl>
              <c:idx val="135"/>
              <c:tx>
                <c:rich>
                  <a:bodyPr/>
                  <a:lstStyle/>
                  <a:p>
                    <a:fld id="{0FE6435F-6B08-4214-A90C-059E3230E4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7AED-4798-9B8F-77AC19248435}"/>
                </c:ext>
              </c:extLst>
            </c:dLbl>
            <c:dLbl>
              <c:idx val="136"/>
              <c:tx>
                <c:rich>
                  <a:bodyPr/>
                  <a:lstStyle/>
                  <a:p>
                    <a:fld id="{29DA1166-91E0-4858-8906-74C9CD8795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7AED-4798-9B8F-77AC19248435}"/>
                </c:ext>
              </c:extLst>
            </c:dLbl>
            <c:dLbl>
              <c:idx val="137"/>
              <c:tx>
                <c:rich>
                  <a:bodyPr/>
                  <a:lstStyle/>
                  <a:p>
                    <a:fld id="{97D7275E-4B21-475E-B22E-D1AFE833FE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7AED-4798-9B8F-77AC19248435}"/>
                </c:ext>
              </c:extLst>
            </c:dLbl>
            <c:dLbl>
              <c:idx val="138"/>
              <c:tx>
                <c:rich>
                  <a:bodyPr/>
                  <a:lstStyle/>
                  <a:p>
                    <a:fld id="{A27573C0-A78C-43B0-B8BE-BFCE0837A5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7AED-4798-9B8F-77AC19248435}"/>
                </c:ext>
              </c:extLst>
            </c:dLbl>
            <c:dLbl>
              <c:idx val="139"/>
              <c:tx>
                <c:rich>
                  <a:bodyPr/>
                  <a:lstStyle/>
                  <a:p>
                    <a:fld id="{5114670C-789E-4110-874C-C9B7AF06CA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7AED-4798-9B8F-77AC19248435}"/>
                </c:ext>
              </c:extLst>
            </c:dLbl>
            <c:dLbl>
              <c:idx val="140"/>
              <c:tx>
                <c:rich>
                  <a:bodyPr/>
                  <a:lstStyle/>
                  <a:p>
                    <a:fld id="{AEDF2D39-4168-4C84-8C94-557881166E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7AED-4798-9B8F-77AC19248435}"/>
                </c:ext>
              </c:extLst>
            </c:dLbl>
            <c:dLbl>
              <c:idx val="141"/>
              <c:tx>
                <c:rich>
                  <a:bodyPr/>
                  <a:lstStyle/>
                  <a:p>
                    <a:fld id="{BABC67F4-880C-4A13-8BB2-F878E21648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7AED-4798-9B8F-77AC19248435}"/>
                </c:ext>
              </c:extLst>
            </c:dLbl>
            <c:dLbl>
              <c:idx val="142"/>
              <c:tx>
                <c:rich>
                  <a:bodyPr/>
                  <a:lstStyle/>
                  <a:p>
                    <a:fld id="{2938DFD3-9796-48B4-A38B-5C6A2BD999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7AED-4798-9B8F-77AC19248435}"/>
                </c:ext>
              </c:extLst>
            </c:dLbl>
            <c:dLbl>
              <c:idx val="143"/>
              <c:tx>
                <c:rich>
                  <a:bodyPr/>
                  <a:lstStyle/>
                  <a:p>
                    <a:fld id="{D482C591-DC6F-4AF1-B51E-AAEC7C9E45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7AED-4798-9B8F-77AC19248435}"/>
                </c:ext>
              </c:extLst>
            </c:dLbl>
            <c:dLbl>
              <c:idx val="144"/>
              <c:tx>
                <c:rich>
                  <a:bodyPr/>
                  <a:lstStyle/>
                  <a:p>
                    <a:fld id="{36E9F486-6E76-4A55-8EC0-298076AF76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7AED-4798-9B8F-77AC19248435}"/>
                </c:ext>
              </c:extLst>
            </c:dLbl>
            <c:dLbl>
              <c:idx val="145"/>
              <c:tx>
                <c:rich>
                  <a:bodyPr/>
                  <a:lstStyle/>
                  <a:p>
                    <a:fld id="{3BBB70B9-79E7-449C-8D13-E326562631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7AED-4798-9B8F-77AC19248435}"/>
                </c:ext>
              </c:extLst>
            </c:dLbl>
            <c:dLbl>
              <c:idx val="146"/>
              <c:tx>
                <c:rich>
                  <a:bodyPr/>
                  <a:lstStyle/>
                  <a:p>
                    <a:fld id="{20241E57-62D0-4073-82D0-2D08A7ADFD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7AED-4798-9B8F-77AC19248435}"/>
                </c:ext>
              </c:extLst>
            </c:dLbl>
            <c:dLbl>
              <c:idx val="147"/>
              <c:tx>
                <c:rich>
                  <a:bodyPr/>
                  <a:lstStyle/>
                  <a:p>
                    <a:fld id="{B0ABA216-2D09-4B93-A4AB-D4EE683CFA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7AED-4798-9B8F-77AC19248435}"/>
                </c:ext>
              </c:extLst>
            </c:dLbl>
            <c:dLbl>
              <c:idx val="148"/>
              <c:tx>
                <c:rich>
                  <a:bodyPr/>
                  <a:lstStyle/>
                  <a:p>
                    <a:fld id="{46B5FC4C-A34B-4B8B-91E1-20B96470FE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7AED-4798-9B8F-77AC19248435}"/>
                </c:ext>
              </c:extLst>
            </c:dLbl>
            <c:dLbl>
              <c:idx val="149"/>
              <c:tx>
                <c:rich>
                  <a:bodyPr/>
                  <a:lstStyle/>
                  <a:p>
                    <a:fld id="{5E8BBCC5-7326-4BF1-8CC8-B8762C9DF2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7AED-4798-9B8F-77AC19248435}"/>
                </c:ext>
              </c:extLst>
            </c:dLbl>
            <c:dLbl>
              <c:idx val="150"/>
              <c:tx>
                <c:rich>
                  <a:bodyPr/>
                  <a:lstStyle/>
                  <a:p>
                    <a:fld id="{64102672-210A-4D90-8DB2-99050E0DE2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7AED-4798-9B8F-77AC19248435}"/>
                </c:ext>
              </c:extLst>
            </c:dLbl>
            <c:dLbl>
              <c:idx val="151"/>
              <c:tx>
                <c:rich>
                  <a:bodyPr/>
                  <a:lstStyle/>
                  <a:p>
                    <a:fld id="{95AE624B-84CC-4088-AC9F-7207904A05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7AED-4798-9B8F-77AC19248435}"/>
                </c:ext>
              </c:extLst>
            </c:dLbl>
            <c:dLbl>
              <c:idx val="152"/>
              <c:tx>
                <c:rich>
                  <a:bodyPr/>
                  <a:lstStyle/>
                  <a:p>
                    <a:fld id="{91B3783E-08F9-484B-A05B-55D32927DA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7AED-4798-9B8F-77AC19248435}"/>
                </c:ext>
              </c:extLst>
            </c:dLbl>
            <c:dLbl>
              <c:idx val="153"/>
              <c:tx>
                <c:rich>
                  <a:bodyPr/>
                  <a:lstStyle/>
                  <a:p>
                    <a:fld id="{4A61BBD8-DCD9-403F-9FA0-8DCFF29496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7AED-4798-9B8F-77AC19248435}"/>
                </c:ext>
              </c:extLst>
            </c:dLbl>
            <c:dLbl>
              <c:idx val="154"/>
              <c:tx>
                <c:rich>
                  <a:bodyPr/>
                  <a:lstStyle/>
                  <a:p>
                    <a:fld id="{30F91DEC-A381-4702-BC59-FA14200B24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7AED-4798-9B8F-77AC19248435}"/>
                </c:ext>
              </c:extLst>
            </c:dLbl>
            <c:dLbl>
              <c:idx val="155"/>
              <c:tx>
                <c:rich>
                  <a:bodyPr/>
                  <a:lstStyle/>
                  <a:p>
                    <a:fld id="{258A62F6-8B35-4535-9D9F-014D3245A6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7AED-4798-9B8F-77AC19248435}"/>
                </c:ext>
              </c:extLst>
            </c:dLbl>
            <c:dLbl>
              <c:idx val="156"/>
              <c:tx>
                <c:rich>
                  <a:bodyPr/>
                  <a:lstStyle/>
                  <a:p>
                    <a:fld id="{F5CA6145-8B15-47C1-80AB-3AA1C97484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7AED-4798-9B8F-77AC19248435}"/>
                </c:ext>
              </c:extLst>
            </c:dLbl>
            <c:dLbl>
              <c:idx val="157"/>
              <c:tx>
                <c:rich>
                  <a:bodyPr/>
                  <a:lstStyle/>
                  <a:p>
                    <a:fld id="{691DD3A8-4B2F-4007-BEA5-A391BAEB84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7AED-4798-9B8F-77AC19248435}"/>
                </c:ext>
              </c:extLst>
            </c:dLbl>
            <c:dLbl>
              <c:idx val="158"/>
              <c:tx>
                <c:rich>
                  <a:bodyPr/>
                  <a:lstStyle/>
                  <a:p>
                    <a:fld id="{41BF8925-F3A3-4C3B-8573-EC3E7508AF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7AED-4798-9B8F-77AC19248435}"/>
                </c:ext>
              </c:extLst>
            </c:dLbl>
            <c:dLbl>
              <c:idx val="159"/>
              <c:tx>
                <c:rich>
                  <a:bodyPr/>
                  <a:lstStyle/>
                  <a:p>
                    <a:fld id="{1035A5FD-E535-4800-B8DD-CD65F45FD9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7AED-4798-9B8F-77AC19248435}"/>
                </c:ext>
              </c:extLst>
            </c:dLbl>
            <c:dLbl>
              <c:idx val="160"/>
              <c:tx>
                <c:rich>
                  <a:bodyPr/>
                  <a:lstStyle/>
                  <a:p>
                    <a:fld id="{91E736DE-336E-4834-B4D7-FB8D953013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7AED-4798-9B8F-77AC19248435}"/>
                </c:ext>
              </c:extLst>
            </c:dLbl>
            <c:dLbl>
              <c:idx val="161"/>
              <c:tx>
                <c:rich>
                  <a:bodyPr/>
                  <a:lstStyle/>
                  <a:p>
                    <a:fld id="{0CD10650-A3C0-4413-8A0A-DAD685113D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7AED-4798-9B8F-77AC19248435}"/>
                </c:ext>
              </c:extLst>
            </c:dLbl>
            <c:dLbl>
              <c:idx val="162"/>
              <c:tx>
                <c:rich>
                  <a:bodyPr/>
                  <a:lstStyle/>
                  <a:p>
                    <a:fld id="{F9EA407B-8903-496B-BAE0-1A1B086FA1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7AED-4798-9B8F-77AC19248435}"/>
                </c:ext>
              </c:extLst>
            </c:dLbl>
            <c:dLbl>
              <c:idx val="163"/>
              <c:tx>
                <c:rich>
                  <a:bodyPr/>
                  <a:lstStyle/>
                  <a:p>
                    <a:fld id="{06B305DA-54A8-4BCF-810B-2B1EB537EB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7AED-4798-9B8F-77AC19248435}"/>
                </c:ext>
              </c:extLst>
            </c:dLbl>
            <c:dLbl>
              <c:idx val="164"/>
              <c:tx>
                <c:rich>
                  <a:bodyPr/>
                  <a:lstStyle/>
                  <a:p>
                    <a:fld id="{D9700E6B-AA35-44FF-9852-9DA0BEF949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7AED-4798-9B8F-77AC19248435}"/>
                </c:ext>
              </c:extLst>
            </c:dLbl>
            <c:dLbl>
              <c:idx val="165"/>
              <c:tx>
                <c:rich>
                  <a:bodyPr/>
                  <a:lstStyle/>
                  <a:p>
                    <a:fld id="{C4FA5BE2-CC7A-4FBE-A69A-78BF19A2CF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7AED-4798-9B8F-77AC19248435}"/>
                </c:ext>
              </c:extLst>
            </c:dLbl>
            <c:dLbl>
              <c:idx val="166"/>
              <c:tx>
                <c:rich>
                  <a:bodyPr/>
                  <a:lstStyle/>
                  <a:p>
                    <a:fld id="{BF20F1E6-7B6B-471C-ABDB-F2447BEF10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7AED-4798-9B8F-77AC19248435}"/>
                </c:ext>
              </c:extLst>
            </c:dLbl>
            <c:dLbl>
              <c:idx val="167"/>
              <c:tx>
                <c:rich>
                  <a:bodyPr/>
                  <a:lstStyle/>
                  <a:p>
                    <a:fld id="{60FAC71E-69CA-4818-867C-759A58C620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7AED-4798-9B8F-77AC19248435}"/>
                </c:ext>
              </c:extLst>
            </c:dLbl>
            <c:dLbl>
              <c:idx val="168"/>
              <c:tx>
                <c:rich>
                  <a:bodyPr/>
                  <a:lstStyle/>
                  <a:p>
                    <a:fld id="{62857117-7A0B-4F10-9E39-66EC0A1159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7AED-4798-9B8F-77AC19248435}"/>
                </c:ext>
              </c:extLst>
            </c:dLbl>
            <c:dLbl>
              <c:idx val="169"/>
              <c:tx>
                <c:rich>
                  <a:bodyPr/>
                  <a:lstStyle/>
                  <a:p>
                    <a:fld id="{92884C46-BA6D-4350-8C7B-00410D4ECA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7AED-4798-9B8F-77AC19248435}"/>
                </c:ext>
              </c:extLst>
            </c:dLbl>
            <c:dLbl>
              <c:idx val="170"/>
              <c:tx>
                <c:rich>
                  <a:bodyPr/>
                  <a:lstStyle/>
                  <a:p>
                    <a:fld id="{225E7D49-2B59-4913-85FC-8A1F00738D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7AED-4798-9B8F-77AC19248435}"/>
                </c:ext>
              </c:extLst>
            </c:dLbl>
            <c:dLbl>
              <c:idx val="171"/>
              <c:tx>
                <c:rich>
                  <a:bodyPr/>
                  <a:lstStyle/>
                  <a:p>
                    <a:fld id="{2B8C87B1-0D89-4650-A718-3333C65FF3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7AED-4798-9B8F-77AC19248435}"/>
                </c:ext>
              </c:extLst>
            </c:dLbl>
            <c:dLbl>
              <c:idx val="172"/>
              <c:tx>
                <c:rich>
                  <a:bodyPr/>
                  <a:lstStyle/>
                  <a:p>
                    <a:fld id="{CDEC7611-81A7-424F-BCF7-49787E92CE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7AED-4798-9B8F-77AC19248435}"/>
                </c:ext>
              </c:extLst>
            </c:dLbl>
            <c:dLbl>
              <c:idx val="173"/>
              <c:tx>
                <c:rich>
                  <a:bodyPr/>
                  <a:lstStyle/>
                  <a:p>
                    <a:fld id="{CA790153-4F8B-45A0-8C17-8BC0BD34A7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7AED-4798-9B8F-77AC19248435}"/>
                </c:ext>
              </c:extLst>
            </c:dLbl>
            <c:dLbl>
              <c:idx val="174"/>
              <c:tx>
                <c:rich>
                  <a:bodyPr/>
                  <a:lstStyle/>
                  <a:p>
                    <a:fld id="{6AFD13AF-4568-4A32-88DC-73D9E685B0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7AED-4798-9B8F-77AC19248435}"/>
                </c:ext>
              </c:extLst>
            </c:dLbl>
            <c:dLbl>
              <c:idx val="175"/>
              <c:tx>
                <c:rich>
                  <a:bodyPr/>
                  <a:lstStyle/>
                  <a:p>
                    <a:fld id="{C5BBF53B-E594-4888-935C-344286DE0A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7AED-4798-9B8F-77AC19248435}"/>
                </c:ext>
              </c:extLst>
            </c:dLbl>
            <c:dLbl>
              <c:idx val="176"/>
              <c:tx>
                <c:rich>
                  <a:bodyPr/>
                  <a:lstStyle/>
                  <a:p>
                    <a:fld id="{2729FB5A-B1FD-4C2B-94C2-2E5F6670E7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7AED-4798-9B8F-77AC19248435}"/>
                </c:ext>
              </c:extLst>
            </c:dLbl>
            <c:dLbl>
              <c:idx val="177"/>
              <c:tx>
                <c:rich>
                  <a:bodyPr/>
                  <a:lstStyle/>
                  <a:p>
                    <a:fld id="{FE34732E-3B57-475E-9575-EB9AF72FC3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7AED-4798-9B8F-77AC19248435}"/>
                </c:ext>
              </c:extLst>
            </c:dLbl>
            <c:dLbl>
              <c:idx val="178"/>
              <c:tx>
                <c:rich>
                  <a:bodyPr/>
                  <a:lstStyle/>
                  <a:p>
                    <a:fld id="{E86E4A68-48A4-4424-A0EB-711BF2F474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7AED-4798-9B8F-77AC19248435}"/>
                </c:ext>
              </c:extLst>
            </c:dLbl>
            <c:dLbl>
              <c:idx val="179"/>
              <c:tx>
                <c:rich>
                  <a:bodyPr/>
                  <a:lstStyle/>
                  <a:p>
                    <a:fld id="{D0DC970D-3803-4586-96D2-6FD33F7C21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7AED-4798-9B8F-77AC19248435}"/>
                </c:ext>
              </c:extLst>
            </c:dLbl>
            <c:dLbl>
              <c:idx val="180"/>
              <c:tx>
                <c:rich>
                  <a:bodyPr/>
                  <a:lstStyle/>
                  <a:p>
                    <a:fld id="{9B308A6F-2212-4B83-8C45-352BED1C87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7AED-4798-9B8F-77AC19248435}"/>
                </c:ext>
              </c:extLst>
            </c:dLbl>
            <c:dLbl>
              <c:idx val="181"/>
              <c:tx>
                <c:rich>
                  <a:bodyPr/>
                  <a:lstStyle/>
                  <a:p>
                    <a:fld id="{C7705693-93B1-4A77-BD2F-F4FC4A36B6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7AED-4798-9B8F-77AC19248435}"/>
                </c:ext>
              </c:extLst>
            </c:dLbl>
            <c:dLbl>
              <c:idx val="182"/>
              <c:tx>
                <c:rich>
                  <a:bodyPr/>
                  <a:lstStyle/>
                  <a:p>
                    <a:fld id="{B8252F5C-BE9A-4EA3-B3BC-CC300B13FA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7AED-4798-9B8F-77AC19248435}"/>
                </c:ext>
              </c:extLst>
            </c:dLbl>
            <c:dLbl>
              <c:idx val="183"/>
              <c:tx>
                <c:rich>
                  <a:bodyPr/>
                  <a:lstStyle/>
                  <a:p>
                    <a:fld id="{ADAC1BE4-2DEB-4515-9E4A-2B5FD17A52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7AED-4798-9B8F-77AC19248435}"/>
                </c:ext>
              </c:extLst>
            </c:dLbl>
            <c:dLbl>
              <c:idx val="184"/>
              <c:tx>
                <c:rich>
                  <a:bodyPr/>
                  <a:lstStyle/>
                  <a:p>
                    <a:fld id="{D9DFDF08-C7FC-4EF3-B097-0D27097F7D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7AED-4798-9B8F-77AC19248435}"/>
                </c:ext>
              </c:extLst>
            </c:dLbl>
            <c:dLbl>
              <c:idx val="185"/>
              <c:tx>
                <c:rich>
                  <a:bodyPr/>
                  <a:lstStyle/>
                  <a:p>
                    <a:fld id="{90240BA0-174A-44F6-890C-8BCABBCC53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7AED-4798-9B8F-77AC19248435}"/>
                </c:ext>
              </c:extLst>
            </c:dLbl>
            <c:dLbl>
              <c:idx val="186"/>
              <c:tx>
                <c:rich>
                  <a:bodyPr/>
                  <a:lstStyle/>
                  <a:p>
                    <a:fld id="{FD666080-1D2B-452E-A71F-D3FA3C3B23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7AED-4798-9B8F-77AC19248435}"/>
                </c:ext>
              </c:extLst>
            </c:dLbl>
            <c:dLbl>
              <c:idx val="187"/>
              <c:tx>
                <c:rich>
                  <a:bodyPr/>
                  <a:lstStyle/>
                  <a:p>
                    <a:fld id="{50EB5CF0-1A6C-4282-904A-61B53BD991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7AED-4798-9B8F-77AC19248435}"/>
                </c:ext>
              </c:extLst>
            </c:dLbl>
            <c:dLbl>
              <c:idx val="188"/>
              <c:tx>
                <c:rich>
                  <a:bodyPr/>
                  <a:lstStyle/>
                  <a:p>
                    <a:fld id="{9CEBD228-0967-465F-8A0C-A59CD975CE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7AED-4798-9B8F-77AC19248435}"/>
                </c:ext>
              </c:extLst>
            </c:dLbl>
            <c:dLbl>
              <c:idx val="189"/>
              <c:tx>
                <c:rich>
                  <a:bodyPr/>
                  <a:lstStyle/>
                  <a:p>
                    <a:fld id="{3D9D245D-B0E0-438A-820E-6505FD0FAA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7AED-4798-9B8F-77AC19248435}"/>
                </c:ext>
              </c:extLst>
            </c:dLbl>
            <c:dLbl>
              <c:idx val="190"/>
              <c:tx>
                <c:rich>
                  <a:bodyPr/>
                  <a:lstStyle/>
                  <a:p>
                    <a:fld id="{4F984D71-EE1E-4DD4-9317-42EB9C02E5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7AED-4798-9B8F-77AC19248435}"/>
                </c:ext>
              </c:extLst>
            </c:dLbl>
            <c:dLbl>
              <c:idx val="191"/>
              <c:tx>
                <c:rich>
                  <a:bodyPr/>
                  <a:lstStyle/>
                  <a:p>
                    <a:fld id="{5CBEA601-1D12-4D1B-9886-EC029A2B74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7AED-4798-9B8F-77AC19248435}"/>
                </c:ext>
              </c:extLst>
            </c:dLbl>
            <c:dLbl>
              <c:idx val="192"/>
              <c:tx>
                <c:rich>
                  <a:bodyPr/>
                  <a:lstStyle/>
                  <a:p>
                    <a:fld id="{490D3EEF-9EB5-4047-8411-0D768D25DD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7AED-4798-9B8F-77AC19248435}"/>
                </c:ext>
              </c:extLst>
            </c:dLbl>
            <c:dLbl>
              <c:idx val="193"/>
              <c:tx>
                <c:rich>
                  <a:bodyPr/>
                  <a:lstStyle/>
                  <a:p>
                    <a:fld id="{ACB77ED0-7A07-4433-9BEC-65DB59F6B5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7AED-4798-9B8F-77AC19248435}"/>
                </c:ext>
              </c:extLst>
            </c:dLbl>
            <c:dLbl>
              <c:idx val="194"/>
              <c:tx>
                <c:rich>
                  <a:bodyPr/>
                  <a:lstStyle/>
                  <a:p>
                    <a:fld id="{4CE47500-3D6F-4F57-AD80-2C1E9F1F6D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7AED-4798-9B8F-77AC19248435}"/>
                </c:ext>
              </c:extLst>
            </c:dLbl>
            <c:dLbl>
              <c:idx val="195"/>
              <c:tx>
                <c:rich>
                  <a:bodyPr/>
                  <a:lstStyle/>
                  <a:p>
                    <a:fld id="{526CDE10-9C1E-4C4F-8EE4-D4336B8A02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7AED-4798-9B8F-77AC19248435}"/>
                </c:ext>
              </c:extLst>
            </c:dLbl>
            <c:dLbl>
              <c:idx val="196"/>
              <c:tx>
                <c:rich>
                  <a:bodyPr/>
                  <a:lstStyle/>
                  <a:p>
                    <a:fld id="{41F17653-5097-4306-A6CA-6A217D8083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7AED-4798-9B8F-77AC19248435}"/>
                </c:ext>
              </c:extLst>
            </c:dLbl>
            <c:dLbl>
              <c:idx val="197"/>
              <c:tx>
                <c:rich>
                  <a:bodyPr/>
                  <a:lstStyle/>
                  <a:p>
                    <a:fld id="{48C62B5B-BF0F-4E16-94A0-40649DFA5D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7AED-4798-9B8F-77AC19248435}"/>
                </c:ext>
              </c:extLst>
            </c:dLbl>
            <c:dLbl>
              <c:idx val="198"/>
              <c:tx>
                <c:rich>
                  <a:bodyPr/>
                  <a:lstStyle/>
                  <a:p>
                    <a:fld id="{7AF4D870-B86F-471A-88FB-87B2B09FB8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7AED-4798-9B8F-77AC19248435}"/>
                </c:ext>
              </c:extLst>
            </c:dLbl>
            <c:dLbl>
              <c:idx val="199"/>
              <c:tx>
                <c:rich>
                  <a:bodyPr/>
                  <a:lstStyle/>
                  <a:p>
                    <a:fld id="{E0C40F25-90BC-44AB-B0B7-4CA54C8BB9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7AED-4798-9B8F-77AC19248435}"/>
                </c:ext>
              </c:extLst>
            </c:dLbl>
            <c:dLbl>
              <c:idx val="200"/>
              <c:tx>
                <c:rich>
                  <a:bodyPr/>
                  <a:lstStyle/>
                  <a:p>
                    <a:fld id="{1F7B5671-9165-47B2-B340-AC6BEFE0B5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7AED-4798-9B8F-77AC19248435}"/>
                </c:ext>
              </c:extLst>
            </c:dLbl>
            <c:dLbl>
              <c:idx val="201"/>
              <c:tx>
                <c:rich>
                  <a:bodyPr/>
                  <a:lstStyle/>
                  <a:p>
                    <a:fld id="{06C9E533-64CB-407C-91B0-177ED14E4D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7AED-4798-9B8F-77AC19248435}"/>
                </c:ext>
              </c:extLst>
            </c:dLbl>
            <c:dLbl>
              <c:idx val="202"/>
              <c:tx>
                <c:rich>
                  <a:bodyPr/>
                  <a:lstStyle/>
                  <a:p>
                    <a:fld id="{7D25CB68-DE36-4656-8D8F-46D93B6F0F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7AED-4798-9B8F-77AC19248435}"/>
                </c:ext>
              </c:extLst>
            </c:dLbl>
            <c:dLbl>
              <c:idx val="203"/>
              <c:tx>
                <c:rich>
                  <a:bodyPr/>
                  <a:lstStyle/>
                  <a:p>
                    <a:fld id="{A4DDD86E-8D83-41EC-AC76-FFF2D4CB65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7AED-4798-9B8F-77AC19248435}"/>
                </c:ext>
              </c:extLst>
            </c:dLbl>
            <c:dLbl>
              <c:idx val="204"/>
              <c:tx>
                <c:rich>
                  <a:bodyPr/>
                  <a:lstStyle/>
                  <a:p>
                    <a:fld id="{276EAEFC-B24F-45C7-B8EA-24CB3B6A67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7AED-4798-9B8F-77AC19248435}"/>
                </c:ext>
              </c:extLst>
            </c:dLbl>
            <c:dLbl>
              <c:idx val="205"/>
              <c:tx>
                <c:rich>
                  <a:bodyPr/>
                  <a:lstStyle/>
                  <a:p>
                    <a:fld id="{B2D0F1E5-9554-4372-8C26-2338B34219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7AED-4798-9B8F-77AC19248435}"/>
                </c:ext>
              </c:extLst>
            </c:dLbl>
            <c:dLbl>
              <c:idx val="206"/>
              <c:tx>
                <c:rich>
                  <a:bodyPr/>
                  <a:lstStyle/>
                  <a:p>
                    <a:fld id="{FBB4963E-ED87-4421-B257-A84C4C261A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7AED-4798-9B8F-77AC19248435}"/>
                </c:ext>
              </c:extLst>
            </c:dLbl>
            <c:dLbl>
              <c:idx val="207"/>
              <c:tx>
                <c:rich>
                  <a:bodyPr/>
                  <a:lstStyle/>
                  <a:p>
                    <a:fld id="{9E0F6BC8-6CA7-4E88-BA3F-471BE92584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7AED-4798-9B8F-77AC19248435}"/>
                </c:ext>
              </c:extLst>
            </c:dLbl>
            <c:dLbl>
              <c:idx val="208"/>
              <c:tx>
                <c:rich>
                  <a:bodyPr/>
                  <a:lstStyle/>
                  <a:p>
                    <a:fld id="{ACBFDDA2-438B-497B-A751-7456BA1273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7AED-4798-9B8F-77AC19248435}"/>
                </c:ext>
              </c:extLst>
            </c:dLbl>
            <c:dLbl>
              <c:idx val="209"/>
              <c:tx>
                <c:rich>
                  <a:bodyPr/>
                  <a:lstStyle/>
                  <a:p>
                    <a:fld id="{027331D4-6177-4162-8907-12F74A0ACF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7AED-4798-9B8F-77AC19248435}"/>
                </c:ext>
              </c:extLst>
            </c:dLbl>
            <c:dLbl>
              <c:idx val="210"/>
              <c:tx>
                <c:rich>
                  <a:bodyPr/>
                  <a:lstStyle/>
                  <a:p>
                    <a:fld id="{A716D662-ADD1-40E2-9933-D9B7FA8E4B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7AED-4798-9B8F-77AC19248435}"/>
                </c:ext>
              </c:extLst>
            </c:dLbl>
            <c:dLbl>
              <c:idx val="211"/>
              <c:tx>
                <c:rich>
                  <a:bodyPr/>
                  <a:lstStyle/>
                  <a:p>
                    <a:fld id="{2084A91C-5822-4D9C-AB3F-F109B4B5D9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7AED-4798-9B8F-77AC19248435}"/>
                </c:ext>
              </c:extLst>
            </c:dLbl>
            <c:dLbl>
              <c:idx val="212"/>
              <c:tx>
                <c:rich>
                  <a:bodyPr/>
                  <a:lstStyle/>
                  <a:p>
                    <a:fld id="{B6A5C924-DCA7-4A05-89FC-2B9A75129D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7AED-4798-9B8F-77AC19248435}"/>
                </c:ext>
              </c:extLst>
            </c:dLbl>
            <c:dLbl>
              <c:idx val="213"/>
              <c:tx>
                <c:rich>
                  <a:bodyPr/>
                  <a:lstStyle/>
                  <a:p>
                    <a:fld id="{CE761703-98E4-4B5C-B26C-5869E63003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7AED-4798-9B8F-77AC19248435}"/>
                </c:ext>
              </c:extLst>
            </c:dLbl>
            <c:dLbl>
              <c:idx val="214"/>
              <c:tx>
                <c:rich>
                  <a:bodyPr/>
                  <a:lstStyle/>
                  <a:p>
                    <a:fld id="{8B6925B7-1AFD-4A37-B9E5-A1AFFC6A44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7AED-4798-9B8F-77AC19248435}"/>
                </c:ext>
              </c:extLst>
            </c:dLbl>
            <c:dLbl>
              <c:idx val="215"/>
              <c:tx>
                <c:rich>
                  <a:bodyPr/>
                  <a:lstStyle/>
                  <a:p>
                    <a:fld id="{6537C09C-815F-4E6A-82D5-BEB732FBD3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7AED-4798-9B8F-77AC19248435}"/>
                </c:ext>
              </c:extLst>
            </c:dLbl>
            <c:dLbl>
              <c:idx val="216"/>
              <c:tx>
                <c:rich>
                  <a:bodyPr/>
                  <a:lstStyle/>
                  <a:p>
                    <a:fld id="{734DCA65-A7A5-4883-8736-0CD2682C1C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7AED-4798-9B8F-77AC19248435}"/>
                </c:ext>
              </c:extLst>
            </c:dLbl>
            <c:dLbl>
              <c:idx val="217"/>
              <c:tx>
                <c:rich>
                  <a:bodyPr/>
                  <a:lstStyle/>
                  <a:p>
                    <a:fld id="{31811C93-73A3-4A8F-B20D-6D9C66AFC6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7AED-4798-9B8F-77AC19248435}"/>
                </c:ext>
              </c:extLst>
            </c:dLbl>
            <c:dLbl>
              <c:idx val="218"/>
              <c:tx>
                <c:rich>
                  <a:bodyPr/>
                  <a:lstStyle/>
                  <a:p>
                    <a:fld id="{AA6FF68E-1266-4583-B054-B4C24FCBAE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7AED-4798-9B8F-77AC19248435}"/>
                </c:ext>
              </c:extLst>
            </c:dLbl>
            <c:dLbl>
              <c:idx val="219"/>
              <c:tx>
                <c:rich>
                  <a:bodyPr/>
                  <a:lstStyle/>
                  <a:p>
                    <a:fld id="{E64AE4D2-1C0A-427C-B574-7A3528D68B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7AED-4798-9B8F-77AC19248435}"/>
                </c:ext>
              </c:extLst>
            </c:dLbl>
            <c:dLbl>
              <c:idx val="220"/>
              <c:tx>
                <c:rich>
                  <a:bodyPr/>
                  <a:lstStyle/>
                  <a:p>
                    <a:fld id="{AAC1D932-5FD8-4601-8E0E-7B5F00CADC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7AED-4798-9B8F-77AC19248435}"/>
                </c:ext>
              </c:extLst>
            </c:dLbl>
            <c:dLbl>
              <c:idx val="221"/>
              <c:tx>
                <c:rich>
                  <a:bodyPr/>
                  <a:lstStyle/>
                  <a:p>
                    <a:fld id="{6AA162DC-0405-42F3-B33F-9EFBBC7A4F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7AED-4798-9B8F-77AC19248435}"/>
                </c:ext>
              </c:extLst>
            </c:dLbl>
            <c:dLbl>
              <c:idx val="222"/>
              <c:tx>
                <c:rich>
                  <a:bodyPr/>
                  <a:lstStyle/>
                  <a:p>
                    <a:fld id="{9857B79A-0CEB-4DB6-9FDF-C6035A9ECF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7AED-4798-9B8F-77AC19248435}"/>
                </c:ext>
              </c:extLst>
            </c:dLbl>
            <c:dLbl>
              <c:idx val="223"/>
              <c:tx>
                <c:rich>
                  <a:bodyPr/>
                  <a:lstStyle/>
                  <a:p>
                    <a:fld id="{31052126-41DD-45BF-907B-B996F44069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7AED-4798-9B8F-77AC19248435}"/>
                </c:ext>
              </c:extLst>
            </c:dLbl>
            <c:dLbl>
              <c:idx val="224"/>
              <c:tx>
                <c:rich>
                  <a:bodyPr/>
                  <a:lstStyle/>
                  <a:p>
                    <a:fld id="{93A730BC-7A4B-45A7-AAF3-DC8E2FD788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7AED-4798-9B8F-77AC19248435}"/>
                </c:ext>
              </c:extLst>
            </c:dLbl>
            <c:dLbl>
              <c:idx val="225"/>
              <c:tx>
                <c:rich>
                  <a:bodyPr/>
                  <a:lstStyle/>
                  <a:p>
                    <a:fld id="{BE7238B0-AB0B-4C3A-A6A9-72E460E2E1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7AED-4798-9B8F-77AC19248435}"/>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7AED-4798-9B8F-77AC19248435}"/>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7AED-4798-9B8F-77AC19248435}"/>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7AED-4798-9B8F-77AC19248435}"/>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7AED-4798-9B8F-77AC19248435}"/>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7AED-4798-9B8F-77AC19248435}"/>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7AED-4798-9B8F-77AC19248435}"/>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7AED-4798-9B8F-77AC19248435}"/>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7AED-4798-9B8F-77AC19248435}"/>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7AED-4798-9B8F-77AC19248435}"/>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7AED-4798-9B8F-77AC19248435}"/>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7AED-4798-9B8F-77AC19248435}"/>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7AED-4798-9B8F-77AC19248435}"/>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7AED-4798-9B8F-77AC19248435}"/>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7AED-4798-9B8F-77AC19248435}"/>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7AED-4798-9B8F-77AC19248435}"/>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7AED-4798-9B8F-77AC19248435}"/>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7AED-4798-9B8F-77AC19248435}"/>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7AED-4798-9B8F-77AC19248435}"/>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7AED-4798-9B8F-77AC19248435}"/>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7AED-4798-9B8F-77AC19248435}"/>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7AED-4798-9B8F-77AC19248435}"/>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7AED-4798-9B8F-77AC19248435}"/>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7AED-4798-9B8F-77AC19248435}"/>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7AED-4798-9B8F-77AC19248435}"/>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7AED-4798-9B8F-77AC19248435}"/>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7AED-4798-9B8F-77AC19248435}"/>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7AED-4798-9B8F-77AC19248435}"/>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7AED-4798-9B8F-77AC19248435}"/>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7AED-4798-9B8F-77AC19248435}"/>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7AED-4798-9B8F-77AC19248435}"/>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7AED-4798-9B8F-77AC19248435}"/>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7AED-4798-9B8F-77AC19248435}"/>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7AED-4798-9B8F-77AC19248435}"/>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7AED-4798-9B8F-77AC19248435}"/>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7AED-4798-9B8F-77AC19248435}"/>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7AED-4798-9B8F-77AC19248435}"/>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7AED-4798-9B8F-77AC19248435}"/>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7AED-4798-9B8F-77AC19248435}"/>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7AED-4798-9B8F-77AC19248435}"/>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7AED-4798-9B8F-77AC19248435}"/>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7AED-4798-9B8F-77AC19248435}"/>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7AED-4798-9B8F-77AC19248435}"/>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7AED-4798-9B8F-77AC19248435}"/>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7AED-4798-9B8F-77AC19248435}"/>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7AED-4798-9B8F-77AC19248435}"/>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7AED-4798-9B8F-77AC19248435}"/>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7AED-4798-9B8F-77AC19248435}"/>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7AED-4798-9B8F-77AC19248435}"/>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7AED-4798-9B8F-77AC19248435}"/>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7AED-4798-9B8F-77AC19248435}"/>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7AED-4798-9B8F-77AC19248435}"/>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7AED-4798-9B8F-77AC19248435}"/>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7AED-4798-9B8F-77AC19248435}"/>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7AED-4798-9B8F-77AC19248435}"/>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7AED-4798-9B8F-77AC19248435}"/>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7AED-4798-9B8F-77AC19248435}"/>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7AED-4798-9B8F-77AC19248435}"/>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7AED-4798-9B8F-77AC19248435}"/>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7AED-4798-9B8F-77AC19248435}"/>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7AED-4798-9B8F-77AC19248435}"/>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7AED-4798-9B8F-77AC19248435}"/>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7AED-4798-9B8F-77AC19248435}"/>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7AED-4798-9B8F-77AC19248435}"/>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7AED-4798-9B8F-77AC19248435}"/>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7AED-4798-9B8F-77AC19248435}"/>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7AED-4798-9B8F-77AC19248435}"/>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7AED-4798-9B8F-77AC19248435}"/>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7AED-4798-9B8F-77AC19248435}"/>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7AED-4798-9B8F-77AC19248435}"/>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7AED-4798-9B8F-77AC19248435}"/>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7AED-4798-9B8F-77AC19248435}"/>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7AED-4798-9B8F-77AC19248435}"/>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7AED-4798-9B8F-77AC19248435}"/>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51.147224426269531</c:v>
                </c:pt>
                <c:pt idx="1">
                  <c:v>51.914592742919922</c:v>
                </c:pt>
                <c:pt idx="2">
                  <c:v>52.879619598388672</c:v>
                </c:pt>
                <c:pt idx="3">
                  <c:v>54.41485595703125</c:v>
                </c:pt>
                <c:pt idx="4">
                  <c:v>56.209144592285156</c:v>
                </c:pt>
                <c:pt idx="5">
                  <c:v>58.149112701416016</c:v>
                </c:pt>
                <c:pt idx="6">
                  <c:v>60.186489105224609</c:v>
                </c:pt>
                <c:pt idx="7">
                  <c:v>61.865200042724609</c:v>
                </c:pt>
                <c:pt idx="8">
                  <c:v>62.730113983154297</c:v>
                </c:pt>
                <c:pt idx="9">
                  <c:v>62.431877136230469</c:v>
                </c:pt>
                <c:pt idx="10">
                  <c:v>60.813739776611328</c:v>
                </c:pt>
                <c:pt idx="11">
                  <c:v>57.899517059326172</c:v>
                </c:pt>
                <c:pt idx="12">
                  <c:v>53.935047149658203</c:v>
                </c:pt>
                <c:pt idx="13">
                  <c:v>49.235240936279297</c:v>
                </c:pt>
                <c:pt idx="14">
                  <c:v>44.469818115234375</c:v>
                </c:pt>
                <c:pt idx="15">
                  <c:v>40.764991760253906</c:v>
                </c:pt>
                <c:pt idx="16">
                  <c:v>39.193565368652344</c:v>
                </c:pt>
                <c:pt idx="17">
                  <c:v>39.993412017822266</c:v>
                </c:pt>
                <c:pt idx="18">
                  <c:v>43.224372863769531</c:v>
                </c:pt>
                <c:pt idx="19">
                  <c:v>48.777080535888672</c:v>
                </c:pt>
                <c:pt idx="20">
                  <c:v>55.945850372314453</c:v>
                </c:pt>
                <c:pt idx="21">
                  <c:v>64.365486145019531</c:v>
                </c:pt>
                <c:pt idx="22">
                  <c:v>73.684730529785156</c:v>
                </c:pt>
                <c:pt idx="23">
                  <c:v>82.599327087402344</c:v>
                </c:pt>
                <c:pt idx="24">
                  <c:v>90.781494140625</c:v>
                </c:pt>
                <c:pt idx="25">
                  <c:v>96.868125915527344</c:v>
                </c:pt>
                <c:pt idx="26">
                  <c:v>99.999992370605469</c:v>
                </c:pt>
                <c:pt idx="27">
                  <c:v>99.085899353027344</c:v>
                </c:pt>
                <c:pt idx="28">
                  <c:v>94.199806213378906</c:v>
                </c:pt>
                <c:pt idx="29">
                  <c:v>87.17010498046875</c:v>
                </c:pt>
                <c:pt idx="30">
                  <c:v>79.926483154296875</c:v>
                </c:pt>
                <c:pt idx="31">
                  <c:v>74.391304016113281</c:v>
                </c:pt>
                <c:pt idx="32">
                  <c:v>70.594200134277344</c:v>
                </c:pt>
                <c:pt idx="33">
                  <c:v>68.145980834960938</c:v>
                </c:pt>
                <c:pt idx="34">
                  <c:v>66.237640380859375</c:v>
                </c:pt>
                <c:pt idx="35">
                  <c:v>63.94769287109375</c:v>
                </c:pt>
                <c:pt idx="36">
                  <c:v>60.771083831787109</c:v>
                </c:pt>
                <c:pt idx="37">
                  <c:v>56.467079162597656</c:v>
                </c:pt>
                <c:pt idx="38">
                  <c:v>51.338409423828125</c:v>
                </c:pt>
                <c:pt idx="39">
                  <c:v>45.655143737792969</c:v>
                </c:pt>
                <c:pt idx="40">
                  <c:v>40.180019378662109</c:v>
                </c:pt>
                <c:pt idx="41">
                  <c:v>35.523960113525391</c:v>
                </c:pt>
                <c:pt idx="42">
                  <c:v>32.053863525390625</c:v>
                </c:pt>
                <c:pt idx="43">
                  <c:v>29.879817962646484</c:v>
                </c:pt>
                <c:pt idx="44">
                  <c:v>28.772052764892578</c:v>
                </c:pt>
                <c:pt idx="45">
                  <c:v>28.340429306030273</c:v>
                </c:pt>
                <c:pt idx="46">
                  <c:v>28.286367416381836</c:v>
                </c:pt>
                <c:pt idx="47">
                  <c:v>28.311105728149414</c:v>
                </c:pt>
                <c:pt idx="48">
                  <c:v>28.205278396606445</c:v>
                </c:pt>
                <c:pt idx="49">
                  <c:v>27.852521896362305</c:v>
                </c:pt>
                <c:pt idx="50">
                  <c:v>27.199579238891602</c:v>
                </c:pt>
                <c:pt idx="51">
                  <c:v>26.159137725830078</c:v>
                </c:pt>
                <c:pt idx="52">
                  <c:v>24.763402938842773</c:v>
                </c:pt>
                <c:pt idx="53">
                  <c:v>23.089195251464844</c:v>
                </c:pt>
                <c:pt idx="54">
                  <c:v>21.129951477050781</c:v>
                </c:pt>
                <c:pt idx="55">
                  <c:v>19.110858917236328</c:v>
                </c:pt>
                <c:pt idx="56">
                  <c:v>17.161832809448242</c:v>
                </c:pt>
                <c:pt idx="57">
                  <c:v>15.319568634033203</c:v>
                </c:pt>
                <c:pt idx="58">
                  <c:v>13.745458602905273</c:v>
                </c:pt>
                <c:pt idx="59">
                  <c:v>12.563267707824707</c:v>
                </c:pt>
                <c:pt idx="60">
                  <c:v>11.787467956542969</c:v>
                </c:pt>
                <c:pt idx="61">
                  <c:v>11.434780120849609</c:v>
                </c:pt>
                <c:pt idx="62">
                  <c:v>11.443497657775879</c:v>
                </c:pt>
                <c:pt idx="63">
                  <c:v>11.794060707092285</c:v>
                </c:pt>
                <c:pt idx="64">
                  <c:v>12.428475379943848</c:v>
                </c:pt>
                <c:pt idx="65">
                  <c:v>13.270581245422363</c:v>
                </c:pt>
                <c:pt idx="66">
                  <c:v>14.233791351318359</c:v>
                </c:pt>
                <c:pt idx="67">
                  <c:v>15.349346160888672</c:v>
                </c:pt>
                <c:pt idx="68">
                  <c:v>16.624540328979492</c:v>
                </c:pt>
                <c:pt idx="69">
                  <c:v>17.981010437011719</c:v>
                </c:pt>
                <c:pt idx="70">
                  <c:v>19.281280517578125</c:v>
                </c:pt>
                <c:pt idx="71">
                  <c:v>20.654903411865234</c:v>
                </c:pt>
                <c:pt idx="72">
                  <c:v>22.120161056518555</c:v>
                </c:pt>
                <c:pt idx="73">
                  <c:v>23.596042633056641</c:v>
                </c:pt>
                <c:pt idx="74">
                  <c:v>25.010244369506836</c:v>
                </c:pt>
                <c:pt idx="75">
                  <c:v>26.295038223266602</c:v>
                </c:pt>
                <c:pt idx="76">
                  <c:v>27.506160736083984</c:v>
                </c:pt>
                <c:pt idx="77">
                  <c:v>28.609058380126953</c:v>
                </c:pt>
                <c:pt idx="78">
                  <c:v>29.589078903198242</c:v>
                </c:pt>
                <c:pt idx="79">
                  <c:v>30.425601959228516</c:v>
                </c:pt>
                <c:pt idx="80">
                  <c:v>31.162521362304688</c:v>
                </c:pt>
                <c:pt idx="81">
                  <c:v>31.672840118408203</c:v>
                </c:pt>
                <c:pt idx="82">
                  <c:v>32.014762878417969</c:v>
                </c:pt>
                <c:pt idx="83">
                  <c:v>32.218204498291016</c:v>
                </c:pt>
                <c:pt idx="84">
                  <c:v>32.0792236328125</c:v>
                </c:pt>
                <c:pt idx="85">
                  <c:v>31.688751220703125</c:v>
                </c:pt>
                <c:pt idx="86">
                  <c:v>31.130336761474609</c:v>
                </c:pt>
                <c:pt idx="87">
                  <c:v>30.291194915771484</c:v>
                </c:pt>
                <c:pt idx="88">
                  <c:v>29.361166000366211</c:v>
                </c:pt>
                <c:pt idx="89">
                  <c:v>28.295017242431641</c:v>
                </c:pt>
                <c:pt idx="90">
                  <c:v>27.007562637329102</c:v>
                </c:pt>
                <c:pt idx="91">
                  <c:v>25.548101425170898</c:v>
                </c:pt>
                <c:pt idx="92">
                  <c:v>24.027853012084961</c:v>
                </c:pt>
                <c:pt idx="93">
                  <c:v>22.444005966186523</c:v>
                </c:pt>
                <c:pt idx="94">
                  <c:v>20.788705825805664</c:v>
                </c:pt>
                <c:pt idx="95">
                  <c:v>19.234477996826172</c:v>
                </c:pt>
                <c:pt idx="96">
                  <c:v>17.613918304443359</c:v>
                </c:pt>
                <c:pt idx="97">
                  <c:v>15.988002777099609</c:v>
                </c:pt>
                <c:pt idx="98">
                  <c:v>14.427251815795898</c:v>
                </c:pt>
                <c:pt idx="99">
                  <c:v>13.048355102539063</c:v>
                </c:pt>
                <c:pt idx="100">
                  <c:v>11.570459365844727</c:v>
                </c:pt>
                <c:pt idx="101">
                  <c:v>10.246091842651367</c:v>
                </c:pt>
                <c:pt idx="102">
                  <c:v>9.1353769302368164</c:v>
                </c:pt>
                <c:pt idx="103">
                  <c:v>7.936272144317627</c:v>
                </c:pt>
                <c:pt idx="104">
                  <c:v>6.8836817741394043</c:v>
                </c:pt>
                <c:pt idx="105">
                  <c:v>6.0307469367980957</c:v>
                </c:pt>
                <c:pt idx="106">
                  <c:v>5.2542800903320313</c:v>
                </c:pt>
                <c:pt idx="107">
                  <c:v>4.6104397773742676</c:v>
                </c:pt>
                <c:pt idx="108">
                  <c:v>4.1574535369873047</c:v>
                </c:pt>
                <c:pt idx="109">
                  <c:v>3.7185003757476807</c:v>
                </c:pt>
                <c:pt idx="110">
                  <c:v>3.3327696323394775</c:v>
                </c:pt>
                <c:pt idx="111">
                  <c:v>3.0685203075408936</c:v>
                </c:pt>
                <c:pt idx="112">
                  <c:v>2.8767790794372559</c:v>
                </c:pt>
                <c:pt idx="113">
                  <c:v>2.7157225608825684</c:v>
                </c:pt>
                <c:pt idx="114">
                  <c:v>2.576392650604248</c:v>
                </c:pt>
                <c:pt idx="115">
                  <c:v>2.4915571212768555</c:v>
                </c:pt>
                <c:pt idx="116">
                  <c:v>2.3960025310516357</c:v>
                </c:pt>
                <c:pt idx="117">
                  <c:v>2.2901902198791504</c:v>
                </c:pt>
                <c:pt idx="118">
                  <c:v>2.2094111442565918</c:v>
                </c:pt>
                <c:pt idx="119">
                  <c:v>2.1707437038421631</c:v>
                </c:pt>
                <c:pt idx="120">
                  <c:v>2.2183215618133545</c:v>
                </c:pt>
                <c:pt idx="121">
                  <c:v>2.2237050533294678</c:v>
                </c:pt>
                <c:pt idx="122">
                  <c:v>2.200115442276001</c:v>
                </c:pt>
                <c:pt idx="123">
                  <c:v>2.248896598815918</c:v>
                </c:pt>
                <c:pt idx="124">
                  <c:v>2.2171390056610107</c:v>
                </c:pt>
                <c:pt idx="125">
                  <c:v>2.157322883605957</c:v>
                </c:pt>
                <c:pt idx="126">
                  <c:v>2.1271262168884277</c:v>
                </c:pt>
                <c:pt idx="127">
                  <c:v>2.1460542678833008</c:v>
                </c:pt>
                <c:pt idx="128">
                  <c:v>2.1692862510681152</c:v>
                </c:pt>
                <c:pt idx="129">
                  <c:v>2.1323652267456055</c:v>
                </c:pt>
                <c:pt idx="130">
                  <c:v>2.116950511932373</c:v>
                </c:pt>
                <c:pt idx="131">
                  <c:v>2.1717751026153564</c:v>
                </c:pt>
                <c:pt idx="132">
                  <c:v>2.1593513488769531</c:v>
                </c:pt>
                <c:pt idx="133">
                  <c:v>2.133760929107666</c:v>
                </c:pt>
                <c:pt idx="134">
                  <c:v>2.193742036819458</c:v>
                </c:pt>
                <c:pt idx="135">
                  <c:v>2.1661233901977539</c:v>
                </c:pt>
                <c:pt idx="136">
                  <c:v>2.7484564781188965</c:v>
                </c:pt>
                <c:pt idx="137">
                  <c:v>3.1941201686859131</c:v>
                </c:pt>
                <c:pt idx="138">
                  <c:v>2.6279098987579346</c:v>
                </c:pt>
                <c:pt idx="139">
                  <c:v>2.2059526443481445</c:v>
                </c:pt>
                <c:pt idx="140">
                  <c:v>2.1791524887084961</c:v>
                </c:pt>
                <c:pt idx="141">
                  <c:v>2.1911087036132813</c:v>
                </c:pt>
                <c:pt idx="142">
                  <c:v>2.1845633983612061</c:v>
                </c:pt>
                <c:pt idx="143">
                  <c:v>2.1138086318969727</c:v>
                </c:pt>
                <c:pt idx="144">
                  <c:v>2.1767115592956543</c:v>
                </c:pt>
                <c:pt idx="145">
                  <c:v>2.2545549869537354</c:v>
                </c:pt>
                <c:pt idx="146">
                  <c:v>2.2693850994110107</c:v>
                </c:pt>
                <c:pt idx="147">
                  <c:v>2.2763018608093262</c:v>
                </c:pt>
                <c:pt idx="148">
                  <c:v>2.2455136775970459</c:v>
                </c:pt>
                <c:pt idx="149">
                  <c:v>2.2121613025665283</c:v>
                </c:pt>
                <c:pt idx="150">
                  <c:v>2.1270368099212646</c:v>
                </c:pt>
                <c:pt idx="151">
                  <c:v>2.0589909553527832</c:v>
                </c:pt>
                <c:pt idx="152">
                  <c:v>2.1514031887054443</c:v>
                </c:pt>
                <c:pt idx="153">
                  <c:v>2.1980528831481934</c:v>
                </c:pt>
                <c:pt idx="154">
                  <c:v>2.2096104621887207</c:v>
                </c:pt>
                <c:pt idx="155">
                  <c:v>2.1907787322998047</c:v>
                </c:pt>
                <c:pt idx="156">
                  <c:v>2.1061768531799316</c:v>
                </c:pt>
                <c:pt idx="157">
                  <c:v>2.1614139080047607</c:v>
                </c:pt>
                <c:pt idx="158">
                  <c:v>2.1803967952728271</c:v>
                </c:pt>
                <c:pt idx="159">
                  <c:v>2.1242110729217529</c:v>
                </c:pt>
                <c:pt idx="160">
                  <c:v>2.2092735767364502</c:v>
                </c:pt>
                <c:pt idx="161">
                  <c:v>2.2412922382354736</c:v>
                </c:pt>
                <c:pt idx="162">
                  <c:v>2.1737277507781982</c:v>
                </c:pt>
                <c:pt idx="163">
                  <c:v>2.1200857162475586</c:v>
                </c:pt>
                <c:pt idx="164">
                  <c:v>2.2416911125183105</c:v>
                </c:pt>
                <c:pt idx="165">
                  <c:v>2.2932083606719971</c:v>
                </c:pt>
                <c:pt idx="166">
                  <c:v>2.2688627243041992</c:v>
                </c:pt>
                <c:pt idx="167">
                  <c:v>2.330878734588623</c:v>
                </c:pt>
                <c:pt idx="168">
                  <c:v>2.3306174278259277</c:v>
                </c:pt>
                <c:pt idx="169">
                  <c:v>2.2999670505523682</c:v>
                </c:pt>
                <c:pt idx="170">
                  <c:v>2.2839884757995605</c:v>
                </c:pt>
                <c:pt idx="171">
                  <c:v>2.1725313663482666</c:v>
                </c:pt>
                <c:pt idx="172">
                  <c:v>2.1210551261901855</c:v>
                </c:pt>
                <c:pt idx="173">
                  <c:v>2.1292095184326172</c:v>
                </c:pt>
                <c:pt idx="174">
                  <c:v>2.1648995876312256</c:v>
                </c:pt>
                <c:pt idx="175">
                  <c:v>2.315244197845459</c:v>
                </c:pt>
                <c:pt idx="176">
                  <c:v>2.3161516189575195</c:v>
                </c:pt>
                <c:pt idx="177">
                  <c:v>2.1852095127105713</c:v>
                </c:pt>
                <c:pt idx="178">
                  <c:v>2.2204599380493164</c:v>
                </c:pt>
                <c:pt idx="179">
                  <c:v>2.1994004249572754</c:v>
                </c:pt>
                <c:pt idx="180">
                  <c:v>2.1496844291687012</c:v>
                </c:pt>
                <c:pt idx="181">
                  <c:v>2.2526230812072754</c:v>
                </c:pt>
                <c:pt idx="182">
                  <c:v>2.1720020771026611</c:v>
                </c:pt>
                <c:pt idx="183">
                  <c:v>2.2023911476135254</c:v>
                </c:pt>
                <c:pt idx="184">
                  <c:v>2.201958179473877</c:v>
                </c:pt>
                <c:pt idx="185">
                  <c:v>2.0606341361999512</c:v>
                </c:pt>
                <c:pt idx="186">
                  <c:v>2.0905697345733643</c:v>
                </c:pt>
                <c:pt idx="187">
                  <c:v>2.179640531539917</c:v>
                </c:pt>
                <c:pt idx="188">
                  <c:v>2.1810843944549561</c:v>
                </c:pt>
                <c:pt idx="189">
                  <c:v>2.1886680126190186</c:v>
                </c:pt>
                <c:pt idx="190">
                  <c:v>2.2091085910797119</c:v>
                </c:pt>
                <c:pt idx="191">
                  <c:v>2.2488758563995361</c:v>
                </c:pt>
                <c:pt idx="192">
                  <c:v>2.3099088668823242</c:v>
                </c:pt>
                <c:pt idx="193">
                  <c:v>2.2273008823394775</c:v>
                </c:pt>
                <c:pt idx="194">
                  <c:v>2.2245094776153564</c:v>
                </c:pt>
                <c:pt idx="195">
                  <c:v>2.2497766017913818</c:v>
                </c:pt>
                <c:pt idx="196">
                  <c:v>2.2641737461090088</c:v>
                </c:pt>
                <c:pt idx="197">
                  <c:v>2.2300853729248047</c:v>
                </c:pt>
                <c:pt idx="198">
                  <c:v>2.151348352432251</c:v>
                </c:pt>
                <c:pt idx="199">
                  <c:v>2.1664328575134277</c:v>
                </c:pt>
                <c:pt idx="200">
                  <c:v>2.1757490634918213</c:v>
                </c:pt>
                <c:pt idx="201">
                  <c:v>2.2105042934417725</c:v>
                </c:pt>
                <c:pt idx="202">
                  <c:v>2.2165133953094482</c:v>
                </c:pt>
                <c:pt idx="203">
                  <c:v>2.2392158508300781</c:v>
                </c:pt>
                <c:pt idx="204">
                  <c:v>2.1616613864898682</c:v>
                </c:pt>
                <c:pt idx="205">
                  <c:v>2.1915006637573242</c:v>
                </c:pt>
                <c:pt idx="206">
                  <c:v>2.1910192966461182</c:v>
                </c:pt>
                <c:pt idx="207">
                  <c:v>2.2384665012359619</c:v>
                </c:pt>
                <c:pt idx="208">
                  <c:v>2.1915900707244873</c:v>
                </c:pt>
                <c:pt idx="209">
                  <c:v>2.141681432723999</c:v>
                </c:pt>
                <c:pt idx="210">
                  <c:v>2.1693274974822998</c:v>
                </c:pt>
                <c:pt idx="211">
                  <c:v>2.1446516513824463</c:v>
                </c:pt>
                <c:pt idx="212">
                  <c:v>2.2701346874237061</c:v>
                </c:pt>
                <c:pt idx="213">
                  <c:v>2.2218418121337891</c:v>
                </c:pt>
                <c:pt idx="214">
                  <c:v>2.2377927303314209</c:v>
                </c:pt>
                <c:pt idx="215">
                  <c:v>2.2278509140014648</c:v>
                </c:pt>
                <c:pt idx="216">
                  <c:v>2.1235165596008301</c:v>
                </c:pt>
                <c:pt idx="217">
                  <c:v>2.073594331741333</c:v>
                </c:pt>
                <c:pt idx="218">
                  <c:v>2</c:v>
                </c:pt>
                <c:pt idx="219">
                  <c:v>2.2361631393432617</c:v>
                </c:pt>
                <c:pt idx="220">
                  <c:v>2.2926721572875977</c:v>
                </c:pt>
                <c:pt idx="221">
                  <c:v>2.2210304737091064</c:v>
                </c:pt>
                <c:pt idx="222">
                  <c:v>2.1621081829071045</c:v>
                </c:pt>
                <c:pt idx="223">
                  <c:v>2.0690429210662842</c:v>
                </c:pt>
                <c:pt idx="224">
                  <c:v>2.1351842880249023</c:v>
                </c:pt>
                <c:pt idx="225">
                  <c:v>2.085853099822998</c:v>
                </c:pt>
              </c:numCache>
            </c:numRef>
          </c:yVal>
          <c:smooth val="1"/>
          <c:extLst>
            <c:ext xmlns:c15="http://schemas.microsoft.com/office/drawing/2012/chart" uri="{02D57815-91ED-43cb-92C2-25804820EDAC}">
              <c15:datalabelsRange>
                <c15:f>PeakLabels!$B$2:$B$300</c15:f>
                <c15:dlblRangeCache>
                  <c:ptCount val="299"/>
                  <c:pt idx="8">
                    <c:v>206</c:v>
                  </c:pt>
                  <c:pt idx="26">
                    <c:v>242</c:v>
                  </c:pt>
                  <c:pt idx="47">
                    <c:v>284</c:v>
                  </c:pt>
                  <c:pt idx="83">
                    <c:v>356</c:v>
                  </c:pt>
                </c15:dlblRangeCache>
              </c15:datalabelsRange>
            </c:ext>
            <c:ext xmlns:c16="http://schemas.microsoft.com/office/drawing/2014/chart" uri="{C3380CC4-5D6E-409C-BE32-E72D297353CC}">
              <c16:uniqueId val="{00000000-1334-4622-AA79-3BC73312FDB2}"/>
            </c:ext>
          </c:extLst>
        </c:ser>
        <c:ser>
          <c:idx val="1"/>
          <c:order val="1"/>
          <c:spPr>
            <a:ln>
              <a:noFill/>
            </a:ln>
          </c:spPr>
          <c:marker>
            <c:symbol val="star"/>
            <c:size val="2"/>
            <c:spPr>
              <a:solidFill>
                <a:srgbClr val="000000"/>
              </a:solidFill>
              <a:ln>
                <a:noFill/>
              </a:ln>
            </c:spPr>
          </c:marker>
          <c:dLbls>
            <c:dLbl>
              <c:idx val="0"/>
              <c:tx>
                <c:rich>
                  <a:bodyPr/>
                  <a:lstStyle/>
                  <a:p>
                    <a:fld id="{DDE92002-C0DB-4B7E-B371-FD9C6429583C}"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1334-4622-AA79-3BC73312FDB2}"/>
                </c:ext>
              </c:extLst>
            </c:dLbl>
            <c:dLbl>
              <c:idx val="1"/>
              <c:tx>
                <c:rich>
                  <a:bodyPr/>
                  <a:lstStyle/>
                  <a:p>
                    <a:fld id="{B1F52C12-6D6A-43A2-BD91-EBDEF5A8D753}"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334-4622-AA79-3BC73312FDB2}"/>
                </c:ext>
              </c:extLst>
            </c:dLbl>
            <c:dLbl>
              <c:idx val="2"/>
              <c:tx>
                <c:rich>
                  <a:bodyPr/>
                  <a:lstStyle/>
                  <a:p>
                    <a:fld id="{7D802459-A86C-46CB-AC42-D48A7A31A6E9}"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334-4622-AA79-3BC73312FDB2}"/>
                </c:ext>
              </c:extLst>
            </c:dLbl>
            <c:dLbl>
              <c:idx val="3"/>
              <c:tx>
                <c:rich>
                  <a:bodyPr/>
                  <a:lstStyle/>
                  <a:p>
                    <a:fld id="{03CF62D4-2055-4139-898D-1F13F386B68B}"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334-4622-AA79-3BC73312FDB2}"/>
                </c:ext>
              </c:extLst>
            </c:dLbl>
            <c:dLbl>
              <c:idx val="4"/>
              <c:tx>
                <c:rich>
                  <a:bodyPr/>
                  <a:lstStyle/>
                  <a:p>
                    <a:fld id="{06F8BCB2-5FA9-444F-A4F1-646817756148}"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334-4622-AA79-3BC73312FDB2}"/>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1334-4622-AA79-3BC73312FDB2}"/>
            </c:ext>
          </c:extLst>
        </c:ser>
        <c:dLbls>
          <c:showLegendKey val="0"/>
          <c:showVal val="0"/>
          <c:showCatName val="0"/>
          <c:showSerName val="0"/>
          <c:showPercent val="0"/>
          <c:showBubbleSize val="0"/>
        </c:dLbls>
        <c:axId val="1569264112"/>
        <c:axId val="1569264656"/>
      </c:scatterChart>
      <c:valAx>
        <c:axId val="1569264112"/>
        <c:scaling>
          <c:orientation val="minMax"/>
          <c:max val="610"/>
          <c:min val="190"/>
        </c:scaling>
        <c:delete val="0"/>
        <c:axPos val="b"/>
        <c:majorGridlines>
          <c:spPr>
            <a:ln w="9525" cap="flat" cmpd="sng" algn="ctr">
              <a:noFill/>
              <a:round/>
            </a:ln>
            <a:effectLst/>
          </c:spPr>
        </c:majorGridlines>
        <c:numFmt formatCode="General" sourceLinked="1"/>
        <c:majorTickMark val="none"/>
        <c:minorTickMark val="none"/>
        <c:tickLblPos val="none"/>
        <c:spPr>
          <a:noFill/>
          <a:ln w="12700"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4656"/>
        <c:crossesAt val="0"/>
        <c:crossBetween val="midCat"/>
        <c:majorUnit val="100"/>
      </c:valAx>
      <c:valAx>
        <c:axId val="1569264656"/>
        <c:scaling>
          <c:orientation val="minMax"/>
          <c:max val="124"/>
          <c:min val="0"/>
        </c:scaling>
        <c:delete val="0"/>
        <c:axPos val="l"/>
        <c:majorGridlines>
          <c:spPr>
            <a:ln w="9525" cap="flat" cmpd="sng" algn="ctr">
              <a:noFill/>
              <a:round/>
            </a:ln>
            <a:effec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4112"/>
        <c:crosses val="autoZero"/>
        <c:crossBetween val="midCat"/>
        <c:majorUnit val="25"/>
        <c:minorUnit val="5"/>
      </c:valAx>
      <c:spPr>
        <a:noFill/>
        <a:ln>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27647887-96DD-4D98-B744-1A8A49C00C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94E-4753-8499-672078848F50}"/>
                </c:ext>
              </c:extLst>
            </c:dLbl>
            <c:dLbl>
              <c:idx val="1"/>
              <c:tx>
                <c:rich>
                  <a:bodyPr/>
                  <a:lstStyle/>
                  <a:p>
                    <a:fld id="{3275CE89-6760-40CC-A172-DC8C97F78C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94E-4753-8499-672078848F50}"/>
                </c:ext>
              </c:extLst>
            </c:dLbl>
            <c:dLbl>
              <c:idx val="2"/>
              <c:tx>
                <c:rich>
                  <a:bodyPr/>
                  <a:lstStyle/>
                  <a:p>
                    <a:fld id="{95204E90-1D0A-4A40-BED8-3600978CC6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94E-4753-8499-672078848F50}"/>
                </c:ext>
              </c:extLst>
            </c:dLbl>
            <c:dLbl>
              <c:idx val="3"/>
              <c:tx>
                <c:rich>
                  <a:bodyPr/>
                  <a:lstStyle/>
                  <a:p>
                    <a:fld id="{C2E6E7B5-55C0-4D67-8873-32D0452175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94E-4753-8499-672078848F50}"/>
                </c:ext>
              </c:extLst>
            </c:dLbl>
            <c:dLbl>
              <c:idx val="4"/>
              <c:tx>
                <c:rich>
                  <a:bodyPr/>
                  <a:lstStyle/>
                  <a:p>
                    <a:fld id="{E822B624-57C9-4D4E-A909-CF56D1AD81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94E-4753-8499-672078848F50}"/>
                </c:ext>
              </c:extLst>
            </c:dLbl>
            <c:dLbl>
              <c:idx val="5"/>
              <c:tx>
                <c:rich>
                  <a:bodyPr/>
                  <a:lstStyle/>
                  <a:p>
                    <a:fld id="{BFC85738-6F8C-4A23-A869-E3EF005DCC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94E-4753-8499-672078848F50}"/>
                </c:ext>
              </c:extLst>
            </c:dLbl>
            <c:dLbl>
              <c:idx val="6"/>
              <c:tx>
                <c:rich>
                  <a:bodyPr/>
                  <a:lstStyle/>
                  <a:p>
                    <a:fld id="{6171D1AE-CD08-421E-82BB-F93924108A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94E-4753-8499-672078848F50}"/>
                </c:ext>
              </c:extLst>
            </c:dLbl>
            <c:dLbl>
              <c:idx val="7"/>
              <c:tx>
                <c:rich>
                  <a:bodyPr/>
                  <a:lstStyle/>
                  <a:p>
                    <a:fld id="{F5EDD86A-3CFA-4BD9-AFD2-119AFE916C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94E-4753-8499-672078848F50}"/>
                </c:ext>
              </c:extLst>
            </c:dLbl>
            <c:dLbl>
              <c:idx val="8"/>
              <c:tx>
                <c:rich>
                  <a:bodyPr/>
                  <a:lstStyle/>
                  <a:p>
                    <a:fld id="{D8CE509C-B680-4C1C-ABB1-465498F17D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C94E-4753-8499-672078848F50}"/>
                </c:ext>
              </c:extLst>
            </c:dLbl>
            <c:dLbl>
              <c:idx val="9"/>
              <c:tx>
                <c:rich>
                  <a:bodyPr/>
                  <a:lstStyle/>
                  <a:p>
                    <a:fld id="{C5042C0D-EBA0-48A1-8201-5FC47AA36C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C94E-4753-8499-672078848F50}"/>
                </c:ext>
              </c:extLst>
            </c:dLbl>
            <c:dLbl>
              <c:idx val="10"/>
              <c:tx>
                <c:rich>
                  <a:bodyPr/>
                  <a:lstStyle/>
                  <a:p>
                    <a:fld id="{6BA3131B-E0F1-4250-A01C-C1FE3494D6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C94E-4753-8499-672078848F50}"/>
                </c:ext>
              </c:extLst>
            </c:dLbl>
            <c:dLbl>
              <c:idx val="11"/>
              <c:tx>
                <c:rich>
                  <a:bodyPr/>
                  <a:lstStyle/>
                  <a:p>
                    <a:fld id="{E1BCC6AE-5FF9-4644-84E0-097AC2BF8E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94E-4753-8499-672078848F50}"/>
                </c:ext>
              </c:extLst>
            </c:dLbl>
            <c:dLbl>
              <c:idx val="12"/>
              <c:tx>
                <c:rich>
                  <a:bodyPr/>
                  <a:lstStyle/>
                  <a:p>
                    <a:fld id="{784DDBB9-4C62-43C7-8A27-10B4567875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94E-4753-8499-672078848F50}"/>
                </c:ext>
              </c:extLst>
            </c:dLbl>
            <c:dLbl>
              <c:idx val="13"/>
              <c:tx>
                <c:rich>
                  <a:bodyPr/>
                  <a:lstStyle/>
                  <a:p>
                    <a:fld id="{C7FF2576-91CA-4B4F-9230-5E05C362F2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94E-4753-8499-672078848F50}"/>
                </c:ext>
              </c:extLst>
            </c:dLbl>
            <c:dLbl>
              <c:idx val="14"/>
              <c:tx>
                <c:rich>
                  <a:bodyPr/>
                  <a:lstStyle/>
                  <a:p>
                    <a:fld id="{E996F2E2-EF7C-45C0-86F8-09C7D1D559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94E-4753-8499-672078848F50}"/>
                </c:ext>
              </c:extLst>
            </c:dLbl>
            <c:dLbl>
              <c:idx val="15"/>
              <c:tx>
                <c:rich>
                  <a:bodyPr/>
                  <a:lstStyle/>
                  <a:p>
                    <a:fld id="{F7071672-73AC-4944-8CE3-087B249F72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94E-4753-8499-672078848F50}"/>
                </c:ext>
              </c:extLst>
            </c:dLbl>
            <c:dLbl>
              <c:idx val="16"/>
              <c:tx>
                <c:rich>
                  <a:bodyPr/>
                  <a:lstStyle/>
                  <a:p>
                    <a:fld id="{D69BDB04-0965-4012-863B-8CBCA2FB8D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94E-4753-8499-672078848F50}"/>
                </c:ext>
              </c:extLst>
            </c:dLbl>
            <c:dLbl>
              <c:idx val="17"/>
              <c:tx>
                <c:rich>
                  <a:bodyPr/>
                  <a:lstStyle/>
                  <a:p>
                    <a:fld id="{1C414BC7-8370-4629-8004-CF97EBA5B7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94E-4753-8499-672078848F50}"/>
                </c:ext>
              </c:extLst>
            </c:dLbl>
            <c:dLbl>
              <c:idx val="18"/>
              <c:tx>
                <c:rich>
                  <a:bodyPr/>
                  <a:lstStyle/>
                  <a:p>
                    <a:fld id="{CD64AB9F-8BE0-4270-AC5B-C8A4C6384F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94E-4753-8499-672078848F50}"/>
                </c:ext>
              </c:extLst>
            </c:dLbl>
            <c:dLbl>
              <c:idx val="19"/>
              <c:tx>
                <c:rich>
                  <a:bodyPr/>
                  <a:lstStyle/>
                  <a:p>
                    <a:fld id="{59538C7D-E755-43BA-A157-532487D96A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94E-4753-8499-672078848F50}"/>
                </c:ext>
              </c:extLst>
            </c:dLbl>
            <c:dLbl>
              <c:idx val="20"/>
              <c:tx>
                <c:rich>
                  <a:bodyPr/>
                  <a:lstStyle/>
                  <a:p>
                    <a:fld id="{3D9D08F6-6CD6-4695-AD31-EA52DA7EDC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94E-4753-8499-672078848F50}"/>
                </c:ext>
              </c:extLst>
            </c:dLbl>
            <c:dLbl>
              <c:idx val="21"/>
              <c:tx>
                <c:rich>
                  <a:bodyPr/>
                  <a:lstStyle/>
                  <a:p>
                    <a:fld id="{1FADE051-F30E-4CC7-A5D8-1A68E2BA54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94E-4753-8499-672078848F50}"/>
                </c:ext>
              </c:extLst>
            </c:dLbl>
            <c:dLbl>
              <c:idx val="22"/>
              <c:tx>
                <c:rich>
                  <a:bodyPr/>
                  <a:lstStyle/>
                  <a:p>
                    <a:fld id="{8BB93F36-ED7E-4E4A-B0CE-D0640D3C46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C94E-4753-8499-672078848F50}"/>
                </c:ext>
              </c:extLst>
            </c:dLbl>
            <c:dLbl>
              <c:idx val="23"/>
              <c:tx>
                <c:rich>
                  <a:bodyPr/>
                  <a:lstStyle/>
                  <a:p>
                    <a:fld id="{7867E498-47AC-4DB3-A958-8E48F913E5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C94E-4753-8499-672078848F50}"/>
                </c:ext>
              </c:extLst>
            </c:dLbl>
            <c:dLbl>
              <c:idx val="24"/>
              <c:tx>
                <c:rich>
                  <a:bodyPr/>
                  <a:lstStyle/>
                  <a:p>
                    <a:fld id="{BE4ED2C0-3F7B-4BCC-B770-237B789764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C94E-4753-8499-672078848F50}"/>
                </c:ext>
              </c:extLst>
            </c:dLbl>
            <c:dLbl>
              <c:idx val="25"/>
              <c:tx>
                <c:rich>
                  <a:bodyPr/>
                  <a:lstStyle/>
                  <a:p>
                    <a:fld id="{7502F81C-D99D-48C3-BCC4-0C6D1B5946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C94E-4753-8499-672078848F50}"/>
                </c:ext>
              </c:extLst>
            </c:dLbl>
            <c:dLbl>
              <c:idx val="26"/>
              <c:tx>
                <c:rich>
                  <a:bodyPr/>
                  <a:lstStyle/>
                  <a:p>
                    <a:fld id="{EA87D256-7106-4252-B1E9-BF6714E708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C94E-4753-8499-672078848F50}"/>
                </c:ext>
              </c:extLst>
            </c:dLbl>
            <c:dLbl>
              <c:idx val="27"/>
              <c:tx>
                <c:rich>
                  <a:bodyPr/>
                  <a:lstStyle/>
                  <a:p>
                    <a:fld id="{696AD726-2403-4976-9DD7-492F5B7CC1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C94E-4753-8499-672078848F50}"/>
                </c:ext>
              </c:extLst>
            </c:dLbl>
            <c:dLbl>
              <c:idx val="28"/>
              <c:tx>
                <c:rich>
                  <a:bodyPr/>
                  <a:lstStyle/>
                  <a:p>
                    <a:fld id="{DC1702E8-E853-42F0-B322-E01A75FBD2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C94E-4753-8499-672078848F50}"/>
                </c:ext>
              </c:extLst>
            </c:dLbl>
            <c:dLbl>
              <c:idx val="29"/>
              <c:tx>
                <c:rich>
                  <a:bodyPr/>
                  <a:lstStyle/>
                  <a:p>
                    <a:fld id="{1FC81E38-F38E-4B74-ACA4-99C788A5DE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C94E-4753-8499-672078848F50}"/>
                </c:ext>
              </c:extLst>
            </c:dLbl>
            <c:dLbl>
              <c:idx val="30"/>
              <c:tx>
                <c:rich>
                  <a:bodyPr/>
                  <a:lstStyle/>
                  <a:p>
                    <a:fld id="{2DF7E1CF-6643-4864-A892-A97C608469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C94E-4753-8499-672078848F50}"/>
                </c:ext>
              </c:extLst>
            </c:dLbl>
            <c:dLbl>
              <c:idx val="31"/>
              <c:tx>
                <c:rich>
                  <a:bodyPr/>
                  <a:lstStyle/>
                  <a:p>
                    <a:fld id="{97B8C5A3-85C1-4C3C-8BA3-6855EF33F8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C94E-4753-8499-672078848F50}"/>
                </c:ext>
              </c:extLst>
            </c:dLbl>
            <c:dLbl>
              <c:idx val="32"/>
              <c:tx>
                <c:rich>
                  <a:bodyPr/>
                  <a:lstStyle/>
                  <a:p>
                    <a:fld id="{F9279121-187F-4DC6-B4C5-3E313DDF25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C94E-4753-8499-672078848F50}"/>
                </c:ext>
              </c:extLst>
            </c:dLbl>
            <c:dLbl>
              <c:idx val="33"/>
              <c:tx>
                <c:rich>
                  <a:bodyPr/>
                  <a:lstStyle/>
                  <a:p>
                    <a:fld id="{E0BB6EF4-F3A0-4FDA-9E3F-45CE8DE31E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C94E-4753-8499-672078848F50}"/>
                </c:ext>
              </c:extLst>
            </c:dLbl>
            <c:dLbl>
              <c:idx val="34"/>
              <c:tx>
                <c:rich>
                  <a:bodyPr/>
                  <a:lstStyle/>
                  <a:p>
                    <a:fld id="{FDA99D0F-B7CC-4D43-85EC-46572D3278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C94E-4753-8499-672078848F50}"/>
                </c:ext>
              </c:extLst>
            </c:dLbl>
            <c:dLbl>
              <c:idx val="35"/>
              <c:tx>
                <c:rich>
                  <a:bodyPr/>
                  <a:lstStyle/>
                  <a:p>
                    <a:fld id="{6A565A96-1845-41FB-B8D0-9D15B1F6F6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C94E-4753-8499-672078848F50}"/>
                </c:ext>
              </c:extLst>
            </c:dLbl>
            <c:dLbl>
              <c:idx val="36"/>
              <c:tx>
                <c:rich>
                  <a:bodyPr/>
                  <a:lstStyle/>
                  <a:p>
                    <a:fld id="{8AC7D8E4-EF98-4A52-BD50-9C00C025DD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C94E-4753-8499-672078848F50}"/>
                </c:ext>
              </c:extLst>
            </c:dLbl>
            <c:dLbl>
              <c:idx val="37"/>
              <c:tx>
                <c:rich>
                  <a:bodyPr/>
                  <a:lstStyle/>
                  <a:p>
                    <a:fld id="{47C0380A-3A52-4193-87F9-D96C7D2D19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C94E-4753-8499-672078848F50}"/>
                </c:ext>
              </c:extLst>
            </c:dLbl>
            <c:dLbl>
              <c:idx val="38"/>
              <c:tx>
                <c:rich>
                  <a:bodyPr/>
                  <a:lstStyle/>
                  <a:p>
                    <a:fld id="{4F55A2DF-C688-45AF-BE28-A3D497D8D4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C94E-4753-8499-672078848F50}"/>
                </c:ext>
              </c:extLst>
            </c:dLbl>
            <c:dLbl>
              <c:idx val="39"/>
              <c:tx>
                <c:rich>
                  <a:bodyPr/>
                  <a:lstStyle/>
                  <a:p>
                    <a:fld id="{8B03F6B4-A662-4FEC-92B0-2EFA67BC70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C94E-4753-8499-672078848F50}"/>
                </c:ext>
              </c:extLst>
            </c:dLbl>
            <c:dLbl>
              <c:idx val="40"/>
              <c:tx>
                <c:rich>
                  <a:bodyPr/>
                  <a:lstStyle/>
                  <a:p>
                    <a:fld id="{AB65876C-D9AD-4FD6-BB4F-894C7FD5A3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C94E-4753-8499-672078848F50}"/>
                </c:ext>
              </c:extLst>
            </c:dLbl>
            <c:dLbl>
              <c:idx val="41"/>
              <c:tx>
                <c:rich>
                  <a:bodyPr/>
                  <a:lstStyle/>
                  <a:p>
                    <a:fld id="{145648E7-7724-496D-A977-08BA62912B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C94E-4753-8499-672078848F50}"/>
                </c:ext>
              </c:extLst>
            </c:dLbl>
            <c:dLbl>
              <c:idx val="42"/>
              <c:tx>
                <c:rich>
                  <a:bodyPr/>
                  <a:lstStyle/>
                  <a:p>
                    <a:fld id="{11AEF3E5-71C9-4228-952C-AFA3809466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C94E-4753-8499-672078848F50}"/>
                </c:ext>
              </c:extLst>
            </c:dLbl>
            <c:dLbl>
              <c:idx val="43"/>
              <c:tx>
                <c:rich>
                  <a:bodyPr/>
                  <a:lstStyle/>
                  <a:p>
                    <a:fld id="{2895DBE0-462C-45DA-8373-BF1EEF286A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C94E-4753-8499-672078848F50}"/>
                </c:ext>
              </c:extLst>
            </c:dLbl>
            <c:dLbl>
              <c:idx val="44"/>
              <c:tx>
                <c:rich>
                  <a:bodyPr/>
                  <a:lstStyle/>
                  <a:p>
                    <a:fld id="{723FAC40-FF17-4D4C-B0CB-535BDD4EF0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C94E-4753-8499-672078848F50}"/>
                </c:ext>
              </c:extLst>
            </c:dLbl>
            <c:dLbl>
              <c:idx val="45"/>
              <c:tx>
                <c:rich>
                  <a:bodyPr/>
                  <a:lstStyle/>
                  <a:p>
                    <a:fld id="{3520B587-9072-4724-B109-833F93384A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C94E-4753-8499-672078848F50}"/>
                </c:ext>
              </c:extLst>
            </c:dLbl>
            <c:dLbl>
              <c:idx val="46"/>
              <c:tx>
                <c:rich>
                  <a:bodyPr/>
                  <a:lstStyle/>
                  <a:p>
                    <a:fld id="{947D922D-3B2E-4F03-AC70-147642D27F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C94E-4753-8499-672078848F50}"/>
                </c:ext>
              </c:extLst>
            </c:dLbl>
            <c:dLbl>
              <c:idx val="47"/>
              <c:tx>
                <c:rich>
                  <a:bodyPr/>
                  <a:lstStyle/>
                  <a:p>
                    <a:fld id="{77560EEC-4EEF-4D5E-A165-E918401ECB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C94E-4753-8499-672078848F50}"/>
                </c:ext>
              </c:extLst>
            </c:dLbl>
            <c:dLbl>
              <c:idx val="48"/>
              <c:tx>
                <c:rich>
                  <a:bodyPr/>
                  <a:lstStyle/>
                  <a:p>
                    <a:fld id="{56631312-E433-4EC7-B2B5-6375AA9CC1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C94E-4753-8499-672078848F50}"/>
                </c:ext>
              </c:extLst>
            </c:dLbl>
            <c:dLbl>
              <c:idx val="49"/>
              <c:tx>
                <c:rich>
                  <a:bodyPr/>
                  <a:lstStyle/>
                  <a:p>
                    <a:fld id="{E125470F-4EB0-4D8E-9496-8F2C4BCDF8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C94E-4753-8499-672078848F50}"/>
                </c:ext>
              </c:extLst>
            </c:dLbl>
            <c:dLbl>
              <c:idx val="50"/>
              <c:tx>
                <c:rich>
                  <a:bodyPr/>
                  <a:lstStyle/>
                  <a:p>
                    <a:fld id="{7291A8CC-7EAA-491F-B7DD-4248FAA86F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C94E-4753-8499-672078848F50}"/>
                </c:ext>
              </c:extLst>
            </c:dLbl>
            <c:dLbl>
              <c:idx val="51"/>
              <c:tx>
                <c:rich>
                  <a:bodyPr/>
                  <a:lstStyle/>
                  <a:p>
                    <a:fld id="{9C3A920C-B407-4BB3-809A-257586A6C7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C94E-4753-8499-672078848F50}"/>
                </c:ext>
              </c:extLst>
            </c:dLbl>
            <c:dLbl>
              <c:idx val="52"/>
              <c:tx>
                <c:rich>
                  <a:bodyPr/>
                  <a:lstStyle/>
                  <a:p>
                    <a:fld id="{B49EA848-59BF-4738-8989-E10CF12F07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C94E-4753-8499-672078848F50}"/>
                </c:ext>
              </c:extLst>
            </c:dLbl>
            <c:dLbl>
              <c:idx val="53"/>
              <c:tx>
                <c:rich>
                  <a:bodyPr/>
                  <a:lstStyle/>
                  <a:p>
                    <a:fld id="{AFDDE016-D9BC-45C8-A320-A5B770B19D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C94E-4753-8499-672078848F50}"/>
                </c:ext>
              </c:extLst>
            </c:dLbl>
            <c:dLbl>
              <c:idx val="54"/>
              <c:tx>
                <c:rich>
                  <a:bodyPr/>
                  <a:lstStyle/>
                  <a:p>
                    <a:fld id="{A42092DF-5B05-4A1F-B435-942CB5A2EA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C94E-4753-8499-672078848F50}"/>
                </c:ext>
              </c:extLst>
            </c:dLbl>
            <c:dLbl>
              <c:idx val="55"/>
              <c:tx>
                <c:rich>
                  <a:bodyPr/>
                  <a:lstStyle/>
                  <a:p>
                    <a:fld id="{B9EBEA72-C66C-47E4-BA51-D6A4F0FEC8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C94E-4753-8499-672078848F50}"/>
                </c:ext>
              </c:extLst>
            </c:dLbl>
            <c:dLbl>
              <c:idx val="56"/>
              <c:tx>
                <c:rich>
                  <a:bodyPr/>
                  <a:lstStyle/>
                  <a:p>
                    <a:fld id="{EE42B139-ABD9-4756-8CEA-6C7E4165B7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C94E-4753-8499-672078848F50}"/>
                </c:ext>
              </c:extLst>
            </c:dLbl>
            <c:dLbl>
              <c:idx val="57"/>
              <c:tx>
                <c:rich>
                  <a:bodyPr/>
                  <a:lstStyle/>
                  <a:p>
                    <a:fld id="{C37A1A6E-D0AD-4D63-A639-EBE6E33190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C94E-4753-8499-672078848F50}"/>
                </c:ext>
              </c:extLst>
            </c:dLbl>
            <c:dLbl>
              <c:idx val="58"/>
              <c:tx>
                <c:rich>
                  <a:bodyPr/>
                  <a:lstStyle/>
                  <a:p>
                    <a:fld id="{557603BB-D0ED-4086-8DE7-B3CA7A430D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C94E-4753-8499-672078848F50}"/>
                </c:ext>
              </c:extLst>
            </c:dLbl>
            <c:dLbl>
              <c:idx val="59"/>
              <c:tx>
                <c:rich>
                  <a:bodyPr/>
                  <a:lstStyle/>
                  <a:p>
                    <a:fld id="{EBEA1CE4-C13A-48D8-925F-BE692C1251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C94E-4753-8499-672078848F50}"/>
                </c:ext>
              </c:extLst>
            </c:dLbl>
            <c:dLbl>
              <c:idx val="60"/>
              <c:tx>
                <c:rich>
                  <a:bodyPr/>
                  <a:lstStyle/>
                  <a:p>
                    <a:fld id="{5D294864-55A7-466A-A83E-9CE14CBEFF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C94E-4753-8499-672078848F50}"/>
                </c:ext>
              </c:extLst>
            </c:dLbl>
            <c:dLbl>
              <c:idx val="61"/>
              <c:tx>
                <c:rich>
                  <a:bodyPr/>
                  <a:lstStyle/>
                  <a:p>
                    <a:fld id="{25BAB081-18C5-43C4-8949-11F1EB1CE5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C94E-4753-8499-672078848F50}"/>
                </c:ext>
              </c:extLst>
            </c:dLbl>
            <c:dLbl>
              <c:idx val="62"/>
              <c:tx>
                <c:rich>
                  <a:bodyPr/>
                  <a:lstStyle/>
                  <a:p>
                    <a:fld id="{38D1C1B1-866E-4CAE-9757-A039C3FA11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C94E-4753-8499-672078848F50}"/>
                </c:ext>
              </c:extLst>
            </c:dLbl>
            <c:dLbl>
              <c:idx val="63"/>
              <c:tx>
                <c:rich>
                  <a:bodyPr/>
                  <a:lstStyle/>
                  <a:p>
                    <a:fld id="{BC17021F-F207-4835-A968-25CCD9935C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C94E-4753-8499-672078848F50}"/>
                </c:ext>
              </c:extLst>
            </c:dLbl>
            <c:dLbl>
              <c:idx val="64"/>
              <c:tx>
                <c:rich>
                  <a:bodyPr/>
                  <a:lstStyle/>
                  <a:p>
                    <a:fld id="{CE29C823-0D7D-4616-913D-64116F9D5B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C94E-4753-8499-672078848F50}"/>
                </c:ext>
              </c:extLst>
            </c:dLbl>
            <c:dLbl>
              <c:idx val="65"/>
              <c:tx>
                <c:rich>
                  <a:bodyPr/>
                  <a:lstStyle/>
                  <a:p>
                    <a:fld id="{83720A76-068B-43E6-85EA-2E0C2D6471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C94E-4753-8499-672078848F50}"/>
                </c:ext>
              </c:extLst>
            </c:dLbl>
            <c:dLbl>
              <c:idx val="66"/>
              <c:tx>
                <c:rich>
                  <a:bodyPr/>
                  <a:lstStyle/>
                  <a:p>
                    <a:fld id="{7BB5CBA1-25FB-459F-A9A1-2C8AAC0B07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C94E-4753-8499-672078848F50}"/>
                </c:ext>
              </c:extLst>
            </c:dLbl>
            <c:dLbl>
              <c:idx val="67"/>
              <c:tx>
                <c:rich>
                  <a:bodyPr/>
                  <a:lstStyle/>
                  <a:p>
                    <a:fld id="{E31BBF19-137E-4FFD-A45C-174BC8CE3E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C94E-4753-8499-672078848F50}"/>
                </c:ext>
              </c:extLst>
            </c:dLbl>
            <c:dLbl>
              <c:idx val="68"/>
              <c:tx>
                <c:rich>
                  <a:bodyPr/>
                  <a:lstStyle/>
                  <a:p>
                    <a:fld id="{8A0E48B7-97CF-4E0A-921C-92AA0FAADA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C94E-4753-8499-672078848F50}"/>
                </c:ext>
              </c:extLst>
            </c:dLbl>
            <c:dLbl>
              <c:idx val="69"/>
              <c:tx>
                <c:rich>
                  <a:bodyPr/>
                  <a:lstStyle/>
                  <a:p>
                    <a:fld id="{5DE6519A-7DB7-4AB7-880A-53140D9811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C94E-4753-8499-672078848F50}"/>
                </c:ext>
              </c:extLst>
            </c:dLbl>
            <c:dLbl>
              <c:idx val="70"/>
              <c:tx>
                <c:rich>
                  <a:bodyPr/>
                  <a:lstStyle/>
                  <a:p>
                    <a:fld id="{0B292477-84EF-433F-BFD0-2F9EC7233B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C94E-4753-8499-672078848F50}"/>
                </c:ext>
              </c:extLst>
            </c:dLbl>
            <c:dLbl>
              <c:idx val="71"/>
              <c:tx>
                <c:rich>
                  <a:bodyPr/>
                  <a:lstStyle/>
                  <a:p>
                    <a:fld id="{FAAACAA0-FA11-4CD6-BD37-E15B42073B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C94E-4753-8499-672078848F50}"/>
                </c:ext>
              </c:extLst>
            </c:dLbl>
            <c:dLbl>
              <c:idx val="72"/>
              <c:tx>
                <c:rich>
                  <a:bodyPr/>
                  <a:lstStyle/>
                  <a:p>
                    <a:fld id="{76AC4057-255A-4048-B425-F8FC69EB50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C94E-4753-8499-672078848F50}"/>
                </c:ext>
              </c:extLst>
            </c:dLbl>
            <c:dLbl>
              <c:idx val="73"/>
              <c:tx>
                <c:rich>
                  <a:bodyPr/>
                  <a:lstStyle/>
                  <a:p>
                    <a:fld id="{AB0AC2AE-DCE5-42BD-B715-20F4473484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C94E-4753-8499-672078848F50}"/>
                </c:ext>
              </c:extLst>
            </c:dLbl>
            <c:dLbl>
              <c:idx val="74"/>
              <c:tx>
                <c:rich>
                  <a:bodyPr/>
                  <a:lstStyle/>
                  <a:p>
                    <a:fld id="{28DA75F8-DB73-485E-BD37-0E64EBD730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C94E-4753-8499-672078848F50}"/>
                </c:ext>
              </c:extLst>
            </c:dLbl>
            <c:dLbl>
              <c:idx val="75"/>
              <c:tx>
                <c:rich>
                  <a:bodyPr/>
                  <a:lstStyle/>
                  <a:p>
                    <a:fld id="{E151E1B8-32B3-4342-AF34-5E718284B3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C94E-4753-8499-672078848F50}"/>
                </c:ext>
              </c:extLst>
            </c:dLbl>
            <c:dLbl>
              <c:idx val="76"/>
              <c:tx>
                <c:rich>
                  <a:bodyPr/>
                  <a:lstStyle/>
                  <a:p>
                    <a:fld id="{A1E94CBB-2C0F-4807-9C10-DD6BC75763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C94E-4753-8499-672078848F50}"/>
                </c:ext>
              </c:extLst>
            </c:dLbl>
            <c:dLbl>
              <c:idx val="77"/>
              <c:tx>
                <c:rich>
                  <a:bodyPr/>
                  <a:lstStyle/>
                  <a:p>
                    <a:fld id="{E4CBAC9F-7653-4EF2-B758-6BCEDF49AE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C94E-4753-8499-672078848F50}"/>
                </c:ext>
              </c:extLst>
            </c:dLbl>
            <c:dLbl>
              <c:idx val="78"/>
              <c:tx>
                <c:rich>
                  <a:bodyPr/>
                  <a:lstStyle/>
                  <a:p>
                    <a:fld id="{DBA9BD01-1E95-45AD-924D-429485E7FE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C94E-4753-8499-672078848F50}"/>
                </c:ext>
              </c:extLst>
            </c:dLbl>
            <c:dLbl>
              <c:idx val="79"/>
              <c:tx>
                <c:rich>
                  <a:bodyPr/>
                  <a:lstStyle/>
                  <a:p>
                    <a:fld id="{1A6D5E69-214C-4B57-B703-255C70755E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C94E-4753-8499-672078848F50}"/>
                </c:ext>
              </c:extLst>
            </c:dLbl>
            <c:dLbl>
              <c:idx val="80"/>
              <c:tx>
                <c:rich>
                  <a:bodyPr/>
                  <a:lstStyle/>
                  <a:p>
                    <a:fld id="{216DD96E-5B05-4B17-90B8-81541B8E8F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C94E-4753-8499-672078848F50}"/>
                </c:ext>
              </c:extLst>
            </c:dLbl>
            <c:dLbl>
              <c:idx val="81"/>
              <c:tx>
                <c:rich>
                  <a:bodyPr/>
                  <a:lstStyle/>
                  <a:p>
                    <a:fld id="{E49519E1-C7DB-4779-8B07-17D6C406AF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C94E-4753-8499-672078848F50}"/>
                </c:ext>
              </c:extLst>
            </c:dLbl>
            <c:dLbl>
              <c:idx val="82"/>
              <c:tx>
                <c:rich>
                  <a:bodyPr/>
                  <a:lstStyle/>
                  <a:p>
                    <a:fld id="{A8DC23AC-F545-4FF8-B1D1-AA00E7822E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C94E-4753-8499-672078848F50}"/>
                </c:ext>
              </c:extLst>
            </c:dLbl>
            <c:dLbl>
              <c:idx val="83"/>
              <c:tx>
                <c:rich>
                  <a:bodyPr/>
                  <a:lstStyle/>
                  <a:p>
                    <a:fld id="{6C9A2F5A-95D1-48E2-899A-67B3E2CD36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C94E-4753-8499-672078848F50}"/>
                </c:ext>
              </c:extLst>
            </c:dLbl>
            <c:dLbl>
              <c:idx val="84"/>
              <c:tx>
                <c:rich>
                  <a:bodyPr/>
                  <a:lstStyle/>
                  <a:p>
                    <a:fld id="{225830FC-0C14-45F7-8893-B05956F2C6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C94E-4753-8499-672078848F50}"/>
                </c:ext>
              </c:extLst>
            </c:dLbl>
            <c:dLbl>
              <c:idx val="85"/>
              <c:tx>
                <c:rich>
                  <a:bodyPr/>
                  <a:lstStyle/>
                  <a:p>
                    <a:fld id="{6CDEEABC-F949-4B9A-8219-9FF87B49D9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C94E-4753-8499-672078848F50}"/>
                </c:ext>
              </c:extLst>
            </c:dLbl>
            <c:dLbl>
              <c:idx val="86"/>
              <c:tx>
                <c:rich>
                  <a:bodyPr/>
                  <a:lstStyle/>
                  <a:p>
                    <a:fld id="{0CF5889C-EC2F-4A6A-B80D-C062F7B720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C94E-4753-8499-672078848F50}"/>
                </c:ext>
              </c:extLst>
            </c:dLbl>
            <c:dLbl>
              <c:idx val="87"/>
              <c:tx>
                <c:rich>
                  <a:bodyPr/>
                  <a:lstStyle/>
                  <a:p>
                    <a:fld id="{9FD62AED-28CC-4350-B829-CA69874ADE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C94E-4753-8499-672078848F50}"/>
                </c:ext>
              </c:extLst>
            </c:dLbl>
            <c:dLbl>
              <c:idx val="88"/>
              <c:tx>
                <c:rich>
                  <a:bodyPr/>
                  <a:lstStyle/>
                  <a:p>
                    <a:fld id="{205FF8F6-3C41-4599-81A9-16B2A13069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C94E-4753-8499-672078848F50}"/>
                </c:ext>
              </c:extLst>
            </c:dLbl>
            <c:dLbl>
              <c:idx val="89"/>
              <c:tx>
                <c:rich>
                  <a:bodyPr/>
                  <a:lstStyle/>
                  <a:p>
                    <a:fld id="{1330FE0E-9633-49D8-B966-E8AEAA2FB2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C94E-4753-8499-672078848F50}"/>
                </c:ext>
              </c:extLst>
            </c:dLbl>
            <c:dLbl>
              <c:idx val="90"/>
              <c:tx>
                <c:rich>
                  <a:bodyPr/>
                  <a:lstStyle/>
                  <a:p>
                    <a:fld id="{0AA4B5C5-1A40-44E6-B267-B75464EC2F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C94E-4753-8499-672078848F50}"/>
                </c:ext>
              </c:extLst>
            </c:dLbl>
            <c:dLbl>
              <c:idx val="91"/>
              <c:tx>
                <c:rich>
                  <a:bodyPr/>
                  <a:lstStyle/>
                  <a:p>
                    <a:fld id="{07F67321-F0B2-4700-A95A-5D234406C7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C94E-4753-8499-672078848F50}"/>
                </c:ext>
              </c:extLst>
            </c:dLbl>
            <c:dLbl>
              <c:idx val="92"/>
              <c:tx>
                <c:rich>
                  <a:bodyPr/>
                  <a:lstStyle/>
                  <a:p>
                    <a:fld id="{AACE930A-4DAE-4EE4-9EA8-7D1BC79726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C94E-4753-8499-672078848F50}"/>
                </c:ext>
              </c:extLst>
            </c:dLbl>
            <c:dLbl>
              <c:idx val="93"/>
              <c:tx>
                <c:rich>
                  <a:bodyPr/>
                  <a:lstStyle/>
                  <a:p>
                    <a:fld id="{AE207633-E523-45CD-9A38-F81D5891AB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C94E-4753-8499-672078848F50}"/>
                </c:ext>
              </c:extLst>
            </c:dLbl>
            <c:dLbl>
              <c:idx val="94"/>
              <c:tx>
                <c:rich>
                  <a:bodyPr/>
                  <a:lstStyle/>
                  <a:p>
                    <a:fld id="{5A8ED838-6813-455E-9B3F-72FCE7A556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C94E-4753-8499-672078848F50}"/>
                </c:ext>
              </c:extLst>
            </c:dLbl>
            <c:dLbl>
              <c:idx val="95"/>
              <c:tx>
                <c:rich>
                  <a:bodyPr/>
                  <a:lstStyle/>
                  <a:p>
                    <a:fld id="{3C9EDA3D-6BE2-49EE-8F72-299047904E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C94E-4753-8499-672078848F50}"/>
                </c:ext>
              </c:extLst>
            </c:dLbl>
            <c:dLbl>
              <c:idx val="96"/>
              <c:tx>
                <c:rich>
                  <a:bodyPr/>
                  <a:lstStyle/>
                  <a:p>
                    <a:fld id="{BEAB93E5-5115-4CB4-B1CE-1DD8043903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C94E-4753-8499-672078848F50}"/>
                </c:ext>
              </c:extLst>
            </c:dLbl>
            <c:dLbl>
              <c:idx val="97"/>
              <c:tx>
                <c:rich>
                  <a:bodyPr/>
                  <a:lstStyle/>
                  <a:p>
                    <a:fld id="{96070A4F-3E5D-417B-8B25-07EA1FCF96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C94E-4753-8499-672078848F50}"/>
                </c:ext>
              </c:extLst>
            </c:dLbl>
            <c:dLbl>
              <c:idx val="98"/>
              <c:tx>
                <c:rich>
                  <a:bodyPr/>
                  <a:lstStyle/>
                  <a:p>
                    <a:fld id="{D10113E7-3AB9-4A03-B72B-8A3B527A24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C94E-4753-8499-672078848F50}"/>
                </c:ext>
              </c:extLst>
            </c:dLbl>
            <c:dLbl>
              <c:idx val="99"/>
              <c:tx>
                <c:rich>
                  <a:bodyPr/>
                  <a:lstStyle/>
                  <a:p>
                    <a:fld id="{F2170F14-1027-4B1A-878E-FB79EA0A24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C94E-4753-8499-672078848F50}"/>
                </c:ext>
              </c:extLst>
            </c:dLbl>
            <c:dLbl>
              <c:idx val="100"/>
              <c:tx>
                <c:rich>
                  <a:bodyPr/>
                  <a:lstStyle/>
                  <a:p>
                    <a:fld id="{D09CC864-3A65-4255-839F-3035C69624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C94E-4753-8499-672078848F50}"/>
                </c:ext>
              </c:extLst>
            </c:dLbl>
            <c:dLbl>
              <c:idx val="101"/>
              <c:tx>
                <c:rich>
                  <a:bodyPr/>
                  <a:lstStyle/>
                  <a:p>
                    <a:fld id="{4F34A459-FC7E-4825-998F-57981A8942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C94E-4753-8499-672078848F50}"/>
                </c:ext>
              </c:extLst>
            </c:dLbl>
            <c:dLbl>
              <c:idx val="102"/>
              <c:tx>
                <c:rich>
                  <a:bodyPr/>
                  <a:lstStyle/>
                  <a:p>
                    <a:fld id="{9A5E4D66-4CDE-461D-B1BE-4CE7DBEA2F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C94E-4753-8499-672078848F50}"/>
                </c:ext>
              </c:extLst>
            </c:dLbl>
            <c:dLbl>
              <c:idx val="103"/>
              <c:tx>
                <c:rich>
                  <a:bodyPr/>
                  <a:lstStyle/>
                  <a:p>
                    <a:fld id="{8651A308-CBDB-4511-A719-D56584AD6E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C94E-4753-8499-672078848F50}"/>
                </c:ext>
              </c:extLst>
            </c:dLbl>
            <c:dLbl>
              <c:idx val="104"/>
              <c:tx>
                <c:rich>
                  <a:bodyPr/>
                  <a:lstStyle/>
                  <a:p>
                    <a:fld id="{056B909F-682C-44D2-ABC9-DD2E115DD3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C94E-4753-8499-672078848F50}"/>
                </c:ext>
              </c:extLst>
            </c:dLbl>
            <c:dLbl>
              <c:idx val="105"/>
              <c:tx>
                <c:rich>
                  <a:bodyPr/>
                  <a:lstStyle/>
                  <a:p>
                    <a:fld id="{B6A5C870-0319-4A09-ACAD-B3186AC37F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C94E-4753-8499-672078848F50}"/>
                </c:ext>
              </c:extLst>
            </c:dLbl>
            <c:dLbl>
              <c:idx val="106"/>
              <c:tx>
                <c:rich>
                  <a:bodyPr/>
                  <a:lstStyle/>
                  <a:p>
                    <a:fld id="{A3FA2CE0-FFDE-496F-81C9-1F0A1D45C7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C94E-4753-8499-672078848F50}"/>
                </c:ext>
              </c:extLst>
            </c:dLbl>
            <c:dLbl>
              <c:idx val="107"/>
              <c:tx>
                <c:rich>
                  <a:bodyPr/>
                  <a:lstStyle/>
                  <a:p>
                    <a:fld id="{7D85763C-E184-44DC-B78C-4D53A97B93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C94E-4753-8499-672078848F50}"/>
                </c:ext>
              </c:extLst>
            </c:dLbl>
            <c:dLbl>
              <c:idx val="108"/>
              <c:tx>
                <c:rich>
                  <a:bodyPr/>
                  <a:lstStyle/>
                  <a:p>
                    <a:fld id="{A26CE8D8-AA69-422B-B558-4AF3FD0AA9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C94E-4753-8499-672078848F50}"/>
                </c:ext>
              </c:extLst>
            </c:dLbl>
            <c:dLbl>
              <c:idx val="109"/>
              <c:tx>
                <c:rich>
                  <a:bodyPr/>
                  <a:lstStyle/>
                  <a:p>
                    <a:fld id="{E6CAA71F-BBA4-4995-A0BD-2C77369045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C94E-4753-8499-672078848F50}"/>
                </c:ext>
              </c:extLst>
            </c:dLbl>
            <c:dLbl>
              <c:idx val="110"/>
              <c:tx>
                <c:rich>
                  <a:bodyPr/>
                  <a:lstStyle/>
                  <a:p>
                    <a:fld id="{34CF2D59-E57C-421E-B5A2-359CAC005C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C94E-4753-8499-672078848F50}"/>
                </c:ext>
              </c:extLst>
            </c:dLbl>
            <c:dLbl>
              <c:idx val="111"/>
              <c:tx>
                <c:rich>
                  <a:bodyPr/>
                  <a:lstStyle/>
                  <a:p>
                    <a:fld id="{397D40D6-D39E-47F1-A10D-F1885B5083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C94E-4753-8499-672078848F50}"/>
                </c:ext>
              </c:extLst>
            </c:dLbl>
            <c:dLbl>
              <c:idx val="112"/>
              <c:tx>
                <c:rich>
                  <a:bodyPr/>
                  <a:lstStyle/>
                  <a:p>
                    <a:fld id="{C6DCC1E7-D49F-41A0-B783-5AEEBE0822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C94E-4753-8499-672078848F50}"/>
                </c:ext>
              </c:extLst>
            </c:dLbl>
            <c:dLbl>
              <c:idx val="113"/>
              <c:tx>
                <c:rich>
                  <a:bodyPr/>
                  <a:lstStyle/>
                  <a:p>
                    <a:fld id="{78176A14-FB20-4DC4-A983-DAC6DE9F92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C94E-4753-8499-672078848F50}"/>
                </c:ext>
              </c:extLst>
            </c:dLbl>
            <c:dLbl>
              <c:idx val="114"/>
              <c:tx>
                <c:rich>
                  <a:bodyPr/>
                  <a:lstStyle/>
                  <a:p>
                    <a:fld id="{F666E633-523D-492F-ABFF-FE2EDBDD27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C94E-4753-8499-672078848F50}"/>
                </c:ext>
              </c:extLst>
            </c:dLbl>
            <c:dLbl>
              <c:idx val="115"/>
              <c:tx>
                <c:rich>
                  <a:bodyPr/>
                  <a:lstStyle/>
                  <a:p>
                    <a:fld id="{7C69F7B6-D806-4AF2-85FF-C20185FC3B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C94E-4753-8499-672078848F50}"/>
                </c:ext>
              </c:extLst>
            </c:dLbl>
            <c:dLbl>
              <c:idx val="116"/>
              <c:tx>
                <c:rich>
                  <a:bodyPr/>
                  <a:lstStyle/>
                  <a:p>
                    <a:fld id="{B7F93270-A54F-4992-95AA-2FFE3B5E46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C94E-4753-8499-672078848F50}"/>
                </c:ext>
              </c:extLst>
            </c:dLbl>
            <c:dLbl>
              <c:idx val="117"/>
              <c:tx>
                <c:rich>
                  <a:bodyPr/>
                  <a:lstStyle/>
                  <a:p>
                    <a:fld id="{2A28570F-7F5B-44DA-B243-D94AA3BE80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C94E-4753-8499-672078848F50}"/>
                </c:ext>
              </c:extLst>
            </c:dLbl>
            <c:dLbl>
              <c:idx val="118"/>
              <c:tx>
                <c:rich>
                  <a:bodyPr/>
                  <a:lstStyle/>
                  <a:p>
                    <a:fld id="{2DB71D47-F8C0-4F59-AFF8-F35447A049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C94E-4753-8499-672078848F50}"/>
                </c:ext>
              </c:extLst>
            </c:dLbl>
            <c:dLbl>
              <c:idx val="119"/>
              <c:tx>
                <c:rich>
                  <a:bodyPr/>
                  <a:lstStyle/>
                  <a:p>
                    <a:fld id="{A43A74F5-CB01-4EC9-A630-5EE3AE92BF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C94E-4753-8499-672078848F50}"/>
                </c:ext>
              </c:extLst>
            </c:dLbl>
            <c:dLbl>
              <c:idx val="120"/>
              <c:tx>
                <c:rich>
                  <a:bodyPr/>
                  <a:lstStyle/>
                  <a:p>
                    <a:fld id="{007DAEB6-16B6-4DEE-968C-B5F3732862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C94E-4753-8499-672078848F50}"/>
                </c:ext>
              </c:extLst>
            </c:dLbl>
            <c:dLbl>
              <c:idx val="121"/>
              <c:tx>
                <c:rich>
                  <a:bodyPr/>
                  <a:lstStyle/>
                  <a:p>
                    <a:fld id="{6E7991DB-6663-4C4A-A129-4F5D9047B5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C94E-4753-8499-672078848F50}"/>
                </c:ext>
              </c:extLst>
            </c:dLbl>
            <c:dLbl>
              <c:idx val="122"/>
              <c:tx>
                <c:rich>
                  <a:bodyPr/>
                  <a:lstStyle/>
                  <a:p>
                    <a:fld id="{6AABBAD8-D46E-45EE-BCB6-6195D1AE96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C94E-4753-8499-672078848F50}"/>
                </c:ext>
              </c:extLst>
            </c:dLbl>
            <c:dLbl>
              <c:idx val="123"/>
              <c:tx>
                <c:rich>
                  <a:bodyPr/>
                  <a:lstStyle/>
                  <a:p>
                    <a:fld id="{12848D2E-4607-4A41-A503-DF1323CB87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C94E-4753-8499-672078848F50}"/>
                </c:ext>
              </c:extLst>
            </c:dLbl>
            <c:dLbl>
              <c:idx val="124"/>
              <c:tx>
                <c:rich>
                  <a:bodyPr/>
                  <a:lstStyle/>
                  <a:p>
                    <a:fld id="{977012D9-C90A-42ED-BECB-C5D445BD37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C94E-4753-8499-672078848F50}"/>
                </c:ext>
              </c:extLst>
            </c:dLbl>
            <c:dLbl>
              <c:idx val="125"/>
              <c:tx>
                <c:rich>
                  <a:bodyPr/>
                  <a:lstStyle/>
                  <a:p>
                    <a:fld id="{B76834C7-4724-45B4-9B2B-8D4777E898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C94E-4753-8499-672078848F50}"/>
                </c:ext>
              </c:extLst>
            </c:dLbl>
            <c:dLbl>
              <c:idx val="126"/>
              <c:tx>
                <c:rich>
                  <a:bodyPr/>
                  <a:lstStyle/>
                  <a:p>
                    <a:fld id="{59CF5C71-3067-482B-B714-9174FA167C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C94E-4753-8499-672078848F50}"/>
                </c:ext>
              </c:extLst>
            </c:dLbl>
            <c:dLbl>
              <c:idx val="127"/>
              <c:tx>
                <c:rich>
                  <a:bodyPr/>
                  <a:lstStyle/>
                  <a:p>
                    <a:fld id="{CEEEE647-2D39-480C-9945-71CF15162F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C94E-4753-8499-672078848F50}"/>
                </c:ext>
              </c:extLst>
            </c:dLbl>
            <c:dLbl>
              <c:idx val="128"/>
              <c:tx>
                <c:rich>
                  <a:bodyPr/>
                  <a:lstStyle/>
                  <a:p>
                    <a:fld id="{8F308252-2C62-43AC-8711-ACAF871519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C94E-4753-8499-672078848F50}"/>
                </c:ext>
              </c:extLst>
            </c:dLbl>
            <c:dLbl>
              <c:idx val="129"/>
              <c:tx>
                <c:rich>
                  <a:bodyPr/>
                  <a:lstStyle/>
                  <a:p>
                    <a:fld id="{B3925EEF-82F9-47A6-9B27-DF34387638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C94E-4753-8499-672078848F50}"/>
                </c:ext>
              </c:extLst>
            </c:dLbl>
            <c:dLbl>
              <c:idx val="130"/>
              <c:tx>
                <c:rich>
                  <a:bodyPr/>
                  <a:lstStyle/>
                  <a:p>
                    <a:fld id="{F9F208F0-EB67-45B9-B675-960BBBC84B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C94E-4753-8499-672078848F50}"/>
                </c:ext>
              </c:extLst>
            </c:dLbl>
            <c:dLbl>
              <c:idx val="131"/>
              <c:tx>
                <c:rich>
                  <a:bodyPr/>
                  <a:lstStyle/>
                  <a:p>
                    <a:fld id="{4A501544-07E8-472D-B9DE-153D258FC0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C94E-4753-8499-672078848F50}"/>
                </c:ext>
              </c:extLst>
            </c:dLbl>
            <c:dLbl>
              <c:idx val="132"/>
              <c:tx>
                <c:rich>
                  <a:bodyPr/>
                  <a:lstStyle/>
                  <a:p>
                    <a:fld id="{7A0530CE-BD43-43D7-A3E0-CD27688308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C94E-4753-8499-672078848F50}"/>
                </c:ext>
              </c:extLst>
            </c:dLbl>
            <c:dLbl>
              <c:idx val="133"/>
              <c:tx>
                <c:rich>
                  <a:bodyPr/>
                  <a:lstStyle/>
                  <a:p>
                    <a:fld id="{E10ABC30-8392-4867-95FA-475F3070C3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C94E-4753-8499-672078848F50}"/>
                </c:ext>
              </c:extLst>
            </c:dLbl>
            <c:dLbl>
              <c:idx val="134"/>
              <c:tx>
                <c:rich>
                  <a:bodyPr/>
                  <a:lstStyle/>
                  <a:p>
                    <a:fld id="{C6F62333-67EF-41C1-ACC2-FB85B348EA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C94E-4753-8499-672078848F50}"/>
                </c:ext>
              </c:extLst>
            </c:dLbl>
            <c:dLbl>
              <c:idx val="135"/>
              <c:tx>
                <c:rich>
                  <a:bodyPr/>
                  <a:lstStyle/>
                  <a:p>
                    <a:fld id="{93ABEA7C-E0EE-490F-A79B-D6C7076D50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C94E-4753-8499-672078848F50}"/>
                </c:ext>
              </c:extLst>
            </c:dLbl>
            <c:dLbl>
              <c:idx val="136"/>
              <c:tx>
                <c:rich>
                  <a:bodyPr/>
                  <a:lstStyle/>
                  <a:p>
                    <a:fld id="{56AF25A5-9611-4264-BE3C-36F646A680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C94E-4753-8499-672078848F50}"/>
                </c:ext>
              </c:extLst>
            </c:dLbl>
            <c:dLbl>
              <c:idx val="137"/>
              <c:tx>
                <c:rich>
                  <a:bodyPr/>
                  <a:lstStyle/>
                  <a:p>
                    <a:fld id="{5B888580-8644-48F8-8A3A-CFAEC74851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C94E-4753-8499-672078848F50}"/>
                </c:ext>
              </c:extLst>
            </c:dLbl>
            <c:dLbl>
              <c:idx val="138"/>
              <c:tx>
                <c:rich>
                  <a:bodyPr/>
                  <a:lstStyle/>
                  <a:p>
                    <a:fld id="{238E4C4A-2287-43D9-99C6-3889A1AF48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C94E-4753-8499-672078848F50}"/>
                </c:ext>
              </c:extLst>
            </c:dLbl>
            <c:dLbl>
              <c:idx val="139"/>
              <c:tx>
                <c:rich>
                  <a:bodyPr/>
                  <a:lstStyle/>
                  <a:p>
                    <a:fld id="{228397D4-C773-400F-BDC4-FB30832D40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C94E-4753-8499-672078848F50}"/>
                </c:ext>
              </c:extLst>
            </c:dLbl>
            <c:dLbl>
              <c:idx val="140"/>
              <c:tx>
                <c:rich>
                  <a:bodyPr/>
                  <a:lstStyle/>
                  <a:p>
                    <a:fld id="{FF660D05-CCE0-4DB7-8AB6-F47D0F65A6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C94E-4753-8499-672078848F50}"/>
                </c:ext>
              </c:extLst>
            </c:dLbl>
            <c:dLbl>
              <c:idx val="141"/>
              <c:tx>
                <c:rich>
                  <a:bodyPr/>
                  <a:lstStyle/>
                  <a:p>
                    <a:fld id="{4D77ACC6-1882-4137-8A72-408E14E31C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C94E-4753-8499-672078848F50}"/>
                </c:ext>
              </c:extLst>
            </c:dLbl>
            <c:dLbl>
              <c:idx val="142"/>
              <c:tx>
                <c:rich>
                  <a:bodyPr/>
                  <a:lstStyle/>
                  <a:p>
                    <a:fld id="{59EAAA47-E0D1-443B-8B69-9FCCAF01F0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C94E-4753-8499-672078848F50}"/>
                </c:ext>
              </c:extLst>
            </c:dLbl>
            <c:dLbl>
              <c:idx val="143"/>
              <c:tx>
                <c:rich>
                  <a:bodyPr/>
                  <a:lstStyle/>
                  <a:p>
                    <a:fld id="{40B8768F-EEC0-4703-99BD-D6605FE0CA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C94E-4753-8499-672078848F50}"/>
                </c:ext>
              </c:extLst>
            </c:dLbl>
            <c:dLbl>
              <c:idx val="144"/>
              <c:tx>
                <c:rich>
                  <a:bodyPr/>
                  <a:lstStyle/>
                  <a:p>
                    <a:fld id="{E0CB066F-F4AE-45F9-945D-8821A41350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C94E-4753-8499-672078848F50}"/>
                </c:ext>
              </c:extLst>
            </c:dLbl>
            <c:dLbl>
              <c:idx val="145"/>
              <c:tx>
                <c:rich>
                  <a:bodyPr/>
                  <a:lstStyle/>
                  <a:p>
                    <a:fld id="{7CE16E9B-86B5-454B-A53D-2EA11C798C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C94E-4753-8499-672078848F50}"/>
                </c:ext>
              </c:extLst>
            </c:dLbl>
            <c:dLbl>
              <c:idx val="146"/>
              <c:tx>
                <c:rich>
                  <a:bodyPr/>
                  <a:lstStyle/>
                  <a:p>
                    <a:fld id="{38F80507-400C-4455-BB6D-C05EC34572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C94E-4753-8499-672078848F50}"/>
                </c:ext>
              </c:extLst>
            </c:dLbl>
            <c:dLbl>
              <c:idx val="147"/>
              <c:tx>
                <c:rich>
                  <a:bodyPr/>
                  <a:lstStyle/>
                  <a:p>
                    <a:fld id="{10EBD816-F2B0-4D81-9B70-D015FB989A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C94E-4753-8499-672078848F50}"/>
                </c:ext>
              </c:extLst>
            </c:dLbl>
            <c:dLbl>
              <c:idx val="148"/>
              <c:tx>
                <c:rich>
                  <a:bodyPr/>
                  <a:lstStyle/>
                  <a:p>
                    <a:fld id="{9DCF4E66-9B4E-4A13-813C-D9BF5BB3DF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C94E-4753-8499-672078848F50}"/>
                </c:ext>
              </c:extLst>
            </c:dLbl>
            <c:dLbl>
              <c:idx val="149"/>
              <c:tx>
                <c:rich>
                  <a:bodyPr/>
                  <a:lstStyle/>
                  <a:p>
                    <a:fld id="{AEAA0E6C-8E90-4489-96A5-16855DF04C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C94E-4753-8499-672078848F50}"/>
                </c:ext>
              </c:extLst>
            </c:dLbl>
            <c:dLbl>
              <c:idx val="150"/>
              <c:tx>
                <c:rich>
                  <a:bodyPr/>
                  <a:lstStyle/>
                  <a:p>
                    <a:fld id="{4A526975-D6E8-4B64-80DE-CE8F35263F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C94E-4753-8499-672078848F50}"/>
                </c:ext>
              </c:extLst>
            </c:dLbl>
            <c:dLbl>
              <c:idx val="151"/>
              <c:tx>
                <c:rich>
                  <a:bodyPr/>
                  <a:lstStyle/>
                  <a:p>
                    <a:fld id="{CFBE81D3-BF65-4371-8271-87DE51E8DA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C94E-4753-8499-672078848F50}"/>
                </c:ext>
              </c:extLst>
            </c:dLbl>
            <c:dLbl>
              <c:idx val="152"/>
              <c:tx>
                <c:rich>
                  <a:bodyPr/>
                  <a:lstStyle/>
                  <a:p>
                    <a:fld id="{576E6D16-8D5B-4168-8A2D-230383B75E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C94E-4753-8499-672078848F50}"/>
                </c:ext>
              </c:extLst>
            </c:dLbl>
            <c:dLbl>
              <c:idx val="153"/>
              <c:tx>
                <c:rich>
                  <a:bodyPr/>
                  <a:lstStyle/>
                  <a:p>
                    <a:fld id="{B0D9CF59-442D-4208-A9DF-6B96793C9C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C94E-4753-8499-672078848F50}"/>
                </c:ext>
              </c:extLst>
            </c:dLbl>
            <c:dLbl>
              <c:idx val="154"/>
              <c:tx>
                <c:rich>
                  <a:bodyPr/>
                  <a:lstStyle/>
                  <a:p>
                    <a:fld id="{8D738E89-4125-4650-9E8D-AEA0F0E025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C94E-4753-8499-672078848F50}"/>
                </c:ext>
              </c:extLst>
            </c:dLbl>
            <c:dLbl>
              <c:idx val="155"/>
              <c:tx>
                <c:rich>
                  <a:bodyPr/>
                  <a:lstStyle/>
                  <a:p>
                    <a:fld id="{0760F31A-D9D7-4F7D-876F-D62F5F6A01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C94E-4753-8499-672078848F50}"/>
                </c:ext>
              </c:extLst>
            </c:dLbl>
            <c:dLbl>
              <c:idx val="156"/>
              <c:tx>
                <c:rich>
                  <a:bodyPr/>
                  <a:lstStyle/>
                  <a:p>
                    <a:fld id="{70E65E51-2C7B-49F9-9B6F-A1BFEE583E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C94E-4753-8499-672078848F50}"/>
                </c:ext>
              </c:extLst>
            </c:dLbl>
            <c:dLbl>
              <c:idx val="157"/>
              <c:tx>
                <c:rich>
                  <a:bodyPr/>
                  <a:lstStyle/>
                  <a:p>
                    <a:fld id="{6020BF12-4949-4C05-A81A-9576EB0829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C94E-4753-8499-672078848F50}"/>
                </c:ext>
              </c:extLst>
            </c:dLbl>
            <c:dLbl>
              <c:idx val="158"/>
              <c:tx>
                <c:rich>
                  <a:bodyPr/>
                  <a:lstStyle/>
                  <a:p>
                    <a:fld id="{A22B13FB-8778-470D-AA8B-61849D886C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C94E-4753-8499-672078848F50}"/>
                </c:ext>
              </c:extLst>
            </c:dLbl>
            <c:dLbl>
              <c:idx val="159"/>
              <c:tx>
                <c:rich>
                  <a:bodyPr/>
                  <a:lstStyle/>
                  <a:p>
                    <a:fld id="{F175FE5E-CBC4-4356-AB56-155E2FFA4E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C94E-4753-8499-672078848F50}"/>
                </c:ext>
              </c:extLst>
            </c:dLbl>
            <c:dLbl>
              <c:idx val="160"/>
              <c:tx>
                <c:rich>
                  <a:bodyPr/>
                  <a:lstStyle/>
                  <a:p>
                    <a:fld id="{60DA2ECB-33B1-42C0-A566-F6D46D96A4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C94E-4753-8499-672078848F50}"/>
                </c:ext>
              </c:extLst>
            </c:dLbl>
            <c:dLbl>
              <c:idx val="161"/>
              <c:tx>
                <c:rich>
                  <a:bodyPr/>
                  <a:lstStyle/>
                  <a:p>
                    <a:fld id="{4957568A-B1CE-495D-A3D4-812E840117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C94E-4753-8499-672078848F50}"/>
                </c:ext>
              </c:extLst>
            </c:dLbl>
            <c:dLbl>
              <c:idx val="162"/>
              <c:tx>
                <c:rich>
                  <a:bodyPr/>
                  <a:lstStyle/>
                  <a:p>
                    <a:fld id="{290CA857-7EF0-47AF-823B-C4E0F456E8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C94E-4753-8499-672078848F50}"/>
                </c:ext>
              </c:extLst>
            </c:dLbl>
            <c:dLbl>
              <c:idx val="163"/>
              <c:tx>
                <c:rich>
                  <a:bodyPr/>
                  <a:lstStyle/>
                  <a:p>
                    <a:fld id="{12CE1FCF-6809-492E-865E-42609CEF54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C94E-4753-8499-672078848F50}"/>
                </c:ext>
              </c:extLst>
            </c:dLbl>
            <c:dLbl>
              <c:idx val="164"/>
              <c:tx>
                <c:rich>
                  <a:bodyPr/>
                  <a:lstStyle/>
                  <a:p>
                    <a:fld id="{050FD34C-D193-47A1-A8A7-220967EFFD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C94E-4753-8499-672078848F50}"/>
                </c:ext>
              </c:extLst>
            </c:dLbl>
            <c:dLbl>
              <c:idx val="165"/>
              <c:tx>
                <c:rich>
                  <a:bodyPr/>
                  <a:lstStyle/>
                  <a:p>
                    <a:fld id="{36A10E2D-2358-4F78-AC8B-5AB556582D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C94E-4753-8499-672078848F50}"/>
                </c:ext>
              </c:extLst>
            </c:dLbl>
            <c:dLbl>
              <c:idx val="166"/>
              <c:tx>
                <c:rich>
                  <a:bodyPr/>
                  <a:lstStyle/>
                  <a:p>
                    <a:fld id="{3B03A68C-788B-4209-AA2D-B58D958C34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C94E-4753-8499-672078848F50}"/>
                </c:ext>
              </c:extLst>
            </c:dLbl>
            <c:dLbl>
              <c:idx val="167"/>
              <c:tx>
                <c:rich>
                  <a:bodyPr/>
                  <a:lstStyle/>
                  <a:p>
                    <a:fld id="{E64A77DF-D1E3-40C3-8484-2D10FCE720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C94E-4753-8499-672078848F50}"/>
                </c:ext>
              </c:extLst>
            </c:dLbl>
            <c:dLbl>
              <c:idx val="168"/>
              <c:tx>
                <c:rich>
                  <a:bodyPr/>
                  <a:lstStyle/>
                  <a:p>
                    <a:fld id="{98608A9C-BA13-4CD7-8704-6DE54FD745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C94E-4753-8499-672078848F50}"/>
                </c:ext>
              </c:extLst>
            </c:dLbl>
            <c:dLbl>
              <c:idx val="169"/>
              <c:tx>
                <c:rich>
                  <a:bodyPr/>
                  <a:lstStyle/>
                  <a:p>
                    <a:fld id="{1E9D72CD-7185-4C0A-B5F4-81482EDE5C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C94E-4753-8499-672078848F50}"/>
                </c:ext>
              </c:extLst>
            </c:dLbl>
            <c:dLbl>
              <c:idx val="170"/>
              <c:tx>
                <c:rich>
                  <a:bodyPr/>
                  <a:lstStyle/>
                  <a:p>
                    <a:fld id="{8E80D1CE-50EA-40B3-9C63-EC22C19B58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C94E-4753-8499-672078848F50}"/>
                </c:ext>
              </c:extLst>
            </c:dLbl>
            <c:dLbl>
              <c:idx val="171"/>
              <c:tx>
                <c:rich>
                  <a:bodyPr/>
                  <a:lstStyle/>
                  <a:p>
                    <a:fld id="{860D28F1-59E7-45AC-8A48-B564728AB4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C94E-4753-8499-672078848F50}"/>
                </c:ext>
              </c:extLst>
            </c:dLbl>
            <c:dLbl>
              <c:idx val="172"/>
              <c:tx>
                <c:rich>
                  <a:bodyPr/>
                  <a:lstStyle/>
                  <a:p>
                    <a:fld id="{AB47BA15-62CA-48AF-B680-F3FBB138E8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C94E-4753-8499-672078848F50}"/>
                </c:ext>
              </c:extLst>
            </c:dLbl>
            <c:dLbl>
              <c:idx val="173"/>
              <c:tx>
                <c:rich>
                  <a:bodyPr/>
                  <a:lstStyle/>
                  <a:p>
                    <a:fld id="{CA136182-4172-46EA-BFBF-5520A125EE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C94E-4753-8499-672078848F50}"/>
                </c:ext>
              </c:extLst>
            </c:dLbl>
            <c:dLbl>
              <c:idx val="174"/>
              <c:tx>
                <c:rich>
                  <a:bodyPr/>
                  <a:lstStyle/>
                  <a:p>
                    <a:fld id="{B85B08DA-F956-4C18-AB02-05C8D1497C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C94E-4753-8499-672078848F50}"/>
                </c:ext>
              </c:extLst>
            </c:dLbl>
            <c:dLbl>
              <c:idx val="175"/>
              <c:tx>
                <c:rich>
                  <a:bodyPr/>
                  <a:lstStyle/>
                  <a:p>
                    <a:fld id="{F8DDD9A8-5C9D-4569-906F-C7BCEF1461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C94E-4753-8499-672078848F50}"/>
                </c:ext>
              </c:extLst>
            </c:dLbl>
            <c:dLbl>
              <c:idx val="176"/>
              <c:tx>
                <c:rich>
                  <a:bodyPr/>
                  <a:lstStyle/>
                  <a:p>
                    <a:fld id="{D4077C67-714C-4036-B948-9FFCFD0026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C94E-4753-8499-672078848F50}"/>
                </c:ext>
              </c:extLst>
            </c:dLbl>
            <c:dLbl>
              <c:idx val="177"/>
              <c:tx>
                <c:rich>
                  <a:bodyPr/>
                  <a:lstStyle/>
                  <a:p>
                    <a:fld id="{F5F3FEE3-DA2A-4761-AC04-9E68359DE1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C94E-4753-8499-672078848F50}"/>
                </c:ext>
              </c:extLst>
            </c:dLbl>
            <c:dLbl>
              <c:idx val="178"/>
              <c:tx>
                <c:rich>
                  <a:bodyPr/>
                  <a:lstStyle/>
                  <a:p>
                    <a:fld id="{57AD7170-0EC7-4C6D-BC0C-9664EC5F3D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C94E-4753-8499-672078848F50}"/>
                </c:ext>
              </c:extLst>
            </c:dLbl>
            <c:dLbl>
              <c:idx val="179"/>
              <c:tx>
                <c:rich>
                  <a:bodyPr/>
                  <a:lstStyle/>
                  <a:p>
                    <a:fld id="{C1FDC2BB-699F-4130-9B27-2D27DBC830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C94E-4753-8499-672078848F50}"/>
                </c:ext>
              </c:extLst>
            </c:dLbl>
            <c:dLbl>
              <c:idx val="180"/>
              <c:tx>
                <c:rich>
                  <a:bodyPr/>
                  <a:lstStyle/>
                  <a:p>
                    <a:fld id="{8C0C003D-07F7-4EB0-A0AA-87BECA9DB8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C94E-4753-8499-672078848F50}"/>
                </c:ext>
              </c:extLst>
            </c:dLbl>
            <c:dLbl>
              <c:idx val="181"/>
              <c:tx>
                <c:rich>
                  <a:bodyPr/>
                  <a:lstStyle/>
                  <a:p>
                    <a:fld id="{929FF64B-0BC6-47C7-BC7D-76258E0D7F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C94E-4753-8499-672078848F50}"/>
                </c:ext>
              </c:extLst>
            </c:dLbl>
            <c:dLbl>
              <c:idx val="182"/>
              <c:tx>
                <c:rich>
                  <a:bodyPr/>
                  <a:lstStyle/>
                  <a:p>
                    <a:fld id="{C58F4444-F105-4EB2-91D6-AF9929397C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C94E-4753-8499-672078848F50}"/>
                </c:ext>
              </c:extLst>
            </c:dLbl>
            <c:dLbl>
              <c:idx val="183"/>
              <c:tx>
                <c:rich>
                  <a:bodyPr/>
                  <a:lstStyle/>
                  <a:p>
                    <a:fld id="{54184291-B1F3-43E1-BF35-B447042BCB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C94E-4753-8499-672078848F50}"/>
                </c:ext>
              </c:extLst>
            </c:dLbl>
            <c:dLbl>
              <c:idx val="184"/>
              <c:tx>
                <c:rich>
                  <a:bodyPr/>
                  <a:lstStyle/>
                  <a:p>
                    <a:fld id="{D841F6AD-13C4-4599-81DA-7784BB19DE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C94E-4753-8499-672078848F50}"/>
                </c:ext>
              </c:extLst>
            </c:dLbl>
            <c:dLbl>
              <c:idx val="185"/>
              <c:tx>
                <c:rich>
                  <a:bodyPr/>
                  <a:lstStyle/>
                  <a:p>
                    <a:fld id="{FBA0CA24-A324-4E6E-B3E9-7738D5EB67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C94E-4753-8499-672078848F50}"/>
                </c:ext>
              </c:extLst>
            </c:dLbl>
            <c:dLbl>
              <c:idx val="186"/>
              <c:tx>
                <c:rich>
                  <a:bodyPr/>
                  <a:lstStyle/>
                  <a:p>
                    <a:fld id="{8D0100EE-F320-4612-A1B4-F3C2FFEA44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C94E-4753-8499-672078848F50}"/>
                </c:ext>
              </c:extLst>
            </c:dLbl>
            <c:dLbl>
              <c:idx val="187"/>
              <c:tx>
                <c:rich>
                  <a:bodyPr/>
                  <a:lstStyle/>
                  <a:p>
                    <a:fld id="{E9996DB4-4FE7-48AE-A4E4-4F57835B0C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C94E-4753-8499-672078848F50}"/>
                </c:ext>
              </c:extLst>
            </c:dLbl>
            <c:dLbl>
              <c:idx val="188"/>
              <c:tx>
                <c:rich>
                  <a:bodyPr/>
                  <a:lstStyle/>
                  <a:p>
                    <a:fld id="{41BE2024-1919-42F2-84AA-FDDDAAA275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C94E-4753-8499-672078848F50}"/>
                </c:ext>
              </c:extLst>
            </c:dLbl>
            <c:dLbl>
              <c:idx val="189"/>
              <c:tx>
                <c:rich>
                  <a:bodyPr/>
                  <a:lstStyle/>
                  <a:p>
                    <a:fld id="{8EC1631F-5D09-4395-AF6D-FC326CC3DB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C94E-4753-8499-672078848F50}"/>
                </c:ext>
              </c:extLst>
            </c:dLbl>
            <c:dLbl>
              <c:idx val="190"/>
              <c:tx>
                <c:rich>
                  <a:bodyPr/>
                  <a:lstStyle/>
                  <a:p>
                    <a:fld id="{2EA3FA0F-C064-4576-A2A9-767DB8EBF4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C94E-4753-8499-672078848F50}"/>
                </c:ext>
              </c:extLst>
            </c:dLbl>
            <c:dLbl>
              <c:idx val="191"/>
              <c:tx>
                <c:rich>
                  <a:bodyPr/>
                  <a:lstStyle/>
                  <a:p>
                    <a:fld id="{EAF8B02B-A4F2-44CC-B900-CE6FEE56CB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C94E-4753-8499-672078848F50}"/>
                </c:ext>
              </c:extLst>
            </c:dLbl>
            <c:dLbl>
              <c:idx val="192"/>
              <c:tx>
                <c:rich>
                  <a:bodyPr/>
                  <a:lstStyle/>
                  <a:p>
                    <a:fld id="{F2EDF31D-72ED-4298-8AED-1D35731889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C94E-4753-8499-672078848F50}"/>
                </c:ext>
              </c:extLst>
            </c:dLbl>
            <c:dLbl>
              <c:idx val="193"/>
              <c:tx>
                <c:rich>
                  <a:bodyPr/>
                  <a:lstStyle/>
                  <a:p>
                    <a:fld id="{0160C05F-6EC8-47A0-B793-2E1269600F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C94E-4753-8499-672078848F50}"/>
                </c:ext>
              </c:extLst>
            </c:dLbl>
            <c:dLbl>
              <c:idx val="194"/>
              <c:tx>
                <c:rich>
                  <a:bodyPr/>
                  <a:lstStyle/>
                  <a:p>
                    <a:fld id="{92DA4D0A-C4B4-411D-8DA9-93DE447E13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C94E-4753-8499-672078848F50}"/>
                </c:ext>
              </c:extLst>
            </c:dLbl>
            <c:dLbl>
              <c:idx val="195"/>
              <c:tx>
                <c:rich>
                  <a:bodyPr/>
                  <a:lstStyle/>
                  <a:p>
                    <a:fld id="{1AB006F6-4DA6-426F-9B72-0113B339A6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C94E-4753-8499-672078848F50}"/>
                </c:ext>
              </c:extLst>
            </c:dLbl>
            <c:dLbl>
              <c:idx val="196"/>
              <c:tx>
                <c:rich>
                  <a:bodyPr/>
                  <a:lstStyle/>
                  <a:p>
                    <a:fld id="{9DD7B8C0-0236-48FF-9002-E1E240478E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C94E-4753-8499-672078848F50}"/>
                </c:ext>
              </c:extLst>
            </c:dLbl>
            <c:dLbl>
              <c:idx val="197"/>
              <c:tx>
                <c:rich>
                  <a:bodyPr/>
                  <a:lstStyle/>
                  <a:p>
                    <a:fld id="{B4A52E75-45FE-4640-B4C8-3368D2D0D4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C94E-4753-8499-672078848F50}"/>
                </c:ext>
              </c:extLst>
            </c:dLbl>
            <c:dLbl>
              <c:idx val="198"/>
              <c:tx>
                <c:rich>
                  <a:bodyPr/>
                  <a:lstStyle/>
                  <a:p>
                    <a:fld id="{F1141287-4941-498A-B896-90390AD18E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C94E-4753-8499-672078848F50}"/>
                </c:ext>
              </c:extLst>
            </c:dLbl>
            <c:dLbl>
              <c:idx val="199"/>
              <c:tx>
                <c:rich>
                  <a:bodyPr/>
                  <a:lstStyle/>
                  <a:p>
                    <a:fld id="{21AEE2CC-C953-4F1E-9167-233F8D0041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C94E-4753-8499-672078848F50}"/>
                </c:ext>
              </c:extLst>
            </c:dLbl>
            <c:dLbl>
              <c:idx val="200"/>
              <c:tx>
                <c:rich>
                  <a:bodyPr/>
                  <a:lstStyle/>
                  <a:p>
                    <a:fld id="{8ED50986-1892-4657-B1FF-C42096ACFA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C94E-4753-8499-672078848F50}"/>
                </c:ext>
              </c:extLst>
            </c:dLbl>
            <c:dLbl>
              <c:idx val="201"/>
              <c:tx>
                <c:rich>
                  <a:bodyPr/>
                  <a:lstStyle/>
                  <a:p>
                    <a:fld id="{21508289-BA14-48D1-828B-093171C909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C94E-4753-8499-672078848F50}"/>
                </c:ext>
              </c:extLst>
            </c:dLbl>
            <c:dLbl>
              <c:idx val="202"/>
              <c:tx>
                <c:rich>
                  <a:bodyPr/>
                  <a:lstStyle/>
                  <a:p>
                    <a:fld id="{A6BE76E6-5734-42C7-99BD-BD9E431794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C94E-4753-8499-672078848F50}"/>
                </c:ext>
              </c:extLst>
            </c:dLbl>
            <c:dLbl>
              <c:idx val="203"/>
              <c:tx>
                <c:rich>
                  <a:bodyPr/>
                  <a:lstStyle/>
                  <a:p>
                    <a:fld id="{F5A430F0-7F96-4EF6-8C6F-76D83A863C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C94E-4753-8499-672078848F50}"/>
                </c:ext>
              </c:extLst>
            </c:dLbl>
            <c:dLbl>
              <c:idx val="204"/>
              <c:tx>
                <c:rich>
                  <a:bodyPr/>
                  <a:lstStyle/>
                  <a:p>
                    <a:fld id="{0DB5EC88-7CBA-45D6-A5AD-835CBEF3CA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C94E-4753-8499-672078848F50}"/>
                </c:ext>
              </c:extLst>
            </c:dLbl>
            <c:dLbl>
              <c:idx val="205"/>
              <c:tx>
                <c:rich>
                  <a:bodyPr/>
                  <a:lstStyle/>
                  <a:p>
                    <a:fld id="{8FFA14A2-5DE0-48EB-8F5A-18B928345C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C94E-4753-8499-672078848F50}"/>
                </c:ext>
              </c:extLst>
            </c:dLbl>
            <c:dLbl>
              <c:idx val="206"/>
              <c:tx>
                <c:rich>
                  <a:bodyPr/>
                  <a:lstStyle/>
                  <a:p>
                    <a:fld id="{DD8054B2-B9CC-4DCE-AF78-EE1B1485B0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C94E-4753-8499-672078848F50}"/>
                </c:ext>
              </c:extLst>
            </c:dLbl>
            <c:dLbl>
              <c:idx val="207"/>
              <c:tx>
                <c:rich>
                  <a:bodyPr/>
                  <a:lstStyle/>
                  <a:p>
                    <a:fld id="{35A093DB-CC19-4C66-A046-73C58249CC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C94E-4753-8499-672078848F50}"/>
                </c:ext>
              </c:extLst>
            </c:dLbl>
            <c:dLbl>
              <c:idx val="208"/>
              <c:tx>
                <c:rich>
                  <a:bodyPr/>
                  <a:lstStyle/>
                  <a:p>
                    <a:fld id="{1C2E09A0-4A55-4C6D-B9F5-A07B8E3B6E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C94E-4753-8499-672078848F50}"/>
                </c:ext>
              </c:extLst>
            </c:dLbl>
            <c:dLbl>
              <c:idx val="209"/>
              <c:tx>
                <c:rich>
                  <a:bodyPr/>
                  <a:lstStyle/>
                  <a:p>
                    <a:fld id="{4730CE2B-3EE1-466A-82F4-F7440B4BDD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C94E-4753-8499-672078848F50}"/>
                </c:ext>
              </c:extLst>
            </c:dLbl>
            <c:dLbl>
              <c:idx val="210"/>
              <c:tx>
                <c:rich>
                  <a:bodyPr/>
                  <a:lstStyle/>
                  <a:p>
                    <a:fld id="{CAF83F39-A338-4276-AF71-A9DFE639A3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C94E-4753-8499-672078848F50}"/>
                </c:ext>
              </c:extLst>
            </c:dLbl>
            <c:dLbl>
              <c:idx val="211"/>
              <c:tx>
                <c:rich>
                  <a:bodyPr/>
                  <a:lstStyle/>
                  <a:p>
                    <a:fld id="{78159250-459B-430E-A138-F423AA01F9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C94E-4753-8499-672078848F50}"/>
                </c:ext>
              </c:extLst>
            </c:dLbl>
            <c:dLbl>
              <c:idx val="212"/>
              <c:tx>
                <c:rich>
                  <a:bodyPr/>
                  <a:lstStyle/>
                  <a:p>
                    <a:fld id="{6B23D0C3-3450-4FAD-B678-ABE3012BEB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C94E-4753-8499-672078848F50}"/>
                </c:ext>
              </c:extLst>
            </c:dLbl>
            <c:dLbl>
              <c:idx val="213"/>
              <c:tx>
                <c:rich>
                  <a:bodyPr/>
                  <a:lstStyle/>
                  <a:p>
                    <a:fld id="{DE8964F4-59C6-4C3F-8E4F-26150268CC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C94E-4753-8499-672078848F50}"/>
                </c:ext>
              </c:extLst>
            </c:dLbl>
            <c:dLbl>
              <c:idx val="214"/>
              <c:tx>
                <c:rich>
                  <a:bodyPr/>
                  <a:lstStyle/>
                  <a:p>
                    <a:fld id="{240B4581-229C-4DCA-8761-DE41714B9E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C94E-4753-8499-672078848F50}"/>
                </c:ext>
              </c:extLst>
            </c:dLbl>
            <c:dLbl>
              <c:idx val="215"/>
              <c:tx>
                <c:rich>
                  <a:bodyPr/>
                  <a:lstStyle/>
                  <a:p>
                    <a:fld id="{5A0047A3-C40A-4D89-859A-669D8B57C5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C94E-4753-8499-672078848F50}"/>
                </c:ext>
              </c:extLst>
            </c:dLbl>
            <c:dLbl>
              <c:idx val="216"/>
              <c:tx>
                <c:rich>
                  <a:bodyPr/>
                  <a:lstStyle/>
                  <a:p>
                    <a:fld id="{97D809D0-4DAB-44B1-81DD-15E96CAB82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C94E-4753-8499-672078848F50}"/>
                </c:ext>
              </c:extLst>
            </c:dLbl>
            <c:dLbl>
              <c:idx val="217"/>
              <c:tx>
                <c:rich>
                  <a:bodyPr/>
                  <a:lstStyle/>
                  <a:p>
                    <a:fld id="{58361244-3500-4573-A193-8B03A0522B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C94E-4753-8499-672078848F50}"/>
                </c:ext>
              </c:extLst>
            </c:dLbl>
            <c:dLbl>
              <c:idx val="218"/>
              <c:tx>
                <c:rich>
                  <a:bodyPr/>
                  <a:lstStyle/>
                  <a:p>
                    <a:fld id="{62F6DB5D-9DA5-4B11-9F7F-1039921BF4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C94E-4753-8499-672078848F50}"/>
                </c:ext>
              </c:extLst>
            </c:dLbl>
            <c:dLbl>
              <c:idx val="219"/>
              <c:tx>
                <c:rich>
                  <a:bodyPr/>
                  <a:lstStyle/>
                  <a:p>
                    <a:fld id="{0C431FA6-BD79-4918-9EC1-9752367284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C94E-4753-8499-672078848F50}"/>
                </c:ext>
              </c:extLst>
            </c:dLbl>
            <c:dLbl>
              <c:idx val="220"/>
              <c:tx>
                <c:rich>
                  <a:bodyPr/>
                  <a:lstStyle/>
                  <a:p>
                    <a:fld id="{AC42C2A7-E15F-41EE-9640-6FA1C2C187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C94E-4753-8499-672078848F50}"/>
                </c:ext>
              </c:extLst>
            </c:dLbl>
            <c:dLbl>
              <c:idx val="221"/>
              <c:tx>
                <c:rich>
                  <a:bodyPr/>
                  <a:lstStyle/>
                  <a:p>
                    <a:fld id="{DEDF65C4-8ED0-4606-9FED-2357D91E35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C94E-4753-8499-672078848F50}"/>
                </c:ext>
              </c:extLst>
            </c:dLbl>
            <c:dLbl>
              <c:idx val="222"/>
              <c:tx>
                <c:rich>
                  <a:bodyPr/>
                  <a:lstStyle/>
                  <a:p>
                    <a:fld id="{A38F2FD6-4CA8-4BA2-AE12-5BB69FE4E1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C94E-4753-8499-672078848F50}"/>
                </c:ext>
              </c:extLst>
            </c:dLbl>
            <c:dLbl>
              <c:idx val="223"/>
              <c:tx>
                <c:rich>
                  <a:bodyPr/>
                  <a:lstStyle/>
                  <a:p>
                    <a:fld id="{AB6725F6-2924-4E15-BFD0-C3A5ABBA12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C94E-4753-8499-672078848F50}"/>
                </c:ext>
              </c:extLst>
            </c:dLbl>
            <c:dLbl>
              <c:idx val="224"/>
              <c:tx>
                <c:rich>
                  <a:bodyPr/>
                  <a:lstStyle/>
                  <a:p>
                    <a:fld id="{15ABCEF1-790F-4884-B917-4F905B0BAB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C94E-4753-8499-672078848F50}"/>
                </c:ext>
              </c:extLst>
            </c:dLbl>
            <c:dLbl>
              <c:idx val="225"/>
              <c:tx>
                <c:rich>
                  <a:bodyPr/>
                  <a:lstStyle/>
                  <a:p>
                    <a:fld id="{EF8F22A1-517B-4BC3-B682-9B629CA534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C94E-4753-8499-672078848F50}"/>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C94E-4753-8499-672078848F50}"/>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C94E-4753-8499-672078848F50}"/>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C94E-4753-8499-672078848F50}"/>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C94E-4753-8499-672078848F50}"/>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C94E-4753-8499-672078848F50}"/>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C94E-4753-8499-672078848F50}"/>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C94E-4753-8499-672078848F50}"/>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C94E-4753-8499-672078848F50}"/>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C94E-4753-8499-672078848F50}"/>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C94E-4753-8499-672078848F50}"/>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C94E-4753-8499-672078848F50}"/>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C94E-4753-8499-672078848F50}"/>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C94E-4753-8499-672078848F50}"/>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C94E-4753-8499-672078848F50}"/>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C94E-4753-8499-672078848F50}"/>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C94E-4753-8499-672078848F50}"/>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C94E-4753-8499-672078848F50}"/>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C94E-4753-8499-672078848F50}"/>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C94E-4753-8499-672078848F50}"/>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C94E-4753-8499-672078848F50}"/>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C94E-4753-8499-672078848F50}"/>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C94E-4753-8499-672078848F50}"/>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C94E-4753-8499-672078848F50}"/>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C94E-4753-8499-672078848F50}"/>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C94E-4753-8499-672078848F50}"/>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C94E-4753-8499-672078848F50}"/>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C94E-4753-8499-672078848F50}"/>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C94E-4753-8499-672078848F50}"/>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C94E-4753-8499-672078848F50}"/>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C94E-4753-8499-672078848F50}"/>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C94E-4753-8499-672078848F50}"/>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C94E-4753-8499-672078848F50}"/>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C94E-4753-8499-672078848F50}"/>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C94E-4753-8499-672078848F50}"/>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C94E-4753-8499-672078848F50}"/>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C94E-4753-8499-672078848F50}"/>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C94E-4753-8499-672078848F50}"/>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C94E-4753-8499-672078848F50}"/>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C94E-4753-8499-672078848F50}"/>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C94E-4753-8499-672078848F50}"/>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C94E-4753-8499-672078848F50}"/>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C94E-4753-8499-672078848F50}"/>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C94E-4753-8499-672078848F50}"/>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C94E-4753-8499-672078848F50}"/>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C94E-4753-8499-672078848F50}"/>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C94E-4753-8499-672078848F50}"/>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C94E-4753-8499-672078848F50}"/>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C94E-4753-8499-672078848F50}"/>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C94E-4753-8499-672078848F50}"/>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C94E-4753-8499-672078848F50}"/>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C94E-4753-8499-672078848F50}"/>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C94E-4753-8499-672078848F50}"/>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C94E-4753-8499-672078848F50}"/>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C94E-4753-8499-672078848F50}"/>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C94E-4753-8499-672078848F50}"/>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C94E-4753-8499-672078848F50}"/>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C94E-4753-8499-672078848F50}"/>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C94E-4753-8499-672078848F50}"/>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C94E-4753-8499-672078848F50}"/>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C94E-4753-8499-672078848F50}"/>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C94E-4753-8499-672078848F50}"/>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C94E-4753-8499-672078848F50}"/>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C94E-4753-8499-672078848F50}"/>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C94E-4753-8499-672078848F50}"/>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C94E-4753-8499-672078848F50}"/>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C94E-4753-8499-672078848F50}"/>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C94E-4753-8499-672078848F50}"/>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C94E-4753-8499-672078848F50}"/>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C94E-4753-8499-672078848F50}"/>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C94E-4753-8499-672078848F50}"/>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C94E-4753-8499-672078848F50}"/>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C94E-4753-8499-672078848F50}"/>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C94E-4753-8499-672078848F50}"/>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NormalisedUVVisData!$C$2:$C$300</c:f>
              <c:numCache>
                <c:formatCode>General</c:formatCode>
                <c:ptCount val="299"/>
                <c:pt idx="0">
                  <c:v>100</c:v>
                </c:pt>
                <c:pt idx="1">
                  <c:v>89.734306335449219</c:v>
                </c:pt>
                <c:pt idx="2">
                  <c:v>79.348594665527344</c:v>
                </c:pt>
                <c:pt idx="3">
                  <c:v>70.028099060058594</c:v>
                </c:pt>
                <c:pt idx="4">
                  <c:v>62.513442993164063</c:v>
                </c:pt>
                <c:pt idx="5">
                  <c:v>56.459903717041016</c:v>
                </c:pt>
                <c:pt idx="6">
                  <c:v>51.186012268066406</c:v>
                </c:pt>
                <c:pt idx="7">
                  <c:v>46.515048980712891</c:v>
                </c:pt>
                <c:pt idx="8">
                  <c:v>42.437423706054688</c:v>
                </c:pt>
                <c:pt idx="9">
                  <c:v>38.568698883056641</c:v>
                </c:pt>
                <c:pt idx="10">
                  <c:v>34.753643035888672</c:v>
                </c:pt>
                <c:pt idx="11">
                  <c:v>30.967535018920898</c:v>
                </c:pt>
                <c:pt idx="12">
                  <c:v>27.508005142211914</c:v>
                </c:pt>
                <c:pt idx="13">
                  <c:v>24.197362899780273</c:v>
                </c:pt>
                <c:pt idx="14">
                  <c:v>20.97303581237793</c:v>
                </c:pt>
                <c:pt idx="15">
                  <c:v>18.063694000244141</c:v>
                </c:pt>
                <c:pt idx="16">
                  <c:v>15.772623062133789</c:v>
                </c:pt>
                <c:pt idx="17">
                  <c:v>14.064847946166992</c:v>
                </c:pt>
                <c:pt idx="18">
                  <c:v>12.848609924316406</c:v>
                </c:pt>
                <c:pt idx="19">
                  <c:v>11.767313957214355</c:v>
                </c:pt>
                <c:pt idx="20">
                  <c:v>10.927786827087402</c:v>
                </c:pt>
                <c:pt idx="21">
                  <c:v>10.341829299926758</c:v>
                </c:pt>
                <c:pt idx="22">
                  <c:v>9.8054838180541992</c:v>
                </c:pt>
                <c:pt idx="23">
                  <c:v>9.2821340560913086</c:v>
                </c:pt>
                <c:pt idx="24">
                  <c:v>8.9129581451416016</c:v>
                </c:pt>
                <c:pt idx="25">
                  <c:v>8.7129039764404297</c:v>
                </c:pt>
                <c:pt idx="26">
                  <c:v>8.3235101699829102</c:v>
                </c:pt>
                <c:pt idx="27">
                  <c:v>7.9573931694030762</c:v>
                </c:pt>
                <c:pt idx="28">
                  <c:v>7.6797161102294922</c:v>
                </c:pt>
                <c:pt idx="29">
                  <c:v>7.4771571159362793</c:v>
                </c:pt>
                <c:pt idx="30">
                  <c:v>7.3091754913330078</c:v>
                </c:pt>
                <c:pt idx="31">
                  <c:v>7.0902862548828125</c:v>
                </c:pt>
                <c:pt idx="32">
                  <c:v>7.0159463882446289</c:v>
                </c:pt>
                <c:pt idx="33">
                  <c:v>6.9741969108581543</c:v>
                </c:pt>
                <c:pt idx="34">
                  <c:v>6.8441801071166992</c:v>
                </c:pt>
                <c:pt idx="35">
                  <c:v>6.7417426109313965</c:v>
                </c:pt>
                <c:pt idx="36">
                  <c:v>6.679844856262207</c:v>
                </c:pt>
                <c:pt idx="37">
                  <c:v>6.5522475242614746</c:v>
                </c:pt>
                <c:pt idx="38">
                  <c:v>6.3859939575195313</c:v>
                </c:pt>
                <c:pt idx="39">
                  <c:v>6.3166131973266602</c:v>
                </c:pt>
                <c:pt idx="40">
                  <c:v>6.0699892044067383</c:v>
                </c:pt>
                <c:pt idx="41">
                  <c:v>5.8752059936523438</c:v>
                </c:pt>
                <c:pt idx="42">
                  <c:v>5.6290311813354492</c:v>
                </c:pt>
                <c:pt idx="43">
                  <c:v>5.4258151054382324</c:v>
                </c:pt>
                <c:pt idx="44">
                  <c:v>5.2582135200500488</c:v>
                </c:pt>
                <c:pt idx="45">
                  <c:v>5.3005156517028809</c:v>
                </c:pt>
                <c:pt idx="46">
                  <c:v>5.5134778022766113</c:v>
                </c:pt>
                <c:pt idx="47">
                  <c:v>5.6517372131347656</c:v>
                </c:pt>
                <c:pt idx="48">
                  <c:v>5.8304157257080078</c:v>
                </c:pt>
                <c:pt idx="49">
                  <c:v>5.9462800025939941</c:v>
                </c:pt>
                <c:pt idx="50">
                  <c:v>5.9652533531188965</c:v>
                </c:pt>
                <c:pt idx="51">
                  <c:v>5.8907580375671387</c:v>
                </c:pt>
                <c:pt idx="52">
                  <c:v>5.8013672828674316</c:v>
                </c:pt>
                <c:pt idx="53">
                  <c:v>5.738311767578125</c:v>
                </c:pt>
                <c:pt idx="54">
                  <c:v>5.7224826812744141</c:v>
                </c:pt>
                <c:pt idx="55">
                  <c:v>5.7410244941711426</c:v>
                </c:pt>
                <c:pt idx="56">
                  <c:v>5.8445334434509277</c:v>
                </c:pt>
                <c:pt idx="57">
                  <c:v>5.8576145172119141</c:v>
                </c:pt>
                <c:pt idx="58">
                  <c:v>5.8896002769470215</c:v>
                </c:pt>
                <c:pt idx="59">
                  <c:v>5.899571418762207</c:v>
                </c:pt>
                <c:pt idx="60">
                  <c:v>6.0048942565917969</c:v>
                </c:pt>
                <c:pt idx="61">
                  <c:v>6.1440181732177734</c:v>
                </c:pt>
                <c:pt idx="62">
                  <c:v>6.1723747253417969</c:v>
                </c:pt>
                <c:pt idx="63">
                  <c:v>6.1076602935791016</c:v>
                </c:pt>
                <c:pt idx="64">
                  <c:v>6.1025452613830566</c:v>
                </c:pt>
                <c:pt idx="65">
                  <c:v>6.2001099586486816</c:v>
                </c:pt>
                <c:pt idx="66">
                  <c:v>6.2877554893493652</c:v>
                </c:pt>
                <c:pt idx="67">
                  <c:v>6.3660006523132324</c:v>
                </c:pt>
                <c:pt idx="68">
                  <c:v>6.4116206169128418</c:v>
                </c:pt>
                <c:pt idx="69">
                  <c:v>6.4403228759765625</c:v>
                </c:pt>
                <c:pt idx="70">
                  <c:v>6.4993696212768555</c:v>
                </c:pt>
                <c:pt idx="71">
                  <c:v>6.4433126449584961</c:v>
                </c:pt>
                <c:pt idx="72">
                  <c:v>6.2978296279907227</c:v>
                </c:pt>
                <c:pt idx="73">
                  <c:v>6.2193427085876465</c:v>
                </c:pt>
                <c:pt idx="74">
                  <c:v>6.308560848236084</c:v>
                </c:pt>
                <c:pt idx="75">
                  <c:v>6.3217973709106445</c:v>
                </c:pt>
                <c:pt idx="76">
                  <c:v>6.2562708854675293</c:v>
                </c:pt>
                <c:pt idx="77">
                  <c:v>6.2574629783630371</c:v>
                </c:pt>
                <c:pt idx="78">
                  <c:v>6.1875295639038086</c:v>
                </c:pt>
                <c:pt idx="79">
                  <c:v>6.0926265716552734</c:v>
                </c:pt>
                <c:pt idx="80">
                  <c:v>5.9736518859863281</c:v>
                </c:pt>
                <c:pt idx="81">
                  <c:v>5.8825674057006836</c:v>
                </c:pt>
                <c:pt idx="82">
                  <c:v>5.9168515205383301</c:v>
                </c:pt>
                <c:pt idx="83">
                  <c:v>5.9303994178771973</c:v>
                </c:pt>
                <c:pt idx="84">
                  <c:v>5.6155524253845215</c:v>
                </c:pt>
                <c:pt idx="85">
                  <c:v>5.6383452415466309</c:v>
                </c:pt>
                <c:pt idx="86">
                  <c:v>5.7504253387451172</c:v>
                </c:pt>
                <c:pt idx="87">
                  <c:v>5.6741151809692383</c:v>
                </c:pt>
                <c:pt idx="88">
                  <c:v>5.7232260704040527</c:v>
                </c:pt>
                <c:pt idx="89">
                  <c:v>5.9130668640136719</c:v>
                </c:pt>
                <c:pt idx="90">
                  <c:v>5.8481450080871582</c:v>
                </c:pt>
                <c:pt idx="91">
                  <c:v>5.7501311302185059</c:v>
                </c:pt>
                <c:pt idx="92">
                  <c:v>5.7506842613220215</c:v>
                </c:pt>
                <c:pt idx="93">
                  <c:v>5.5731639862060547</c:v>
                </c:pt>
                <c:pt idx="94">
                  <c:v>5.4655599594116211</c:v>
                </c:pt>
                <c:pt idx="95">
                  <c:v>5.4477090835571289</c:v>
                </c:pt>
                <c:pt idx="96">
                  <c:v>5.4140815734863281</c:v>
                </c:pt>
                <c:pt idx="97">
                  <c:v>5.4421448707580566</c:v>
                </c:pt>
                <c:pt idx="98">
                  <c:v>5.4735779762268066</c:v>
                </c:pt>
                <c:pt idx="99">
                  <c:v>5.5465521812438965</c:v>
                </c:pt>
                <c:pt idx="100">
                  <c:v>5.4913592338562012</c:v>
                </c:pt>
                <c:pt idx="101">
                  <c:v>5.0732455253601074</c:v>
                </c:pt>
                <c:pt idx="102">
                  <c:v>5.1619281768798828</c:v>
                </c:pt>
                <c:pt idx="103">
                  <c:v>5.4867105484008789</c:v>
                </c:pt>
                <c:pt idx="104">
                  <c:v>5.3651266098022461</c:v>
                </c:pt>
                <c:pt idx="105">
                  <c:v>5.3388781547546387</c:v>
                </c:pt>
                <c:pt idx="106">
                  <c:v>5.483893871307373</c:v>
                </c:pt>
                <c:pt idx="107">
                  <c:v>5.7251615524291992</c:v>
                </c:pt>
                <c:pt idx="108">
                  <c:v>5.705634593963623</c:v>
                </c:pt>
                <c:pt idx="109">
                  <c:v>5.4718151092529297</c:v>
                </c:pt>
                <c:pt idx="110">
                  <c:v>5.4493851661682129</c:v>
                </c:pt>
                <c:pt idx="111">
                  <c:v>5.4492988586425781</c:v>
                </c:pt>
                <c:pt idx="112">
                  <c:v>5.6683440208435059</c:v>
                </c:pt>
                <c:pt idx="113">
                  <c:v>5.6917414665222168</c:v>
                </c:pt>
                <c:pt idx="114">
                  <c:v>5.4030742645263672</c:v>
                </c:pt>
                <c:pt idx="115">
                  <c:v>5.3144783973693848</c:v>
                </c:pt>
                <c:pt idx="116">
                  <c:v>5.2370109558105469</c:v>
                </c:pt>
                <c:pt idx="117">
                  <c:v>5.3328819274902344</c:v>
                </c:pt>
                <c:pt idx="118">
                  <c:v>5.4180736541748047</c:v>
                </c:pt>
                <c:pt idx="119">
                  <c:v>5.5477619171142578</c:v>
                </c:pt>
                <c:pt idx="120">
                  <c:v>5.5874028205871582</c:v>
                </c:pt>
                <c:pt idx="121">
                  <c:v>5.4509062767028809</c:v>
                </c:pt>
                <c:pt idx="122">
                  <c:v>5.4790210723876953</c:v>
                </c:pt>
                <c:pt idx="123">
                  <c:v>5.2928953170776367</c:v>
                </c:pt>
                <c:pt idx="124">
                  <c:v>5.0153045654296875</c:v>
                </c:pt>
                <c:pt idx="125">
                  <c:v>5.2134575843811035</c:v>
                </c:pt>
                <c:pt idx="126">
                  <c:v>5.7136697769165039</c:v>
                </c:pt>
                <c:pt idx="127">
                  <c:v>5.8186130523681641</c:v>
                </c:pt>
                <c:pt idx="128">
                  <c:v>5.4510617256164551</c:v>
                </c:pt>
                <c:pt idx="129">
                  <c:v>5.3077216148376465</c:v>
                </c:pt>
                <c:pt idx="130">
                  <c:v>5.4226698875427246</c:v>
                </c:pt>
                <c:pt idx="131">
                  <c:v>5.3565211296081543</c:v>
                </c:pt>
                <c:pt idx="132">
                  <c:v>5.1156859397888184</c:v>
                </c:pt>
                <c:pt idx="133">
                  <c:v>5.0292501449584961</c:v>
                </c:pt>
                <c:pt idx="134">
                  <c:v>4.7403755187988281</c:v>
                </c:pt>
                <c:pt idx="135">
                  <c:v>4.6482372283935547</c:v>
                </c:pt>
                <c:pt idx="136">
                  <c:v>4.258601188659668</c:v>
                </c:pt>
                <c:pt idx="137">
                  <c:v>4.6635994911193848</c:v>
                </c:pt>
                <c:pt idx="138">
                  <c:v>5.4099516868591309</c:v>
                </c:pt>
                <c:pt idx="139">
                  <c:v>5.1403274536132813</c:v>
                </c:pt>
                <c:pt idx="140">
                  <c:v>5.6906871795654297</c:v>
                </c:pt>
                <c:pt idx="141">
                  <c:v>6.2174935340881348</c:v>
                </c:pt>
                <c:pt idx="142">
                  <c:v>5.5392775535583496</c:v>
                </c:pt>
                <c:pt idx="143">
                  <c:v>4.8855643272399902</c:v>
                </c:pt>
                <c:pt idx="144">
                  <c:v>5.1737303733825684</c:v>
                </c:pt>
                <c:pt idx="145">
                  <c:v>5.1566057205200195</c:v>
                </c:pt>
                <c:pt idx="146">
                  <c:v>2.5902597904205322</c:v>
                </c:pt>
                <c:pt idx="147">
                  <c:v>2</c:v>
                </c:pt>
                <c:pt idx="148">
                  <c:v>3.1504344940185547</c:v>
                </c:pt>
                <c:pt idx="149">
                  <c:v>4.0851073265075684</c:v>
                </c:pt>
                <c:pt idx="150">
                  <c:v>5.4453072547912598</c:v>
                </c:pt>
                <c:pt idx="151">
                  <c:v>5.9647006988525391</c:v>
                </c:pt>
                <c:pt idx="152">
                  <c:v>5.8290505409240723</c:v>
                </c:pt>
                <c:pt idx="153">
                  <c:v>5.2996172904968262</c:v>
                </c:pt>
                <c:pt idx="154">
                  <c:v>5.1085491180419922</c:v>
                </c:pt>
                <c:pt idx="155">
                  <c:v>5.1064753532409668</c:v>
                </c:pt>
                <c:pt idx="156">
                  <c:v>5.041069507598877</c:v>
                </c:pt>
                <c:pt idx="157">
                  <c:v>5.3941574096679688</c:v>
                </c:pt>
                <c:pt idx="158">
                  <c:v>4.7506747245788574</c:v>
                </c:pt>
                <c:pt idx="159">
                  <c:v>4.3466100692749023</c:v>
                </c:pt>
                <c:pt idx="160">
                  <c:v>4.9763031005859375</c:v>
                </c:pt>
                <c:pt idx="161">
                  <c:v>4.808840274810791</c:v>
                </c:pt>
                <c:pt idx="162">
                  <c:v>5.0814881324768066</c:v>
                </c:pt>
                <c:pt idx="163">
                  <c:v>5.3904075622558594</c:v>
                </c:pt>
                <c:pt idx="164">
                  <c:v>4.7777180671691895</c:v>
                </c:pt>
                <c:pt idx="165">
                  <c:v>5.2119369506835938</c:v>
                </c:pt>
                <c:pt idx="166">
                  <c:v>4.8520750999450684</c:v>
                </c:pt>
                <c:pt idx="167">
                  <c:v>5.0148730278015137</c:v>
                </c:pt>
                <c:pt idx="168">
                  <c:v>5.8746013641357422</c:v>
                </c:pt>
                <c:pt idx="169">
                  <c:v>5.0253100395202637</c:v>
                </c:pt>
                <c:pt idx="170">
                  <c:v>5.3165345191955566</c:v>
                </c:pt>
                <c:pt idx="171">
                  <c:v>4.5505342483520508</c:v>
                </c:pt>
                <c:pt idx="172">
                  <c:v>4.8623743057250977</c:v>
                </c:pt>
                <c:pt idx="173">
                  <c:v>5.0513858795166016</c:v>
                </c:pt>
                <c:pt idx="174">
                  <c:v>5.2691173553466797</c:v>
                </c:pt>
                <c:pt idx="175">
                  <c:v>5.4460501670837402</c:v>
                </c:pt>
                <c:pt idx="176">
                  <c:v>5.1804003715515137</c:v>
                </c:pt>
                <c:pt idx="177">
                  <c:v>5.4909272193908691</c:v>
                </c:pt>
                <c:pt idx="178">
                  <c:v>5.3091387748718262</c:v>
                </c:pt>
                <c:pt idx="179">
                  <c:v>5.3168454170227051</c:v>
                </c:pt>
                <c:pt idx="180">
                  <c:v>5.2130084037780762</c:v>
                </c:pt>
                <c:pt idx="181">
                  <c:v>5.3760132789611816</c:v>
                </c:pt>
                <c:pt idx="182">
                  <c:v>5.4575071334838867</c:v>
                </c:pt>
                <c:pt idx="183">
                  <c:v>4.6382665634155273</c:v>
                </c:pt>
                <c:pt idx="184">
                  <c:v>4.6230945587158203</c:v>
                </c:pt>
                <c:pt idx="185">
                  <c:v>4.9048147201538086</c:v>
                </c:pt>
                <c:pt idx="186">
                  <c:v>5.115720272064209</c:v>
                </c:pt>
                <c:pt idx="187">
                  <c:v>5.5618453025817871</c:v>
                </c:pt>
                <c:pt idx="188">
                  <c:v>4.7763876914978027</c:v>
                </c:pt>
                <c:pt idx="189">
                  <c:v>5.2302021980285645</c:v>
                </c:pt>
                <c:pt idx="190">
                  <c:v>4.8760604858398438</c:v>
                </c:pt>
                <c:pt idx="191">
                  <c:v>4.0297412872314453</c:v>
                </c:pt>
                <c:pt idx="192">
                  <c:v>4.4292440414428711</c:v>
                </c:pt>
                <c:pt idx="193">
                  <c:v>4.3779392242431641</c:v>
                </c:pt>
                <c:pt idx="194">
                  <c:v>5.0792765617370605</c:v>
                </c:pt>
                <c:pt idx="195">
                  <c:v>4.5168380737304688</c:v>
                </c:pt>
                <c:pt idx="196">
                  <c:v>6.1716666221618652</c:v>
                </c:pt>
                <c:pt idx="197">
                  <c:v>6.0809793472290039</c:v>
                </c:pt>
                <c:pt idx="198">
                  <c:v>5.9423050880432129</c:v>
                </c:pt>
                <c:pt idx="199">
                  <c:v>5.3219952583312988</c:v>
                </c:pt>
                <c:pt idx="200">
                  <c:v>5.9291725158691406</c:v>
                </c:pt>
                <c:pt idx="201">
                  <c:v>5.2829761505126953</c:v>
                </c:pt>
                <c:pt idx="202">
                  <c:v>4.0633859634399414</c:v>
                </c:pt>
                <c:pt idx="203">
                  <c:v>4.9726223945617676</c:v>
                </c:pt>
                <c:pt idx="204">
                  <c:v>4.6151628494262695</c:v>
                </c:pt>
                <c:pt idx="205">
                  <c:v>6.1983642578125</c:v>
                </c:pt>
                <c:pt idx="206">
                  <c:v>4.716252326965332</c:v>
                </c:pt>
                <c:pt idx="207">
                  <c:v>6.5277266502380371</c:v>
                </c:pt>
                <c:pt idx="208">
                  <c:v>4.8614931106567383</c:v>
                </c:pt>
                <c:pt idx="209">
                  <c:v>5.1080827713012695</c:v>
                </c:pt>
                <c:pt idx="210">
                  <c:v>4.4163703918457031</c:v>
                </c:pt>
                <c:pt idx="211">
                  <c:v>4.0841741561889648</c:v>
                </c:pt>
                <c:pt idx="212">
                  <c:v>5.6034564971923828</c:v>
                </c:pt>
                <c:pt idx="213">
                  <c:v>4.7700114250183105</c:v>
                </c:pt>
                <c:pt idx="214">
                  <c:v>6.2118778228759766</c:v>
                </c:pt>
                <c:pt idx="215">
                  <c:v>4.3723058700561523</c:v>
                </c:pt>
                <c:pt idx="216">
                  <c:v>5.6250567436218262</c:v>
                </c:pt>
                <c:pt idx="217">
                  <c:v>5.5150332450866699</c:v>
                </c:pt>
                <c:pt idx="218">
                  <c:v>4.8460788726806641</c:v>
                </c:pt>
                <c:pt idx="219">
                  <c:v>6.1725306510925293</c:v>
                </c:pt>
                <c:pt idx="220">
                  <c:v>3.4551894664764404</c:v>
                </c:pt>
                <c:pt idx="221">
                  <c:v>6.2914533615112305</c:v>
                </c:pt>
                <c:pt idx="222">
                  <c:v>4.4533848762512207</c:v>
                </c:pt>
                <c:pt idx="223">
                  <c:v>4.1845898628234863</c:v>
                </c:pt>
                <c:pt idx="224">
                  <c:v>6.5840258598327637</c:v>
                </c:pt>
                <c:pt idx="225">
                  <c:v>3.7137024402618408</c:v>
                </c:pt>
              </c:numCache>
            </c:numRef>
          </c:yVal>
          <c:smooth val="1"/>
          <c:extLst>
            <c:ext xmlns:c15="http://schemas.microsoft.com/office/drawing/2012/chart" uri="{02D57815-91ED-43cb-92C2-25804820EDAC}">
              <c15:datalabelsRange>
                <c15:f>PeakLabels!$C$2:$C$300</c15:f>
                <c15:dlblRangeCache>
                  <c:ptCount val="299"/>
                  <c:pt idx="35">
                    <c:v>262s</c:v>
                  </c:pt>
                  <c:pt idx="50">
                    <c:v>290</c:v>
                  </c:pt>
                  <c:pt idx="62">
                    <c:v>314</c:v>
                  </c:pt>
                  <c:pt idx="70">
                    <c:v>330</c:v>
                  </c:pt>
                  <c:pt idx="77">
                    <c:v>344</c:v>
                  </c:pt>
                  <c:pt idx="83">
                    <c:v>356</c:v>
                  </c:pt>
                  <c:pt idx="89">
                    <c:v>368</c:v>
                  </c:pt>
                  <c:pt idx="107">
                    <c:v>404</c:v>
                  </c:pt>
                  <c:pt idx="113">
                    <c:v>416</c:v>
                  </c:pt>
                  <c:pt idx="127">
                    <c:v>444</c:v>
                  </c:pt>
                  <c:pt idx="141">
                    <c:v>472</c:v>
                  </c:pt>
                  <c:pt idx="151">
                    <c:v>492</c:v>
                  </c:pt>
                  <c:pt idx="168">
                    <c:v>526</c:v>
                  </c:pt>
                  <c:pt idx="196">
                    <c:v>582</c:v>
                  </c:pt>
                  <c:pt idx="207">
                    <c:v>604</c:v>
                  </c:pt>
                  <c:pt idx="214">
                    <c:v>618</c:v>
                  </c:pt>
                  <c:pt idx="221">
                    <c:v>632</c:v>
                  </c:pt>
                </c15:dlblRangeCache>
              </c15:datalabelsRange>
            </c:ext>
            <c:ext xmlns:c16="http://schemas.microsoft.com/office/drawing/2014/chart" uri="{C3380CC4-5D6E-409C-BE32-E72D297353CC}">
              <c16:uniqueId val="{00000000-98A0-47F1-B2CE-1A7C52667A65}"/>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56193ED3-DC84-4698-8435-30F06FC64431}"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8A0-47F1-B2CE-1A7C52667A65}"/>
                </c:ext>
              </c:extLst>
            </c:dLbl>
            <c:dLbl>
              <c:idx val="1"/>
              <c:tx>
                <c:rich>
                  <a:bodyPr/>
                  <a:lstStyle/>
                  <a:p>
                    <a:fld id="{9CBFD904-8B18-4C78-A479-25265A7DDDB6}"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8A0-47F1-B2CE-1A7C52667A65}"/>
                </c:ext>
              </c:extLst>
            </c:dLbl>
            <c:dLbl>
              <c:idx val="2"/>
              <c:tx>
                <c:rich>
                  <a:bodyPr/>
                  <a:lstStyle/>
                  <a:p>
                    <a:fld id="{FCF344A4-5AD8-4421-8B6A-37A3046AA2E7}"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8A0-47F1-B2CE-1A7C52667A65}"/>
                </c:ext>
              </c:extLst>
            </c:dLbl>
            <c:dLbl>
              <c:idx val="3"/>
              <c:tx>
                <c:rich>
                  <a:bodyPr/>
                  <a:lstStyle/>
                  <a:p>
                    <a:fld id="{F03A3D39-4F38-4EAC-8DF4-15627B255900}"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8A0-47F1-B2CE-1A7C52667A65}"/>
                </c:ext>
              </c:extLst>
            </c:dLbl>
            <c:dLbl>
              <c:idx val="4"/>
              <c:tx>
                <c:rich>
                  <a:bodyPr/>
                  <a:lstStyle/>
                  <a:p>
                    <a:fld id="{92C49D0A-7F30-447C-82BE-203CE6E81EDE}"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8A0-47F1-B2CE-1A7C52667A65}"/>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98A0-47F1-B2CE-1A7C52667A65}"/>
            </c:ext>
          </c:extLst>
        </c:ser>
        <c:dLbls>
          <c:showLegendKey val="0"/>
          <c:showVal val="0"/>
          <c:showCatName val="0"/>
          <c:showSerName val="0"/>
          <c:showPercent val="0"/>
          <c:showBubbleSize val="0"/>
        </c:dLbls>
        <c:axId val="1569267376"/>
        <c:axId val="1569265200"/>
      </c:scatterChart>
      <c:valAx>
        <c:axId val="1569267376"/>
        <c:scaling>
          <c:orientation val="minMax"/>
          <c:max val="610"/>
          <c:min val="190"/>
        </c:scaling>
        <c:delete val="0"/>
        <c:axPos val="b"/>
        <c:majorGridlines>
          <c:spPr>
            <a:ln w="9525" cap="flat" cmpd="sng" algn="ctr">
              <a:noFill/>
              <a:round/>
            </a:ln>
            <a:effec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5200"/>
        <c:crossesAt val="0"/>
        <c:crossBetween val="midCat"/>
        <c:majorUnit val="100"/>
      </c:valAx>
      <c:valAx>
        <c:axId val="1569265200"/>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7376"/>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9CF7680C-FB05-4371-9047-72AE3631BC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6FE-4DE2-B358-B7F54CB1AFF6}"/>
                </c:ext>
              </c:extLst>
            </c:dLbl>
            <c:dLbl>
              <c:idx val="1"/>
              <c:tx>
                <c:rich>
                  <a:bodyPr/>
                  <a:lstStyle/>
                  <a:p>
                    <a:fld id="{80CAC644-485F-4F65-92F7-BA679641D6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6FE-4DE2-B358-B7F54CB1AFF6}"/>
                </c:ext>
              </c:extLst>
            </c:dLbl>
            <c:dLbl>
              <c:idx val="2"/>
              <c:tx>
                <c:rich>
                  <a:bodyPr/>
                  <a:lstStyle/>
                  <a:p>
                    <a:fld id="{AFC457C6-072B-4457-AAAB-0D6D585C08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6FE-4DE2-B358-B7F54CB1AFF6}"/>
                </c:ext>
              </c:extLst>
            </c:dLbl>
            <c:dLbl>
              <c:idx val="3"/>
              <c:tx>
                <c:rich>
                  <a:bodyPr/>
                  <a:lstStyle/>
                  <a:p>
                    <a:fld id="{63D9C8FA-C5C7-444F-BE1E-8696A1C699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6FE-4DE2-B358-B7F54CB1AFF6}"/>
                </c:ext>
              </c:extLst>
            </c:dLbl>
            <c:dLbl>
              <c:idx val="4"/>
              <c:tx>
                <c:rich>
                  <a:bodyPr/>
                  <a:lstStyle/>
                  <a:p>
                    <a:fld id="{26E55C05-74F2-432B-AC65-5DEB926E1B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6FE-4DE2-B358-B7F54CB1AFF6}"/>
                </c:ext>
              </c:extLst>
            </c:dLbl>
            <c:dLbl>
              <c:idx val="5"/>
              <c:tx>
                <c:rich>
                  <a:bodyPr/>
                  <a:lstStyle/>
                  <a:p>
                    <a:fld id="{A67247AD-A8F7-4B27-941D-E4FE2A203D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6FE-4DE2-B358-B7F54CB1AFF6}"/>
                </c:ext>
              </c:extLst>
            </c:dLbl>
            <c:dLbl>
              <c:idx val="6"/>
              <c:tx>
                <c:rich>
                  <a:bodyPr/>
                  <a:lstStyle/>
                  <a:p>
                    <a:fld id="{863CA5D9-9218-42FE-86C5-CB76566127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6FE-4DE2-B358-B7F54CB1AFF6}"/>
                </c:ext>
              </c:extLst>
            </c:dLbl>
            <c:dLbl>
              <c:idx val="7"/>
              <c:tx>
                <c:rich>
                  <a:bodyPr/>
                  <a:lstStyle/>
                  <a:p>
                    <a:fld id="{028923F1-AB6D-4735-B6D2-A74A6AC863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6FE-4DE2-B358-B7F54CB1AFF6}"/>
                </c:ext>
              </c:extLst>
            </c:dLbl>
            <c:dLbl>
              <c:idx val="8"/>
              <c:tx>
                <c:rich>
                  <a:bodyPr/>
                  <a:lstStyle/>
                  <a:p>
                    <a:fld id="{C0B696FC-D040-44D8-8940-795708CF05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6FE-4DE2-B358-B7F54CB1AFF6}"/>
                </c:ext>
              </c:extLst>
            </c:dLbl>
            <c:dLbl>
              <c:idx val="9"/>
              <c:tx>
                <c:rich>
                  <a:bodyPr/>
                  <a:lstStyle/>
                  <a:p>
                    <a:fld id="{A319C3E8-4C16-4387-A2DC-03376684B2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6FE-4DE2-B358-B7F54CB1AFF6}"/>
                </c:ext>
              </c:extLst>
            </c:dLbl>
            <c:dLbl>
              <c:idx val="10"/>
              <c:tx>
                <c:rich>
                  <a:bodyPr/>
                  <a:lstStyle/>
                  <a:p>
                    <a:fld id="{12AA7E2A-7A77-4943-9CED-19E8F0C161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6FE-4DE2-B358-B7F54CB1AFF6}"/>
                </c:ext>
              </c:extLst>
            </c:dLbl>
            <c:dLbl>
              <c:idx val="11"/>
              <c:tx>
                <c:rich>
                  <a:bodyPr/>
                  <a:lstStyle/>
                  <a:p>
                    <a:fld id="{FAA2F950-0273-4C36-94A2-AF75C87486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6FE-4DE2-B358-B7F54CB1AFF6}"/>
                </c:ext>
              </c:extLst>
            </c:dLbl>
            <c:dLbl>
              <c:idx val="12"/>
              <c:tx>
                <c:rich>
                  <a:bodyPr/>
                  <a:lstStyle/>
                  <a:p>
                    <a:fld id="{B1DD736C-161F-45CB-8BA6-5D51819187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6FE-4DE2-B358-B7F54CB1AFF6}"/>
                </c:ext>
              </c:extLst>
            </c:dLbl>
            <c:dLbl>
              <c:idx val="13"/>
              <c:tx>
                <c:rich>
                  <a:bodyPr/>
                  <a:lstStyle/>
                  <a:p>
                    <a:fld id="{7979F4CE-2DC4-437D-B40E-3828D68AB9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6FE-4DE2-B358-B7F54CB1AFF6}"/>
                </c:ext>
              </c:extLst>
            </c:dLbl>
            <c:dLbl>
              <c:idx val="14"/>
              <c:tx>
                <c:rich>
                  <a:bodyPr/>
                  <a:lstStyle/>
                  <a:p>
                    <a:fld id="{E3D80D46-6EF7-4845-9A12-3C521A004A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A6FE-4DE2-B358-B7F54CB1AFF6}"/>
                </c:ext>
              </c:extLst>
            </c:dLbl>
            <c:dLbl>
              <c:idx val="15"/>
              <c:tx>
                <c:rich>
                  <a:bodyPr/>
                  <a:lstStyle/>
                  <a:p>
                    <a:fld id="{38F8BAB1-2259-48E6-BC83-E06EA80E52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A6FE-4DE2-B358-B7F54CB1AFF6}"/>
                </c:ext>
              </c:extLst>
            </c:dLbl>
            <c:dLbl>
              <c:idx val="16"/>
              <c:tx>
                <c:rich>
                  <a:bodyPr/>
                  <a:lstStyle/>
                  <a:p>
                    <a:fld id="{2CF6B9F6-3756-409C-804F-9115CB7011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A6FE-4DE2-B358-B7F54CB1AFF6}"/>
                </c:ext>
              </c:extLst>
            </c:dLbl>
            <c:dLbl>
              <c:idx val="17"/>
              <c:tx>
                <c:rich>
                  <a:bodyPr/>
                  <a:lstStyle/>
                  <a:p>
                    <a:fld id="{AC9C9EC5-B4F3-41B6-8768-BF59EF5901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A6FE-4DE2-B358-B7F54CB1AFF6}"/>
                </c:ext>
              </c:extLst>
            </c:dLbl>
            <c:dLbl>
              <c:idx val="18"/>
              <c:tx>
                <c:rich>
                  <a:bodyPr/>
                  <a:lstStyle/>
                  <a:p>
                    <a:fld id="{A4B1E3E8-EC5E-4D9B-83A4-55314B0C3C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A6FE-4DE2-B358-B7F54CB1AFF6}"/>
                </c:ext>
              </c:extLst>
            </c:dLbl>
            <c:dLbl>
              <c:idx val="19"/>
              <c:tx>
                <c:rich>
                  <a:bodyPr/>
                  <a:lstStyle/>
                  <a:p>
                    <a:fld id="{981005B8-F77C-444F-BFAC-0C422A4591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A6FE-4DE2-B358-B7F54CB1AFF6}"/>
                </c:ext>
              </c:extLst>
            </c:dLbl>
            <c:dLbl>
              <c:idx val="20"/>
              <c:tx>
                <c:rich>
                  <a:bodyPr/>
                  <a:lstStyle/>
                  <a:p>
                    <a:fld id="{A9F5899E-A170-41B6-9B5B-2B8690FE0E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A6FE-4DE2-B358-B7F54CB1AFF6}"/>
                </c:ext>
              </c:extLst>
            </c:dLbl>
            <c:dLbl>
              <c:idx val="21"/>
              <c:tx>
                <c:rich>
                  <a:bodyPr/>
                  <a:lstStyle/>
                  <a:p>
                    <a:fld id="{CFD26296-D5D1-479A-AD8B-5260F991B7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A6FE-4DE2-B358-B7F54CB1AFF6}"/>
                </c:ext>
              </c:extLst>
            </c:dLbl>
            <c:dLbl>
              <c:idx val="22"/>
              <c:tx>
                <c:rich>
                  <a:bodyPr/>
                  <a:lstStyle/>
                  <a:p>
                    <a:fld id="{94624497-1559-4CFD-A84C-85E5C0DBA0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A6FE-4DE2-B358-B7F54CB1AFF6}"/>
                </c:ext>
              </c:extLst>
            </c:dLbl>
            <c:dLbl>
              <c:idx val="23"/>
              <c:tx>
                <c:rich>
                  <a:bodyPr/>
                  <a:lstStyle/>
                  <a:p>
                    <a:fld id="{74085DBF-DF0E-4894-8818-4784CBB8CA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A6FE-4DE2-B358-B7F54CB1AFF6}"/>
                </c:ext>
              </c:extLst>
            </c:dLbl>
            <c:dLbl>
              <c:idx val="24"/>
              <c:tx>
                <c:rich>
                  <a:bodyPr/>
                  <a:lstStyle/>
                  <a:p>
                    <a:fld id="{A0A6933E-B10B-4CC1-9837-1820811018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A6FE-4DE2-B358-B7F54CB1AFF6}"/>
                </c:ext>
              </c:extLst>
            </c:dLbl>
            <c:dLbl>
              <c:idx val="25"/>
              <c:tx>
                <c:rich>
                  <a:bodyPr/>
                  <a:lstStyle/>
                  <a:p>
                    <a:fld id="{3A662771-FCD9-4BAB-AFE0-8A8E852A44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A6FE-4DE2-B358-B7F54CB1AFF6}"/>
                </c:ext>
              </c:extLst>
            </c:dLbl>
            <c:dLbl>
              <c:idx val="26"/>
              <c:tx>
                <c:rich>
                  <a:bodyPr/>
                  <a:lstStyle/>
                  <a:p>
                    <a:fld id="{86381F67-F1CF-4A7E-82B6-1378535151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A6FE-4DE2-B358-B7F54CB1AFF6}"/>
                </c:ext>
              </c:extLst>
            </c:dLbl>
            <c:dLbl>
              <c:idx val="27"/>
              <c:tx>
                <c:rich>
                  <a:bodyPr/>
                  <a:lstStyle/>
                  <a:p>
                    <a:fld id="{F011F5F4-BBE3-4F5A-B87F-C019880087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A6FE-4DE2-B358-B7F54CB1AFF6}"/>
                </c:ext>
              </c:extLst>
            </c:dLbl>
            <c:dLbl>
              <c:idx val="28"/>
              <c:tx>
                <c:rich>
                  <a:bodyPr/>
                  <a:lstStyle/>
                  <a:p>
                    <a:fld id="{E0CE6A0F-1F73-4255-985E-4D5CF4D04D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A6FE-4DE2-B358-B7F54CB1AFF6}"/>
                </c:ext>
              </c:extLst>
            </c:dLbl>
            <c:dLbl>
              <c:idx val="29"/>
              <c:tx>
                <c:rich>
                  <a:bodyPr/>
                  <a:lstStyle/>
                  <a:p>
                    <a:fld id="{1C19FFCF-4D49-4827-8F67-350ADB25BE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A6FE-4DE2-B358-B7F54CB1AFF6}"/>
                </c:ext>
              </c:extLst>
            </c:dLbl>
            <c:dLbl>
              <c:idx val="30"/>
              <c:tx>
                <c:rich>
                  <a:bodyPr/>
                  <a:lstStyle/>
                  <a:p>
                    <a:fld id="{D47B807F-5CB3-45E3-97C8-A81A4059EF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A6FE-4DE2-B358-B7F54CB1AFF6}"/>
                </c:ext>
              </c:extLst>
            </c:dLbl>
            <c:dLbl>
              <c:idx val="31"/>
              <c:tx>
                <c:rich>
                  <a:bodyPr/>
                  <a:lstStyle/>
                  <a:p>
                    <a:fld id="{E0591275-613A-47B5-903A-A7C73BACBC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A6FE-4DE2-B358-B7F54CB1AFF6}"/>
                </c:ext>
              </c:extLst>
            </c:dLbl>
            <c:dLbl>
              <c:idx val="32"/>
              <c:tx>
                <c:rich>
                  <a:bodyPr/>
                  <a:lstStyle/>
                  <a:p>
                    <a:fld id="{F8B1FC26-607E-4713-8499-93C1CAF6B3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A6FE-4DE2-B358-B7F54CB1AFF6}"/>
                </c:ext>
              </c:extLst>
            </c:dLbl>
            <c:dLbl>
              <c:idx val="33"/>
              <c:tx>
                <c:rich>
                  <a:bodyPr/>
                  <a:lstStyle/>
                  <a:p>
                    <a:fld id="{B99B1D9F-17D1-4D9B-BA85-25FF978619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A6FE-4DE2-B358-B7F54CB1AFF6}"/>
                </c:ext>
              </c:extLst>
            </c:dLbl>
            <c:dLbl>
              <c:idx val="34"/>
              <c:tx>
                <c:rich>
                  <a:bodyPr/>
                  <a:lstStyle/>
                  <a:p>
                    <a:fld id="{E8BE788B-5220-4AB6-85E6-717CE4AF70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A6FE-4DE2-B358-B7F54CB1AFF6}"/>
                </c:ext>
              </c:extLst>
            </c:dLbl>
            <c:dLbl>
              <c:idx val="35"/>
              <c:tx>
                <c:rich>
                  <a:bodyPr/>
                  <a:lstStyle/>
                  <a:p>
                    <a:fld id="{AEA6D38D-BC93-40D2-B17B-1BA2AF9DA4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A6FE-4DE2-B358-B7F54CB1AFF6}"/>
                </c:ext>
              </c:extLst>
            </c:dLbl>
            <c:dLbl>
              <c:idx val="36"/>
              <c:tx>
                <c:rich>
                  <a:bodyPr/>
                  <a:lstStyle/>
                  <a:p>
                    <a:fld id="{D13B9377-D0D6-4328-A6BC-AE1C9AA4BB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A6FE-4DE2-B358-B7F54CB1AFF6}"/>
                </c:ext>
              </c:extLst>
            </c:dLbl>
            <c:dLbl>
              <c:idx val="37"/>
              <c:tx>
                <c:rich>
                  <a:bodyPr/>
                  <a:lstStyle/>
                  <a:p>
                    <a:fld id="{173D4145-9225-4719-8E80-63EFBE45E3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A6FE-4DE2-B358-B7F54CB1AFF6}"/>
                </c:ext>
              </c:extLst>
            </c:dLbl>
            <c:dLbl>
              <c:idx val="38"/>
              <c:tx>
                <c:rich>
                  <a:bodyPr/>
                  <a:lstStyle/>
                  <a:p>
                    <a:fld id="{48A2D424-2ED6-406D-AB4A-6F3D435546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A6FE-4DE2-B358-B7F54CB1AFF6}"/>
                </c:ext>
              </c:extLst>
            </c:dLbl>
            <c:dLbl>
              <c:idx val="39"/>
              <c:tx>
                <c:rich>
                  <a:bodyPr/>
                  <a:lstStyle/>
                  <a:p>
                    <a:fld id="{89452531-F703-4725-B7E2-B8D2922EEF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A6FE-4DE2-B358-B7F54CB1AFF6}"/>
                </c:ext>
              </c:extLst>
            </c:dLbl>
            <c:dLbl>
              <c:idx val="40"/>
              <c:tx>
                <c:rich>
                  <a:bodyPr/>
                  <a:lstStyle/>
                  <a:p>
                    <a:fld id="{AFBC40EF-1ED8-4F8F-8D85-D71301712F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A6FE-4DE2-B358-B7F54CB1AFF6}"/>
                </c:ext>
              </c:extLst>
            </c:dLbl>
            <c:dLbl>
              <c:idx val="41"/>
              <c:tx>
                <c:rich>
                  <a:bodyPr/>
                  <a:lstStyle/>
                  <a:p>
                    <a:fld id="{6D04EC07-5D32-4437-9B84-BFD373C316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A6FE-4DE2-B358-B7F54CB1AFF6}"/>
                </c:ext>
              </c:extLst>
            </c:dLbl>
            <c:dLbl>
              <c:idx val="42"/>
              <c:tx>
                <c:rich>
                  <a:bodyPr/>
                  <a:lstStyle/>
                  <a:p>
                    <a:fld id="{2D6AAC72-88FF-49EB-8B67-3159745FF7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A6FE-4DE2-B358-B7F54CB1AFF6}"/>
                </c:ext>
              </c:extLst>
            </c:dLbl>
            <c:dLbl>
              <c:idx val="43"/>
              <c:tx>
                <c:rich>
                  <a:bodyPr/>
                  <a:lstStyle/>
                  <a:p>
                    <a:fld id="{9880F347-7F13-4077-B936-879C30B486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A6FE-4DE2-B358-B7F54CB1AFF6}"/>
                </c:ext>
              </c:extLst>
            </c:dLbl>
            <c:dLbl>
              <c:idx val="44"/>
              <c:tx>
                <c:rich>
                  <a:bodyPr/>
                  <a:lstStyle/>
                  <a:p>
                    <a:fld id="{17A6DC23-D6C8-421A-90F3-FD44D508B7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A6FE-4DE2-B358-B7F54CB1AFF6}"/>
                </c:ext>
              </c:extLst>
            </c:dLbl>
            <c:dLbl>
              <c:idx val="45"/>
              <c:tx>
                <c:rich>
                  <a:bodyPr/>
                  <a:lstStyle/>
                  <a:p>
                    <a:fld id="{80563467-4537-47A2-B623-E431AEAC85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A6FE-4DE2-B358-B7F54CB1AFF6}"/>
                </c:ext>
              </c:extLst>
            </c:dLbl>
            <c:dLbl>
              <c:idx val="46"/>
              <c:tx>
                <c:rich>
                  <a:bodyPr/>
                  <a:lstStyle/>
                  <a:p>
                    <a:fld id="{D403A0A9-FC19-4CD2-84DA-4C89C63283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A6FE-4DE2-B358-B7F54CB1AFF6}"/>
                </c:ext>
              </c:extLst>
            </c:dLbl>
            <c:dLbl>
              <c:idx val="47"/>
              <c:tx>
                <c:rich>
                  <a:bodyPr/>
                  <a:lstStyle/>
                  <a:p>
                    <a:fld id="{A0A97F68-D739-4113-83C9-6734DD74D6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A6FE-4DE2-B358-B7F54CB1AFF6}"/>
                </c:ext>
              </c:extLst>
            </c:dLbl>
            <c:dLbl>
              <c:idx val="48"/>
              <c:tx>
                <c:rich>
                  <a:bodyPr/>
                  <a:lstStyle/>
                  <a:p>
                    <a:fld id="{F7C65DC5-3744-41B9-85F5-5EECBACDA1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A6FE-4DE2-B358-B7F54CB1AFF6}"/>
                </c:ext>
              </c:extLst>
            </c:dLbl>
            <c:dLbl>
              <c:idx val="49"/>
              <c:tx>
                <c:rich>
                  <a:bodyPr/>
                  <a:lstStyle/>
                  <a:p>
                    <a:fld id="{B5939995-E424-4588-A3B7-B0A76D1ADC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A6FE-4DE2-B358-B7F54CB1AFF6}"/>
                </c:ext>
              </c:extLst>
            </c:dLbl>
            <c:dLbl>
              <c:idx val="50"/>
              <c:tx>
                <c:rich>
                  <a:bodyPr/>
                  <a:lstStyle/>
                  <a:p>
                    <a:fld id="{587810FD-7943-4522-AA07-B8701429B7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A6FE-4DE2-B358-B7F54CB1AFF6}"/>
                </c:ext>
              </c:extLst>
            </c:dLbl>
            <c:dLbl>
              <c:idx val="51"/>
              <c:tx>
                <c:rich>
                  <a:bodyPr/>
                  <a:lstStyle/>
                  <a:p>
                    <a:fld id="{0251B24E-F36A-4A10-8F6E-5CFBB7DA2F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A6FE-4DE2-B358-B7F54CB1AFF6}"/>
                </c:ext>
              </c:extLst>
            </c:dLbl>
            <c:dLbl>
              <c:idx val="52"/>
              <c:tx>
                <c:rich>
                  <a:bodyPr/>
                  <a:lstStyle/>
                  <a:p>
                    <a:fld id="{91BAF574-9E24-410A-A6D7-334C087364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A6FE-4DE2-B358-B7F54CB1AFF6}"/>
                </c:ext>
              </c:extLst>
            </c:dLbl>
            <c:dLbl>
              <c:idx val="53"/>
              <c:tx>
                <c:rich>
                  <a:bodyPr/>
                  <a:lstStyle/>
                  <a:p>
                    <a:fld id="{FFB8F650-45B4-4276-82FF-EAF651E4C8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A6FE-4DE2-B358-B7F54CB1AFF6}"/>
                </c:ext>
              </c:extLst>
            </c:dLbl>
            <c:dLbl>
              <c:idx val="54"/>
              <c:tx>
                <c:rich>
                  <a:bodyPr/>
                  <a:lstStyle/>
                  <a:p>
                    <a:fld id="{BC8F449B-54A0-4100-A161-225B4916AA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A6FE-4DE2-B358-B7F54CB1AFF6}"/>
                </c:ext>
              </c:extLst>
            </c:dLbl>
            <c:dLbl>
              <c:idx val="55"/>
              <c:tx>
                <c:rich>
                  <a:bodyPr/>
                  <a:lstStyle/>
                  <a:p>
                    <a:fld id="{0385B312-EE97-4CC8-B69C-1986D50709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A6FE-4DE2-B358-B7F54CB1AFF6}"/>
                </c:ext>
              </c:extLst>
            </c:dLbl>
            <c:dLbl>
              <c:idx val="56"/>
              <c:tx>
                <c:rich>
                  <a:bodyPr/>
                  <a:lstStyle/>
                  <a:p>
                    <a:fld id="{00AEFD30-AFC1-4ECB-8AFC-6C5CAE3EC2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A6FE-4DE2-B358-B7F54CB1AFF6}"/>
                </c:ext>
              </c:extLst>
            </c:dLbl>
            <c:dLbl>
              <c:idx val="57"/>
              <c:tx>
                <c:rich>
                  <a:bodyPr/>
                  <a:lstStyle/>
                  <a:p>
                    <a:fld id="{27E040DB-AA05-40CE-A7E5-1687E76F5A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A6FE-4DE2-B358-B7F54CB1AFF6}"/>
                </c:ext>
              </c:extLst>
            </c:dLbl>
            <c:dLbl>
              <c:idx val="58"/>
              <c:tx>
                <c:rich>
                  <a:bodyPr/>
                  <a:lstStyle/>
                  <a:p>
                    <a:fld id="{F584A813-E324-4D43-9D99-F225C6C558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A6FE-4DE2-B358-B7F54CB1AFF6}"/>
                </c:ext>
              </c:extLst>
            </c:dLbl>
            <c:dLbl>
              <c:idx val="59"/>
              <c:tx>
                <c:rich>
                  <a:bodyPr/>
                  <a:lstStyle/>
                  <a:p>
                    <a:fld id="{6147A692-5658-4DFE-8DBE-7DF2305E5F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A6FE-4DE2-B358-B7F54CB1AFF6}"/>
                </c:ext>
              </c:extLst>
            </c:dLbl>
            <c:dLbl>
              <c:idx val="60"/>
              <c:tx>
                <c:rich>
                  <a:bodyPr/>
                  <a:lstStyle/>
                  <a:p>
                    <a:fld id="{828F2CE2-B9CB-4DAB-A540-C2377994DE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A6FE-4DE2-B358-B7F54CB1AFF6}"/>
                </c:ext>
              </c:extLst>
            </c:dLbl>
            <c:dLbl>
              <c:idx val="61"/>
              <c:tx>
                <c:rich>
                  <a:bodyPr/>
                  <a:lstStyle/>
                  <a:p>
                    <a:fld id="{5578482F-46B2-4B15-858F-6AE0AB334D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A6FE-4DE2-B358-B7F54CB1AFF6}"/>
                </c:ext>
              </c:extLst>
            </c:dLbl>
            <c:dLbl>
              <c:idx val="62"/>
              <c:tx>
                <c:rich>
                  <a:bodyPr/>
                  <a:lstStyle/>
                  <a:p>
                    <a:fld id="{004DCAF1-541A-4F63-8114-5B89F246D1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A6FE-4DE2-B358-B7F54CB1AFF6}"/>
                </c:ext>
              </c:extLst>
            </c:dLbl>
            <c:dLbl>
              <c:idx val="63"/>
              <c:tx>
                <c:rich>
                  <a:bodyPr/>
                  <a:lstStyle/>
                  <a:p>
                    <a:fld id="{F84A90BF-7A57-4848-8C51-C3699916D6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A6FE-4DE2-B358-B7F54CB1AFF6}"/>
                </c:ext>
              </c:extLst>
            </c:dLbl>
            <c:dLbl>
              <c:idx val="64"/>
              <c:tx>
                <c:rich>
                  <a:bodyPr/>
                  <a:lstStyle/>
                  <a:p>
                    <a:fld id="{C2BB4B8F-1A0D-4CFB-B879-8D4B40921B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A6FE-4DE2-B358-B7F54CB1AFF6}"/>
                </c:ext>
              </c:extLst>
            </c:dLbl>
            <c:dLbl>
              <c:idx val="65"/>
              <c:tx>
                <c:rich>
                  <a:bodyPr/>
                  <a:lstStyle/>
                  <a:p>
                    <a:fld id="{C61A3C78-81BA-4783-B0CB-2FF6C60E70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A6FE-4DE2-B358-B7F54CB1AFF6}"/>
                </c:ext>
              </c:extLst>
            </c:dLbl>
            <c:dLbl>
              <c:idx val="66"/>
              <c:tx>
                <c:rich>
                  <a:bodyPr/>
                  <a:lstStyle/>
                  <a:p>
                    <a:fld id="{D2D5C589-E6FD-442C-938F-4A8875A771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A6FE-4DE2-B358-B7F54CB1AFF6}"/>
                </c:ext>
              </c:extLst>
            </c:dLbl>
            <c:dLbl>
              <c:idx val="67"/>
              <c:tx>
                <c:rich>
                  <a:bodyPr/>
                  <a:lstStyle/>
                  <a:p>
                    <a:fld id="{2EFEB61A-0214-4460-9BEE-6B7A21E302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A6FE-4DE2-B358-B7F54CB1AFF6}"/>
                </c:ext>
              </c:extLst>
            </c:dLbl>
            <c:dLbl>
              <c:idx val="68"/>
              <c:tx>
                <c:rich>
                  <a:bodyPr/>
                  <a:lstStyle/>
                  <a:p>
                    <a:fld id="{4E9B9A5B-FFDB-4B33-A853-20B4542E92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A6FE-4DE2-B358-B7F54CB1AFF6}"/>
                </c:ext>
              </c:extLst>
            </c:dLbl>
            <c:dLbl>
              <c:idx val="69"/>
              <c:tx>
                <c:rich>
                  <a:bodyPr/>
                  <a:lstStyle/>
                  <a:p>
                    <a:fld id="{08C82F54-559D-499D-B0F5-28AB29BBC8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A6FE-4DE2-B358-B7F54CB1AFF6}"/>
                </c:ext>
              </c:extLst>
            </c:dLbl>
            <c:dLbl>
              <c:idx val="70"/>
              <c:tx>
                <c:rich>
                  <a:bodyPr/>
                  <a:lstStyle/>
                  <a:p>
                    <a:fld id="{B26967BF-ED54-4859-B7BC-A4410F2D83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A6FE-4DE2-B358-B7F54CB1AFF6}"/>
                </c:ext>
              </c:extLst>
            </c:dLbl>
            <c:dLbl>
              <c:idx val="71"/>
              <c:tx>
                <c:rich>
                  <a:bodyPr/>
                  <a:lstStyle/>
                  <a:p>
                    <a:fld id="{DB6EDA0D-6175-4314-AE42-FDC58800E9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A6FE-4DE2-B358-B7F54CB1AFF6}"/>
                </c:ext>
              </c:extLst>
            </c:dLbl>
            <c:dLbl>
              <c:idx val="72"/>
              <c:tx>
                <c:rich>
                  <a:bodyPr/>
                  <a:lstStyle/>
                  <a:p>
                    <a:fld id="{B5939A07-BE52-471A-A905-6D80B451D4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A6FE-4DE2-B358-B7F54CB1AFF6}"/>
                </c:ext>
              </c:extLst>
            </c:dLbl>
            <c:dLbl>
              <c:idx val="73"/>
              <c:tx>
                <c:rich>
                  <a:bodyPr/>
                  <a:lstStyle/>
                  <a:p>
                    <a:fld id="{A1457798-6DB9-4579-890F-0376602B1B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A6FE-4DE2-B358-B7F54CB1AFF6}"/>
                </c:ext>
              </c:extLst>
            </c:dLbl>
            <c:dLbl>
              <c:idx val="74"/>
              <c:tx>
                <c:rich>
                  <a:bodyPr/>
                  <a:lstStyle/>
                  <a:p>
                    <a:fld id="{3CA69BCB-5405-4F15-9BF6-7245AB8E55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A6FE-4DE2-B358-B7F54CB1AFF6}"/>
                </c:ext>
              </c:extLst>
            </c:dLbl>
            <c:dLbl>
              <c:idx val="75"/>
              <c:tx>
                <c:rich>
                  <a:bodyPr/>
                  <a:lstStyle/>
                  <a:p>
                    <a:fld id="{B901A8CA-FB18-42FE-B435-536A80887C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A6FE-4DE2-B358-B7F54CB1AFF6}"/>
                </c:ext>
              </c:extLst>
            </c:dLbl>
            <c:dLbl>
              <c:idx val="76"/>
              <c:tx>
                <c:rich>
                  <a:bodyPr/>
                  <a:lstStyle/>
                  <a:p>
                    <a:fld id="{D27A1C1A-EC6A-424E-B9DD-A582E16E84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A6FE-4DE2-B358-B7F54CB1AFF6}"/>
                </c:ext>
              </c:extLst>
            </c:dLbl>
            <c:dLbl>
              <c:idx val="77"/>
              <c:tx>
                <c:rich>
                  <a:bodyPr/>
                  <a:lstStyle/>
                  <a:p>
                    <a:fld id="{45AE0EB9-9C35-4B23-A6E5-BD90FA5983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A6FE-4DE2-B358-B7F54CB1AFF6}"/>
                </c:ext>
              </c:extLst>
            </c:dLbl>
            <c:dLbl>
              <c:idx val="78"/>
              <c:tx>
                <c:rich>
                  <a:bodyPr/>
                  <a:lstStyle/>
                  <a:p>
                    <a:fld id="{3D2E9637-707C-49FB-8787-F06E251AAE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A6FE-4DE2-B358-B7F54CB1AFF6}"/>
                </c:ext>
              </c:extLst>
            </c:dLbl>
            <c:dLbl>
              <c:idx val="79"/>
              <c:tx>
                <c:rich>
                  <a:bodyPr/>
                  <a:lstStyle/>
                  <a:p>
                    <a:fld id="{E61CBB91-2BF5-4775-9CB7-D1170894BF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A6FE-4DE2-B358-B7F54CB1AFF6}"/>
                </c:ext>
              </c:extLst>
            </c:dLbl>
            <c:dLbl>
              <c:idx val="80"/>
              <c:tx>
                <c:rich>
                  <a:bodyPr/>
                  <a:lstStyle/>
                  <a:p>
                    <a:fld id="{EA73B652-7D90-488D-AB8B-531116627B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A6FE-4DE2-B358-B7F54CB1AFF6}"/>
                </c:ext>
              </c:extLst>
            </c:dLbl>
            <c:dLbl>
              <c:idx val="81"/>
              <c:tx>
                <c:rich>
                  <a:bodyPr/>
                  <a:lstStyle/>
                  <a:p>
                    <a:fld id="{5CA802B6-FFA2-4811-9D24-0CA44D3847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A6FE-4DE2-B358-B7F54CB1AFF6}"/>
                </c:ext>
              </c:extLst>
            </c:dLbl>
            <c:dLbl>
              <c:idx val="82"/>
              <c:tx>
                <c:rich>
                  <a:bodyPr/>
                  <a:lstStyle/>
                  <a:p>
                    <a:fld id="{CB56023F-8883-469A-B47C-BECAF9B78A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A6FE-4DE2-B358-B7F54CB1AFF6}"/>
                </c:ext>
              </c:extLst>
            </c:dLbl>
            <c:dLbl>
              <c:idx val="83"/>
              <c:tx>
                <c:rich>
                  <a:bodyPr/>
                  <a:lstStyle/>
                  <a:p>
                    <a:fld id="{37F50768-8F1F-4B6C-ADD2-2F3E418080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A6FE-4DE2-B358-B7F54CB1AFF6}"/>
                </c:ext>
              </c:extLst>
            </c:dLbl>
            <c:dLbl>
              <c:idx val="84"/>
              <c:tx>
                <c:rich>
                  <a:bodyPr/>
                  <a:lstStyle/>
                  <a:p>
                    <a:fld id="{8DD9543A-04D9-4E44-A84F-E4C74FF4DB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A6FE-4DE2-B358-B7F54CB1AFF6}"/>
                </c:ext>
              </c:extLst>
            </c:dLbl>
            <c:dLbl>
              <c:idx val="85"/>
              <c:tx>
                <c:rich>
                  <a:bodyPr/>
                  <a:lstStyle/>
                  <a:p>
                    <a:fld id="{FA5EBD1C-2421-4164-8F8C-DBFBD02824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A6FE-4DE2-B358-B7F54CB1AFF6}"/>
                </c:ext>
              </c:extLst>
            </c:dLbl>
            <c:dLbl>
              <c:idx val="86"/>
              <c:tx>
                <c:rich>
                  <a:bodyPr/>
                  <a:lstStyle/>
                  <a:p>
                    <a:fld id="{0D46475D-9E69-4E56-8C35-EBEFA8D7D5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A6FE-4DE2-B358-B7F54CB1AFF6}"/>
                </c:ext>
              </c:extLst>
            </c:dLbl>
            <c:dLbl>
              <c:idx val="87"/>
              <c:tx>
                <c:rich>
                  <a:bodyPr/>
                  <a:lstStyle/>
                  <a:p>
                    <a:fld id="{E75FB528-E9A1-4158-97C5-DD4D8D4BF0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A6FE-4DE2-B358-B7F54CB1AFF6}"/>
                </c:ext>
              </c:extLst>
            </c:dLbl>
            <c:dLbl>
              <c:idx val="88"/>
              <c:tx>
                <c:rich>
                  <a:bodyPr/>
                  <a:lstStyle/>
                  <a:p>
                    <a:fld id="{3EF35826-AC27-43E1-8113-B267775ED6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A6FE-4DE2-B358-B7F54CB1AFF6}"/>
                </c:ext>
              </c:extLst>
            </c:dLbl>
            <c:dLbl>
              <c:idx val="89"/>
              <c:tx>
                <c:rich>
                  <a:bodyPr/>
                  <a:lstStyle/>
                  <a:p>
                    <a:fld id="{64839ED5-261A-4BCF-82A0-6CE4F7C14A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A6FE-4DE2-B358-B7F54CB1AFF6}"/>
                </c:ext>
              </c:extLst>
            </c:dLbl>
            <c:dLbl>
              <c:idx val="90"/>
              <c:tx>
                <c:rich>
                  <a:bodyPr/>
                  <a:lstStyle/>
                  <a:p>
                    <a:fld id="{10DC9DDB-57B4-40DF-9AF8-99D0A058AD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A6FE-4DE2-B358-B7F54CB1AFF6}"/>
                </c:ext>
              </c:extLst>
            </c:dLbl>
            <c:dLbl>
              <c:idx val="91"/>
              <c:tx>
                <c:rich>
                  <a:bodyPr/>
                  <a:lstStyle/>
                  <a:p>
                    <a:fld id="{401BCBB3-7227-4036-9AD3-C7C1C80D46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A6FE-4DE2-B358-B7F54CB1AFF6}"/>
                </c:ext>
              </c:extLst>
            </c:dLbl>
            <c:dLbl>
              <c:idx val="92"/>
              <c:tx>
                <c:rich>
                  <a:bodyPr/>
                  <a:lstStyle/>
                  <a:p>
                    <a:fld id="{CD023255-BE80-4309-A2E5-DE675A4A90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A6FE-4DE2-B358-B7F54CB1AFF6}"/>
                </c:ext>
              </c:extLst>
            </c:dLbl>
            <c:dLbl>
              <c:idx val="93"/>
              <c:tx>
                <c:rich>
                  <a:bodyPr/>
                  <a:lstStyle/>
                  <a:p>
                    <a:fld id="{4307353A-F07D-4D30-879F-6341BEA6B2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A6FE-4DE2-B358-B7F54CB1AFF6}"/>
                </c:ext>
              </c:extLst>
            </c:dLbl>
            <c:dLbl>
              <c:idx val="94"/>
              <c:tx>
                <c:rich>
                  <a:bodyPr/>
                  <a:lstStyle/>
                  <a:p>
                    <a:fld id="{41E83BA7-CF3D-47BB-978A-E1398AA006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A6FE-4DE2-B358-B7F54CB1AFF6}"/>
                </c:ext>
              </c:extLst>
            </c:dLbl>
            <c:dLbl>
              <c:idx val="95"/>
              <c:tx>
                <c:rich>
                  <a:bodyPr/>
                  <a:lstStyle/>
                  <a:p>
                    <a:fld id="{12472E4A-E351-4A63-9264-9141AA6524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A6FE-4DE2-B358-B7F54CB1AFF6}"/>
                </c:ext>
              </c:extLst>
            </c:dLbl>
            <c:dLbl>
              <c:idx val="96"/>
              <c:tx>
                <c:rich>
                  <a:bodyPr/>
                  <a:lstStyle/>
                  <a:p>
                    <a:fld id="{06D5E9DC-DA3F-487F-A113-99ADBB03F9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A6FE-4DE2-B358-B7F54CB1AFF6}"/>
                </c:ext>
              </c:extLst>
            </c:dLbl>
            <c:dLbl>
              <c:idx val="97"/>
              <c:tx>
                <c:rich>
                  <a:bodyPr/>
                  <a:lstStyle/>
                  <a:p>
                    <a:fld id="{B20F7179-D3EB-4EF4-A4E9-59710E3A1B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A6FE-4DE2-B358-B7F54CB1AFF6}"/>
                </c:ext>
              </c:extLst>
            </c:dLbl>
            <c:dLbl>
              <c:idx val="98"/>
              <c:tx>
                <c:rich>
                  <a:bodyPr/>
                  <a:lstStyle/>
                  <a:p>
                    <a:fld id="{8A6445BB-F939-4A15-B047-94080728EA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A6FE-4DE2-B358-B7F54CB1AFF6}"/>
                </c:ext>
              </c:extLst>
            </c:dLbl>
            <c:dLbl>
              <c:idx val="99"/>
              <c:tx>
                <c:rich>
                  <a:bodyPr/>
                  <a:lstStyle/>
                  <a:p>
                    <a:fld id="{A12C8110-23FD-4359-A4FF-93A694A711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A6FE-4DE2-B358-B7F54CB1AFF6}"/>
                </c:ext>
              </c:extLst>
            </c:dLbl>
            <c:dLbl>
              <c:idx val="100"/>
              <c:tx>
                <c:rich>
                  <a:bodyPr/>
                  <a:lstStyle/>
                  <a:p>
                    <a:fld id="{F82843A9-3F64-4E78-884C-D8074CE2D4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A6FE-4DE2-B358-B7F54CB1AFF6}"/>
                </c:ext>
              </c:extLst>
            </c:dLbl>
            <c:dLbl>
              <c:idx val="101"/>
              <c:tx>
                <c:rich>
                  <a:bodyPr/>
                  <a:lstStyle/>
                  <a:p>
                    <a:fld id="{0EF51C3D-4D34-402A-8AB4-7E8886FED5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A6FE-4DE2-B358-B7F54CB1AFF6}"/>
                </c:ext>
              </c:extLst>
            </c:dLbl>
            <c:dLbl>
              <c:idx val="102"/>
              <c:tx>
                <c:rich>
                  <a:bodyPr/>
                  <a:lstStyle/>
                  <a:p>
                    <a:fld id="{1E3BE1F0-1C05-43E1-ADAD-B1A8D3C27E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A6FE-4DE2-B358-B7F54CB1AFF6}"/>
                </c:ext>
              </c:extLst>
            </c:dLbl>
            <c:dLbl>
              <c:idx val="103"/>
              <c:tx>
                <c:rich>
                  <a:bodyPr/>
                  <a:lstStyle/>
                  <a:p>
                    <a:fld id="{B226F054-D4CB-41B3-B898-6ED7C5494D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A6FE-4DE2-B358-B7F54CB1AFF6}"/>
                </c:ext>
              </c:extLst>
            </c:dLbl>
            <c:dLbl>
              <c:idx val="104"/>
              <c:tx>
                <c:rich>
                  <a:bodyPr/>
                  <a:lstStyle/>
                  <a:p>
                    <a:fld id="{97FB30AD-1BAA-4A41-B826-DEE6748A1E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A6FE-4DE2-B358-B7F54CB1AFF6}"/>
                </c:ext>
              </c:extLst>
            </c:dLbl>
            <c:dLbl>
              <c:idx val="105"/>
              <c:tx>
                <c:rich>
                  <a:bodyPr/>
                  <a:lstStyle/>
                  <a:p>
                    <a:fld id="{CDFC14F2-BEB2-450D-8134-C81384E3F5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A6FE-4DE2-B358-B7F54CB1AFF6}"/>
                </c:ext>
              </c:extLst>
            </c:dLbl>
            <c:dLbl>
              <c:idx val="106"/>
              <c:tx>
                <c:rich>
                  <a:bodyPr/>
                  <a:lstStyle/>
                  <a:p>
                    <a:fld id="{62BF196E-48DC-41EB-ADBD-8D5DE22D07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A6FE-4DE2-B358-B7F54CB1AFF6}"/>
                </c:ext>
              </c:extLst>
            </c:dLbl>
            <c:dLbl>
              <c:idx val="107"/>
              <c:tx>
                <c:rich>
                  <a:bodyPr/>
                  <a:lstStyle/>
                  <a:p>
                    <a:fld id="{AEE655FA-6E34-49E5-B158-4B394678FE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A6FE-4DE2-B358-B7F54CB1AFF6}"/>
                </c:ext>
              </c:extLst>
            </c:dLbl>
            <c:dLbl>
              <c:idx val="108"/>
              <c:tx>
                <c:rich>
                  <a:bodyPr/>
                  <a:lstStyle/>
                  <a:p>
                    <a:fld id="{FFEBA368-3BDC-4347-8ABF-EEE48E74AF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A6FE-4DE2-B358-B7F54CB1AFF6}"/>
                </c:ext>
              </c:extLst>
            </c:dLbl>
            <c:dLbl>
              <c:idx val="109"/>
              <c:tx>
                <c:rich>
                  <a:bodyPr/>
                  <a:lstStyle/>
                  <a:p>
                    <a:fld id="{B937DED1-6DA4-4E9B-9493-E3F72E7F6D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A6FE-4DE2-B358-B7F54CB1AFF6}"/>
                </c:ext>
              </c:extLst>
            </c:dLbl>
            <c:dLbl>
              <c:idx val="110"/>
              <c:tx>
                <c:rich>
                  <a:bodyPr/>
                  <a:lstStyle/>
                  <a:p>
                    <a:fld id="{896C9F6F-CD1F-4E6F-95A8-10E658C311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A6FE-4DE2-B358-B7F54CB1AFF6}"/>
                </c:ext>
              </c:extLst>
            </c:dLbl>
            <c:dLbl>
              <c:idx val="111"/>
              <c:tx>
                <c:rich>
                  <a:bodyPr/>
                  <a:lstStyle/>
                  <a:p>
                    <a:fld id="{D7103580-E9EF-40A6-BDA8-723C7EA28F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A6FE-4DE2-B358-B7F54CB1AFF6}"/>
                </c:ext>
              </c:extLst>
            </c:dLbl>
            <c:dLbl>
              <c:idx val="112"/>
              <c:tx>
                <c:rich>
                  <a:bodyPr/>
                  <a:lstStyle/>
                  <a:p>
                    <a:fld id="{46ED1063-7FA6-4CF5-8E7E-6353A581AC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A6FE-4DE2-B358-B7F54CB1AFF6}"/>
                </c:ext>
              </c:extLst>
            </c:dLbl>
            <c:dLbl>
              <c:idx val="113"/>
              <c:tx>
                <c:rich>
                  <a:bodyPr/>
                  <a:lstStyle/>
                  <a:p>
                    <a:fld id="{D96A63F5-3529-49CC-9451-9C59F127E2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A6FE-4DE2-B358-B7F54CB1AFF6}"/>
                </c:ext>
              </c:extLst>
            </c:dLbl>
            <c:dLbl>
              <c:idx val="114"/>
              <c:tx>
                <c:rich>
                  <a:bodyPr/>
                  <a:lstStyle/>
                  <a:p>
                    <a:fld id="{A5FFA218-2434-4C0C-A081-65A95C2EB3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A6FE-4DE2-B358-B7F54CB1AFF6}"/>
                </c:ext>
              </c:extLst>
            </c:dLbl>
            <c:dLbl>
              <c:idx val="115"/>
              <c:tx>
                <c:rich>
                  <a:bodyPr/>
                  <a:lstStyle/>
                  <a:p>
                    <a:fld id="{70942E91-3252-4092-ABFA-2068F794FB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A6FE-4DE2-B358-B7F54CB1AFF6}"/>
                </c:ext>
              </c:extLst>
            </c:dLbl>
            <c:dLbl>
              <c:idx val="116"/>
              <c:tx>
                <c:rich>
                  <a:bodyPr/>
                  <a:lstStyle/>
                  <a:p>
                    <a:fld id="{56A4D0BA-9EF4-4BA1-8BE8-21CC371200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A6FE-4DE2-B358-B7F54CB1AFF6}"/>
                </c:ext>
              </c:extLst>
            </c:dLbl>
            <c:dLbl>
              <c:idx val="117"/>
              <c:tx>
                <c:rich>
                  <a:bodyPr/>
                  <a:lstStyle/>
                  <a:p>
                    <a:fld id="{FA85652F-282E-4983-91FE-4C65C9F416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A6FE-4DE2-B358-B7F54CB1AFF6}"/>
                </c:ext>
              </c:extLst>
            </c:dLbl>
            <c:dLbl>
              <c:idx val="118"/>
              <c:tx>
                <c:rich>
                  <a:bodyPr/>
                  <a:lstStyle/>
                  <a:p>
                    <a:fld id="{B53FA4FD-D0FD-4D84-9CAE-C992EFEAD7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A6FE-4DE2-B358-B7F54CB1AFF6}"/>
                </c:ext>
              </c:extLst>
            </c:dLbl>
            <c:dLbl>
              <c:idx val="119"/>
              <c:tx>
                <c:rich>
                  <a:bodyPr/>
                  <a:lstStyle/>
                  <a:p>
                    <a:fld id="{5650B630-245A-4431-B2EF-57E5867970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A6FE-4DE2-B358-B7F54CB1AFF6}"/>
                </c:ext>
              </c:extLst>
            </c:dLbl>
            <c:dLbl>
              <c:idx val="120"/>
              <c:tx>
                <c:rich>
                  <a:bodyPr/>
                  <a:lstStyle/>
                  <a:p>
                    <a:fld id="{6FF974A8-FA81-40BF-B724-81802711D2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A6FE-4DE2-B358-B7F54CB1AFF6}"/>
                </c:ext>
              </c:extLst>
            </c:dLbl>
            <c:dLbl>
              <c:idx val="121"/>
              <c:tx>
                <c:rich>
                  <a:bodyPr/>
                  <a:lstStyle/>
                  <a:p>
                    <a:fld id="{EFA6CBB1-92AF-45FF-B35E-9756D40721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A6FE-4DE2-B358-B7F54CB1AFF6}"/>
                </c:ext>
              </c:extLst>
            </c:dLbl>
            <c:dLbl>
              <c:idx val="122"/>
              <c:tx>
                <c:rich>
                  <a:bodyPr/>
                  <a:lstStyle/>
                  <a:p>
                    <a:fld id="{EE4AD65D-5CA2-4C3F-B4D7-638D894E75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A6FE-4DE2-B358-B7F54CB1AFF6}"/>
                </c:ext>
              </c:extLst>
            </c:dLbl>
            <c:dLbl>
              <c:idx val="123"/>
              <c:tx>
                <c:rich>
                  <a:bodyPr/>
                  <a:lstStyle/>
                  <a:p>
                    <a:fld id="{7C406803-E1CE-44D6-8941-0EE9BCBB41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A6FE-4DE2-B358-B7F54CB1AFF6}"/>
                </c:ext>
              </c:extLst>
            </c:dLbl>
            <c:dLbl>
              <c:idx val="124"/>
              <c:tx>
                <c:rich>
                  <a:bodyPr/>
                  <a:lstStyle/>
                  <a:p>
                    <a:fld id="{EB5DB583-1CB7-4B1B-92E9-F98FF281C7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A6FE-4DE2-B358-B7F54CB1AFF6}"/>
                </c:ext>
              </c:extLst>
            </c:dLbl>
            <c:dLbl>
              <c:idx val="125"/>
              <c:tx>
                <c:rich>
                  <a:bodyPr/>
                  <a:lstStyle/>
                  <a:p>
                    <a:fld id="{0F4A08EE-86AE-46F2-A987-AB3FF6FFC2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A6FE-4DE2-B358-B7F54CB1AFF6}"/>
                </c:ext>
              </c:extLst>
            </c:dLbl>
            <c:dLbl>
              <c:idx val="126"/>
              <c:tx>
                <c:rich>
                  <a:bodyPr/>
                  <a:lstStyle/>
                  <a:p>
                    <a:fld id="{FFBFB50D-D1B2-452B-84CD-39EE4446FF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A6FE-4DE2-B358-B7F54CB1AFF6}"/>
                </c:ext>
              </c:extLst>
            </c:dLbl>
            <c:dLbl>
              <c:idx val="127"/>
              <c:tx>
                <c:rich>
                  <a:bodyPr/>
                  <a:lstStyle/>
                  <a:p>
                    <a:fld id="{F63420B9-D2D6-4450-9A75-1773CC63A7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A6FE-4DE2-B358-B7F54CB1AFF6}"/>
                </c:ext>
              </c:extLst>
            </c:dLbl>
            <c:dLbl>
              <c:idx val="128"/>
              <c:tx>
                <c:rich>
                  <a:bodyPr/>
                  <a:lstStyle/>
                  <a:p>
                    <a:fld id="{0C3FEDCE-F751-4BBF-8732-C21EE212FB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A6FE-4DE2-B358-B7F54CB1AFF6}"/>
                </c:ext>
              </c:extLst>
            </c:dLbl>
            <c:dLbl>
              <c:idx val="129"/>
              <c:tx>
                <c:rich>
                  <a:bodyPr/>
                  <a:lstStyle/>
                  <a:p>
                    <a:fld id="{20F8F807-0596-4467-B469-57DD31C780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A6FE-4DE2-B358-B7F54CB1AFF6}"/>
                </c:ext>
              </c:extLst>
            </c:dLbl>
            <c:dLbl>
              <c:idx val="130"/>
              <c:tx>
                <c:rich>
                  <a:bodyPr/>
                  <a:lstStyle/>
                  <a:p>
                    <a:fld id="{70EB8821-24AC-4127-BF8D-A26A2606E4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A6FE-4DE2-B358-B7F54CB1AFF6}"/>
                </c:ext>
              </c:extLst>
            </c:dLbl>
            <c:dLbl>
              <c:idx val="131"/>
              <c:tx>
                <c:rich>
                  <a:bodyPr/>
                  <a:lstStyle/>
                  <a:p>
                    <a:fld id="{544097EB-8C00-4E62-BE96-004A79476F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A6FE-4DE2-B358-B7F54CB1AFF6}"/>
                </c:ext>
              </c:extLst>
            </c:dLbl>
            <c:dLbl>
              <c:idx val="132"/>
              <c:tx>
                <c:rich>
                  <a:bodyPr/>
                  <a:lstStyle/>
                  <a:p>
                    <a:fld id="{2BA061A6-D9AD-4E78-9924-081E09875B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A6FE-4DE2-B358-B7F54CB1AFF6}"/>
                </c:ext>
              </c:extLst>
            </c:dLbl>
            <c:dLbl>
              <c:idx val="133"/>
              <c:tx>
                <c:rich>
                  <a:bodyPr/>
                  <a:lstStyle/>
                  <a:p>
                    <a:fld id="{140FB75F-935F-4644-9013-187E9BEDD6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A6FE-4DE2-B358-B7F54CB1AFF6}"/>
                </c:ext>
              </c:extLst>
            </c:dLbl>
            <c:dLbl>
              <c:idx val="134"/>
              <c:tx>
                <c:rich>
                  <a:bodyPr/>
                  <a:lstStyle/>
                  <a:p>
                    <a:fld id="{772332FD-06C1-4827-94F6-2ADA159E6D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A6FE-4DE2-B358-B7F54CB1AFF6}"/>
                </c:ext>
              </c:extLst>
            </c:dLbl>
            <c:dLbl>
              <c:idx val="135"/>
              <c:tx>
                <c:rich>
                  <a:bodyPr/>
                  <a:lstStyle/>
                  <a:p>
                    <a:fld id="{49A5BB80-5CAD-4C53-B732-5FAEDA3750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A6FE-4DE2-B358-B7F54CB1AFF6}"/>
                </c:ext>
              </c:extLst>
            </c:dLbl>
            <c:dLbl>
              <c:idx val="136"/>
              <c:tx>
                <c:rich>
                  <a:bodyPr/>
                  <a:lstStyle/>
                  <a:p>
                    <a:fld id="{3E9CD59F-9382-480D-9EF6-80695CB486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A6FE-4DE2-B358-B7F54CB1AFF6}"/>
                </c:ext>
              </c:extLst>
            </c:dLbl>
            <c:dLbl>
              <c:idx val="137"/>
              <c:tx>
                <c:rich>
                  <a:bodyPr/>
                  <a:lstStyle/>
                  <a:p>
                    <a:fld id="{6EE3210D-76B9-440C-8CA8-45216EDD6D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A6FE-4DE2-B358-B7F54CB1AFF6}"/>
                </c:ext>
              </c:extLst>
            </c:dLbl>
            <c:dLbl>
              <c:idx val="138"/>
              <c:tx>
                <c:rich>
                  <a:bodyPr/>
                  <a:lstStyle/>
                  <a:p>
                    <a:fld id="{FBC33874-184A-459B-BA2B-CB1BDBC334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A6FE-4DE2-B358-B7F54CB1AFF6}"/>
                </c:ext>
              </c:extLst>
            </c:dLbl>
            <c:dLbl>
              <c:idx val="139"/>
              <c:tx>
                <c:rich>
                  <a:bodyPr/>
                  <a:lstStyle/>
                  <a:p>
                    <a:fld id="{9E593825-EA55-43DA-976F-63E818B3DE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A6FE-4DE2-B358-B7F54CB1AFF6}"/>
                </c:ext>
              </c:extLst>
            </c:dLbl>
            <c:dLbl>
              <c:idx val="140"/>
              <c:tx>
                <c:rich>
                  <a:bodyPr/>
                  <a:lstStyle/>
                  <a:p>
                    <a:fld id="{E0F87593-DEC0-45F6-89BC-CE2FA22E84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A6FE-4DE2-B358-B7F54CB1AFF6}"/>
                </c:ext>
              </c:extLst>
            </c:dLbl>
            <c:dLbl>
              <c:idx val="141"/>
              <c:tx>
                <c:rich>
                  <a:bodyPr/>
                  <a:lstStyle/>
                  <a:p>
                    <a:fld id="{935BDD76-E10A-46E4-87F0-FA27B025E8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A6FE-4DE2-B358-B7F54CB1AFF6}"/>
                </c:ext>
              </c:extLst>
            </c:dLbl>
            <c:dLbl>
              <c:idx val="142"/>
              <c:tx>
                <c:rich>
                  <a:bodyPr/>
                  <a:lstStyle/>
                  <a:p>
                    <a:fld id="{0C9AFB50-071D-4CE4-9479-DFEA82976F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A6FE-4DE2-B358-B7F54CB1AFF6}"/>
                </c:ext>
              </c:extLst>
            </c:dLbl>
            <c:dLbl>
              <c:idx val="143"/>
              <c:tx>
                <c:rich>
                  <a:bodyPr/>
                  <a:lstStyle/>
                  <a:p>
                    <a:fld id="{1BD36A0E-13E2-4FCF-A5B5-09C7EAF8E6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A6FE-4DE2-B358-B7F54CB1AFF6}"/>
                </c:ext>
              </c:extLst>
            </c:dLbl>
            <c:dLbl>
              <c:idx val="144"/>
              <c:tx>
                <c:rich>
                  <a:bodyPr/>
                  <a:lstStyle/>
                  <a:p>
                    <a:fld id="{4267769A-81F1-4AB6-8816-3EAD8C14BA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A6FE-4DE2-B358-B7F54CB1AFF6}"/>
                </c:ext>
              </c:extLst>
            </c:dLbl>
            <c:dLbl>
              <c:idx val="145"/>
              <c:tx>
                <c:rich>
                  <a:bodyPr/>
                  <a:lstStyle/>
                  <a:p>
                    <a:fld id="{3F5D99E5-9799-4858-B798-4C8FF907CE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A6FE-4DE2-B358-B7F54CB1AFF6}"/>
                </c:ext>
              </c:extLst>
            </c:dLbl>
            <c:dLbl>
              <c:idx val="146"/>
              <c:tx>
                <c:rich>
                  <a:bodyPr/>
                  <a:lstStyle/>
                  <a:p>
                    <a:fld id="{92D84C77-DA90-446C-8D48-061FB579B6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A6FE-4DE2-B358-B7F54CB1AFF6}"/>
                </c:ext>
              </c:extLst>
            </c:dLbl>
            <c:dLbl>
              <c:idx val="147"/>
              <c:tx>
                <c:rich>
                  <a:bodyPr/>
                  <a:lstStyle/>
                  <a:p>
                    <a:fld id="{CE4DAA5A-FC39-4A61-853E-6254069AB9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A6FE-4DE2-B358-B7F54CB1AFF6}"/>
                </c:ext>
              </c:extLst>
            </c:dLbl>
            <c:dLbl>
              <c:idx val="148"/>
              <c:tx>
                <c:rich>
                  <a:bodyPr/>
                  <a:lstStyle/>
                  <a:p>
                    <a:fld id="{5682C637-CB88-4DC8-A21A-1E36847EA3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A6FE-4DE2-B358-B7F54CB1AFF6}"/>
                </c:ext>
              </c:extLst>
            </c:dLbl>
            <c:dLbl>
              <c:idx val="149"/>
              <c:tx>
                <c:rich>
                  <a:bodyPr/>
                  <a:lstStyle/>
                  <a:p>
                    <a:fld id="{16734747-5C00-419A-A502-809116DF11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A6FE-4DE2-B358-B7F54CB1AFF6}"/>
                </c:ext>
              </c:extLst>
            </c:dLbl>
            <c:dLbl>
              <c:idx val="150"/>
              <c:tx>
                <c:rich>
                  <a:bodyPr/>
                  <a:lstStyle/>
                  <a:p>
                    <a:fld id="{4A99E4F1-5298-491C-ABAB-89D0E1AA44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A6FE-4DE2-B358-B7F54CB1AFF6}"/>
                </c:ext>
              </c:extLst>
            </c:dLbl>
            <c:dLbl>
              <c:idx val="151"/>
              <c:tx>
                <c:rich>
                  <a:bodyPr/>
                  <a:lstStyle/>
                  <a:p>
                    <a:fld id="{5D7FB49C-D032-4C49-A2C8-2322FB55D7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A6FE-4DE2-B358-B7F54CB1AFF6}"/>
                </c:ext>
              </c:extLst>
            </c:dLbl>
            <c:dLbl>
              <c:idx val="152"/>
              <c:tx>
                <c:rich>
                  <a:bodyPr/>
                  <a:lstStyle/>
                  <a:p>
                    <a:fld id="{1056B4A5-285B-4791-8D73-BEF534B9DC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A6FE-4DE2-B358-B7F54CB1AFF6}"/>
                </c:ext>
              </c:extLst>
            </c:dLbl>
            <c:dLbl>
              <c:idx val="153"/>
              <c:tx>
                <c:rich>
                  <a:bodyPr/>
                  <a:lstStyle/>
                  <a:p>
                    <a:fld id="{483C37E4-A050-4422-A254-24C220E472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A6FE-4DE2-B358-B7F54CB1AFF6}"/>
                </c:ext>
              </c:extLst>
            </c:dLbl>
            <c:dLbl>
              <c:idx val="154"/>
              <c:tx>
                <c:rich>
                  <a:bodyPr/>
                  <a:lstStyle/>
                  <a:p>
                    <a:fld id="{DAF5064F-9862-4821-81C1-286E1C687C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A6FE-4DE2-B358-B7F54CB1AFF6}"/>
                </c:ext>
              </c:extLst>
            </c:dLbl>
            <c:dLbl>
              <c:idx val="155"/>
              <c:tx>
                <c:rich>
                  <a:bodyPr/>
                  <a:lstStyle/>
                  <a:p>
                    <a:fld id="{EBBD084A-558C-499C-B8F9-EC2AE9CFEC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A6FE-4DE2-B358-B7F54CB1AFF6}"/>
                </c:ext>
              </c:extLst>
            </c:dLbl>
            <c:dLbl>
              <c:idx val="156"/>
              <c:tx>
                <c:rich>
                  <a:bodyPr/>
                  <a:lstStyle/>
                  <a:p>
                    <a:fld id="{66C9AE89-B67A-4920-B029-BF95A864D9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A6FE-4DE2-B358-B7F54CB1AFF6}"/>
                </c:ext>
              </c:extLst>
            </c:dLbl>
            <c:dLbl>
              <c:idx val="157"/>
              <c:tx>
                <c:rich>
                  <a:bodyPr/>
                  <a:lstStyle/>
                  <a:p>
                    <a:fld id="{C2791CA2-F01F-4130-8AB7-546F1BFCB0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A6FE-4DE2-B358-B7F54CB1AFF6}"/>
                </c:ext>
              </c:extLst>
            </c:dLbl>
            <c:dLbl>
              <c:idx val="158"/>
              <c:tx>
                <c:rich>
                  <a:bodyPr/>
                  <a:lstStyle/>
                  <a:p>
                    <a:fld id="{4C6BC92A-5397-4431-B56E-9EE8E33DB8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A6FE-4DE2-B358-B7F54CB1AFF6}"/>
                </c:ext>
              </c:extLst>
            </c:dLbl>
            <c:dLbl>
              <c:idx val="159"/>
              <c:tx>
                <c:rich>
                  <a:bodyPr/>
                  <a:lstStyle/>
                  <a:p>
                    <a:fld id="{64087F1E-85D3-4BBC-823B-46A8B9F1EB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A6FE-4DE2-B358-B7F54CB1AFF6}"/>
                </c:ext>
              </c:extLst>
            </c:dLbl>
            <c:dLbl>
              <c:idx val="160"/>
              <c:tx>
                <c:rich>
                  <a:bodyPr/>
                  <a:lstStyle/>
                  <a:p>
                    <a:fld id="{04E920CE-57BD-4BF2-832C-6F3C560D73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A6FE-4DE2-B358-B7F54CB1AFF6}"/>
                </c:ext>
              </c:extLst>
            </c:dLbl>
            <c:dLbl>
              <c:idx val="161"/>
              <c:tx>
                <c:rich>
                  <a:bodyPr/>
                  <a:lstStyle/>
                  <a:p>
                    <a:fld id="{21F1F48D-C0E2-4CF7-806C-12F81085F1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A6FE-4DE2-B358-B7F54CB1AFF6}"/>
                </c:ext>
              </c:extLst>
            </c:dLbl>
            <c:dLbl>
              <c:idx val="162"/>
              <c:tx>
                <c:rich>
                  <a:bodyPr/>
                  <a:lstStyle/>
                  <a:p>
                    <a:fld id="{B6156435-E2F5-4926-BA97-0A37F3DC24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A6FE-4DE2-B358-B7F54CB1AFF6}"/>
                </c:ext>
              </c:extLst>
            </c:dLbl>
            <c:dLbl>
              <c:idx val="163"/>
              <c:tx>
                <c:rich>
                  <a:bodyPr/>
                  <a:lstStyle/>
                  <a:p>
                    <a:fld id="{7BCBD62A-F848-499E-A08B-23BBC8BA96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A6FE-4DE2-B358-B7F54CB1AFF6}"/>
                </c:ext>
              </c:extLst>
            </c:dLbl>
            <c:dLbl>
              <c:idx val="164"/>
              <c:tx>
                <c:rich>
                  <a:bodyPr/>
                  <a:lstStyle/>
                  <a:p>
                    <a:fld id="{143F4ADD-3C1C-46B2-9A42-7D435C14BD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A6FE-4DE2-B358-B7F54CB1AFF6}"/>
                </c:ext>
              </c:extLst>
            </c:dLbl>
            <c:dLbl>
              <c:idx val="165"/>
              <c:tx>
                <c:rich>
                  <a:bodyPr/>
                  <a:lstStyle/>
                  <a:p>
                    <a:fld id="{2A2DA151-71C5-4C2F-A189-EC2E2840BC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A6FE-4DE2-B358-B7F54CB1AFF6}"/>
                </c:ext>
              </c:extLst>
            </c:dLbl>
            <c:dLbl>
              <c:idx val="166"/>
              <c:tx>
                <c:rich>
                  <a:bodyPr/>
                  <a:lstStyle/>
                  <a:p>
                    <a:fld id="{CC7EBF71-3F40-467B-848C-53AC3B8A2C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A6FE-4DE2-B358-B7F54CB1AFF6}"/>
                </c:ext>
              </c:extLst>
            </c:dLbl>
            <c:dLbl>
              <c:idx val="167"/>
              <c:tx>
                <c:rich>
                  <a:bodyPr/>
                  <a:lstStyle/>
                  <a:p>
                    <a:fld id="{C76241DB-FCFA-4C09-9C43-60E0514D8F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A6FE-4DE2-B358-B7F54CB1AFF6}"/>
                </c:ext>
              </c:extLst>
            </c:dLbl>
            <c:dLbl>
              <c:idx val="168"/>
              <c:tx>
                <c:rich>
                  <a:bodyPr/>
                  <a:lstStyle/>
                  <a:p>
                    <a:fld id="{08D3321A-E13D-44E1-BA1C-ECE8555229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A6FE-4DE2-B358-B7F54CB1AFF6}"/>
                </c:ext>
              </c:extLst>
            </c:dLbl>
            <c:dLbl>
              <c:idx val="169"/>
              <c:tx>
                <c:rich>
                  <a:bodyPr/>
                  <a:lstStyle/>
                  <a:p>
                    <a:fld id="{07DB31CE-7C4D-4C92-9ABC-4119F6C924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A6FE-4DE2-B358-B7F54CB1AFF6}"/>
                </c:ext>
              </c:extLst>
            </c:dLbl>
            <c:dLbl>
              <c:idx val="170"/>
              <c:tx>
                <c:rich>
                  <a:bodyPr/>
                  <a:lstStyle/>
                  <a:p>
                    <a:fld id="{A2B0ED78-B827-4578-8E79-48845AAF1B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A6FE-4DE2-B358-B7F54CB1AFF6}"/>
                </c:ext>
              </c:extLst>
            </c:dLbl>
            <c:dLbl>
              <c:idx val="171"/>
              <c:tx>
                <c:rich>
                  <a:bodyPr/>
                  <a:lstStyle/>
                  <a:p>
                    <a:fld id="{5C5DA9A0-FBC2-4B63-9314-0F39377CEF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A6FE-4DE2-B358-B7F54CB1AFF6}"/>
                </c:ext>
              </c:extLst>
            </c:dLbl>
            <c:dLbl>
              <c:idx val="172"/>
              <c:tx>
                <c:rich>
                  <a:bodyPr/>
                  <a:lstStyle/>
                  <a:p>
                    <a:fld id="{51E514D8-7A9F-4B5B-BB66-4DF438D536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A6FE-4DE2-B358-B7F54CB1AFF6}"/>
                </c:ext>
              </c:extLst>
            </c:dLbl>
            <c:dLbl>
              <c:idx val="173"/>
              <c:tx>
                <c:rich>
                  <a:bodyPr/>
                  <a:lstStyle/>
                  <a:p>
                    <a:fld id="{AE7E2CAE-137C-4844-8FFF-31B6A9625D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A6FE-4DE2-B358-B7F54CB1AFF6}"/>
                </c:ext>
              </c:extLst>
            </c:dLbl>
            <c:dLbl>
              <c:idx val="174"/>
              <c:tx>
                <c:rich>
                  <a:bodyPr/>
                  <a:lstStyle/>
                  <a:p>
                    <a:fld id="{DADCC43C-7F24-465B-B09B-88FCC48C23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A6FE-4DE2-B358-B7F54CB1AFF6}"/>
                </c:ext>
              </c:extLst>
            </c:dLbl>
            <c:dLbl>
              <c:idx val="175"/>
              <c:tx>
                <c:rich>
                  <a:bodyPr/>
                  <a:lstStyle/>
                  <a:p>
                    <a:fld id="{FC5F7E67-4B45-4211-853C-5FC6BA8472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A6FE-4DE2-B358-B7F54CB1AFF6}"/>
                </c:ext>
              </c:extLst>
            </c:dLbl>
            <c:dLbl>
              <c:idx val="176"/>
              <c:tx>
                <c:rich>
                  <a:bodyPr/>
                  <a:lstStyle/>
                  <a:p>
                    <a:fld id="{216A7F11-9F3E-411F-AF12-6A8B56CF39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A6FE-4DE2-B358-B7F54CB1AFF6}"/>
                </c:ext>
              </c:extLst>
            </c:dLbl>
            <c:dLbl>
              <c:idx val="177"/>
              <c:tx>
                <c:rich>
                  <a:bodyPr/>
                  <a:lstStyle/>
                  <a:p>
                    <a:fld id="{BB9348CD-83E8-43AE-A294-7582CE2567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A6FE-4DE2-B358-B7F54CB1AFF6}"/>
                </c:ext>
              </c:extLst>
            </c:dLbl>
            <c:dLbl>
              <c:idx val="178"/>
              <c:tx>
                <c:rich>
                  <a:bodyPr/>
                  <a:lstStyle/>
                  <a:p>
                    <a:fld id="{FB2DC0B6-BBB7-458F-89BB-6C901BEDC0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A6FE-4DE2-B358-B7F54CB1AFF6}"/>
                </c:ext>
              </c:extLst>
            </c:dLbl>
            <c:dLbl>
              <c:idx val="179"/>
              <c:tx>
                <c:rich>
                  <a:bodyPr/>
                  <a:lstStyle/>
                  <a:p>
                    <a:fld id="{80D516A0-2726-44FF-94A0-A09AEE9322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A6FE-4DE2-B358-B7F54CB1AFF6}"/>
                </c:ext>
              </c:extLst>
            </c:dLbl>
            <c:dLbl>
              <c:idx val="180"/>
              <c:tx>
                <c:rich>
                  <a:bodyPr/>
                  <a:lstStyle/>
                  <a:p>
                    <a:fld id="{8D01F6D7-973E-48D2-8D21-6020E8A2C9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A6FE-4DE2-B358-B7F54CB1AFF6}"/>
                </c:ext>
              </c:extLst>
            </c:dLbl>
            <c:dLbl>
              <c:idx val="181"/>
              <c:tx>
                <c:rich>
                  <a:bodyPr/>
                  <a:lstStyle/>
                  <a:p>
                    <a:fld id="{3A570C26-ECFA-4E49-8E07-2C13409A91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A6FE-4DE2-B358-B7F54CB1AFF6}"/>
                </c:ext>
              </c:extLst>
            </c:dLbl>
            <c:dLbl>
              <c:idx val="182"/>
              <c:tx>
                <c:rich>
                  <a:bodyPr/>
                  <a:lstStyle/>
                  <a:p>
                    <a:fld id="{3DCFEA23-FE54-41DF-ADCB-4E32CC7195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A6FE-4DE2-B358-B7F54CB1AFF6}"/>
                </c:ext>
              </c:extLst>
            </c:dLbl>
            <c:dLbl>
              <c:idx val="183"/>
              <c:tx>
                <c:rich>
                  <a:bodyPr/>
                  <a:lstStyle/>
                  <a:p>
                    <a:fld id="{6A53638C-7595-4500-8052-EE0F8ED78A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A6FE-4DE2-B358-B7F54CB1AFF6}"/>
                </c:ext>
              </c:extLst>
            </c:dLbl>
            <c:dLbl>
              <c:idx val="184"/>
              <c:tx>
                <c:rich>
                  <a:bodyPr/>
                  <a:lstStyle/>
                  <a:p>
                    <a:fld id="{998054AF-A459-4342-BB38-B63440D347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A6FE-4DE2-B358-B7F54CB1AFF6}"/>
                </c:ext>
              </c:extLst>
            </c:dLbl>
            <c:dLbl>
              <c:idx val="185"/>
              <c:tx>
                <c:rich>
                  <a:bodyPr/>
                  <a:lstStyle/>
                  <a:p>
                    <a:fld id="{33E88CF5-A80C-47B1-929D-BFF542FCC0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A6FE-4DE2-B358-B7F54CB1AFF6}"/>
                </c:ext>
              </c:extLst>
            </c:dLbl>
            <c:dLbl>
              <c:idx val="186"/>
              <c:tx>
                <c:rich>
                  <a:bodyPr/>
                  <a:lstStyle/>
                  <a:p>
                    <a:fld id="{AE63C06F-DC12-4D82-92E3-3DED155B01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A6FE-4DE2-B358-B7F54CB1AFF6}"/>
                </c:ext>
              </c:extLst>
            </c:dLbl>
            <c:dLbl>
              <c:idx val="187"/>
              <c:tx>
                <c:rich>
                  <a:bodyPr/>
                  <a:lstStyle/>
                  <a:p>
                    <a:fld id="{D58E1414-65E2-4C13-A179-9B6A388E77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A6FE-4DE2-B358-B7F54CB1AFF6}"/>
                </c:ext>
              </c:extLst>
            </c:dLbl>
            <c:dLbl>
              <c:idx val="188"/>
              <c:tx>
                <c:rich>
                  <a:bodyPr/>
                  <a:lstStyle/>
                  <a:p>
                    <a:fld id="{BE3D9B14-B863-40C8-B24C-2E78636B70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A6FE-4DE2-B358-B7F54CB1AFF6}"/>
                </c:ext>
              </c:extLst>
            </c:dLbl>
            <c:dLbl>
              <c:idx val="189"/>
              <c:tx>
                <c:rich>
                  <a:bodyPr/>
                  <a:lstStyle/>
                  <a:p>
                    <a:fld id="{92347530-47B5-4EF2-AF22-6DAE084BBB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A6FE-4DE2-B358-B7F54CB1AFF6}"/>
                </c:ext>
              </c:extLst>
            </c:dLbl>
            <c:dLbl>
              <c:idx val="190"/>
              <c:tx>
                <c:rich>
                  <a:bodyPr/>
                  <a:lstStyle/>
                  <a:p>
                    <a:fld id="{DE451D75-2631-4546-8355-5ED59AA3C0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A6FE-4DE2-B358-B7F54CB1AFF6}"/>
                </c:ext>
              </c:extLst>
            </c:dLbl>
            <c:dLbl>
              <c:idx val="191"/>
              <c:tx>
                <c:rich>
                  <a:bodyPr/>
                  <a:lstStyle/>
                  <a:p>
                    <a:fld id="{FA06B2F9-B0FF-4FF9-85BF-78FABC3377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A6FE-4DE2-B358-B7F54CB1AFF6}"/>
                </c:ext>
              </c:extLst>
            </c:dLbl>
            <c:dLbl>
              <c:idx val="192"/>
              <c:tx>
                <c:rich>
                  <a:bodyPr/>
                  <a:lstStyle/>
                  <a:p>
                    <a:fld id="{08970E1C-541F-4056-8BCE-F83C7C779F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A6FE-4DE2-B358-B7F54CB1AFF6}"/>
                </c:ext>
              </c:extLst>
            </c:dLbl>
            <c:dLbl>
              <c:idx val="193"/>
              <c:tx>
                <c:rich>
                  <a:bodyPr/>
                  <a:lstStyle/>
                  <a:p>
                    <a:fld id="{46E680F4-F936-4340-AAA3-BBE42729B4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A6FE-4DE2-B358-B7F54CB1AFF6}"/>
                </c:ext>
              </c:extLst>
            </c:dLbl>
            <c:dLbl>
              <c:idx val="194"/>
              <c:tx>
                <c:rich>
                  <a:bodyPr/>
                  <a:lstStyle/>
                  <a:p>
                    <a:fld id="{5911785A-F83A-4D04-9C8C-C28856A799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A6FE-4DE2-B358-B7F54CB1AFF6}"/>
                </c:ext>
              </c:extLst>
            </c:dLbl>
            <c:dLbl>
              <c:idx val="195"/>
              <c:tx>
                <c:rich>
                  <a:bodyPr/>
                  <a:lstStyle/>
                  <a:p>
                    <a:fld id="{E2AA7DCE-D0C6-41DE-9E0D-21D7F28ADD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A6FE-4DE2-B358-B7F54CB1AFF6}"/>
                </c:ext>
              </c:extLst>
            </c:dLbl>
            <c:dLbl>
              <c:idx val="196"/>
              <c:tx>
                <c:rich>
                  <a:bodyPr/>
                  <a:lstStyle/>
                  <a:p>
                    <a:fld id="{3ED68713-E099-4804-8D5D-96674B1FE1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A6FE-4DE2-B358-B7F54CB1AFF6}"/>
                </c:ext>
              </c:extLst>
            </c:dLbl>
            <c:dLbl>
              <c:idx val="197"/>
              <c:tx>
                <c:rich>
                  <a:bodyPr/>
                  <a:lstStyle/>
                  <a:p>
                    <a:fld id="{C208B30E-86AB-4C9E-9DB7-03818D96F2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A6FE-4DE2-B358-B7F54CB1AFF6}"/>
                </c:ext>
              </c:extLst>
            </c:dLbl>
            <c:dLbl>
              <c:idx val="198"/>
              <c:tx>
                <c:rich>
                  <a:bodyPr/>
                  <a:lstStyle/>
                  <a:p>
                    <a:fld id="{A3A4257A-AED2-4D8C-BF40-D613C64821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A6FE-4DE2-B358-B7F54CB1AFF6}"/>
                </c:ext>
              </c:extLst>
            </c:dLbl>
            <c:dLbl>
              <c:idx val="199"/>
              <c:tx>
                <c:rich>
                  <a:bodyPr/>
                  <a:lstStyle/>
                  <a:p>
                    <a:fld id="{45D3BF29-9F0C-4255-BBF8-B6CB8C61D1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A6FE-4DE2-B358-B7F54CB1AFF6}"/>
                </c:ext>
              </c:extLst>
            </c:dLbl>
            <c:dLbl>
              <c:idx val="200"/>
              <c:tx>
                <c:rich>
                  <a:bodyPr/>
                  <a:lstStyle/>
                  <a:p>
                    <a:fld id="{68E35C1B-6F3B-4A4B-A0C5-09119466D2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A6FE-4DE2-B358-B7F54CB1AFF6}"/>
                </c:ext>
              </c:extLst>
            </c:dLbl>
            <c:dLbl>
              <c:idx val="201"/>
              <c:tx>
                <c:rich>
                  <a:bodyPr/>
                  <a:lstStyle/>
                  <a:p>
                    <a:fld id="{B31AEEB7-C9B5-45C3-8929-B902FE3508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A6FE-4DE2-B358-B7F54CB1AFF6}"/>
                </c:ext>
              </c:extLst>
            </c:dLbl>
            <c:dLbl>
              <c:idx val="202"/>
              <c:tx>
                <c:rich>
                  <a:bodyPr/>
                  <a:lstStyle/>
                  <a:p>
                    <a:fld id="{CCC4874C-D366-41DC-936A-6B4453BAA3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A6FE-4DE2-B358-B7F54CB1AFF6}"/>
                </c:ext>
              </c:extLst>
            </c:dLbl>
            <c:dLbl>
              <c:idx val="203"/>
              <c:tx>
                <c:rich>
                  <a:bodyPr/>
                  <a:lstStyle/>
                  <a:p>
                    <a:fld id="{D4D6FB78-B571-4625-9EDD-250A0F3ED8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A6FE-4DE2-B358-B7F54CB1AFF6}"/>
                </c:ext>
              </c:extLst>
            </c:dLbl>
            <c:dLbl>
              <c:idx val="204"/>
              <c:tx>
                <c:rich>
                  <a:bodyPr/>
                  <a:lstStyle/>
                  <a:p>
                    <a:fld id="{08604377-94A5-4E23-A3A4-9C64BE914D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A6FE-4DE2-B358-B7F54CB1AFF6}"/>
                </c:ext>
              </c:extLst>
            </c:dLbl>
            <c:dLbl>
              <c:idx val="205"/>
              <c:tx>
                <c:rich>
                  <a:bodyPr/>
                  <a:lstStyle/>
                  <a:p>
                    <a:fld id="{DBB569EA-36F2-4115-A268-A83B5AC9CD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A6FE-4DE2-B358-B7F54CB1AFF6}"/>
                </c:ext>
              </c:extLst>
            </c:dLbl>
            <c:dLbl>
              <c:idx val="206"/>
              <c:tx>
                <c:rich>
                  <a:bodyPr/>
                  <a:lstStyle/>
                  <a:p>
                    <a:fld id="{FE91EFAC-3F98-43F8-8F4F-D040BBFBC5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A6FE-4DE2-B358-B7F54CB1AFF6}"/>
                </c:ext>
              </c:extLst>
            </c:dLbl>
            <c:dLbl>
              <c:idx val="207"/>
              <c:tx>
                <c:rich>
                  <a:bodyPr/>
                  <a:lstStyle/>
                  <a:p>
                    <a:fld id="{6FB90754-AC0D-4CB8-AC25-98984E6FF0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A6FE-4DE2-B358-B7F54CB1AFF6}"/>
                </c:ext>
              </c:extLst>
            </c:dLbl>
            <c:dLbl>
              <c:idx val="208"/>
              <c:tx>
                <c:rich>
                  <a:bodyPr/>
                  <a:lstStyle/>
                  <a:p>
                    <a:fld id="{DDB2A7C2-3CDD-46A5-A590-6068272126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A6FE-4DE2-B358-B7F54CB1AFF6}"/>
                </c:ext>
              </c:extLst>
            </c:dLbl>
            <c:dLbl>
              <c:idx val="209"/>
              <c:tx>
                <c:rich>
                  <a:bodyPr/>
                  <a:lstStyle/>
                  <a:p>
                    <a:fld id="{2BCA31AE-849F-4063-AA53-BF3A8B4D7C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A6FE-4DE2-B358-B7F54CB1AFF6}"/>
                </c:ext>
              </c:extLst>
            </c:dLbl>
            <c:dLbl>
              <c:idx val="210"/>
              <c:tx>
                <c:rich>
                  <a:bodyPr/>
                  <a:lstStyle/>
                  <a:p>
                    <a:fld id="{A3649B87-0192-4991-A88E-EF0757144F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A6FE-4DE2-B358-B7F54CB1AFF6}"/>
                </c:ext>
              </c:extLst>
            </c:dLbl>
            <c:dLbl>
              <c:idx val="211"/>
              <c:tx>
                <c:rich>
                  <a:bodyPr/>
                  <a:lstStyle/>
                  <a:p>
                    <a:fld id="{168680DD-2841-4EFF-9F18-56BFF0645F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A6FE-4DE2-B358-B7F54CB1AFF6}"/>
                </c:ext>
              </c:extLst>
            </c:dLbl>
            <c:dLbl>
              <c:idx val="212"/>
              <c:tx>
                <c:rich>
                  <a:bodyPr/>
                  <a:lstStyle/>
                  <a:p>
                    <a:fld id="{A6D804A0-C682-492A-AD7B-778352580C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A6FE-4DE2-B358-B7F54CB1AFF6}"/>
                </c:ext>
              </c:extLst>
            </c:dLbl>
            <c:dLbl>
              <c:idx val="213"/>
              <c:tx>
                <c:rich>
                  <a:bodyPr/>
                  <a:lstStyle/>
                  <a:p>
                    <a:fld id="{1015E328-E823-48E3-8384-133CEC3B4B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A6FE-4DE2-B358-B7F54CB1AFF6}"/>
                </c:ext>
              </c:extLst>
            </c:dLbl>
            <c:dLbl>
              <c:idx val="214"/>
              <c:tx>
                <c:rich>
                  <a:bodyPr/>
                  <a:lstStyle/>
                  <a:p>
                    <a:fld id="{022343C8-1151-4133-B9E0-D38B4C7817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A6FE-4DE2-B358-B7F54CB1AFF6}"/>
                </c:ext>
              </c:extLst>
            </c:dLbl>
            <c:dLbl>
              <c:idx val="215"/>
              <c:tx>
                <c:rich>
                  <a:bodyPr/>
                  <a:lstStyle/>
                  <a:p>
                    <a:fld id="{C9D63EC9-5C70-47BD-B367-65C00E1360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A6FE-4DE2-B358-B7F54CB1AFF6}"/>
                </c:ext>
              </c:extLst>
            </c:dLbl>
            <c:dLbl>
              <c:idx val="216"/>
              <c:tx>
                <c:rich>
                  <a:bodyPr/>
                  <a:lstStyle/>
                  <a:p>
                    <a:fld id="{E217C716-38F8-4DDD-A953-00E18AD0FE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A6FE-4DE2-B358-B7F54CB1AFF6}"/>
                </c:ext>
              </c:extLst>
            </c:dLbl>
            <c:dLbl>
              <c:idx val="217"/>
              <c:tx>
                <c:rich>
                  <a:bodyPr/>
                  <a:lstStyle/>
                  <a:p>
                    <a:fld id="{9542E0D8-CAA2-41F4-9887-A5EE32FF1C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A6FE-4DE2-B358-B7F54CB1AFF6}"/>
                </c:ext>
              </c:extLst>
            </c:dLbl>
            <c:dLbl>
              <c:idx val="218"/>
              <c:tx>
                <c:rich>
                  <a:bodyPr/>
                  <a:lstStyle/>
                  <a:p>
                    <a:fld id="{5FAADFF4-5398-4DC1-82E8-2E5B888983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A6FE-4DE2-B358-B7F54CB1AFF6}"/>
                </c:ext>
              </c:extLst>
            </c:dLbl>
            <c:dLbl>
              <c:idx val="219"/>
              <c:tx>
                <c:rich>
                  <a:bodyPr/>
                  <a:lstStyle/>
                  <a:p>
                    <a:fld id="{111E55BD-AB07-4496-80BF-0992041781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A6FE-4DE2-B358-B7F54CB1AFF6}"/>
                </c:ext>
              </c:extLst>
            </c:dLbl>
            <c:dLbl>
              <c:idx val="220"/>
              <c:tx>
                <c:rich>
                  <a:bodyPr/>
                  <a:lstStyle/>
                  <a:p>
                    <a:fld id="{4D1E87E4-118E-4893-98A1-792EFE50DB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A6FE-4DE2-B358-B7F54CB1AFF6}"/>
                </c:ext>
              </c:extLst>
            </c:dLbl>
            <c:dLbl>
              <c:idx val="221"/>
              <c:tx>
                <c:rich>
                  <a:bodyPr/>
                  <a:lstStyle/>
                  <a:p>
                    <a:fld id="{99FCCD0A-D0D1-41BE-8668-F742DF1178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A6FE-4DE2-B358-B7F54CB1AFF6}"/>
                </c:ext>
              </c:extLst>
            </c:dLbl>
            <c:dLbl>
              <c:idx val="222"/>
              <c:tx>
                <c:rich>
                  <a:bodyPr/>
                  <a:lstStyle/>
                  <a:p>
                    <a:fld id="{1C562E08-A507-4AA5-AE3C-E2648747F9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A6FE-4DE2-B358-B7F54CB1AFF6}"/>
                </c:ext>
              </c:extLst>
            </c:dLbl>
            <c:dLbl>
              <c:idx val="223"/>
              <c:tx>
                <c:rich>
                  <a:bodyPr/>
                  <a:lstStyle/>
                  <a:p>
                    <a:fld id="{2B081049-411A-420B-9FFE-48918588A7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A6FE-4DE2-B358-B7F54CB1AFF6}"/>
                </c:ext>
              </c:extLst>
            </c:dLbl>
            <c:dLbl>
              <c:idx val="224"/>
              <c:tx>
                <c:rich>
                  <a:bodyPr/>
                  <a:lstStyle/>
                  <a:p>
                    <a:fld id="{7856B81C-4875-4E63-9D46-FD566E8065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A6FE-4DE2-B358-B7F54CB1AFF6}"/>
                </c:ext>
              </c:extLst>
            </c:dLbl>
            <c:dLbl>
              <c:idx val="225"/>
              <c:tx>
                <c:rich>
                  <a:bodyPr/>
                  <a:lstStyle/>
                  <a:p>
                    <a:fld id="{2B70165E-A470-46BC-9C56-1868A9BF46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A6FE-4DE2-B358-B7F54CB1AFF6}"/>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A6FE-4DE2-B358-B7F54CB1AFF6}"/>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A6FE-4DE2-B358-B7F54CB1AFF6}"/>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A6FE-4DE2-B358-B7F54CB1AFF6}"/>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A6FE-4DE2-B358-B7F54CB1AFF6}"/>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A6FE-4DE2-B358-B7F54CB1AFF6}"/>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A6FE-4DE2-B358-B7F54CB1AFF6}"/>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A6FE-4DE2-B358-B7F54CB1AFF6}"/>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A6FE-4DE2-B358-B7F54CB1AFF6}"/>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A6FE-4DE2-B358-B7F54CB1AFF6}"/>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A6FE-4DE2-B358-B7F54CB1AFF6}"/>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A6FE-4DE2-B358-B7F54CB1AFF6}"/>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A6FE-4DE2-B358-B7F54CB1AFF6}"/>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A6FE-4DE2-B358-B7F54CB1AFF6}"/>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A6FE-4DE2-B358-B7F54CB1AFF6}"/>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A6FE-4DE2-B358-B7F54CB1AFF6}"/>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A6FE-4DE2-B358-B7F54CB1AFF6}"/>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A6FE-4DE2-B358-B7F54CB1AFF6}"/>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A6FE-4DE2-B358-B7F54CB1AFF6}"/>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A6FE-4DE2-B358-B7F54CB1AFF6}"/>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A6FE-4DE2-B358-B7F54CB1AFF6}"/>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A6FE-4DE2-B358-B7F54CB1AFF6}"/>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A6FE-4DE2-B358-B7F54CB1AFF6}"/>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A6FE-4DE2-B358-B7F54CB1AFF6}"/>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A6FE-4DE2-B358-B7F54CB1AFF6}"/>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A6FE-4DE2-B358-B7F54CB1AFF6}"/>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A6FE-4DE2-B358-B7F54CB1AFF6}"/>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A6FE-4DE2-B358-B7F54CB1AFF6}"/>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A6FE-4DE2-B358-B7F54CB1AFF6}"/>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A6FE-4DE2-B358-B7F54CB1AFF6}"/>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A6FE-4DE2-B358-B7F54CB1AFF6}"/>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A6FE-4DE2-B358-B7F54CB1AFF6}"/>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A6FE-4DE2-B358-B7F54CB1AFF6}"/>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A6FE-4DE2-B358-B7F54CB1AFF6}"/>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A6FE-4DE2-B358-B7F54CB1AFF6}"/>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A6FE-4DE2-B358-B7F54CB1AFF6}"/>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A6FE-4DE2-B358-B7F54CB1AFF6}"/>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A6FE-4DE2-B358-B7F54CB1AFF6}"/>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A6FE-4DE2-B358-B7F54CB1AFF6}"/>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A6FE-4DE2-B358-B7F54CB1AFF6}"/>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A6FE-4DE2-B358-B7F54CB1AFF6}"/>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A6FE-4DE2-B358-B7F54CB1AFF6}"/>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A6FE-4DE2-B358-B7F54CB1AFF6}"/>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A6FE-4DE2-B358-B7F54CB1AFF6}"/>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A6FE-4DE2-B358-B7F54CB1AFF6}"/>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A6FE-4DE2-B358-B7F54CB1AFF6}"/>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A6FE-4DE2-B358-B7F54CB1AFF6}"/>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A6FE-4DE2-B358-B7F54CB1AFF6}"/>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A6FE-4DE2-B358-B7F54CB1AFF6}"/>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A6FE-4DE2-B358-B7F54CB1AFF6}"/>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A6FE-4DE2-B358-B7F54CB1AFF6}"/>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A6FE-4DE2-B358-B7F54CB1AFF6}"/>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A6FE-4DE2-B358-B7F54CB1AFF6}"/>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A6FE-4DE2-B358-B7F54CB1AFF6}"/>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A6FE-4DE2-B358-B7F54CB1AFF6}"/>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A6FE-4DE2-B358-B7F54CB1AFF6}"/>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A6FE-4DE2-B358-B7F54CB1AFF6}"/>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A6FE-4DE2-B358-B7F54CB1AFF6}"/>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A6FE-4DE2-B358-B7F54CB1AFF6}"/>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A6FE-4DE2-B358-B7F54CB1AFF6}"/>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A6FE-4DE2-B358-B7F54CB1AFF6}"/>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A6FE-4DE2-B358-B7F54CB1AFF6}"/>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A6FE-4DE2-B358-B7F54CB1AFF6}"/>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A6FE-4DE2-B358-B7F54CB1AFF6}"/>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A6FE-4DE2-B358-B7F54CB1AFF6}"/>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A6FE-4DE2-B358-B7F54CB1AFF6}"/>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A6FE-4DE2-B358-B7F54CB1AFF6}"/>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A6FE-4DE2-B358-B7F54CB1AFF6}"/>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A6FE-4DE2-B358-B7F54CB1AFF6}"/>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A6FE-4DE2-B358-B7F54CB1AFF6}"/>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A6FE-4DE2-B358-B7F54CB1AFF6}"/>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A6FE-4DE2-B358-B7F54CB1AFF6}"/>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A6FE-4DE2-B358-B7F54CB1AFF6}"/>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A6FE-4DE2-B358-B7F54CB1AFF6}"/>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NormalisedUVVisData!$D$2:$D$300</c:f>
              <c:numCache>
                <c:formatCode>General</c:formatCode>
                <c:ptCount val="299"/>
                <c:pt idx="0">
                  <c:v>60.024539947509766</c:v>
                </c:pt>
                <c:pt idx="1">
                  <c:v>65.150405883789063</c:v>
                </c:pt>
                <c:pt idx="2">
                  <c:v>68.896530151367188</c:v>
                </c:pt>
                <c:pt idx="3">
                  <c:v>72.470664978027344</c:v>
                </c:pt>
                <c:pt idx="4">
                  <c:v>76.143646240234375</c:v>
                </c:pt>
                <c:pt idx="5">
                  <c:v>79.448135375976563</c:v>
                </c:pt>
                <c:pt idx="6">
                  <c:v>83.236541748046875</c:v>
                </c:pt>
                <c:pt idx="7">
                  <c:v>86.973892211914063</c:v>
                </c:pt>
                <c:pt idx="8">
                  <c:v>89.587852478027344</c:v>
                </c:pt>
                <c:pt idx="9">
                  <c:v>91.480072021484375</c:v>
                </c:pt>
                <c:pt idx="10">
                  <c:v>91.148979187011719</c:v>
                </c:pt>
                <c:pt idx="11">
                  <c:v>88.798126220703125</c:v>
                </c:pt>
                <c:pt idx="12">
                  <c:v>85.403083801269531</c:v>
                </c:pt>
                <c:pt idx="13">
                  <c:v>81.486503601074219</c:v>
                </c:pt>
                <c:pt idx="14">
                  <c:v>76.627845764160156</c:v>
                </c:pt>
                <c:pt idx="15">
                  <c:v>72.259666442871094</c:v>
                </c:pt>
                <c:pt idx="16">
                  <c:v>70.919914245605469</c:v>
                </c:pt>
                <c:pt idx="17">
                  <c:v>70.947151184082031</c:v>
                </c:pt>
                <c:pt idx="18">
                  <c:v>72.138740539550781</c:v>
                </c:pt>
                <c:pt idx="19">
                  <c:v>74.377998352050781</c:v>
                </c:pt>
                <c:pt idx="20">
                  <c:v>77.164779663085938</c:v>
                </c:pt>
                <c:pt idx="21">
                  <c:v>80.668769836425781</c:v>
                </c:pt>
                <c:pt idx="22">
                  <c:v>84.940193176269531</c:v>
                </c:pt>
                <c:pt idx="23">
                  <c:v>90.327423095703125</c:v>
                </c:pt>
                <c:pt idx="24">
                  <c:v>95.198959350585938</c:v>
                </c:pt>
                <c:pt idx="25">
                  <c:v>98.116279602050781</c:v>
                </c:pt>
                <c:pt idx="26">
                  <c:v>100</c:v>
                </c:pt>
                <c:pt idx="27">
                  <c:v>99.547142028808594</c:v>
                </c:pt>
                <c:pt idx="28">
                  <c:v>95.042778015136719</c:v>
                </c:pt>
                <c:pt idx="29">
                  <c:v>87.061317443847656</c:v>
                </c:pt>
                <c:pt idx="30">
                  <c:v>76.481773376464844</c:v>
                </c:pt>
                <c:pt idx="31">
                  <c:v>65.85186767578125</c:v>
                </c:pt>
                <c:pt idx="32">
                  <c:v>56.719287872314453</c:v>
                </c:pt>
                <c:pt idx="33">
                  <c:v>50.425312042236328</c:v>
                </c:pt>
                <c:pt idx="34">
                  <c:v>46.979415893554688</c:v>
                </c:pt>
                <c:pt idx="35">
                  <c:v>45.371059417724609</c:v>
                </c:pt>
                <c:pt idx="36">
                  <c:v>44.341358184814453</c:v>
                </c:pt>
                <c:pt idx="37">
                  <c:v>43.7281494140625</c:v>
                </c:pt>
                <c:pt idx="38">
                  <c:v>43.845733642578125</c:v>
                </c:pt>
                <c:pt idx="39">
                  <c:v>44.105979919433594</c:v>
                </c:pt>
                <c:pt idx="40">
                  <c:v>43.558948516845703</c:v>
                </c:pt>
                <c:pt idx="41">
                  <c:v>42.701583862304688</c:v>
                </c:pt>
                <c:pt idx="42">
                  <c:v>42.2510986328125</c:v>
                </c:pt>
                <c:pt idx="43">
                  <c:v>42.007919311523438</c:v>
                </c:pt>
                <c:pt idx="44">
                  <c:v>40.885852813720703</c:v>
                </c:pt>
                <c:pt idx="45">
                  <c:v>39.480617523193359</c:v>
                </c:pt>
                <c:pt idx="46">
                  <c:v>38.232955932617188</c:v>
                </c:pt>
                <c:pt idx="47">
                  <c:v>36.925106048583984</c:v>
                </c:pt>
                <c:pt idx="48">
                  <c:v>35.573650360107422</c:v>
                </c:pt>
                <c:pt idx="49">
                  <c:v>34.409996032714844</c:v>
                </c:pt>
                <c:pt idx="50">
                  <c:v>33.691184997558594</c:v>
                </c:pt>
                <c:pt idx="51">
                  <c:v>33.146240234375</c:v>
                </c:pt>
                <c:pt idx="52">
                  <c:v>32.376022338867188</c:v>
                </c:pt>
                <c:pt idx="53">
                  <c:v>32.472846984863281</c:v>
                </c:pt>
                <c:pt idx="54">
                  <c:v>32.510463714599609</c:v>
                </c:pt>
                <c:pt idx="55">
                  <c:v>31.998468399047852</c:v>
                </c:pt>
                <c:pt idx="56">
                  <c:v>31.879142761230469</c:v>
                </c:pt>
                <c:pt idx="57">
                  <c:v>31.589500427246094</c:v>
                </c:pt>
                <c:pt idx="58">
                  <c:v>30.522462844848633</c:v>
                </c:pt>
                <c:pt idx="59">
                  <c:v>29.751754760742188</c:v>
                </c:pt>
                <c:pt idx="60">
                  <c:v>29.432785034179688</c:v>
                </c:pt>
                <c:pt idx="61">
                  <c:v>28.808431625366211</c:v>
                </c:pt>
                <c:pt idx="62">
                  <c:v>26.948604583740234</c:v>
                </c:pt>
                <c:pt idx="63">
                  <c:v>24.903484344482422</c:v>
                </c:pt>
                <c:pt idx="64">
                  <c:v>23.907497406005859</c:v>
                </c:pt>
                <c:pt idx="65">
                  <c:v>22.587181091308594</c:v>
                </c:pt>
                <c:pt idx="66">
                  <c:v>21.278495788574219</c:v>
                </c:pt>
                <c:pt idx="67">
                  <c:v>20.559682846069336</c:v>
                </c:pt>
                <c:pt idx="68">
                  <c:v>20.230125427246094</c:v>
                </c:pt>
                <c:pt idx="69">
                  <c:v>19.569967269897461</c:v>
                </c:pt>
                <c:pt idx="70">
                  <c:v>19.101858139038086</c:v>
                </c:pt>
                <c:pt idx="71">
                  <c:v>19.150897979736328</c:v>
                </c:pt>
                <c:pt idx="72">
                  <c:v>19.186702728271484</c:v>
                </c:pt>
                <c:pt idx="73">
                  <c:v>19.602149963378906</c:v>
                </c:pt>
                <c:pt idx="74">
                  <c:v>19.821714401245117</c:v>
                </c:pt>
                <c:pt idx="75">
                  <c:v>20.333917617797852</c:v>
                </c:pt>
                <c:pt idx="76">
                  <c:v>21.435297012329102</c:v>
                </c:pt>
                <c:pt idx="77">
                  <c:v>22.251144409179688</c:v>
                </c:pt>
                <c:pt idx="78">
                  <c:v>23.499296188354492</c:v>
                </c:pt>
                <c:pt idx="79">
                  <c:v>24.610498428344727</c:v>
                </c:pt>
                <c:pt idx="80">
                  <c:v>25.578411102294922</c:v>
                </c:pt>
                <c:pt idx="81">
                  <c:v>26.234737396240234</c:v>
                </c:pt>
                <c:pt idx="82">
                  <c:v>27.41984748840332</c:v>
                </c:pt>
                <c:pt idx="83">
                  <c:v>28.703872680664063</c:v>
                </c:pt>
                <c:pt idx="84">
                  <c:v>29.195108413696289</c:v>
                </c:pt>
                <c:pt idx="85">
                  <c:v>30.10673713684082</c:v>
                </c:pt>
                <c:pt idx="86">
                  <c:v>31.987323760986328</c:v>
                </c:pt>
                <c:pt idx="87">
                  <c:v>32.652427673339844</c:v>
                </c:pt>
                <c:pt idx="88">
                  <c:v>32.847541809082031</c:v>
                </c:pt>
                <c:pt idx="89">
                  <c:v>34.374469757080078</c:v>
                </c:pt>
                <c:pt idx="90">
                  <c:v>36.093654632568359</c:v>
                </c:pt>
                <c:pt idx="91">
                  <c:v>37.45758056640625</c:v>
                </c:pt>
                <c:pt idx="92">
                  <c:v>38.300941467285156</c:v>
                </c:pt>
                <c:pt idx="93">
                  <c:v>38.908439636230469</c:v>
                </c:pt>
                <c:pt idx="94">
                  <c:v>39.058971405029297</c:v>
                </c:pt>
                <c:pt idx="95">
                  <c:v>40.280445098876953</c:v>
                </c:pt>
                <c:pt idx="96">
                  <c:v>41.550189971923828</c:v>
                </c:pt>
                <c:pt idx="97">
                  <c:v>41.290920257568359</c:v>
                </c:pt>
                <c:pt idx="98">
                  <c:v>41.294540405273438</c:v>
                </c:pt>
                <c:pt idx="99">
                  <c:v>40.713027954101563</c:v>
                </c:pt>
                <c:pt idx="100">
                  <c:v>39.842636108398438</c:v>
                </c:pt>
                <c:pt idx="101">
                  <c:v>39.482986450195313</c:v>
                </c:pt>
                <c:pt idx="102">
                  <c:v>38.747806549072266</c:v>
                </c:pt>
                <c:pt idx="103">
                  <c:v>37.828655242919922</c:v>
                </c:pt>
                <c:pt idx="104">
                  <c:v>36.667160034179688</c:v>
                </c:pt>
                <c:pt idx="105">
                  <c:v>36.152587890625</c:v>
                </c:pt>
                <c:pt idx="106">
                  <c:v>35.200695037841797</c:v>
                </c:pt>
                <c:pt idx="107">
                  <c:v>33.065017700195313</c:v>
                </c:pt>
                <c:pt idx="108">
                  <c:v>31.211669921875</c:v>
                </c:pt>
                <c:pt idx="109">
                  <c:v>29.511919021606445</c:v>
                </c:pt>
                <c:pt idx="110">
                  <c:v>28.431367874145508</c:v>
                </c:pt>
                <c:pt idx="111">
                  <c:v>26.912799835205078</c:v>
                </c:pt>
                <c:pt idx="112">
                  <c:v>24.35826301574707</c:v>
                </c:pt>
                <c:pt idx="113">
                  <c:v>21.952445983886719</c:v>
                </c:pt>
                <c:pt idx="114">
                  <c:v>19.770029067993164</c:v>
                </c:pt>
                <c:pt idx="115">
                  <c:v>17.818321228027344</c:v>
                </c:pt>
                <c:pt idx="116">
                  <c:v>16.179868698120117</c:v>
                </c:pt>
                <c:pt idx="117">
                  <c:v>15.135889053344727</c:v>
                </c:pt>
                <c:pt idx="118">
                  <c:v>13.677019119262695</c:v>
                </c:pt>
                <c:pt idx="119">
                  <c:v>12.242738723754883</c:v>
                </c:pt>
                <c:pt idx="120">
                  <c:v>11.758748054504395</c:v>
                </c:pt>
                <c:pt idx="121">
                  <c:v>11.158774375915527</c:v>
                </c:pt>
                <c:pt idx="122">
                  <c:v>12.083428382873535</c:v>
                </c:pt>
                <c:pt idx="123">
                  <c:v>11.634684562683105</c:v>
                </c:pt>
                <c:pt idx="124">
                  <c:v>9.7598114013671875</c:v>
                </c:pt>
                <c:pt idx="125">
                  <c:v>9.5872659683227539</c:v>
                </c:pt>
                <c:pt idx="126">
                  <c:v>9.9705295562744141</c:v>
                </c:pt>
                <c:pt idx="127">
                  <c:v>10.214197158813477</c:v>
                </c:pt>
                <c:pt idx="128">
                  <c:v>10.57468318939209</c:v>
                </c:pt>
                <c:pt idx="129">
                  <c:v>10.25285816192627</c:v>
                </c:pt>
                <c:pt idx="130">
                  <c:v>9.3861598968505859</c:v>
                </c:pt>
                <c:pt idx="131">
                  <c:v>9.0885066986083984</c:v>
                </c:pt>
                <c:pt idx="132">
                  <c:v>8.9353961944580078</c:v>
                </c:pt>
                <c:pt idx="133">
                  <c:v>9.1679182052612305</c:v>
                </c:pt>
                <c:pt idx="134">
                  <c:v>9.0269975662231445</c:v>
                </c:pt>
                <c:pt idx="135">
                  <c:v>8.5557537078857422</c:v>
                </c:pt>
                <c:pt idx="136">
                  <c:v>8.6745929718017578</c:v>
                </c:pt>
                <c:pt idx="137">
                  <c:v>10.64469051361084</c:v>
                </c:pt>
                <c:pt idx="138">
                  <c:v>10.497361183166504</c:v>
                </c:pt>
                <c:pt idx="139">
                  <c:v>8.1747884750366211</c:v>
                </c:pt>
                <c:pt idx="140">
                  <c:v>8.5209941864013672</c:v>
                </c:pt>
                <c:pt idx="141">
                  <c:v>9.334263801574707</c:v>
                </c:pt>
                <c:pt idx="142">
                  <c:v>8.4892997741699219</c:v>
                </c:pt>
                <c:pt idx="143">
                  <c:v>7.7006893157958984</c:v>
                </c:pt>
                <c:pt idx="144">
                  <c:v>8.974614143371582</c:v>
                </c:pt>
                <c:pt idx="145">
                  <c:v>8.9657678604125977</c:v>
                </c:pt>
                <c:pt idx="146">
                  <c:v>1.9999998807907104</c:v>
                </c:pt>
                <c:pt idx="147">
                  <c:v>2.5381858348846436</c:v>
                </c:pt>
                <c:pt idx="148">
                  <c:v>6.5682415962219238</c:v>
                </c:pt>
                <c:pt idx="149">
                  <c:v>7.4946374893188477</c:v>
                </c:pt>
                <c:pt idx="150">
                  <c:v>8.3400897979736328</c:v>
                </c:pt>
                <c:pt idx="151">
                  <c:v>8.131739616394043</c:v>
                </c:pt>
                <c:pt idx="152">
                  <c:v>8.803044319152832</c:v>
                </c:pt>
                <c:pt idx="153">
                  <c:v>9.1479263305664063</c:v>
                </c:pt>
                <c:pt idx="154">
                  <c:v>8.068140983581543</c:v>
                </c:pt>
                <c:pt idx="155">
                  <c:v>8.6852502822875977</c:v>
                </c:pt>
                <c:pt idx="156">
                  <c:v>9.0360536575317383</c:v>
                </c:pt>
                <c:pt idx="157">
                  <c:v>8.166499137878418</c:v>
                </c:pt>
                <c:pt idx="158">
                  <c:v>7.6931657791137695</c:v>
                </c:pt>
                <c:pt idx="159">
                  <c:v>7.857421875</c:v>
                </c:pt>
                <c:pt idx="160">
                  <c:v>8.4155998229980469</c:v>
                </c:pt>
                <c:pt idx="161">
                  <c:v>8.2702913284301758</c:v>
                </c:pt>
                <c:pt idx="162">
                  <c:v>8.9294052124023438</c:v>
                </c:pt>
                <c:pt idx="163">
                  <c:v>8.9847145080566406</c:v>
                </c:pt>
                <c:pt idx="164">
                  <c:v>8.2445869445800781</c:v>
                </c:pt>
                <c:pt idx="165">
                  <c:v>9.0057516098022461</c:v>
                </c:pt>
                <c:pt idx="166">
                  <c:v>6.9528293609619141</c:v>
                </c:pt>
                <c:pt idx="167">
                  <c:v>7.7009677886962891</c:v>
                </c:pt>
                <c:pt idx="168">
                  <c:v>9.5880317687988281</c:v>
                </c:pt>
                <c:pt idx="169">
                  <c:v>8.5264272689819336</c:v>
                </c:pt>
                <c:pt idx="170">
                  <c:v>8.3961648941040039</c:v>
                </c:pt>
                <c:pt idx="171">
                  <c:v>6.5449056625366211</c:v>
                </c:pt>
                <c:pt idx="172">
                  <c:v>7.222200870513916</c:v>
                </c:pt>
                <c:pt idx="173">
                  <c:v>8.472163200378418</c:v>
                </c:pt>
                <c:pt idx="174">
                  <c:v>9.5054855346679688</c:v>
                </c:pt>
                <c:pt idx="175">
                  <c:v>10.322935104370117</c:v>
                </c:pt>
                <c:pt idx="176">
                  <c:v>10.21210765838623</c:v>
                </c:pt>
                <c:pt idx="177">
                  <c:v>9.5958337783813477</c:v>
                </c:pt>
                <c:pt idx="178">
                  <c:v>9.0620365142822266</c:v>
                </c:pt>
                <c:pt idx="179">
                  <c:v>9.0506124496459961</c:v>
                </c:pt>
                <c:pt idx="180">
                  <c:v>9.0895519256591797</c:v>
                </c:pt>
                <c:pt idx="181">
                  <c:v>8.8580741882324219</c:v>
                </c:pt>
                <c:pt idx="182">
                  <c:v>8.8204584121704102</c:v>
                </c:pt>
                <c:pt idx="183">
                  <c:v>8.0333805084228516</c:v>
                </c:pt>
                <c:pt idx="184">
                  <c:v>6.9613971710205078</c:v>
                </c:pt>
                <c:pt idx="185">
                  <c:v>7.0630998611450195</c:v>
                </c:pt>
                <c:pt idx="186">
                  <c:v>8.18231201171875</c:v>
                </c:pt>
                <c:pt idx="187">
                  <c:v>7.8823599815368652</c:v>
                </c:pt>
                <c:pt idx="188">
                  <c:v>8.0458498001098633</c:v>
                </c:pt>
                <c:pt idx="189">
                  <c:v>9.8327445983886719</c:v>
                </c:pt>
                <c:pt idx="190">
                  <c:v>10.301898002624512</c:v>
                </c:pt>
                <c:pt idx="191">
                  <c:v>9.0596675872802734</c:v>
                </c:pt>
                <c:pt idx="192">
                  <c:v>9.137059211730957</c:v>
                </c:pt>
                <c:pt idx="193">
                  <c:v>8.6888723373413086</c:v>
                </c:pt>
                <c:pt idx="194">
                  <c:v>9.5206022262573242</c:v>
                </c:pt>
                <c:pt idx="195">
                  <c:v>8.8001880645751953</c:v>
                </c:pt>
                <c:pt idx="196">
                  <c:v>10.944154739379883</c:v>
                </c:pt>
                <c:pt idx="197">
                  <c:v>10.009957313537598</c:v>
                </c:pt>
                <c:pt idx="198">
                  <c:v>6.8323888778686523</c:v>
                </c:pt>
                <c:pt idx="199">
                  <c:v>8.1392621994018555</c:v>
                </c:pt>
                <c:pt idx="200">
                  <c:v>7.7134366035461426</c:v>
                </c:pt>
                <c:pt idx="201">
                  <c:v>7.9277777671813965</c:v>
                </c:pt>
                <c:pt idx="202">
                  <c:v>7.3384618759155273</c:v>
                </c:pt>
                <c:pt idx="203">
                  <c:v>9.4694719314575195</c:v>
                </c:pt>
                <c:pt idx="204">
                  <c:v>7.9298672676086426</c:v>
                </c:pt>
                <c:pt idx="205">
                  <c:v>9.9632854461669922</c:v>
                </c:pt>
                <c:pt idx="206">
                  <c:v>9.1385917663574219</c:v>
                </c:pt>
                <c:pt idx="207">
                  <c:v>8.0409040451049805</c:v>
                </c:pt>
                <c:pt idx="208">
                  <c:v>6.6574749946594238</c:v>
                </c:pt>
                <c:pt idx="209">
                  <c:v>7.1012725830078125</c:v>
                </c:pt>
                <c:pt idx="210">
                  <c:v>8.9948148727416992</c:v>
                </c:pt>
                <c:pt idx="211">
                  <c:v>8.4456930160522461</c:v>
                </c:pt>
                <c:pt idx="212">
                  <c:v>9.4510126113891602</c:v>
                </c:pt>
                <c:pt idx="213">
                  <c:v>6.5375914573669434</c:v>
                </c:pt>
                <c:pt idx="214">
                  <c:v>7.4087481498718262</c:v>
                </c:pt>
                <c:pt idx="215">
                  <c:v>8.3969316482543945</c:v>
                </c:pt>
                <c:pt idx="216">
                  <c:v>8.4511957168579102</c:v>
                </c:pt>
                <c:pt idx="217">
                  <c:v>8.5448179244995117</c:v>
                </c:pt>
                <c:pt idx="218">
                  <c:v>8.2308645248413086</c:v>
                </c:pt>
                <c:pt idx="219">
                  <c:v>9.5369024276733398</c:v>
                </c:pt>
                <c:pt idx="220">
                  <c:v>8.1197576522827148</c:v>
                </c:pt>
                <c:pt idx="221">
                  <c:v>9.4066400527954102</c:v>
                </c:pt>
                <c:pt idx="222">
                  <c:v>10.436897277832031</c:v>
                </c:pt>
                <c:pt idx="223">
                  <c:v>6.2085919380187988</c:v>
                </c:pt>
                <c:pt idx="224">
                  <c:v>8.2000055313110352</c:v>
                </c:pt>
                <c:pt idx="225">
                  <c:v>8.1771574020385742</c:v>
                </c:pt>
              </c:numCache>
            </c:numRef>
          </c:yVal>
          <c:smooth val="1"/>
          <c:extLst>
            <c:ext xmlns:c15="http://schemas.microsoft.com/office/drawing/2012/chart" uri="{02D57815-91ED-43cb-92C2-25804820EDAC}">
              <c15:datalabelsRange>
                <c15:f>PeakLabels!$D$2:$D$300</c15:f>
                <c15:dlblRangeCache>
                  <c:ptCount val="299"/>
                  <c:pt idx="9">
                    <c:v>208</c:v>
                  </c:pt>
                  <c:pt idx="26">
                    <c:v>242</c:v>
                  </c:pt>
                  <c:pt idx="39">
                    <c:v>268</c:v>
                  </c:pt>
                  <c:pt idx="54">
                    <c:v>298</c:v>
                  </c:pt>
                  <c:pt idx="96">
                    <c:v>382</c:v>
                  </c:pt>
                </c15:dlblRangeCache>
              </c15:datalabelsRange>
            </c:ext>
            <c:ext xmlns:c16="http://schemas.microsoft.com/office/drawing/2014/chart" uri="{C3380CC4-5D6E-409C-BE32-E72D297353CC}">
              <c16:uniqueId val="{00000000-E32E-4E94-AD62-9B15C91FD271}"/>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9D8F397B-35FF-407B-AA48-C1EC51232752}"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32E-4E94-AD62-9B15C91FD271}"/>
                </c:ext>
              </c:extLst>
            </c:dLbl>
            <c:dLbl>
              <c:idx val="1"/>
              <c:tx>
                <c:rich>
                  <a:bodyPr/>
                  <a:lstStyle/>
                  <a:p>
                    <a:fld id="{20B4FBBE-7FA1-4154-8976-893644724587}"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32E-4E94-AD62-9B15C91FD271}"/>
                </c:ext>
              </c:extLst>
            </c:dLbl>
            <c:dLbl>
              <c:idx val="2"/>
              <c:tx>
                <c:rich>
                  <a:bodyPr/>
                  <a:lstStyle/>
                  <a:p>
                    <a:fld id="{CB551489-13AE-4064-819E-9A969389E40F}"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32E-4E94-AD62-9B15C91FD271}"/>
                </c:ext>
              </c:extLst>
            </c:dLbl>
            <c:dLbl>
              <c:idx val="3"/>
              <c:tx>
                <c:rich>
                  <a:bodyPr/>
                  <a:lstStyle/>
                  <a:p>
                    <a:fld id="{FCF5A0BA-E9D5-4550-AF7E-F7FCBAD14F9B}"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32E-4E94-AD62-9B15C91FD271}"/>
                </c:ext>
              </c:extLst>
            </c:dLbl>
            <c:dLbl>
              <c:idx val="4"/>
              <c:tx>
                <c:rich>
                  <a:bodyPr/>
                  <a:lstStyle/>
                  <a:p>
                    <a:fld id="{CB11704A-2A4D-466E-A313-98D9E9C9111F}"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32E-4E94-AD62-9B15C91FD271}"/>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E32E-4E94-AD62-9B15C91FD271}"/>
            </c:ext>
          </c:extLst>
        </c:ser>
        <c:dLbls>
          <c:showLegendKey val="0"/>
          <c:showVal val="0"/>
          <c:showCatName val="0"/>
          <c:showSerName val="0"/>
          <c:showPercent val="0"/>
          <c:showBubbleSize val="0"/>
        </c:dLbls>
        <c:axId val="1569265744"/>
        <c:axId val="1569266288"/>
      </c:scatterChart>
      <c:valAx>
        <c:axId val="1569265744"/>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6288"/>
        <c:crossesAt val="0"/>
        <c:crossBetween val="midCat"/>
        <c:majorUnit val="100"/>
      </c:valAx>
      <c:valAx>
        <c:axId val="1569266288"/>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5744"/>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A7A4C473-B250-415B-976A-D3EB3E598A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316-4C79-B4FD-E58703BCC2B8}"/>
                </c:ext>
              </c:extLst>
            </c:dLbl>
            <c:dLbl>
              <c:idx val="1"/>
              <c:tx>
                <c:rich>
                  <a:bodyPr/>
                  <a:lstStyle/>
                  <a:p>
                    <a:fld id="{0673E39C-ABF8-46FC-BF3D-8AC02BBB76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316-4C79-B4FD-E58703BCC2B8}"/>
                </c:ext>
              </c:extLst>
            </c:dLbl>
            <c:dLbl>
              <c:idx val="2"/>
              <c:tx>
                <c:rich>
                  <a:bodyPr/>
                  <a:lstStyle/>
                  <a:p>
                    <a:fld id="{007BABAF-D617-4032-BC0F-9C975EDB01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316-4C79-B4FD-E58703BCC2B8}"/>
                </c:ext>
              </c:extLst>
            </c:dLbl>
            <c:dLbl>
              <c:idx val="3"/>
              <c:tx>
                <c:rich>
                  <a:bodyPr/>
                  <a:lstStyle/>
                  <a:p>
                    <a:fld id="{631DC84B-326C-444A-A414-422E71F71E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316-4C79-B4FD-E58703BCC2B8}"/>
                </c:ext>
              </c:extLst>
            </c:dLbl>
            <c:dLbl>
              <c:idx val="4"/>
              <c:tx>
                <c:rich>
                  <a:bodyPr/>
                  <a:lstStyle/>
                  <a:p>
                    <a:fld id="{691B6C0A-ABDF-440A-97A7-2C7C4D0272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316-4C79-B4FD-E58703BCC2B8}"/>
                </c:ext>
              </c:extLst>
            </c:dLbl>
            <c:dLbl>
              <c:idx val="5"/>
              <c:tx>
                <c:rich>
                  <a:bodyPr/>
                  <a:lstStyle/>
                  <a:p>
                    <a:fld id="{EEAF0B70-1060-4050-A234-D8CAEF6516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316-4C79-B4FD-E58703BCC2B8}"/>
                </c:ext>
              </c:extLst>
            </c:dLbl>
            <c:dLbl>
              <c:idx val="6"/>
              <c:tx>
                <c:rich>
                  <a:bodyPr/>
                  <a:lstStyle/>
                  <a:p>
                    <a:fld id="{FF4551DA-D9AE-4DCF-9DB2-4A6137FA92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316-4C79-B4FD-E58703BCC2B8}"/>
                </c:ext>
              </c:extLst>
            </c:dLbl>
            <c:dLbl>
              <c:idx val="7"/>
              <c:tx>
                <c:rich>
                  <a:bodyPr/>
                  <a:lstStyle/>
                  <a:p>
                    <a:fld id="{DCD2DC18-5ECA-4EE3-8EDE-5E342C6DE0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316-4C79-B4FD-E58703BCC2B8}"/>
                </c:ext>
              </c:extLst>
            </c:dLbl>
            <c:dLbl>
              <c:idx val="8"/>
              <c:tx>
                <c:rich>
                  <a:bodyPr/>
                  <a:lstStyle/>
                  <a:p>
                    <a:fld id="{F92E5300-1319-4884-8AC1-865319E6DA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316-4C79-B4FD-E58703BCC2B8}"/>
                </c:ext>
              </c:extLst>
            </c:dLbl>
            <c:dLbl>
              <c:idx val="9"/>
              <c:tx>
                <c:rich>
                  <a:bodyPr/>
                  <a:lstStyle/>
                  <a:p>
                    <a:fld id="{C9A743D9-AFC7-44EF-B0C1-24B219AD3B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316-4C79-B4FD-E58703BCC2B8}"/>
                </c:ext>
              </c:extLst>
            </c:dLbl>
            <c:dLbl>
              <c:idx val="10"/>
              <c:tx>
                <c:rich>
                  <a:bodyPr/>
                  <a:lstStyle/>
                  <a:p>
                    <a:fld id="{12C6154F-6780-4BF3-9D22-CFB08EB5EA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316-4C79-B4FD-E58703BCC2B8}"/>
                </c:ext>
              </c:extLst>
            </c:dLbl>
            <c:dLbl>
              <c:idx val="11"/>
              <c:tx>
                <c:rich>
                  <a:bodyPr/>
                  <a:lstStyle/>
                  <a:p>
                    <a:fld id="{0E6422E4-1CF7-47D5-A04E-1FF37481A2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316-4C79-B4FD-E58703BCC2B8}"/>
                </c:ext>
              </c:extLst>
            </c:dLbl>
            <c:dLbl>
              <c:idx val="12"/>
              <c:tx>
                <c:rich>
                  <a:bodyPr/>
                  <a:lstStyle/>
                  <a:p>
                    <a:fld id="{0D2C3072-D923-484C-97CC-F1B949C2C4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316-4C79-B4FD-E58703BCC2B8}"/>
                </c:ext>
              </c:extLst>
            </c:dLbl>
            <c:dLbl>
              <c:idx val="13"/>
              <c:tx>
                <c:rich>
                  <a:bodyPr/>
                  <a:lstStyle/>
                  <a:p>
                    <a:fld id="{BAEE55C0-0DA1-4BC7-86FE-E6D5B754E6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8316-4C79-B4FD-E58703BCC2B8}"/>
                </c:ext>
              </c:extLst>
            </c:dLbl>
            <c:dLbl>
              <c:idx val="14"/>
              <c:tx>
                <c:rich>
                  <a:bodyPr/>
                  <a:lstStyle/>
                  <a:p>
                    <a:fld id="{D7A1F08F-38BB-40EA-8BF0-7AF8ADEE7E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316-4C79-B4FD-E58703BCC2B8}"/>
                </c:ext>
              </c:extLst>
            </c:dLbl>
            <c:dLbl>
              <c:idx val="15"/>
              <c:tx>
                <c:rich>
                  <a:bodyPr/>
                  <a:lstStyle/>
                  <a:p>
                    <a:fld id="{DEB039CA-1D86-4B87-A8FD-261D9A0E99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8316-4C79-B4FD-E58703BCC2B8}"/>
                </c:ext>
              </c:extLst>
            </c:dLbl>
            <c:dLbl>
              <c:idx val="16"/>
              <c:tx>
                <c:rich>
                  <a:bodyPr/>
                  <a:lstStyle/>
                  <a:p>
                    <a:fld id="{512F006A-ECA3-4F78-AA17-C86C02FACA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316-4C79-B4FD-E58703BCC2B8}"/>
                </c:ext>
              </c:extLst>
            </c:dLbl>
            <c:dLbl>
              <c:idx val="17"/>
              <c:tx>
                <c:rich>
                  <a:bodyPr/>
                  <a:lstStyle/>
                  <a:p>
                    <a:fld id="{888E7EB8-F558-4F49-BC9F-9E88FF7A45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8316-4C79-B4FD-E58703BCC2B8}"/>
                </c:ext>
              </c:extLst>
            </c:dLbl>
            <c:dLbl>
              <c:idx val="18"/>
              <c:tx>
                <c:rich>
                  <a:bodyPr/>
                  <a:lstStyle/>
                  <a:p>
                    <a:fld id="{0C88F1A1-1262-42CC-A520-37EB08A0A7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8316-4C79-B4FD-E58703BCC2B8}"/>
                </c:ext>
              </c:extLst>
            </c:dLbl>
            <c:dLbl>
              <c:idx val="19"/>
              <c:tx>
                <c:rich>
                  <a:bodyPr/>
                  <a:lstStyle/>
                  <a:p>
                    <a:fld id="{D439F29F-C3B2-45A4-A7AC-BA7D21C9A4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8316-4C79-B4FD-E58703BCC2B8}"/>
                </c:ext>
              </c:extLst>
            </c:dLbl>
            <c:dLbl>
              <c:idx val="20"/>
              <c:tx>
                <c:rich>
                  <a:bodyPr/>
                  <a:lstStyle/>
                  <a:p>
                    <a:fld id="{26C782DE-6BDF-4456-99BB-E20CBC48AE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8316-4C79-B4FD-E58703BCC2B8}"/>
                </c:ext>
              </c:extLst>
            </c:dLbl>
            <c:dLbl>
              <c:idx val="21"/>
              <c:tx>
                <c:rich>
                  <a:bodyPr/>
                  <a:lstStyle/>
                  <a:p>
                    <a:fld id="{51457ECD-1E59-4F4D-9362-DDA2910D5B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8316-4C79-B4FD-E58703BCC2B8}"/>
                </c:ext>
              </c:extLst>
            </c:dLbl>
            <c:dLbl>
              <c:idx val="22"/>
              <c:tx>
                <c:rich>
                  <a:bodyPr/>
                  <a:lstStyle/>
                  <a:p>
                    <a:fld id="{0D53D03D-6AB4-49B8-9F2B-9F32343A76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8316-4C79-B4FD-E58703BCC2B8}"/>
                </c:ext>
              </c:extLst>
            </c:dLbl>
            <c:dLbl>
              <c:idx val="23"/>
              <c:tx>
                <c:rich>
                  <a:bodyPr/>
                  <a:lstStyle/>
                  <a:p>
                    <a:fld id="{2C170A9F-5BD8-4FB7-9A4A-A69E02793D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8316-4C79-B4FD-E58703BCC2B8}"/>
                </c:ext>
              </c:extLst>
            </c:dLbl>
            <c:dLbl>
              <c:idx val="24"/>
              <c:tx>
                <c:rich>
                  <a:bodyPr/>
                  <a:lstStyle/>
                  <a:p>
                    <a:fld id="{10039EF8-2B98-4C9E-AB13-0A94334278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8316-4C79-B4FD-E58703BCC2B8}"/>
                </c:ext>
              </c:extLst>
            </c:dLbl>
            <c:dLbl>
              <c:idx val="25"/>
              <c:tx>
                <c:rich>
                  <a:bodyPr/>
                  <a:lstStyle/>
                  <a:p>
                    <a:fld id="{A9E5A2DE-CA96-4AF2-BA79-0471AB7919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8316-4C79-B4FD-E58703BCC2B8}"/>
                </c:ext>
              </c:extLst>
            </c:dLbl>
            <c:dLbl>
              <c:idx val="26"/>
              <c:tx>
                <c:rich>
                  <a:bodyPr/>
                  <a:lstStyle/>
                  <a:p>
                    <a:fld id="{A4124B0D-DDFB-4AA3-A738-3F7573232D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8316-4C79-B4FD-E58703BCC2B8}"/>
                </c:ext>
              </c:extLst>
            </c:dLbl>
            <c:dLbl>
              <c:idx val="27"/>
              <c:tx>
                <c:rich>
                  <a:bodyPr/>
                  <a:lstStyle/>
                  <a:p>
                    <a:fld id="{F245CE9F-0AEF-4922-A162-4A2E07082E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8316-4C79-B4FD-E58703BCC2B8}"/>
                </c:ext>
              </c:extLst>
            </c:dLbl>
            <c:dLbl>
              <c:idx val="28"/>
              <c:tx>
                <c:rich>
                  <a:bodyPr/>
                  <a:lstStyle/>
                  <a:p>
                    <a:fld id="{31C3CB7D-B4EF-4572-88CC-C2E8DD47C0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8316-4C79-B4FD-E58703BCC2B8}"/>
                </c:ext>
              </c:extLst>
            </c:dLbl>
            <c:dLbl>
              <c:idx val="29"/>
              <c:tx>
                <c:rich>
                  <a:bodyPr/>
                  <a:lstStyle/>
                  <a:p>
                    <a:fld id="{82A7CF89-95CB-409C-A5DC-AAA1735DE3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8316-4C79-B4FD-E58703BCC2B8}"/>
                </c:ext>
              </c:extLst>
            </c:dLbl>
            <c:dLbl>
              <c:idx val="30"/>
              <c:tx>
                <c:rich>
                  <a:bodyPr/>
                  <a:lstStyle/>
                  <a:p>
                    <a:fld id="{E7351B1C-74FD-4BB4-B66C-028B329B2B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8316-4C79-B4FD-E58703BCC2B8}"/>
                </c:ext>
              </c:extLst>
            </c:dLbl>
            <c:dLbl>
              <c:idx val="31"/>
              <c:tx>
                <c:rich>
                  <a:bodyPr/>
                  <a:lstStyle/>
                  <a:p>
                    <a:fld id="{9EA5EFB5-A8FF-434C-8100-73037A13F5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8316-4C79-B4FD-E58703BCC2B8}"/>
                </c:ext>
              </c:extLst>
            </c:dLbl>
            <c:dLbl>
              <c:idx val="32"/>
              <c:tx>
                <c:rich>
                  <a:bodyPr/>
                  <a:lstStyle/>
                  <a:p>
                    <a:fld id="{FBD788A4-74FF-4EE3-8598-855C57D803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8316-4C79-B4FD-E58703BCC2B8}"/>
                </c:ext>
              </c:extLst>
            </c:dLbl>
            <c:dLbl>
              <c:idx val="33"/>
              <c:tx>
                <c:rich>
                  <a:bodyPr/>
                  <a:lstStyle/>
                  <a:p>
                    <a:fld id="{5FB539F8-14DE-4879-AA09-BD5ED58C34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8316-4C79-B4FD-E58703BCC2B8}"/>
                </c:ext>
              </c:extLst>
            </c:dLbl>
            <c:dLbl>
              <c:idx val="34"/>
              <c:tx>
                <c:rich>
                  <a:bodyPr/>
                  <a:lstStyle/>
                  <a:p>
                    <a:fld id="{D3759F29-C51D-4A46-9143-C68F3C7FD8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8316-4C79-B4FD-E58703BCC2B8}"/>
                </c:ext>
              </c:extLst>
            </c:dLbl>
            <c:dLbl>
              <c:idx val="35"/>
              <c:tx>
                <c:rich>
                  <a:bodyPr/>
                  <a:lstStyle/>
                  <a:p>
                    <a:fld id="{426F5DE4-39C9-4869-B196-E71A7263D3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8316-4C79-B4FD-E58703BCC2B8}"/>
                </c:ext>
              </c:extLst>
            </c:dLbl>
            <c:dLbl>
              <c:idx val="36"/>
              <c:tx>
                <c:rich>
                  <a:bodyPr/>
                  <a:lstStyle/>
                  <a:p>
                    <a:fld id="{A01A0E07-BF22-4F75-906E-20F583C074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8316-4C79-B4FD-E58703BCC2B8}"/>
                </c:ext>
              </c:extLst>
            </c:dLbl>
            <c:dLbl>
              <c:idx val="37"/>
              <c:tx>
                <c:rich>
                  <a:bodyPr/>
                  <a:lstStyle/>
                  <a:p>
                    <a:fld id="{6E9440E4-CCC0-450B-AFB5-34D3C9FA9B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8316-4C79-B4FD-E58703BCC2B8}"/>
                </c:ext>
              </c:extLst>
            </c:dLbl>
            <c:dLbl>
              <c:idx val="38"/>
              <c:tx>
                <c:rich>
                  <a:bodyPr/>
                  <a:lstStyle/>
                  <a:p>
                    <a:fld id="{C5E01D4D-B1AF-4575-A8D8-E621EBD54F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8316-4C79-B4FD-E58703BCC2B8}"/>
                </c:ext>
              </c:extLst>
            </c:dLbl>
            <c:dLbl>
              <c:idx val="39"/>
              <c:tx>
                <c:rich>
                  <a:bodyPr/>
                  <a:lstStyle/>
                  <a:p>
                    <a:fld id="{784E8C35-8106-4E5E-A720-3F941B118E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8316-4C79-B4FD-E58703BCC2B8}"/>
                </c:ext>
              </c:extLst>
            </c:dLbl>
            <c:dLbl>
              <c:idx val="40"/>
              <c:tx>
                <c:rich>
                  <a:bodyPr/>
                  <a:lstStyle/>
                  <a:p>
                    <a:fld id="{DED701CE-A276-4C97-92B1-13C512A730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8316-4C79-B4FD-E58703BCC2B8}"/>
                </c:ext>
              </c:extLst>
            </c:dLbl>
            <c:dLbl>
              <c:idx val="41"/>
              <c:tx>
                <c:rich>
                  <a:bodyPr/>
                  <a:lstStyle/>
                  <a:p>
                    <a:fld id="{281CAD34-2CE4-4A9F-9753-F7F7A56726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8316-4C79-B4FD-E58703BCC2B8}"/>
                </c:ext>
              </c:extLst>
            </c:dLbl>
            <c:dLbl>
              <c:idx val="42"/>
              <c:tx>
                <c:rich>
                  <a:bodyPr/>
                  <a:lstStyle/>
                  <a:p>
                    <a:fld id="{53173993-BC0D-473F-9DE1-0274F82C5B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8316-4C79-B4FD-E58703BCC2B8}"/>
                </c:ext>
              </c:extLst>
            </c:dLbl>
            <c:dLbl>
              <c:idx val="43"/>
              <c:tx>
                <c:rich>
                  <a:bodyPr/>
                  <a:lstStyle/>
                  <a:p>
                    <a:fld id="{9463AC2F-EB9A-4CF4-A6A1-D4DCF5F732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8316-4C79-B4FD-E58703BCC2B8}"/>
                </c:ext>
              </c:extLst>
            </c:dLbl>
            <c:dLbl>
              <c:idx val="44"/>
              <c:tx>
                <c:rich>
                  <a:bodyPr/>
                  <a:lstStyle/>
                  <a:p>
                    <a:fld id="{B04455AA-EBCE-4F48-8249-D45E99460C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8316-4C79-B4FD-E58703BCC2B8}"/>
                </c:ext>
              </c:extLst>
            </c:dLbl>
            <c:dLbl>
              <c:idx val="45"/>
              <c:tx>
                <c:rich>
                  <a:bodyPr/>
                  <a:lstStyle/>
                  <a:p>
                    <a:fld id="{38FAAFC4-6328-40EE-8E91-5E05BBCA78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8316-4C79-B4FD-E58703BCC2B8}"/>
                </c:ext>
              </c:extLst>
            </c:dLbl>
            <c:dLbl>
              <c:idx val="46"/>
              <c:tx>
                <c:rich>
                  <a:bodyPr/>
                  <a:lstStyle/>
                  <a:p>
                    <a:fld id="{4F86481E-5A42-47F1-AEBB-F47397C745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8316-4C79-B4FD-E58703BCC2B8}"/>
                </c:ext>
              </c:extLst>
            </c:dLbl>
            <c:dLbl>
              <c:idx val="47"/>
              <c:tx>
                <c:rich>
                  <a:bodyPr/>
                  <a:lstStyle/>
                  <a:p>
                    <a:fld id="{BED837C8-2D9F-4C10-AEC1-D42B152F7C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8316-4C79-B4FD-E58703BCC2B8}"/>
                </c:ext>
              </c:extLst>
            </c:dLbl>
            <c:dLbl>
              <c:idx val="48"/>
              <c:tx>
                <c:rich>
                  <a:bodyPr/>
                  <a:lstStyle/>
                  <a:p>
                    <a:fld id="{F1944F4C-1A2D-4712-A9E4-56B78231F8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8316-4C79-B4FD-E58703BCC2B8}"/>
                </c:ext>
              </c:extLst>
            </c:dLbl>
            <c:dLbl>
              <c:idx val="49"/>
              <c:tx>
                <c:rich>
                  <a:bodyPr/>
                  <a:lstStyle/>
                  <a:p>
                    <a:fld id="{DCA51A85-435D-4F34-8E3F-1F6BC0B4B6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8316-4C79-B4FD-E58703BCC2B8}"/>
                </c:ext>
              </c:extLst>
            </c:dLbl>
            <c:dLbl>
              <c:idx val="50"/>
              <c:tx>
                <c:rich>
                  <a:bodyPr/>
                  <a:lstStyle/>
                  <a:p>
                    <a:fld id="{8CD88F1D-4F04-4111-B60F-36149167A3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8316-4C79-B4FD-E58703BCC2B8}"/>
                </c:ext>
              </c:extLst>
            </c:dLbl>
            <c:dLbl>
              <c:idx val="51"/>
              <c:tx>
                <c:rich>
                  <a:bodyPr/>
                  <a:lstStyle/>
                  <a:p>
                    <a:fld id="{8172D226-83A7-419A-A77A-E23D12DE16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8316-4C79-B4FD-E58703BCC2B8}"/>
                </c:ext>
              </c:extLst>
            </c:dLbl>
            <c:dLbl>
              <c:idx val="52"/>
              <c:tx>
                <c:rich>
                  <a:bodyPr/>
                  <a:lstStyle/>
                  <a:p>
                    <a:fld id="{404AE6B2-4313-4E54-B0AF-B9810D9F38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8316-4C79-B4FD-E58703BCC2B8}"/>
                </c:ext>
              </c:extLst>
            </c:dLbl>
            <c:dLbl>
              <c:idx val="53"/>
              <c:tx>
                <c:rich>
                  <a:bodyPr/>
                  <a:lstStyle/>
                  <a:p>
                    <a:fld id="{63DA84BE-A513-41AD-846F-4DBE968F09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8316-4C79-B4FD-E58703BCC2B8}"/>
                </c:ext>
              </c:extLst>
            </c:dLbl>
            <c:dLbl>
              <c:idx val="54"/>
              <c:tx>
                <c:rich>
                  <a:bodyPr/>
                  <a:lstStyle/>
                  <a:p>
                    <a:fld id="{8B09DBC6-4B82-41A3-82C2-27F736148D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8316-4C79-B4FD-E58703BCC2B8}"/>
                </c:ext>
              </c:extLst>
            </c:dLbl>
            <c:dLbl>
              <c:idx val="55"/>
              <c:tx>
                <c:rich>
                  <a:bodyPr/>
                  <a:lstStyle/>
                  <a:p>
                    <a:fld id="{FB82C7D6-8C73-475B-A94D-D18974F0A4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8316-4C79-B4FD-E58703BCC2B8}"/>
                </c:ext>
              </c:extLst>
            </c:dLbl>
            <c:dLbl>
              <c:idx val="56"/>
              <c:tx>
                <c:rich>
                  <a:bodyPr/>
                  <a:lstStyle/>
                  <a:p>
                    <a:fld id="{5AAB3441-52F7-476D-BA5D-DC20D72880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8316-4C79-B4FD-E58703BCC2B8}"/>
                </c:ext>
              </c:extLst>
            </c:dLbl>
            <c:dLbl>
              <c:idx val="57"/>
              <c:tx>
                <c:rich>
                  <a:bodyPr/>
                  <a:lstStyle/>
                  <a:p>
                    <a:fld id="{C5A382CC-B34A-468C-8BA9-2A73E013BA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8316-4C79-B4FD-E58703BCC2B8}"/>
                </c:ext>
              </c:extLst>
            </c:dLbl>
            <c:dLbl>
              <c:idx val="58"/>
              <c:tx>
                <c:rich>
                  <a:bodyPr/>
                  <a:lstStyle/>
                  <a:p>
                    <a:fld id="{679A249C-DD39-442F-8655-01CD20C27B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8316-4C79-B4FD-E58703BCC2B8}"/>
                </c:ext>
              </c:extLst>
            </c:dLbl>
            <c:dLbl>
              <c:idx val="59"/>
              <c:tx>
                <c:rich>
                  <a:bodyPr/>
                  <a:lstStyle/>
                  <a:p>
                    <a:fld id="{732BB1D4-2FD7-456E-B46E-E5150422A2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8316-4C79-B4FD-E58703BCC2B8}"/>
                </c:ext>
              </c:extLst>
            </c:dLbl>
            <c:dLbl>
              <c:idx val="60"/>
              <c:tx>
                <c:rich>
                  <a:bodyPr/>
                  <a:lstStyle/>
                  <a:p>
                    <a:fld id="{927B4BD3-4AF0-4C3B-86D0-3ABAE65EDC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8316-4C79-B4FD-E58703BCC2B8}"/>
                </c:ext>
              </c:extLst>
            </c:dLbl>
            <c:dLbl>
              <c:idx val="61"/>
              <c:tx>
                <c:rich>
                  <a:bodyPr/>
                  <a:lstStyle/>
                  <a:p>
                    <a:fld id="{87E7AB7F-0696-49C7-BBA0-EC5C6A55DB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8316-4C79-B4FD-E58703BCC2B8}"/>
                </c:ext>
              </c:extLst>
            </c:dLbl>
            <c:dLbl>
              <c:idx val="62"/>
              <c:tx>
                <c:rich>
                  <a:bodyPr/>
                  <a:lstStyle/>
                  <a:p>
                    <a:fld id="{0AD5CD7A-0AB2-4922-B3CF-11AED55C69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8316-4C79-B4FD-E58703BCC2B8}"/>
                </c:ext>
              </c:extLst>
            </c:dLbl>
            <c:dLbl>
              <c:idx val="63"/>
              <c:tx>
                <c:rich>
                  <a:bodyPr/>
                  <a:lstStyle/>
                  <a:p>
                    <a:fld id="{95BDE69D-C41B-45AC-A6AC-AA610E090F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8316-4C79-B4FD-E58703BCC2B8}"/>
                </c:ext>
              </c:extLst>
            </c:dLbl>
            <c:dLbl>
              <c:idx val="64"/>
              <c:tx>
                <c:rich>
                  <a:bodyPr/>
                  <a:lstStyle/>
                  <a:p>
                    <a:fld id="{6992E85F-9B78-4836-BC10-BD1E1B9594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8316-4C79-B4FD-E58703BCC2B8}"/>
                </c:ext>
              </c:extLst>
            </c:dLbl>
            <c:dLbl>
              <c:idx val="65"/>
              <c:tx>
                <c:rich>
                  <a:bodyPr/>
                  <a:lstStyle/>
                  <a:p>
                    <a:fld id="{DEF652F8-FF02-4A40-AFE6-68B4FCF9FD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8316-4C79-B4FD-E58703BCC2B8}"/>
                </c:ext>
              </c:extLst>
            </c:dLbl>
            <c:dLbl>
              <c:idx val="66"/>
              <c:tx>
                <c:rich>
                  <a:bodyPr/>
                  <a:lstStyle/>
                  <a:p>
                    <a:fld id="{74E16D80-B9E0-45CC-8017-714C473456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8316-4C79-B4FD-E58703BCC2B8}"/>
                </c:ext>
              </c:extLst>
            </c:dLbl>
            <c:dLbl>
              <c:idx val="67"/>
              <c:tx>
                <c:rich>
                  <a:bodyPr/>
                  <a:lstStyle/>
                  <a:p>
                    <a:fld id="{8BD92E4A-E779-4CA2-A952-41C758715A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8316-4C79-B4FD-E58703BCC2B8}"/>
                </c:ext>
              </c:extLst>
            </c:dLbl>
            <c:dLbl>
              <c:idx val="68"/>
              <c:tx>
                <c:rich>
                  <a:bodyPr/>
                  <a:lstStyle/>
                  <a:p>
                    <a:fld id="{5D97D5EA-193C-478C-A7CF-665D67AA15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8316-4C79-B4FD-E58703BCC2B8}"/>
                </c:ext>
              </c:extLst>
            </c:dLbl>
            <c:dLbl>
              <c:idx val="69"/>
              <c:tx>
                <c:rich>
                  <a:bodyPr/>
                  <a:lstStyle/>
                  <a:p>
                    <a:fld id="{A3647FC4-05A3-404F-9B0C-86EA99250E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8316-4C79-B4FD-E58703BCC2B8}"/>
                </c:ext>
              </c:extLst>
            </c:dLbl>
            <c:dLbl>
              <c:idx val="70"/>
              <c:tx>
                <c:rich>
                  <a:bodyPr/>
                  <a:lstStyle/>
                  <a:p>
                    <a:fld id="{36DCB0A2-5211-4D60-B3E3-B160A54EA0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8316-4C79-B4FD-E58703BCC2B8}"/>
                </c:ext>
              </c:extLst>
            </c:dLbl>
            <c:dLbl>
              <c:idx val="71"/>
              <c:tx>
                <c:rich>
                  <a:bodyPr/>
                  <a:lstStyle/>
                  <a:p>
                    <a:fld id="{B253B4AF-776B-442E-B7ED-A6EAFF776D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8316-4C79-B4FD-E58703BCC2B8}"/>
                </c:ext>
              </c:extLst>
            </c:dLbl>
            <c:dLbl>
              <c:idx val="72"/>
              <c:tx>
                <c:rich>
                  <a:bodyPr/>
                  <a:lstStyle/>
                  <a:p>
                    <a:fld id="{BD85277E-163F-4D2E-84F9-9D84DB8D2F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8316-4C79-B4FD-E58703BCC2B8}"/>
                </c:ext>
              </c:extLst>
            </c:dLbl>
            <c:dLbl>
              <c:idx val="73"/>
              <c:tx>
                <c:rich>
                  <a:bodyPr/>
                  <a:lstStyle/>
                  <a:p>
                    <a:fld id="{7C1596E7-52D3-49A9-9089-1893BCD101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8316-4C79-B4FD-E58703BCC2B8}"/>
                </c:ext>
              </c:extLst>
            </c:dLbl>
            <c:dLbl>
              <c:idx val="74"/>
              <c:tx>
                <c:rich>
                  <a:bodyPr/>
                  <a:lstStyle/>
                  <a:p>
                    <a:fld id="{0D16F798-B298-48A3-8398-5931CA900D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8316-4C79-B4FD-E58703BCC2B8}"/>
                </c:ext>
              </c:extLst>
            </c:dLbl>
            <c:dLbl>
              <c:idx val="75"/>
              <c:tx>
                <c:rich>
                  <a:bodyPr/>
                  <a:lstStyle/>
                  <a:p>
                    <a:fld id="{18036E77-44E9-45AB-9626-3F9B98556E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8316-4C79-B4FD-E58703BCC2B8}"/>
                </c:ext>
              </c:extLst>
            </c:dLbl>
            <c:dLbl>
              <c:idx val="76"/>
              <c:tx>
                <c:rich>
                  <a:bodyPr/>
                  <a:lstStyle/>
                  <a:p>
                    <a:fld id="{F64C025C-DFE7-42F1-B420-7ACB5EFE39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8316-4C79-B4FD-E58703BCC2B8}"/>
                </c:ext>
              </c:extLst>
            </c:dLbl>
            <c:dLbl>
              <c:idx val="77"/>
              <c:tx>
                <c:rich>
                  <a:bodyPr/>
                  <a:lstStyle/>
                  <a:p>
                    <a:fld id="{D516B901-51F1-49E8-8551-F976F7868E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8316-4C79-B4FD-E58703BCC2B8}"/>
                </c:ext>
              </c:extLst>
            </c:dLbl>
            <c:dLbl>
              <c:idx val="78"/>
              <c:tx>
                <c:rich>
                  <a:bodyPr/>
                  <a:lstStyle/>
                  <a:p>
                    <a:fld id="{3B7CB704-F240-4EC7-AF6F-848E248DA4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8316-4C79-B4FD-E58703BCC2B8}"/>
                </c:ext>
              </c:extLst>
            </c:dLbl>
            <c:dLbl>
              <c:idx val="79"/>
              <c:tx>
                <c:rich>
                  <a:bodyPr/>
                  <a:lstStyle/>
                  <a:p>
                    <a:fld id="{C982295C-C4BF-493A-B474-44629F3598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8316-4C79-B4FD-E58703BCC2B8}"/>
                </c:ext>
              </c:extLst>
            </c:dLbl>
            <c:dLbl>
              <c:idx val="80"/>
              <c:tx>
                <c:rich>
                  <a:bodyPr/>
                  <a:lstStyle/>
                  <a:p>
                    <a:fld id="{AB0B336B-946F-4475-86F9-883DE5A988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8316-4C79-B4FD-E58703BCC2B8}"/>
                </c:ext>
              </c:extLst>
            </c:dLbl>
            <c:dLbl>
              <c:idx val="81"/>
              <c:tx>
                <c:rich>
                  <a:bodyPr/>
                  <a:lstStyle/>
                  <a:p>
                    <a:fld id="{6C446B6D-2F32-4A72-A6B7-4AFC1133BE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8316-4C79-B4FD-E58703BCC2B8}"/>
                </c:ext>
              </c:extLst>
            </c:dLbl>
            <c:dLbl>
              <c:idx val="82"/>
              <c:tx>
                <c:rich>
                  <a:bodyPr/>
                  <a:lstStyle/>
                  <a:p>
                    <a:fld id="{00F60177-8230-4047-A15B-0D71C14C9A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8316-4C79-B4FD-E58703BCC2B8}"/>
                </c:ext>
              </c:extLst>
            </c:dLbl>
            <c:dLbl>
              <c:idx val="83"/>
              <c:tx>
                <c:rich>
                  <a:bodyPr/>
                  <a:lstStyle/>
                  <a:p>
                    <a:fld id="{48C8596A-9ADC-4409-B0A4-B0BC700469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8316-4C79-B4FD-E58703BCC2B8}"/>
                </c:ext>
              </c:extLst>
            </c:dLbl>
            <c:dLbl>
              <c:idx val="84"/>
              <c:tx>
                <c:rich>
                  <a:bodyPr/>
                  <a:lstStyle/>
                  <a:p>
                    <a:fld id="{2060EEF3-B972-4D0C-A2CC-CDD9E23E75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8316-4C79-B4FD-E58703BCC2B8}"/>
                </c:ext>
              </c:extLst>
            </c:dLbl>
            <c:dLbl>
              <c:idx val="85"/>
              <c:tx>
                <c:rich>
                  <a:bodyPr/>
                  <a:lstStyle/>
                  <a:p>
                    <a:fld id="{0DE50000-5B71-4DE6-8FBE-B736F8F440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8316-4C79-B4FD-E58703BCC2B8}"/>
                </c:ext>
              </c:extLst>
            </c:dLbl>
            <c:dLbl>
              <c:idx val="86"/>
              <c:tx>
                <c:rich>
                  <a:bodyPr/>
                  <a:lstStyle/>
                  <a:p>
                    <a:fld id="{585A3CAE-B6DE-4559-A59D-4B15D62FAD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8316-4C79-B4FD-E58703BCC2B8}"/>
                </c:ext>
              </c:extLst>
            </c:dLbl>
            <c:dLbl>
              <c:idx val="87"/>
              <c:tx>
                <c:rich>
                  <a:bodyPr/>
                  <a:lstStyle/>
                  <a:p>
                    <a:fld id="{193F830F-025F-45DA-848F-ACE7E9C437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8316-4C79-B4FD-E58703BCC2B8}"/>
                </c:ext>
              </c:extLst>
            </c:dLbl>
            <c:dLbl>
              <c:idx val="88"/>
              <c:tx>
                <c:rich>
                  <a:bodyPr/>
                  <a:lstStyle/>
                  <a:p>
                    <a:fld id="{C8C2DEE4-5A31-4F3D-9AFC-C981AABA0A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8316-4C79-B4FD-E58703BCC2B8}"/>
                </c:ext>
              </c:extLst>
            </c:dLbl>
            <c:dLbl>
              <c:idx val="89"/>
              <c:tx>
                <c:rich>
                  <a:bodyPr/>
                  <a:lstStyle/>
                  <a:p>
                    <a:fld id="{D4C05D6F-922D-410C-A3BD-19FF521090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8316-4C79-B4FD-E58703BCC2B8}"/>
                </c:ext>
              </c:extLst>
            </c:dLbl>
            <c:dLbl>
              <c:idx val="90"/>
              <c:tx>
                <c:rich>
                  <a:bodyPr/>
                  <a:lstStyle/>
                  <a:p>
                    <a:fld id="{A04BB259-CF76-4832-851B-063076DD6B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8316-4C79-B4FD-E58703BCC2B8}"/>
                </c:ext>
              </c:extLst>
            </c:dLbl>
            <c:dLbl>
              <c:idx val="91"/>
              <c:tx>
                <c:rich>
                  <a:bodyPr/>
                  <a:lstStyle/>
                  <a:p>
                    <a:fld id="{E64FD383-7868-42F2-800E-9FA3695726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8316-4C79-B4FD-E58703BCC2B8}"/>
                </c:ext>
              </c:extLst>
            </c:dLbl>
            <c:dLbl>
              <c:idx val="92"/>
              <c:tx>
                <c:rich>
                  <a:bodyPr/>
                  <a:lstStyle/>
                  <a:p>
                    <a:fld id="{7BD06476-4A0A-47D6-84FC-046B9A97AC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8316-4C79-B4FD-E58703BCC2B8}"/>
                </c:ext>
              </c:extLst>
            </c:dLbl>
            <c:dLbl>
              <c:idx val="93"/>
              <c:tx>
                <c:rich>
                  <a:bodyPr/>
                  <a:lstStyle/>
                  <a:p>
                    <a:fld id="{CE0D0AE6-5E23-45C2-94A4-0FAC068BEA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8316-4C79-B4FD-E58703BCC2B8}"/>
                </c:ext>
              </c:extLst>
            </c:dLbl>
            <c:dLbl>
              <c:idx val="94"/>
              <c:tx>
                <c:rich>
                  <a:bodyPr/>
                  <a:lstStyle/>
                  <a:p>
                    <a:fld id="{0C2D5CDF-7981-4D87-BB98-AE8DE88AE9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8316-4C79-B4FD-E58703BCC2B8}"/>
                </c:ext>
              </c:extLst>
            </c:dLbl>
            <c:dLbl>
              <c:idx val="95"/>
              <c:tx>
                <c:rich>
                  <a:bodyPr/>
                  <a:lstStyle/>
                  <a:p>
                    <a:fld id="{80015D14-F638-49CC-BD4A-84BD34CD90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8316-4C79-B4FD-E58703BCC2B8}"/>
                </c:ext>
              </c:extLst>
            </c:dLbl>
            <c:dLbl>
              <c:idx val="96"/>
              <c:tx>
                <c:rich>
                  <a:bodyPr/>
                  <a:lstStyle/>
                  <a:p>
                    <a:fld id="{4FFEF9BF-5018-4141-8818-E7BAD006E5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8316-4C79-B4FD-E58703BCC2B8}"/>
                </c:ext>
              </c:extLst>
            </c:dLbl>
            <c:dLbl>
              <c:idx val="97"/>
              <c:tx>
                <c:rich>
                  <a:bodyPr/>
                  <a:lstStyle/>
                  <a:p>
                    <a:fld id="{240DCA4D-6388-4254-8F3F-34A023C999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8316-4C79-B4FD-E58703BCC2B8}"/>
                </c:ext>
              </c:extLst>
            </c:dLbl>
            <c:dLbl>
              <c:idx val="98"/>
              <c:tx>
                <c:rich>
                  <a:bodyPr/>
                  <a:lstStyle/>
                  <a:p>
                    <a:fld id="{BF91F093-51F5-4D7D-90CC-6B6715A4EE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8316-4C79-B4FD-E58703BCC2B8}"/>
                </c:ext>
              </c:extLst>
            </c:dLbl>
            <c:dLbl>
              <c:idx val="99"/>
              <c:tx>
                <c:rich>
                  <a:bodyPr/>
                  <a:lstStyle/>
                  <a:p>
                    <a:fld id="{C0C2BF77-BAF1-4350-A69D-D09A2C296A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8316-4C79-B4FD-E58703BCC2B8}"/>
                </c:ext>
              </c:extLst>
            </c:dLbl>
            <c:dLbl>
              <c:idx val="100"/>
              <c:tx>
                <c:rich>
                  <a:bodyPr/>
                  <a:lstStyle/>
                  <a:p>
                    <a:fld id="{482E7878-00F0-406A-A9AD-BD6C726B19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8316-4C79-B4FD-E58703BCC2B8}"/>
                </c:ext>
              </c:extLst>
            </c:dLbl>
            <c:dLbl>
              <c:idx val="101"/>
              <c:tx>
                <c:rich>
                  <a:bodyPr/>
                  <a:lstStyle/>
                  <a:p>
                    <a:fld id="{3C0315F3-411A-4288-9B40-F260F44E68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8316-4C79-B4FD-E58703BCC2B8}"/>
                </c:ext>
              </c:extLst>
            </c:dLbl>
            <c:dLbl>
              <c:idx val="102"/>
              <c:tx>
                <c:rich>
                  <a:bodyPr/>
                  <a:lstStyle/>
                  <a:p>
                    <a:fld id="{58C00C2D-145C-45EC-B80A-2DAA1696BB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8316-4C79-B4FD-E58703BCC2B8}"/>
                </c:ext>
              </c:extLst>
            </c:dLbl>
            <c:dLbl>
              <c:idx val="103"/>
              <c:tx>
                <c:rich>
                  <a:bodyPr/>
                  <a:lstStyle/>
                  <a:p>
                    <a:fld id="{6B78BCE7-2D0E-408A-B9DE-734E47D9E5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8316-4C79-B4FD-E58703BCC2B8}"/>
                </c:ext>
              </c:extLst>
            </c:dLbl>
            <c:dLbl>
              <c:idx val="104"/>
              <c:tx>
                <c:rich>
                  <a:bodyPr/>
                  <a:lstStyle/>
                  <a:p>
                    <a:fld id="{1425C569-D903-4F7A-A516-C0F135F4F6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8316-4C79-B4FD-E58703BCC2B8}"/>
                </c:ext>
              </c:extLst>
            </c:dLbl>
            <c:dLbl>
              <c:idx val="105"/>
              <c:tx>
                <c:rich>
                  <a:bodyPr/>
                  <a:lstStyle/>
                  <a:p>
                    <a:fld id="{196C09DB-F6B1-4280-A9E9-3F63762556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8316-4C79-B4FD-E58703BCC2B8}"/>
                </c:ext>
              </c:extLst>
            </c:dLbl>
            <c:dLbl>
              <c:idx val="106"/>
              <c:tx>
                <c:rich>
                  <a:bodyPr/>
                  <a:lstStyle/>
                  <a:p>
                    <a:fld id="{C9CA24EF-475B-44C1-9A85-B8B92641D0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8316-4C79-B4FD-E58703BCC2B8}"/>
                </c:ext>
              </c:extLst>
            </c:dLbl>
            <c:dLbl>
              <c:idx val="107"/>
              <c:tx>
                <c:rich>
                  <a:bodyPr/>
                  <a:lstStyle/>
                  <a:p>
                    <a:fld id="{BC2D91EB-61D5-4698-ABEF-C46BDAC49B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8316-4C79-B4FD-E58703BCC2B8}"/>
                </c:ext>
              </c:extLst>
            </c:dLbl>
            <c:dLbl>
              <c:idx val="108"/>
              <c:tx>
                <c:rich>
                  <a:bodyPr/>
                  <a:lstStyle/>
                  <a:p>
                    <a:fld id="{1D6723E3-1D32-452F-8AA2-DD8F40E2D1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8316-4C79-B4FD-E58703BCC2B8}"/>
                </c:ext>
              </c:extLst>
            </c:dLbl>
            <c:dLbl>
              <c:idx val="109"/>
              <c:tx>
                <c:rich>
                  <a:bodyPr/>
                  <a:lstStyle/>
                  <a:p>
                    <a:fld id="{01E1469B-B8DD-478B-B6F7-BE001A205F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8316-4C79-B4FD-E58703BCC2B8}"/>
                </c:ext>
              </c:extLst>
            </c:dLbl>
            <c:dLbl>
              <c:idx val="110"/>
              <c:tx>
                <c:rich>
                  <a:bodyPr/>
                  <a:lstStyle/>
                  <a:p>
                    <a:fld id="{BAE48948-411F-4E00-A0F4-D48C3338B8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8316-4C79-B4FD-E58703BCC2B8}"/>
                </c:ext>
              </c:extLst>
            </c:dLbl>
            <c:dLbl>
              <c:idx val="111"/>
              <c:tx>
                <c:rich>
                  <a:bodyPr/>
                  <a:lstStyle/>
                  <a:p>
                    <a:fld id="{16E8DF5F-BF83-4AB4-B858-3A648014DC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8316-4C79-B4FD-E58703BCC2B8}"/>
                </c:ext>
              </c:extLst>
            </c:dLbl>
            <c:dLbl>
              <c:idx val="112"/>
              <c:tx>
                <c:rich>
                  <a:bodyPr/>
                  <a:lstStyle/>
                  <a:p>
                    <a:fld id="{FB418737-610B-43D1-9525-ED2EB79BD1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8316-4C79-B4FD-E58703BCC2B8}"/>
                </c:ext>
              </c:extLst>
            </c:dLbl>
            <c:dLbl>
              <c:idx val="113"/>
              <c:tx>
                <c:rich>
                  <a:bodyPr/>
                  <a:lstStyle/>
                  <a:p>
                    <a:fld id="{4DAAAFCC-C2EE-4807-AA74-62309BA550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8316-4C79-B4FD-E58703BCC2B8}"/>
                </c:ext>
              </c:extLst>
            </c:dLbl>
            <c:dLbl>
              <c:idx val="114"/>
              <c:tx>
                <c:rich>
                  <a:bodyPr/>
                  <a:lstStyle/>
                  <a:p>
                    <a:fld id="{525B2B8D-1764-4627-942E-B714C90CF0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8316-4C79-B4FD-E58703BCC2B8}"/>
                </c:ext>
              </c:extLst>
            </c:dLbl>
            <c:dLbl>
              <c:idx val="115"/>
              <c:tx>
                <c:rich>
                  <a:bodyPr/>
                  <a:lstStyle/>
                  <a:p>
                    <a:fld id="{F60C5661-BDB9-4527-A8E8-8317709DCD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8316-4C79-B4FD-E58703BCC2B8}"/>
                </c:ext>
              </c:extLst>
            </c:dLbl>
            <c:dLbl>
              <c:idx val="116"/>
              <c:tx>
                <c:rich>
                  <a:bodyPr/>
                  <a:lstStyle/>
                  <a:p>
                    <a:fld id="{0629BD04-DD65-4E4C-8E9B-CA6A5D8543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8316-4C79-B4FD-E58703BCC2B8}"/>
                </c:ext>
              </c:extLst>
            </c:dLbl>
            <c:dLbl>
              <c:idx val="117"/>
              <c:tx>
                <c:rich>
                  <a:bodyPr/>
                  <a:lstStyle/>
                  <a:p>
                    <a:fld id="{22EAEAE8-E266-42AC-812F-10E50B815E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8316-4C79-B4FD-E58703BCC2B8}"/>
                </c:ext>
              </c:extLst>
            </c:dLbl>
            <c:dLbl>
              <c:idx val="118"/>
              <c:tx>
                <c:rich>
                  <a:bodyPr/>
                  <a:lstStyle/>
                  <a:p>
                    <a:fld id="{0D3DE988-28E7-405D-B094-ADFA33C199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8316-4C79-B4FD-E58703BCC2B8}"/>
                </c:ext>
              </c:extLst>
            </c:dLbl>
            <c:dLbl>
              <c:idx val="119"/>
              <c:tx>
                <c:rich>
                  <a:bodyPr/>
                  <a:lstStyle/>
                  <a:p>
                    <a:fld id="{62D71149-2FEA-455C-83C3-0A37EEB67C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8316-4C79-B4FD-E58703BCC2B8}"/>
                </c:ext>
              </c:extLst>
            </c:dLbl>
            <c:dLbl>
              <c:idx val="120"/>
              <c:tx>
                <c:rich>
                  <a:bodyPr/>
                  <a:lstStyle/>
                  <a:p>
                    <a:fld id="{5561EE6A-101C-411E-9BF6-4BA8464E07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8316-4C79-B4FD-E58703BCC2B8}"/>
                </c:ext>
              </c:extLst>
            </c:dLbl>
            <c:dLbl>
              <c:idx val="121"/>
              <c:tx>
                <c:rich>
                  <a:bodyPr/>
                  <a:lstStyle/>
                  <a:p>
                    <a:fld id="{FD638725-1719-46A1-92CB-F86155D91D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8316-4C79-B4FD-E58703BCC2B8}"/>
                </c:ext>
              </c:extLst>
            </c:dLbl>
            <c:dLbl>
              <c:idx val="122"/>
              <c:tx>
                <c:rich>
                  <a:bodyPr/>
                  <a:lstStyle/>
                  <a:p>
                    <a:fld id="{27ED7A62-77E9-4639-93EE-9931BB9F0B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8316-4C79-B4FD-E58703BCC2B8}"/>
                </c:ext>
              </c:extLst>
            </c:dLbl>
            <c:dLbl>
              <c:idx val="123"/>
              <c:tx>
                <c:rich>
                  <a:bodyPr/>
                  <a:lstStyle/>
                  <a:p>
                    <a:fld id="{0A798407-00DC-4835-B6F3-8549887248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8316-4C79-B4FD-E58703BCC2B8}"/>
                </c:ext>
              </c:extLst>
            </c:dLbl>
            <c:dLbl>
              <c:idx val="124"/>
              <c:tx>
                <c:rich>
                  <a:bodyPr/>
                  <a:lstStyle/>
                  <a:p>
                    <a:fld id="{2AC8C287-BB2A-44D5-98F2-14C75BF243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8316-4C79-B4FD-E58703BCC2B8}"/>
                </c:ext>
              </c:extLst>
            </c:dLbl>
            <c:dLbl>
              <c:idx val="125"/>
              <c:tx>
                <c:rich>
                  <a:bodyPr/>
                  <a:lstStyle/>
                  <a:p>
                    <a:fld id="{ADD6E5C4-9D43-45BE-82E7-9270AEABA6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8316-4C79-B4FD-E58703BCC2B8}"/>
                </c:ext>
              </c:extLst>
            </c:dLbl>
            <c:dLbl>
              <c:idx val="126"/>
              <c:tx>
                <c:rich>
                  <a:bodyPr/>
                  <a:lstStyle/>
                  <a:p>
                    <a:fld id="{9B6C3DF2-AE38-4CC4-9788-2E0076FBEA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8316-4C79-B4FD-E58703BCC2B8}"/>
                </c:ext>
              </c:extLst>
            </c:dLbl>
            <c:dLbl>
              <c:idx val="127"/>
              <c:tx>
                <c:rich>
                  <a:bodyPr/>
                  <a:lstStyle/>
                  <a:p>
                    <a:fld id="{EB018FD1-CCAB-407F-BDA7-3ED7B7F8A9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8316-4C79-B4FD-E58703BCC2B8}"/>
                </c:ext>
              </c:extLst>
            </c:dLbl>
            <c:dLbl>
              <c:idx val="128"/>
              <c:tx>
                <c:rich>
                  <a:bodyPr/>
                  <a:lstStyle/>
                  <a:p>
                    <a:fld id="{D69CB9CF-BB91-4327-B125-CFCF9EC597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8316-4C79-B4FD-E58703BCC2B8}"/>
                </c:ext>
              </c:extLst>
            </c:dLbl>
            <c:dLbl>
              <c:idx val="129"/>
              <c:tx>
                <c:rich>
                  <a:bodyPr/>
                  <a:lstStyle/>
                  <a:p>
                    <a:fld id="{DA52A93A-B141-4CE4-A126-35DB93372C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8316-4C79-B4FD-E58703BCC2B8}"/>
                </c:ext>
              </c:extLst>
            </c:dLbl>
            <c:dLbl>
              <c:idx val="130"/>
              <c:tx>
                <c:rich>
                  <a:bodyPr/>
                  <a:lstStyle/>
                  <a:p>
                    <a:fld id="{A4C55496-0992-4E33-8E80-4CC4EB0275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8316-4C79-B4FD-E58703BCC2B8}"/>
                </c:ext>
              </c:extLst>
            </c:dLbl>
            <c:dLbl>
              <c:idx val="131"/>
              <c:tx>
                <c:rich>
                  <a:bodyPr/>
                  <a:lstStyle/>
                  <a:p>
                    <a:fld id="{473468A3-1D97-490F-968F-2F46F28852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8316-4C79-B4FD-E58703BCC2B8}"/>
                </c:ext>
              </c:extLst>
            </c:dLbl>
            <c:dLbl>
              <c:idx val="132"/>
              <c:tx>
                <c:rich>
                  <a:bodyPr/>
                  <a:lstStyle/>
                  <a:p>
                    <a:fld id="{9018933E-4818-42A2-8939-7C44AD110E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8316-4C79-B4FD-E58703BCC2B8}"/>
                </c:ext>
              </c:extLst>
            </c:dLbl>
            <c:dLbl>
              <c:idx val="133"/>
              <c:tx>
                <c:rich>
                  <a:bodyPr/>
                  <a:lstStyle/>
                  <a:p>
                    <a:fld id="{BEA36497-2092-45FB-B42B-57CA68A6A3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8316-4C79-B4FD-E58703BCC2B8}"/>
                </c:ext>
              </c:extLst>
            </c:dLbl>
            <c:dLbl>
              <c:idx val="134"/>
              <c:tx>
                <c:rich>
                  <a:bodyPr/>
                  <a:lstStyle/>
                  <a:p>
                    <a:fld id="{1026F002-6503-4C75-BA09-067613B38A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8316-4C79-B4FD-E58703BCC2B8}"/>
                </c:ext>
              </c:extLst>
            </c:dLbl>
            <c:dLbl>
              <c:idx val="135"/>
              <c:tx>
                <c:rich>
                  <a:bodyPr/>
                  <a:lstStyle/>
                  <a:p>
                    <a:fld id="{67FF2D96-4911-4636-BB2B-EA7A835730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8316-4C79-B4FD-E58703BCC2B8}"/>
                </c:ext>
              </c:extLst>
            </c:dLbl>
            <c:dLbl>
              <c:idx val="136"/>
              <c:tx>
                <c:rich>
                  <a:bodyPr/>
                  <a:lstStyle/>
                  <a:p>
                    <a:fld id="{FE4E9399-1E68-422F-9ED1-59276D29AB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8316-4C79-B4FD-E58703BCC2B8}"/>
                </c:ext>
              </c:extLst>
            </c:dLbl>
            <c:dLbl>
              <c:idx val="137"/>
              <c:tx>
                <c:rich>
                  <a:bodyPr/>
                  <a:lstStyle/>
                  <a:p>
                    <a:fld id="{3075A5B5-DB8A-4B66-B961-7FA04E2D45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8316-4C79-B4FD-E58703BCC2B8}"/>
                </c:ext>
              </c:extLst>
            </c:dLbl>
            <c:dLbl>
              <c:idx val="138"/>
              <c:tx>
                <c:rich>
                  <a:bodyPr/>
                  <a:lstStyle/>
                  <a:p>
                    <a:fld id="{0DACE4CA-5C23-42E7-9A2E-09C3D661DF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8316-4C79-B4FD-E58703BCC2B8}"/>
                </c:ext>
              </c:extLst>
            </c:dLbl>
            <c:dLbl>
              <c:idx val="139"/>
              <c:tx>
                <c:rich>
                  <a:bodyPr/>
                  <a:lstStyle/>
                  <a:p>
                    <a:fld id="{C41F66A3-80A9-4F64-9CE2-9A654FDAA5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8316-4C79-B4FD-E58703BCC2B8}"/>
                </c:ext>
              </c:extLst>
            </c:dLbl>
            <c:dLbl>
              <c:idx val="140"/>
              <c:tx>
                <c:rich>
                  <a:bodyPr/>
                  <a:lstStyle/>
                  <a:p>
                    <a:fld id="{782150B3-5432-4219-A97C-2AD7837C7E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8316-4C79-B4FD-E58703BCC2B8}"/>
                </c:ext>
              </c:extLst>
            </c:dLbl>
            <c:dLbl>
              <c:idx val="141"/>
              <c:tx>
                <c:rich>
                  <a:bodyPr/>
                  <a:lstStyle/>
                  <a:p>
                    <a:fld id="{3C0E1105-6D8F-4AA3-BB97-D42C8BE207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8316-4C79-B4FD-E58703BCC2B8}"/>
                </c:ext>
              </c:extLst>
            </c:dLbl>
            <c:dLbl>
              <c:idx val="142"/>
              <c:tx>
                <c:rich>
                  <a:bodyPr/>
                  <a:lstStyle/>
                  <a:p>
                    <a:fld id="{ABFFE0A8-7265-4DB9-8876-E8BF4E64BF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8316-4C79-B4FD-E58703BCC2B8}"/>
                </c:ext>
              </c:extLst>
            </c:dLbl>
            <c:dLbl>
              <c:idx val="143"/>
              <c:tx>
                <c:rich>
                  <a:bodyPr/>
                  <a:lstStyle/>
                  <a:p>
                    <a:fld id="{B63BC859-5806-4BB1-94FA-0998C6739A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8316-4C79-B4FD-E58703BCC2B8}"/>
                </c:ext>
              </c:extLst>
            </c:dLbl>
            <c:dLbl>
              <c:idx val="144"/>
              <c:tx>
                <c:rich>
                  <a:bodyPr/>
                  <a:lstStyle/>
                  <a:p>
                    <a:fld id="{8C0FF0EB-7F2B-4B2C-8141-436BE2A557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8316-4C79-B4FD-E58703BCC2B8}"/>
                </c:ext>
              </c:extLst>
            </c:dLbl>
            <c:dLbl>
              <c:idx val="145"/>
              <c:tx>
                <c:rich>
                  <a:bodyPr/>
                  <a:lstStyle/>
                  <a:p>
                    <a:fld id="{6E8D4A9B-E981-4D53-9205-2DCA523F5D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8316-4C79-B4FD-E58703BCC2B8}"/>
                </c:ext>
              </c:extLst>
            </c:dLbl>
            <c:dLbl>
              <c:idx val="146"/>
              <c:tx>
                <c:rich>
                  <a:bodyPr/>
                  <a:lstStyle/>
                  <a:p>
                    <a:fld id="{11A6BDD6-3A6D-4684-9858-97837883D7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8316-4C79-B4FD-E58703BCC2B8}"/>
                </c:ext>
              </c:extLst>
            </c:dLbl>
            <c:dLbl>
              <c:idx val="147"/>
              <c:tx>
                <c:rich>
                  <a:bodyPr/>
                  <a:lstStyle/>
                  <a:p>
                    <a:fld id="{CA3AF592-ABA1-43D8-8F9E-CE1EAF1A40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8316-4C79-B4FD-E58703BCC2B8}"/>
                </c:ext>
              </c:extLst>
            </c:dLbl>
            <c:dLbl>
              <c:idx val="148"/>
              <c:tx>
                <c:rich>
                  <a:bodyPr/>
                  <a:lstStyle/>
                  <a:p>
                    <a:fld id="{14BDBA89-A183-444E-BD3B-FE7CD14CA4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8316-4C79-B4FD-E58703BCC2B8}"/>
                </c:ext>
              </c:extLst>
            </c:dLbl>
            <c:dLbl>
              <c:idx val="149"/>
              <c:tx>
                <c:rich>
                  <a:bodyPr/>
                  <a:lstStyle/>
                  <a:p>
                    <a:fld id="{3F30D863-AAD3-43D5-8054-75B99D40C8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8316-4C79-B4FD-E58703BCC2B8}"/>
                </c:ext>
              </c:extLst>
            </c:dLbl>
            <c:dLbl>
              <c:idx val="150"/>
              <c:tx>
                <c:rich>
                  <a:bodyPr/>
                  <a:lstStyle/>
                  <a:p>
                    <a:fld id="{6C43BE31-3BC0-458F-83FF-1661CEE44E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8316-4C79-B4FD-E58703BCC2B8}"/>
                </c:ext>
              </c:extLst>
            </c:dLbl>
            <c:dLbl>
              <c:idx val="151"/>
              <c:tx>
                <c:rich>
                  <a:bodyPr/>
                  <a:lstStyle/>
                  <a:p>
                    <a:fld id="{7175997B-C4EA-4B8D-A9EE-9EB071AEE6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8316-4C79-B4FD-E58703BCC2B8}"/>
                </c:ext>
              </c:extLst>
            </c:dLbl>
            <c:dLbl>
              <c:idx val="152"/>
              <c:tx>
                <c:rich>
                  <a:bodyPr/>
                  <a:lstStyle/>
                  <a:p>
                    <a:fld id="{B57FF2F8-C1C1-4036-930B-344DE7294D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8316-4C79-B4FD-E58703BCC2B8}"/>
                </c:ext>
              </c:extLst>
            </c:dLbl>
            <c:dLbl>
              <c:idx val="153"/>
              <c:tx>
                <c:rich>
                  <a:bodyPr/>
                  <a:lstStyle/>
                  <a:p>
                    <a:fld id="{80AA5C20-45FD-4DCA-8601-39C3441DD6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8316-4C79-B4FD-E58703BCC2B8}"/>
                </c:ext>
              </c:extLst>
            </c:dLbl>
            <c:dLbl>
              <c:idx val="154"/>
              <c:tx>
                <c:rich>
                  <a:bodyPr/>
                  <a:lstStyle/>
                  <a:p>
                    <a:fld id="{8AFD35F9-DA8A-46D5-89FA-FA1B35002D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8316-4C79-B4FD-E58703BCC2B8}"/>
                </c:ext>
              </c:extLst>
            </c:dLbl>
            <c:dLbl>
              <c:idx val="155"/>
              <c:tx>
                <c:rich>
                  <a:bodyPr/>
                  <a:lstStyle/>
                  <a:p>
                    <a:fld id="{A0C3FC05-2258-4C8A-91FB-65D4DC9357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8316-4C79-B4FD-E58703BCC2B8}"/>
                </c:ext>
              </c:extLst>
            </c:dLbl>
            <c:dLbl>
              <c:idx val="156"/>
              <c:tx>
                <c:rich>
                  <a:bodyPr/>
                  <a:lstStyle/>
                  <a:p>
                    <a:fld id="{3C465FE6-B9D0-4DA1-8742-4F144C7B30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8316-4C79-B4FD-E58703BCC2B8}"/>
                </c:ext>
              </c:extLst>
            </c:dLbl>
            <c:dLbl>
              <c:idx val="157"/>
              <c:tx>
                <c:rich>
                  <a:bodyPr/>
                  <a:lstStyle/>
                  <a:p>
                    <a:fld id="{420D4AC2-9057-40EE-B073-5D8A47E903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8316-4C79-B4FD-E58703BCC2B8}"/>
                </c:ext>
              </c:extLst>
            </c:dLbl>
            <c:dLbl>
              <c:idx val="158"/>
              <c:tx>
                <c:rich>
                  <a:bodyPr/>
                  <a:lstStyle/>
                  <a:p>
                    <a:fld id="{AA336FD0-8C21-4535-A026-0FC6E3750A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8316-4C79-B4FD-E58703BCC2B8}"/>
                </c:ext>
              </c:extLst>
            </c:dLbl>
            <c:dLbl>
              <c:idx val="159"/>
              <c:tx>
                <c:rich>
                  <a:bodyPr/>
                  <a:lstStyle/>
                  <a:p>
                    <a:fld id="{50C3E60B-DD11-40BB-84C1-4D4DC3332B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8316-4C79-B4FD-E58703BCC2B8}"/>
                </c:ext>
              </c:extLst>
            </c:dLbl>
            <c:dLbl>
              <c:idx val="160"/>
              <c:tx>
                <c:rich>
                  <a:bodyPr/>
                  <a:lstStyle/>
                  <a:p>
                    <a:fld id="{B806EF10-A687-4348-858B-88D5C3A7AC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8316-4C79-B4FD-E58703BCC2B8}"/>
                </c:ext>
              </c:extLst>
            </c:dLbl>
            <c:dLbl>
              <c:idx val="161"/>
              <c:tx>
                <c:rich>
                  <a:bodyPr/>
                  <a:lstStyle/>
                  <a:p>
                    <a:fld id="{4AFA4B7D-3C42-4D6C-9128-E8D90F11EB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8316-4C79-B4FD-E58703BCC2B8}"/>
                </c:ext>
              </c:extLst>
            </c:dLbl>
            <c:dLbl>
              <c:idx val="162"/>
              <c:tx>
                <c:rich>
                  <a:bodyPr/>
                  <a:lstStyle/>
                  <a:p>
                    <a:fld id="{0228472B-9A33-4372-8762-B1D06662B9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8316-4C79-B4FD-E58703BCC2B8}"/>
                </c:ext>
              </c:extLst>
            </c:dLbl>
            <c:dLbl>
              <c:idx val="163"/>
              <c:tx>
                <c:rich>
                  <a:bodyPr/>
                  <a:lstStyle/>
                  <a:p>
                    <a:fld id="{BEA205A1-FCD4-4C0D-AF00-3AD8FCAB7F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8316-4C79-B4FD-E58703BCC2B8}"/>
                </c:ext>
              </c:extLst>
            </c:dLbl>
            <c:dLbl>
              <c:idx val="164"/>
              <c:tx>
                <c:rich>
                  <a:bodyPr/>
                  <a:lstStyle/>
                  <a:p>
                    <a:fld id="{6EAADC08-1A0B-480A-9DFC-F4468AD831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8316-4C79-B4FD-E58703BCC2B8}"/>
                </c:ext>
              </c:extLst>
            </c:dLbl>
            <c:dLbl>
              <c:idx val="165"/>
              <c:tx>
                <c:rich>
                  <a:bodyPr/>
                  <a:lstStyle/>
                  <a:p>
                    <a:fld id="{DBE32296-A5EC-4ADA-A302-31BD273EC4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8316-4C79-B4FD-E58703BCC2B8}"/>
                </c:ext>
              </c:extLst>
            </c:dLbl>
            <c:dLbl>
              <c:idx val="166"/>
              <c:tx>
                <c:rich>
                  <a:bodyPr/>
                  <a:lstStyle/>
                  <a:p>
                    <a:fld id="{01E601F9-3401-4A8B-92E9-3A35A57AF5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8316-4C79-B4FD-E58703BCC2B8}"/>
                </c:ext>
              </c:extLst>
            </c:dLbl>
            <c:dLbl>
              <c:idx val="167"/>
              <c:tx>
                <c:rich>
                  <a:bodyPr/>
                  <a:lstStyle/>
                  <a:p>
                    <a:fld id="{283FDFD6-D18C-4B6B-8D02-3FC2301E66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8316-4C79-B4FD-E58703BCC2B8}"/>
                </c:ext>
              </c:extLst>
            </c:dLbl>
            <c:dLbl>
              <c:idx val="168"/>
              <c:tx>
                <c:rich>
                  <a:bodyPr/>
                  <a:lstStyle/>
                  <a:p>
                    <a:fld id="{2E1C29EC-F880-458B-A557-24075CC9CC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8316-4C79-B4FD-E58703BCC2B8}"/>
                </c:ext>
              </c:extLst>
            </c:dLbl>
            <c:dLbl>
              <c:idx val="169"/>
              <c:tx>
                <c:rich>
                  <a:bodyPr/>
                  <a:lstStyle/>
                  <a:p>
                    <a:fld id="{C154FE94-81F7-4322-A80F-5459A9138F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8316-4C79-B4FD-E58703BCC2B8}"/>
                </c:ext>
              </c:extLst>
            </c:dLbl>
            <c:dLbl>
              <c:idx val="170"/>
              <c:tx>
                <c:rich>
                  <a:bodyPr/>
                  <a:lstStyle/>
                  <a:p>
                    <a:fld id="{7B4F8D0E-881F-4282-BE74-02797BC687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8316-4C79-B4FD-E58703BCC2B8}"/>
                </c:ext>
              </c:extLst>
            </c:dLbl>
            <c:dLbl>
              <c:idx val="171"/>
              <c:tx>
                <c:rich>
                  <a:bodyPr/>
                  <a:lstStyle/>
                  <a:p>
                    <a:fld id="{F2715112-F2E1-4A00-9540-48F1C4DA71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8316-4C79-B4FD-E58703BCC2B8}"/>
                </c:ext>
              </c:extLst>
            </c:dLbl>
            <c:dLbl>
              <c:idx val="172"/>
              <c:tx>
                <c:rich>
                  <a:bodyPr/>
                  <a:lstStyle/>
                  <a:p>
                    <a:fld id="{8C648D2C-4F84-464F-B5CD-81D4329E91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8316-4C79-B4FD-E58703BCC2B8}"/>
                </c:ext>
              </c:extLst>
            </c:dLbl>
            <c:dLbl>
              <c:idx val="173"/>
              <c:tx>
                <c:rich>
                  <a:bodyPr/>
                  <a:lstStyle/>
                  <a:p>
                    <a:fld id="{95D4B34B-2BD2-4F63-92ED-70E9D59BB7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8316-4C79-B4FD-E58703BCC2B8}"/>
                </c:ext>
              </c:extLst>
            </c:dLbl>
            <c:dLbl>
              <c:idx val="174"/>
              <c:tx>
                <c:rich>
                  <a:bodyPr/>
                  <a:lstStyle/>
                  <a:p>
                    <a:fld id="{B904A2BA-4B48-4C98-ADA4-509E11461C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8316-4C79-B4FD-E58703BCC2B8}"/>
                </c:ext>
              </c:extLst>
            </c:dLbl>
            <c:dLbl>
              <c:idx val="175"/>
              <c:tx>
                <c:rich>
                  <a:bodyPr/>
                  <a:lstStyle/>
                  <a:p>
                    <a:fld id="{173BE6CD-AB66-42D8-8354-A9C7CB716B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8316-4C79-B4FD-E58703BCC2B8}"/>
                </c:ext>
              </c:extLst>
            </c:dLbl>
            <c:dLbl>
              <c:idx val="176"/>
              <c:tx>
                <c:rich>
                  <a:bodyPr/>
                  <a:lstStyle/>
                  <a:p>
                    <a:fld id="{B574AD3B-A6A6-4595-AE6D-D298EC3580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8316-4C79-B4FD-E58703BCC2B8}"/>
                </c:ext>
              </c:extLst>
            </c:dLbl>
            <c:dLbl>
              <c:idx val="177"/>
              <c:tx>
                <c:rich>
                  <a:bodyPr/>
                  <a:lstStyle/>
                  <a:p>
                    <a:fld id="{7AFD7375-00BA-4FDA-BC2E-C168312133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8316-4C79-B4FD-E58703BCC2B8}"/>
                </c:ext>
              </c:extLst>
            </c:dLbl>
            <c:dLbl>
              <c:idx val="178"/>
              <c:tx>
                <c:rich>
                  <a:bodyPr/>
                  <a:lstStyle/>
                  <a:p>
                    <a:fld id="{227BDEEE-7B75-487F-A996-A08B4E3191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8316-4C79-B4FD-E58703BCC2B8}"/>
                </c:ext>
              </c:extLst>
            </c:dLbl>
            <c:dLbl>
              <c:idx val="179"/>
              <c:tx>
                <c:rich>
                  <a:bodyPr/>
                  <a:lstStyle/>
                  <a:p>
                    <a:fld id="{E5621791-A1BE-40D5-8316-9A21B5F045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8316-4C79-B4FD-E58703BCC2B8}"/>
                </c:ext>
              </c:extLst>
            </c:dLbl>
            <c:dLbl>
              <c:idx val="180"/>
              <c:tx>
                <c:rich>
                  <a:bodyPr/>
                  <a:lstStyle/>
                  <a:p>
                    <a:fld id="{C1F42C1E-733C-4C3C-9277-EC7F2BE74C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8316-4C79-B4FD-E58703BCC2B8}"/>
                </c:ext>
              </c:extLst>
            </c:dLbl>
            <c:dLbl>
              <c:idx val="181"/>
              <c:tx>
                <c:rich>
                  <a:bodyPr/>
                  <a:lstStyle/>
                  <a:p>
                    <a:fld id="{3108D65D-A135-474A-8EF6-B88073819D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8316-4C79-B4FD-E58703BCC2B8}"/>
                </c:ext>
              </c:extLst>
            </c:dLbl>
            <c:dLbl>
              <c:idx val="182"/>
              <c:tx>
                <c:rich>
                  <a:bodyPr/>
                  <a:lstStyle/>
                  <a:p>
                    <a:fld id="{9E4492AF-2640-4BEA-8E13-3E35A7A54B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8316-4C79-B4FD-E58703BCC2B8}"/>
                </c:ext>
              </c:extLst>
            </c:dLbl>
            <c:dLbl>
              <c:idx val="183"/>
              <c:tx>
                <c:rich>
                  <a:bodyPr/>
                  <a:lstStyle/>
                  <a:p>
                    <a:fld id="{91544FBA-590E-4D23-8DD0-D305228EEA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8316-4C79-B4FD-E58703BCC2B8}"/>
                </c:ext>
              </c:extLst>
            </c:dLbl>
            <c:dLbl>
              <c:idx val="184"/>
              <c:tx>
                <c:rich>
                  <a:bodyPr/>
                  <a:lstStyle/>
                  <a:p>
                    <a:fld id="{A6360E58-FCF2-4AA7-9B56-8A39D14C59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8316-4C79-B4FD-E58703BCC2B8}"/>
                </c:ext>
              </c:extLst>
            </c:dLbl>
            <c:dLbl>
              <c:idx val="185"/>
              <c:tx>
                <c:rich>
                  <a:bodyPr/>
                  <a:lstStyle/>
                  <a:p>
                    <a:fld id="{4D926816-1820-424B-8133-384D2B4645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8316-4C79-B4FD-E58703BCC2B8}"/>
                </c:ext>
              </c:extLst>
            </c:dLbl>
            <c:dLbl>
              <c:idx val="186"/>
              <c:tx>
                <c:rich>
                  <a:bodyPr/>
                  <a:lstStyle/>
                  <a:p>
                    <a:fld id="{FD7C343A-3F0B-499E-8DC2-5865E76C7D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8316-4C79-B4FD-E58703BCC2B8}"/>
                </c:ext>
              </c:extLst>
            </c:dLbl>
            <c:dLbl>
              <c:idx val="187"/>
              <c:tx>
                <c:rich>
                  <a:bodyPr/>
                  <a:lstStyle/>
                  <a:p>
                    <a:fld id="{EB2501AB-E172-4EFB-BA5B-6E70935BB6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8316-4C79-B4FD-E58703BCC2B8}"/>
                </c:ext>
              </c:extLst>
            </c:dLbl>
            <c:dLbl>
              <c:idx val="188"/>
              <c:tx>
                <c:rich>
                  <a:bodyPr/>
                  <a:lstStyle/>
                  <a:p>
                    <a:fld id="{1586BA21-94B6-491F-BFE6-57DEAE9D17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8316-4C79-B4FD-E58703BCC2B8}"/>
                </c:ext>
              </c:extLst>
            </c:dLbl>
            <c:dLbl>
              <c:idx val="189"/>
              <c:tx>
                <c:rich>
                  <a:bodyPr/>
                  <a:lstStyle/>
                  <a:p>
                    <a:fld id="{A4E72A2C-1DB2-41EC-A8D9-37FC199B14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8316-4C79-B4FD-E58703BCC2B8}"/>
                </c:ext>
              </c:extLst>
            </c:dLbl>
            <c:dLbl>
              <c:idx val="190"/>
              <c:tx>
                <c:rich>
                  <a:bodyPr/>
                  <a:lstStyle/>
                  <a:p>
                    <a:fld id="{79217D14-2545-4845-91A2-E0C260E024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8316-4C79-B4FD-E58703BCC2B8}"/>
                </c:ext>
              </c:extLst>
            </c:dLbl>
            <c:dLbl>
              <c:idx val="191"/>
              <c:tx>
                <c:rich>
                  <a:bodyPr/>
                  <a:lstStyle/>
                  <a:p>
                    <a:fld id="{D9AEF52E-5237-4083-888F-1C89E17EEE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8316-4C79-B4FD-E58703BCC2B8}"/>
                </c:ext>
              </c:extLst>
            </c:dLbl>
            <c:dLbl>
              <c:idx val="192"/>
              <c:tx>
                <c:rich>
                  <a:bodyPr/>
                  <a:lstStyle/>
                  <a:p>
                    <a:fld id="{7DEC4726-ED81-41D7-B602-A68C44624B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8316-4C79-B4FD-E58703BCC2B8}"/>
                </c:ext>
              </c:extLst>
            </c:dLbl>
            <c:dLbl>
              <c:idx val="193"/>
              <c:tx>
                <c:rich>
                  <a:bodyPr/>
                  <a:lstStyle/>
                  <a:p>
                    <a:fld id="{A668B996-BCFA-46AF-A97D-11B4AD7D33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8316-4C79-B4FD-E58703BCC2B8}"/>
                </c:ext>
              </c:extLst>
            </c:dLbl>
            <c:dLbl>
              <c:idx val="194"/>
              <c:tx>
                <c:rich>
                  <a:bodyPr/>
                  <a:lstStyle/>
                  <a:p>
                    <a:fld id="{65D43726-0006-4C4D-8A5B-C7ED9F7485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8316-4C79-B4FD-E58703BCC2B8}"/>
                </c:ext>
              </c:extLst>
            </c:dLbl>
            <c:dLbl>
              <c:idx val="195"/>
              <c:tx>
                <c:rich>
                  <a:bodyPr/>
                  <a:lstStyle/>
                  <a:p>
                    <a:fld id="{E88ACCBE-44F6-4961-81F8-54C65E1A37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8316-4C79-B4FD-E58703BCC2B8}"/>
                </c:ext>
              </c:extLst>
            </c:dLbl>
            <c:dLbl>
              <c:idx val="196"/>
              <c:tx>
                <c:rich>
                  <a:bodyPr/>
                  <a:lstStyle/>
                  <a:p>
                    <a:fld id="{BB978C4F-BEC3-495F-AF94-502441C2B4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8316-4C79-B4FD-E58703BCC2B8}"/>
                </c:ext>
              </c:extLst>
            </c:dLbl>
            <c:dLbl>
              <c:idx val="197"/>
              <c:tx>
                <c:rich>
                  <a:bodyPr/>
                  <a:lstStyle/>
                  <a:p>
                    <a:fld id="{A16ECD92-7B29-4B7A-98D5-B450A2D080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8316-4C79-B4FD-E58703BCC2B8}"/>
                </c:ext>
              </c:extLst>
            </c:dLbl>
            <c:dLbl>
              <c:idx val="198"/>
              <c:tx>
                <c:rich>
                  <a:bodyPr/>
                  <a:lstStyle/>
                  <a:p>
                    <a:fld id="{0EA8B0DD-A52E-46D6-BBBD-ADB9D4A030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8316-4C79-B4FD-E58703BCC2B8}"/>
                </c:ext>
              </c:extLst>
            </c:dLbl>
            <c:dLbl>
              <c:idx val="199"/>
              <c:tx>
                <c:rich>
                  <a:bodyPr/>
                  <a:lstStyle/>
                  <a:p>
                    <a:fld id="{007970E9-E83B-4D0F-9255-3431DC36F6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8316-4C79-B4FD-E58703BCC2B8}"/>
                </c:ext>
              </c:extLst>
            </c:dLbl>
            <c:dLbl>
              <c:idx val="200"/>
              <c:tx>
                <c:rich>
                  <a:bodyPr/>
                  <a:lstStyle/>
                  <a:p>
                    <a:fld id="{29E62C2E-16CF-4518-B03C-686FA5F644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8316-4C79-B4FD-E58703BCC2B8}"/>
                </c:ext>
              </c:extLst>
            </c:dLbl>
            <c:dLbl>
              <c:idx val="201"/>
              <c:tx>
                <c:rich>
                  <a:bodyPr/>
                  <a:lstStyle/>
                  <a:p>
                    <a:fld id="{5151C87F-C8BD-43AD-9957-6306F293C4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8316-4C79-B4FD-E58703BCC2B8}"/>
                </c:ext>
              </c:extLst>
            </c:dLbl>
            <c:dLbl>
              <c:idx val="202"/>
              <c:tx>
                <c:rich>
                  <a:bodyPr/>
                  <a:lstStyle/>
                  <a:p>
                    <a:fld id="{E092ED1F-19FD-462D-9BCF-E7BB34C887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8316-4C79-B4FD-E58703BCC2B8}"/>
                </c:ext>
              </c:extLst>
            </c:dLbl>
            <c:dLbl>
              <c:idx val="203"/>
              <c:tx>
                <c:rich>
                  <a:bodyPr/>
                  <a:lstStyle/>
                  <a:p>
                    <a:fld id="{CCFEAA9B-2191-4E76-8ADB-E5409EF846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8316-4C79-B4FD-E58703BCC2B8}"/>
                </c:ext>
              </c:extLst>
            </c:dLbl>
            <c:dLbl>
              <c:idx val="204"/>
              <c:tx>
                <c:rich>
                  <a:bodyPr/>
                  <a:lstStyle/>
                  <a:p>
                    <a:fld id="{31652E1C-2CCE-4CD9-BB0F-07DB5F3969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8316-4C79-B4FD-E58703BCC2B8}"/>
                </c:ext>
              </c:extLst>
            </c:dLbl>
            <c:dLbl>
              <c:idx val="205"/>
              <c:tx>
                <c:rich>
                  <a:bodyPr/>
                  <a:lstStyle/>
                  <a:p>
                    <a:fld id="{BC5ECDFA-7B7A-4704-8BA4-A69C4EE02E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8316-4C79-B4FD-E58703BCC2B8}"/>
                </c:ext>
              </c:extLst>
            </c:dLbl>
            <c:dLbl>
              <c:idx val="206"/>
              <c:tx>
                <c:rich>
                  <a:bodyPr/>
                  <a:lstStyle/>
                  <a:p>
                    <a:fld id="{6CA90158-8953-4908-AEF6-500A2B9996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8316-4C79-B4FD-E58703BCC2B8}"/>
                </c:ext>
              </c:extLst>
            </c:dLbl>
            <c:dLbl>
              <c:idx val="207"/>
              <c:tx>
                <c:rich>
                  <a:bodyPr/>
                  <a:lstStyle/>
                  <a:p>
                    <a:fld id="{07410509-69E7-4AB1-B01D-C15F600187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8316-4C79-B4FD-E58703BCC2B8}"/>
                </c:ext>
              </c:extLst>
            </c:dLbl>
            <c:dLbl>
              <c:idx val="208"/>
              <c:tx>
                <c:rich>
                  <a:bodyPr/>
                  <a:lstStyle/>
                  <a:p>
                    <a:fld id="{FE889B25-DC69-4DC8-9AC2-2D1093AFED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8316-4C79-B4FD-E58703BCC2B8}"/>
                </c:ext>
              </c:extLst>
            </c:dLbl>
            <c:dLbl>
              <c:idx val="209"/>
              <c:tx>
                <c:rich>
                  <a:bodyPr/>
                  <a:lstStyle/>
                  <a:p>
                    <a:fld id="{D6C10EBE-A1AF-47DE-A151-395B94D797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8316-4C79-B4FD-E58703BCC2B8}"/>
                </c:ext>
              </c:extLst>
            </c:dLbl>
            <c:dLbl>
              <c:idx val="210"/>
              <c:tx>
                <c:rich>
                  <a:bodyPr/>
                  <a:lstStyle/>
                  <a:p>
                    <a:fld id="{1076EF5B-DD51-4CF6-8510-F56DF45355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8316-4C79-B4FD-E58703BCC2B8}"/>
                </c:ext>
              </c:extLst>
            </c:dLbl>
            <c:dLbl>
              <c:idx val="211"/>
              <c:tx>
                <c:rich>
                  <a:bodyPr/>
                  <a:lstStyle/>
                  <a:p>
                    <a:fld id="{A168E4DE-917F-4A4B-833A-3360BD142D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8316-4C79-B4FD-E58703BCC2B8}"/>
                </c:ext>
              </c:extLst>
            </c:dLbl>
            <c:dLbl>
              <c:idx val="212"/>
              <c:tx>
                <c:rich>
                  <a:bodyPr/>
                  <a:lstStyle/>
                  <a:p>
                    <a:fld id="{6A822B42-C486-44CD-957B-0EFC5A04F2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8316-4C79-B4FD-E58703BCC2B8}"/>
                </c:ext>
              </c:extLst>
            </c:dLbl>
            <c:dLbl>
              <c:idx val="213"/>
              <c:tx>
                <c:rich>
                  <a:bodyPr/>
                  <a:lstStyle/>
                  <a:p>
                    <a:fld id="{431BDD27-C4C4-403D-97FC-FB4A810CA2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8316-4C79-B4FD-E58703BCC2B8}"/>
                </c:ext>
              </c:extLst>
            </c:dLbl>
            <c:dLbl>
              <c:idx val="214"/>
              <c:tx>
                <c:rich>
                  <a:bodyPr/>
                  <a:lstStyle/>
                  <a:p>
                    <a:fld id="{84359736-4BC7-4C47-8780-CE6A440C5D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8316-4C79-B4FD-E58703BCC2B8}"/>
                </c:ext>
              </c:extLst>
            </c:dLbl>
            <c:dLbl>
              <c:idx val="215"/>
              <c:tx>
                <c:rich>
                  <a:bodyPr/>
                  <a:lstStyle/>
                  <a:p>
                    <a:fld id="{DA42D4A6-349E-4CB4-B622-8E5459D551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8316-4C79-B4FD-E58703BCC2B8}"/>
                </c:ext>
              </c:extLst>
            </c:dLbl>
            <c:dLbl>
              <c:idx val="216"/>
              <c:tx>
                <c:rich>
                  <a:bodyPr/>
                  <a:lstStyle/>
                  <a:p>
                    <a:fld id="{6F5B41A5-546A-4555-9F6E-69404FA2E7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8316-4C79-B4FD-E58703BCC2B8}"/>
                </c:ext>
              </c:extLst>
            </c:dLbl>
            <c:dLbl>
              <c:idx val="217"/>
              <c:tx>
                <c:rich>
                  <a:bodyPr/>
                  <a:lstStyle/>
                  <a:p>
                    <a:fld id="{79F78CA4-736F-42B5-90F7-02E2D3F7B0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8316-4C79-B4FD-E58703BCC2B8}"/>
                </c:ext>
              </c:extLst>
            </c:dLbl>
            <c:dLbl>
              <c:idx val="218"/>
              <c:tx>
                <c:rich>
                  <a:bodyPr/>
                  <a:lstStyle/>
                  <a:p>
                    <a:fld id="{60FFB1B9-630B-40F9-8A88-10822C156E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8316-4C79-B4FD-E58703BCC2B8}"/>
                </c:ext>
              </c:extLst>
            </c:dLbl>
            <c:dLbl>
              <c:idx val="219"/>
              <c:tx>
                <c:rich>
                  <a:bodyPr/>
                  <a:lstStyle/>
                  <a:p>
                    <a:fld id="{971B383D-54D9-413C-B6E9-25C9755337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8316-4C79-B4FD-E58703BCC2B8}"/>
                </c:ext>
              </c:extLst>
            </c:dLbl>
            <c:dLbl>
              <c:idx val="220"/>
              <c:tx>
                <c:rich>
                  <a:bodyPr/>
                  <a:lstStyle/>
                  <a:p>
                    <a:fld id="{CA012BA0-44AE-4968-98D7-375527C4D5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8316-4C79-B4FD-E58703BCC2B8}"/>
                </c:ext>
              </c:extLst>
            </c:dLbl>
            <c:dLbl>
              <c:idx val="221"/>
              <c:tx>
                <c:rich>
                  <a:bodyPr/>
                  <a:lstStyle/>
                  <a:p>
                    <a:fld id="{C0AD661F-12EC-44A7-BA02-A32188DF41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8316-4C79-B4FD-E58703BCC2B8}"/>
                </c:ext>
              </c:extLst>
            </c:dLbl>
            <c:dLbl>
              <c:idx val="222"/>
              <c:tx>
                <c:rich>
                  <a:bodyPr/>
                  <a:lstStyle/>
                  <a:p>
                    <a:fld id="{5ED318E0-D307-405E-9C74-3A923ADA26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8316-4C79-B4FD-E58703BCC2B8}"/>
                </c:ext>
              </c:extLst>
            </c:dLbl>
            <c:dLbl>
              <c:idx val="223"/>
              <c:tx>
                <c:rich>
                  <a:bodyPr/>
                  <a:lstStyle/>
                  <a:p>
                    <a:fld id="{8D01BEEA-2F29-40FC-94DE-1930BF0AAD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8316-4C79-B4FD-E58703BCC2B8}"/>
                </c:ext>
              </c:extLst>
            </c:dLbl>
            <c:dLbl>
              <c:idx val="224"/>
              <c:tx>
                <c:rich>
                  <a:bodyPr/>
                  <a:lstStyle/>
                  <a:p>
                    <a:fld id="{83844DA3-8376-47FC-882D-5C0904BADF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8316-4C79-B4FD-E58703BCC2B8}"/>
                </c:ext>
              </c:extLst>
            </c:dLbl>
            <c:dLbl>
              <c:idx val="225"/>
              <c:tx>
                <c:rich>
                  <a:bodyPr/>
                  <a:lstStyle/>
                  <a:p>
                    <a:fld id="{6FAC62EA-8FE4-4ACF-A929-BD01D2299D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8316-4C79-B4FD-E58703BCC2B8}"/>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8316-4C79-B4FD-E58703BCC2B8}"/>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8316-4C79-B4FD-E58703BCC2B8}"/>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8316-4C79-B4FD-E58703BCC2B8}"/>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8316-4C79-B4FD-E58703BCC2B8}"/>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8316-4C79-B4FD-E58703BCC2B8}"/>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8316-4C79-B4FD-E58703BCC2B8}"/>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8316-4C79-B4FD-E58703BCC2B8}"/>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8316-4C79-B4FD-E58703BCC2B8}"/>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8316-4C79-B4FD-E58703BCC2B8}"/>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8316-4C79-B4FD-E58703BCC2B8}"/>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8316-4C79-B4FD-E58703BCC2B8}"/>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8316-4C79-B4FD-E58703BCC2B8}"/>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8316-4C79-B4FD-E58703BCC2B8}"/>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8316-4C79-B4FD-E58703BCC2B8}"/>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8316-4C79-B4FD-E58703BCC2B8}"/>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8316-4C79-B4FD-E58703BCC2B8}"/>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8316-4C79-B4FD-E58703BCC2B8}"/>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8316-4C79-B4FD-E58703BCC2B8}"/>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8316-4C79-B4FD-E58703BCC2B8}"/>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8316-4C79-B4FD-E58703BCC2B8}"/>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8316-4C79-B4FD-E58703BCC2B8}"/>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8316-4C79-B4FD-E58703BCC2B8}"/>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8316-4C79-B4FD-E58703BCC2B8}"/>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8316-4C79-B4FD-E58703BCC2B8}"/>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8316-4C79-B4FD-E58703BCC2B8}"/>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8316-4C79-B4FD-E58703BCC2B8}"/>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8316-4C79-B4FD-E58703BCC2B8}"/>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8316-4C79-B4FD-E58703BCC2B8}"/>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8316-4C79-B4FD-E58703BCC2B8}"/>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8316-4C79-B4FD-E58703BCC2B8}"/>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8316-4C79-B4FD-E58703BCC2B8}"/>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8316-4C79-B4FD-E58703BCC2B8}"/>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8316-4C79-B4FD-E58703BCC2B8}"/>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8316-4C79-B4FD-E58703BCC2B8}"/>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8316-4C79-B4FD-E58703BCC2B8}"/>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8316-4C79-B4FD-E58703BCC2B8}"/>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8316-4C79-B4FD-E58703BCC2B8}"/>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8316-4C79-B4FD-E58703BCC2B8}"/>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8316-4C79-B4FD-E58703BCC2B8}"/>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8316-4C79-B4FD-E58703BCC2B8}"/>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8316-4C79-B4FD-E58703BCC2B8}"/>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8316-4C79-B4FD-E58703BCC2B8}"/>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8316-4C79-B4FD-E58703BCC2B8}"/>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8316-4C79-B4FD-E58703BCC2B8}"/>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8316-4C79-B4FD-E58703BCC2B8}"/>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8316-4C79-B4FD-E58703BCC2B8}"/>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8316-4C79-B4FD-E58703BCC2B8}"/>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8316-4C79-B4FD-E58703BCC2B8}"/>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8316-4C79-B4FD-E58703BCC2B8}"/>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8316-4C79-B4FD-E58703BCC2B8}"/>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8316-4C79-B4FD-E58703BCC2B8}"/>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8316-4C79-B4FD-E58703BCC2B8}"/>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8316-4C79-B4FD-E58703BCC2B8}"/>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8316-4C79-B4FD-E58703BCC2B8}"/>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8316-4C79-B4FD-E58703BCC2B8}"/>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8316-4C79-B4FD-E58703BCC2B8}"/>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8316-4C79-B4FD-E58703BCC2B8}"/>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8316-4C79-B4FD-E58703BCC2B8}"/>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8316-4C79-B4FD-E58703BCC2B8}"/>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8316-4C79-B4FD-E58703BCC2B8}"/>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8316-4C79-B4FD-E58703BCC2B8}"/>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8316-4C79-B4FD-E58703BCC2B8}"/>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8316-4C79-B4FD-E58703BCC2B8}"/>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8316-4C79-B4FD-E58703BCC2B8}"/>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8316-4C79-B4FD-E58703BCC2B8}"/>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8316-4C79-B4FD-E58703BCC2B8}"/>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8316-4C79-B4FD-E58703BCC2B8}"/>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8316-4C79-B4FD-E58703BCC2B8}"/>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8316-4C79-B4FD-E58703BCC2B8}"/>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8316-4C79-B4FD-E58703BCC2B8}"/>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8316-4C79-B4FD-E58703BCC2B8}"/>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8316-4C79-B4FD-E58703BCC2B8}"/>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8316-4C79-B4FD-E58703BCC2B8}"/>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NormalisedUVVisData!$E$2:$E$300</c:f>
              <c:numCache>
                <c:formatCode>General</c:formatCode>
                <c:ptCount val="299"/>
                <c:pt idx="0">
                  <c:v>76.740341186523438</c:v>
                </c:pt>
                <c:pt idx="1">
                  <c:v>77.255760192871094</c:v>
                </c:pt>
                <c:pt idx="2">
                  <c:v>76.80072021484375</c:v>
                </c:pt>
                <c:pt idx="3">
                  <c:v>76.42767333984375</c:v>
                </c:pt>
                <c:pt idx="4">
                  <c:v>76.766021728515625</c:v>
                </c:pt>
                <c:pt idx="5">
                  <c:v>77.823455810546875</c:v>
                </c:pt>
                <c:pt idx="6">
                  <c:v>80.170188903808594</c:v>
                </c:pt>
                <c:pt idx="7">
                  <c:v>83.92852783203125</c:v>
                </c:pt>
                <c:pt idx="8">
                  <c:v>88.408676147460938</c:v>
                </c:pt>
                <c:pt idx="9">
                  <c:v>92.944725036621094</c:v>
                </c:pt>
                <c:pt idx="10">
                  <c:v>96.748298645019531</c:v>
                </c:pt>
                <c:pt idx="11">
                  <c:v>99.261642456054688</c:v>
                </c:pt>
                <c:pt idx="12">
                  <c:v>100</c:v>
                </c:pt>
                <c:pt idx="13">
                  <c:v>98.783065795898438</c:v>
                </c:pt>
                <c:pt idx="14">
                  <c:v>95.331756591796875</c:v>
                </c:pt>
                <c:pt idx="15">
                  <c:v>89.327255249023438</c:v>
                </c:pt>
                <c:pt idx="16">
                  <c:v>81.023849487304688</c:v>
                </c:pt>
                <c:pt idx="17">
                  <c:v>71.08056640625</c:v>
                </c:pt>
                <c:pt idx="18">
                  <c:v>61.553375244140625</c:v>
                </c:pt>
                <c:pt idx="19">
                  <c:v>54.125541687011719</c:v>
                </c:pt>
                <c:pt idx="20">
                  <c:v>49.884075164794922</c:v>
                </c:pt>
                <c:pt idx="21">
                  <c:v>48.081798553466797</c:v>
                </c:pt>
                <c:pt idx="22">
                  <c:v>48.019054412841797</c:v>
                </c:pt>
                <c:pt idx="23">
                  <c:v>49.0919189453125</c:v>
                </c:pt>
                <c:pt idx="24">
                  <c:v>50.93524169921875</c:v>
                </c:pt>
                <c:pt idx="25">
                  <c:v>53.13616943359375</c:v>
                </c:pt>
                <c:pt idx="26">
                  <c:v>55.291027069091797</c:v>
                </c:pt>
                <c:pt idx="27">
                  <c:v>56.615615844726563</c:v>
                </c:pt>
                <c:pt idx="28">
                  <c:v>56.316944122314453</c:v>
                </c:pt>
                <c:pt idx="29">
                  <c:v>54.209014892578125</c:v>
                </c:pt>
                <c:pt idx="30">
                  <c:v>50.606418609619141</c:v>
                </c:pt>
                <c:pt idx="31">
                  <c:v>46.442974090576172</c:v>
                </c:pt>
                <c:pt idx="32">
                  <c:v>42.2818603515625</c:v>
                </c:pt>
                <c:pt idx="33">
                  <c:v>38.641349792480469</c:v>
                </c:pt>
                <c:pt idx="34">
                  <c:v>35.662174224853516</c:v>
                </c:pt>
                <c:pt idx="35">
                  <c:v>32.768951416015625</c:v>
                </c:pt>
                <c:pt idx="36">
                  <c:v>29.627992630004883</c:v>
                </c:pt>
                <c:pt idx="37">
                  <c:v>26.191368103027344</c:v>
                </c:pt>
                <c:pt idx="38">
                  <c:v>22.756008148193359</c:v>
                </c:pt>
                <c:pt idx="39">
                  <c:v>19.873527526855469</c:v>
                </c:pt>
                <c:pt idx="40">
                  <c:v>18.080690383911133</c:v>
                </c:pt>
                <c:pt idx="41">
                  <c:v>17.188783645629883</c:v>
                </c:pt>
                <c:pt idx="42">
                  <c:v>16.824844360351563</c:v>
                </c:pt>
                <c:pt idx="43">
                  <c:v>16.684749603271484</c:v>
                </c:pt>
                <c:pt idx="44">
                  <c:v>16.547147750854492</c:v>
                </c:pt>
                <c:pt idx="45">
                  <c:v>16.367446899414063</c:v>
                </c:pt>
                <c:pt idx="46">
                  <c:v>16.128786087036133</c:v>
                </c:pt>
                <c:pt idx="47">
                  <c:v>15.858226776123047</c:v>
                </c:pt>
                <c:pt idx="48">
                  <c:v>15.654297828674316</c:v>
                </c:pt>
                <c:pt idx="49">
                  <c:v>15.551616668701172</c:v>
                </c:pt>
                <c:pt idx="50">
                  <c:v>15.610878944396973</c:v>
                </c:pt>
                <c:pt idx="51">
                  <c:v>15.868099212646484</c:v>
                </c:pt>
                <c:pt idx="52">
                  <c:v>16.236724853515625</c:v>
                </c:pt>
                <c:pt idx="53">
                  <c:v>16.660745620727539</c:v>
                </c:pt>
                <c:pt idx="54">
                  <c:v>17.239055633544922</c:v>
                </c:pt>
                <c:pt idx="55">
                  <c:v>17.838420867919922</c:v>
                </c:pt>
                <c:pt idx="56">
                  <c:v>18.35798454284668</c:v>
                </c:pt>
                <c:pt idx="57">
                  <c:v>18.828659057617188</c:v>
                </c:pt>
                <c:pt idx="58">
                  <c:v>19.199939727783203</c:v>
                </c:pt>
                <c:pt idx="59">
                  <c:v>19.398014068603516</c:v>
                </c:pt>
                <c:pt idx="60">
                  <c:v>19.484186172485352</c:v>
                </c:pt>
                <c:pt idx="61">
                  <c:v>19.429788589477539</c:v>
                </c:pt>
                <c:pt idx="62">
                  <c:v>19.12030029296875</c:v>
                </c:pt>
                <c:pt idx="63">
                  <c:v>18.667499542236328</c:v>
                </c:pt>
                <c:pt idx="64">
                  <c:v>18.125499725341797</c:v>
                </c:pt>
                <c:pt idx="65">
                  <c:v>17.413330078125</c:v>
                </c:pt>
                <c:pt idx="66">
                  <c:v>16.681951522827148</c:v>
                </c:pt>
                <c:pt idx="67">
                  <c:v>15.943657875061035</c:v>
                </c:pt>
                <c:pt idx="68">
                  <c:v>15.26246166229248</c:v>
                </c:pt>
                <c:pt idx="69">
                  <c:v>14.439271926879883</c:v>
                </c:pt>
                <c:pt idx="70">
                  <c:v>13.588985443115234</c:v>
                </c:pt>
                <c:pt idx="71">
                  <c:v>12.81798267364502</c:v>
                </c:pt>
                <c:pt idx="72">
                  <c:v>12.063713073730469</c:v>
                </c:pt>
                <c:pt idx="73">
                  <c:v>11.40253734588623</c:v>
                </c:pt>
                <c:pt idx="74">
                  <c:v>10.756269454956055</c:v>
                </c:pt>
                <c:pt idx="75">
                  <c:v>10.294950485229492</c:v>
                </c:pt>
                <c:pt idx="76">
                  <c:v>9.9614048004150391</c:v>
                </c:pt>
                <c:pt idx="77">
                  <c:v>9.7769985198974609</c:v>
                </c:pt>
                <c:pt idx="78">
                  <c:v>9.747309684753418</c:v>
                </c:pt>
                <c:pt idx="79">
                  <c:v>9.768712043762207</c:v>
                </c:pt>
                <c:pt idx="80">
                  <c:v>9.9870567321777344</c:v>
                </c:pt>
                <c:pt idx="81">
                  <c:v>10.295770645141602</c:v>
                </c:pt>
                <c:pt idx="82">
                  <c:v>10.633512496948242</c:v>
                </c:pt>
                <c:pt idx="83">
                  <c:v>11.13609504699707</c:v>
                </c:pt>
                <c:pt idx="84">
                  <c:v>11.573774337768555</c:v>
                </c:pt>
                <c:pt idx="85">
                  <c:v>12.05439281463623</c:v>
                </c:pt>
                <c:pt idx="86">
                  <c:v>12.63590145111084</c:v>
                </c:pt>
                <c:pt idx="87">
                  <c:v>13.266568183898926</c:v>
                </c:pt>
                <c:pt idx="88">
                  <c:v>13.837767601013184</c:v>
                </c:pt>
                <c:pt idx="89">
                  <c:v>14.374734878540039</c:v>
                </c:pt>
                <c:pt idx="90">
                  <c:v>14.979766845703125</c:v>
                </c:pt>
                <c:pt idx="91">
                  <c:v>15.390582084655762</c:v>
                </c:pt>
                <c:pt idx="92">
                  <c:v>15.755679130554199</c:v>
                </c:pt>
                <c:pt idx="93">
                  <c:v>16.322423934936523</c:v>
                </c:pt>
                <c:pt idx="94">
                  <c:v>16.701322555541992</c:v>
                </c:pt>
                <c:pt idx="95">
                  <c:v>17.057741165161133</c:v>
                </c:pt>
                <c:pt idx="96">
                  <c:v>17.383712768554688</c:v>
                </c:pt>
                <c:pt idx="97">
                  <c:v>17.623416900634766</c:v>
                </c:pt>
                <c:pt idx="98">
                  <c:v>17.81243896484375</c:v>
                </c:pt>
                <c:pt idx="99">
                  <c:v>17.88801383972168</c:v>
                </c:pt>
                <c:pt idx="100">
                  <c:v>17.744390487670898</c:v>
                </c:pt>
                <c:pt idx="101">
                  <c:v>17.446859359741211</c:v>
                </c:pt>
                <c:pt idx="102">
                  <c:v>17.105384826660156</c:v>
                </c:pt>
                <c:pt idx="103">
                  <c:v>16.704645156860352</c:v>
                </c:pt>
                <c:pt idx="104">
                  <c:v>16.295398712158203</c:v>
                </c:pt>
                <c:pt idx="105">
                  <c:v>15.872893333435059</c:v>
                </c:pt>
                <c:pt idx="106">
                  <c:v>15.448097229003906</c:v>
                </c:pt>
                <c:pt idx="107">
                  <c:v>14.912253379821777</c:v>
                </c:pt>
                <c:pt idx="108">
                  <c:v>14.438576698303223</c:v>
                </c:pt>
                <c:pt idx="109">
                  <c:v>13.825338363647461</c:v>
                </c:pt>
                <c:pt idx="110">
                  <c:v>13.041388511657715</c:v>
                </c:pt>
                <c:pt idx="111">
                  <c:v>12.202133178710938</c:v>
                </c:pt>
                <c:pt idx="112">
                  <c:v>11.231710433959961</c:v>
                </c:pt>
                <c:pt idx="113">
                  <c:v>10.091093063354492</c:v>
                </c:pt>
                <c:pt idx="114">
                  <c:v>8.8055238723754883</c:v>
                </c:pt>
                <c:pt idx="115">
                  <c:v>7.7717761993408203</c:v>
                </c:pt>
                <c:pt idx="116">
                  <c:v>6.9847345352172852</c:v>
                </c:pt>
                <c:pt idx="117">
                  <c:v>6.2594857215881348</c:v>
                </c:pt>
                <c:pt idx="118">
                  <c:v>5.6115331649780273</c:v>
                </c:pt>
                <c:pt idx="119">
                  <c:v>5.0730695724487305</c:v>
                </c:pt>
                <c:pt idx="120">
                  <c:v>4.7121782302856445</c:v>
                </c:pt>
                <c:pt idx="121">
                  <c:v>4.5564632415771484</c:v>
                </c:pt>
                <c:pt idx="122">
                  <c:v>4.4368610382080078</c:v>
                </c:pt>
                <c:pt idx="123">
                  <c:v>4.2589144706726074</c:v>
                </c:pt>
                <c:pt idx="124">
                  <c:v>4.1901898384094238</c:v>
                </c:pt>
                <c:pt idx="125">
                  <c:v>4.0615081787109375</c:v>
                </c:pt>
                <c:pt idx="126">
                  <c:v>3.8941295146942139</c:v>
                </c:pt>
                <c:pt idx="127">
                  <c:v>3.9455771446228027</c:v>
                </c:pt>
                <c:pt idx="128">
                  <c:v>4.0008029937744141</c:v>
                </c:pt>
                <c:pt idx="129">
                  <c:v>3.971808910369873</c:v>
                </c:pt>
                <c:pt idx="130">
                  <c:v>4.0440530776977539</c:v>
                </c:pt>
                <c:pt idx="131">
                  <c:v>4.0620875358581543</c:v>
                </c:pt>
                <c:pt idx="132">
                  <c:v>4.0249404907226563</c:v>
                </c:pt>
                <c:pt idx="133">
                  <c:v>3.9401953220367432</c:v>
                </c:pt>
                <c:pt idx="134">
                  <c:v>4.0006871223449707</c:v>
                </c:pt>
                <c:pt idx="135">
                  <c:v>4.1165556907653809</c:v>
                </c:pt>
                <c:pt idx="136">
                  <c:v>2.7849652767181396</c:v>
                </c:pt>
                <c:pt idx="137">
                  <c:v>2</c:v>
                </c:pt>
                <c:pt idx="138">
                  <c:v>3.1245431900024414</c:v>
                </c:pt>
                <c:pt idx="139">
                  <c:v>3.8213329315185547</c:v>
                </c:pt>
                <c:pt idx="140">
                  <c:v>3.6697251796722412</c:v>
                </c:pt>
                <c:pt idx="141">
                  <c:v>3.7967851161956787</c:v>
                </c:pt>
                <c:pt idx="142">
                  <c:v>3.9236135482788086</c:v>
                </c:pt>
                <c:pt idx="143">
                  <c:v>3.7555930614471436</c:v>
                </c:pt>
                <c:pt idx="144">
                  <c:v>3.7243449687957764</c:v>
                </c:pt>
                <c:pt idx="145">
                  <c:v>3.9340028762817383</c:v>
                </c:pt>
                <c:pt idx="146">
                  <c:v>4.0919365882873535</c:v>
                </c:pt>
                <c:pt idx="147">
                  <c:v>4.4329137802124023</c:v>
                </c:pt>
                <c:pt idx="148">
                  <c:v>4.849663257598877</c:v>
                </c:pt>
                <c:pt idx="149">
                  <c:v>4.5880856513977051</c:v>
                </c:pt>
                <c:pt idx="150">
                  <c:v>3.7015881538391113</c:v>
                </c:pt>
                <c:pt idx="151">
                  <c:v>3.5218329429626465</c:v>
                </c:pt>
                <c:pt idx="152">
                  <c:v>3.4238026142120361</c:v>
                </c:pt>
                <c:pt idx="153">
                  <c:v>3.5565917491912842</c:v>
                </c:pt>
                <c:pt idx="154">
                  <c:v>3.6130204200744629</c:v>
                </c:pt>
                <c:pt idx="155">
                  <c:v>3.6987547874450684</c:v>
                </c:pt>
                <c:pt idx="156">
                  <c:v>3.707923412322998</c:v>
                </c:pt>
                <c:pt idx="157">
                  <c:v>3.6055357456207275</c:v>
                </c:pt>
                <c:pt idx="158">
                  <c:v>3.7850949764251709</c:v>
                </c:pt>
                <c:pt idx="159">
                  <c:v>3.6459527015686035</c:v>
                </c:pt>
                <c:pt idx="160">
                  <c:v>3.5837502479553223</c:v>
                </c:pt>
                <c:pt idx="161">
                  <c:v>3.5797674655914307</c:v>
                </c:pt>
                <c:pt idx="162">
                  <c:v>3.4606196880340576</c:v>
                </c:pt>
                <c:pt idx="163">
                  <c:v>3.6658937931060791</c:v>
                </c:pt>
                <c:pt idx="164">
                  <c:v>3.6676845550537109</c:v>
                </c:pt>
                <c:pt idx="165">
                  <c:v>3.6031122207641602</c:v>
                </c:pt>
                <c:pt idx="166">
                  <c:v>3.9040377140045166</c:v>
                </c:pt>
                <c:pt idx="167">
                  <c:v>3.6835894584655762</c:v>
                </c:pt>
                <c:pt idx="168">
                  <c:v>3.7400445938110352</c:v>
                </c:pt>
                <c:pt idx="169">
                  <c:v>3.6776998043060303</c:v>
                </c:pt>
                <c:pt idx="170">
                  <c:v>3.4672756195068359</c:v>
                </c:pt>
                <c:pt idx="171">
                  <c:v>3.7492311000823975</c:v>
                </c:pt>
                <c:pt idx="172">
                  <c:v>3.8610634803771973</c:v>
                </c:pt>
                <c:pt idx="173">
                  <c:v>3.9580872058868408</c:v>
                </c:pt>
                <c:pt idx="174">
                  <c:v>3.7240774631500244</c:v>
                </c:pt>
                <c:pt idx="175">
                  <c:v>3.790147066116333</c:v>
                </c:pt>
                <c:pt idx="176">
                  <c:v>3.7404546737670898</c:v>
                </c:pt>
                <c:pt idx="177">
                  <c:v>3.6612515449523926</c:v>
                </c:pt>
                <c:pt idx="178">
                  <c:v>3.8339674472808838</c:v>
                </c:pt>
                <c:pt idx="179">
                  <c:v>3.8630950450897217</c:v>
                </c:pt>
                <c:pt idx="180">
                  <c:v>3.7969188690185547</c:v>
                </c:pt>
                <c:pt idx="181">
                  <c:v>3.8240058422088623</c:v>
                </c:pt>
                <c:pt idx="182">
                  <c:v>3.8208694458007813</c:v>
                </c:pt>
                <c:pt idx="183">
                  <c:v>3.8499436378479004</c:v>
                </c:pt>
                <c:pt idx="184">
                  <c:v>3.9004557132720947</c:v>
                </c:pt>
                <c:pt idx="185">
                  <c:v>3.8750793933868408</c:v>
                </c:pt>
                <c:pt idx="186">
                  <c:v>3.7243716716766357</c:v>
                </c:pt>
                <c:pt idx="187">
                  <c:v>3.7676129341125488</c:v>
                </c:pt>
                <c:pt idx="188">
                  <c:v>3.8244156837463379</c:v>
                </c:pt>
                <c:pt idx="189">
                  <c:v>3.7328720092773438</c:v>
                </c:pt>
                <c:pt idx="190">
                  <c:v>3.3644158840179443</c:v>
                </c:pt>
                <c:pt idx="191">
                  <c:v>3.7480194568634033</c:v>
                </c:pt>
                <c:pt idx="192">
                  <c:v>3.6342000961303711</c:v>
                </c:pt>
                <c:pt idx="193">
                  <c:v>3.4539725780487061</c:v>
                </c:pt>
                <c:pt idx="194">
                  <c:v>3.2197401523590088</c:v>
                </c:pt>
                <c:pt idx="195">
                  <c:v>3.179448127746582</c:v>
                </c:pt>
                <c:pt idx="196">
                  <c:v>3.2668218612670898</c:v>
                </c:pt>
                <c:pt idx="197">
                  <c:v>3.6222424507141113</c:v>
                </c:pt>
                <c:pt idx="198">
                  <c:v>4.2486767768859863</c:v>
                </c:pt>
                <c:pt idx="199">
                  <c:v>3.6844091415405273</c:v>
                </c:pt>
                <c:pt idx="200">
                  <c:v>3.4742345809936523</c:v>
                </c:pt>
                <c:pt idx="201">
                  <c:v>3.3358495235443115</c:v>
                </c:pt>
                <c:pt idx="202">
                  <c:v>3.6688251495361328</c:v>
                </c:pt>
                <c:pt idx="203">
                  <c:v>3.3979628086090088</c:v>
                </c:pt>
                <c:pt idx="204">
                  <c:v>3.82846999168396</c:v>
                </c:pt>
                <c:pt idx="205">
                  <c:v>3.8536324501037598</c:v>
                </c:pt>
                <c:pt idx="206">
                  <c:v>3.8603951930999756</c:v>
                </c:pt>
                <c:pt idx="207">
                  <c:v>4.0242815017700195</c:v>
                </c:pt>
                <c:pt idx="208">
                  <c:v>3.8165657520294189</c:v>
                </c:pt>
                <c:pt idx="209">
                  <c:v>4.0564742088317871</c:v>
                </c:pt>
                <c:pt idx="210">
                  <c:v>3.5750715732574463</c:v>
                </c:pt>
                <c:pt idx="211">
                  <c:v>3.795029878616333</c:v>
                </c:pt>
                <c:pt idx="212">
                  <c:v>3.4744927883148193</c:v>
                </c:pt>
                <c:pt idx="213">
                  <c:v>3.7563681602478027</c:v>
                </c:pt>
                <c:pt idx="214">
                  <c:v>3.8111751079559326</c:v>
                </c:pt>
                <c:pt idx="215">
                  <c:v>3.8225357532501221</c:v>
                </c:pt>
                <c:pt idx="216">
                  <c:v>3.9839267730712891</c:v>
                </c:pt>
                <c:pt idx="217">
                  <c:v>3.4754552841186523</c:v>
                </c:pt>
                <c:pt idx="218">
                  <c:v>3.9980406761169434</c:v>
                </c:pt>
                <c:pt idx="219">
                  <c:v>4.078312873840332</c:v>
                </c:pt>
                <c:pt idx="220">
                  <c:v>3.9226334095001221</c:v>
                </c:pt>
                <c:pt idx="221">
                  <c:v>3.8838915824890137</c:v>
                </c:pt>
                <c:pt idx="222">
                  <c:v>3.0369467735290527</c:v>
                </c:pt>
                <c:pt idx="223">
                  <c:v>3.6284706592559814</c:v>
                </c:pt>
                <c:pt idx="224">
                  <c:v>3.2817378044128418</c:v>
                </c:pt>
                <c:pt idx="225">
                  <c:v>3.4974100589752197</c:v>
                </c:pt>
              </c:numCache>
            </c:numRef>
          </c:yVal>
          <c:smooth val="1"/>
          <c:extLst>
            <c:ext xmlns:c15="http://schemas.microsoft.com/office/drawing/2012/chart" uri="{02D57815-91ED-43cb-92C2-25804820EDAC}">
              <c15:datalabelsRange>
                <c15:f>PeakLabels!$E$2:$E$300</c15:f>
                <c15:dlblRangeCache>
                  <c:ptCount val="299"/>
                  <c:pt idx="1">
                    <c:v>192</c:v>
                  </c:pt>
                  <c:pt idx="12">
                    <c:v>214</c:v>
                  </c:pt>
                  <c:pt idx="27">
                    <c:v>244</c:v>
                  </c:pt>
                  <c:pt idx="46">
                    <c:v>284s</c:v>
                  </c:pt>
                  <c:pt idx="54">
                    <c:v>300s</c:v>
                  </c:pt>
                  <c:pt idx="60">
                    <c:v>310</c:v>
                  </c:pt>
                  <c:pt idx="69">
                    <c:v>330s</c:v>
                  </c:pt>
                  <c:pt idx="86">
                    <c:v>364s</c:v>
                  </c:pt>
                  <c:pt idx="99">
                    <c:v>388</c:v>
                  </c:pt>
                </c15:dlblRangeCache>
              </c15:datalabelsRange>
            </c:ext>
            <c:ext xmlns:c16="http://schemas.microsoft.com/office/drawing/2014/chart" uri="{C3380CC4-5D6E-409C-BE32-E72D297353CC}">
              <c16:uniqueId val="{00000000-AAAE-4C4E-B521-E0B9974BDE05}"/>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09971AAC-3EA5-4EF8-BDFC-901FD963C2F5}"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AAE-4C4E-B521-E0B9974BDE05}"/>
                </c:ext>
              </c:extLst>
            </c:dLbl>
            <c:dLbl>
              <c:idx val="1"/>
              <c:tx>
                <c:rich>
                  <a:bodyPr/>
                  <a:lstStyle/>
                  <a:p>
                    <a:fld id="{83FD1618-05D5-4DB9-9622-597F700CAD5C}"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AAE-4C4E-B521-E0B9974BDE05}"/>
                </c:ext>
              </c:extLst>
            </c:dLbl>
            <c:dLbl>
              <c:idx val="2"/>
              <c:tx>
                <c:rich>
                  <a:bodyPr/>
                  <a:lstStyle/>
                  <a:p>
                    <a:fld id="{7EE6C851-7D48-4D1A-81B5-DAC97E4F8506}"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AAE-4C4E-B521-E0B9974BDE05}"/>
                </c:ext>
              </c:extLst>
            </c:dLbl>
            <c:dLbl>
              <c:idx val="3"/>
              <c:tx>
                <c:rich>
                  <a:bodyPr/>
                  <a:lstStyle/>
                  <a:p>
                    <a:fld id="{CEF54B1A-A297-4C0A-879A-F95476E8C025}"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AAE-4C4E-B521-E0B9974BDE05}"/>
                </c:ext>
              </c:extLst>
            </c:dLbl>
            <c:dLbl>
              <c:idx val="4"/>
              <c:tx>
                <c:rich>
                  <a:bodyPr/>
                  <a:lstStyle/>
                  <a:p>
                    <a:fld id="{71DD1783-0826-4E0B-9947-9CEA44AE6D6A}"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AAE-4C4E-B521-E0B9974BDE05}"/>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AAAE-4C4E-B521-E0B9974BDE05}"/>
            </c:ext>
          </c:extLst>
        </c:ser>
        <c:dLbls>
          <c:showLegendKey val="0"/>
          <c:showVal val="0"/>
          <c:showCatName val="0"/>
          <c:showSerName val="0"/>
          <c:showPercent val="0"/>
          <c:showBubbleSize val="0"/>
        </c:dLbls>
        <c:axId val="1569266832"/>
        <c:axId val="1569267920"/>
      </c:scatterChart>
      <c:valAx>
        <c:axId val="1569266832"/>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7920"/>
        <c:crossesAt val="0"/>
        <c:crossBetween val="midCat"/>
        <c:majorUnit val="100"/>
      </c:valAx>
      <c:valAx>
        <c:axId val="1569267920"/>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6832"/>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78223589-51A3-49B1-8DDD-40EFB6E9F8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F7F-4B41-9DD6-2A38BB7AE522}"/>
                </c:ext>
              </c:extLst>
            </c:dLbl>
            <c:dLbl>
              <c:idx val="1"/>
              <c:tx>
                <c:rich>
                  <a:bodyPr/>
                  <a:lstStyle/>
                  <a:p>
                    <a:fld id="{8DA03D59-E7FF-4674-B531-DB87DD3153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F7F-4B41-9DD6-2A38BB7AE522}"/>
                </c:ext>
              </c:extLst>
            </c:dLbl>
            <c:dLbl>
              <c:idx val="2"/>
              <c:tx>
                <c:rich>
                  <a:bodyPr/>
                  <a:lstStyle/>
                  <a:p>
                    <a:fld id="{AA423C25-0E32-44C1-A071-B546323244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F7F-4B41-9DD6-2A38BB7AE522}"/>
                </c:ext>
              </c:extLst>
            </c:dLbl>
            <c:dLbl>
              <c:idx val="3"/>
              <c:tx>
                <c:rich>
                  <a:bodyPr/>
                  <a:lstStyle/>
                  <a:p>
                    <a:fld id="{F7BBBDF0-AEB1-492E-AEC9-55A909FB8A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F7F-4B41-9DD6-2A38BB7AE522}"/>
                </c:ext>
              </c:extLst>
            </c:dLbl>
            <c:dLbl>
              <c:idx val="4"/>
              <c:tx>
                <c:rich>
                  <a:bodyPr/>
                  <a:lstStyle/>
                  <a:p>
                    <a:fld id="{08419C2B-5ECB-424E-914D-55203011CD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F7F-4B41-9DD6-2A38BB7AE522}"/>
                </c:ext>
              </c:extLst>
            </c:dLbl>
            <c:dLbl>
              <c:idx val="5"/>
              <c:tx>
                <c:rich>
                  <a:bodyPr/>
                  <a:lstStyle/>
                  <a:p>
                    <a:fld id="{89650BA9-8C14-4D94-92C7-8C71C2F5DA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F7F-4B41-9DD6-2A38BB7AE522}"/>
                </c:ext>
              </c:extLst>
            </c:dLbl>
            <c:dLbl>
              <c:idx val="6"/>
              <c:tx>
                <c:rich>
                  <a:bodyPr/>
                  <a:lstStyle/>
                  <a:p>
                    <a:fld id="{130A20F2-3E47-48A5-8FB1-8351F32D5A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F7F-4B41-9DD6-2A38BB7AE522}"/>
                </c:ext>
              </c:extLst>
            </c:dLbl>
            <c:dLbl>
              <c:idx val="7"/>
              <c:tx>
                <c:rich>
                  <a:bodyPr/>
                  <a:lstStyle/>
                  <a:p>
                    <a:fld id="{43B7AF61-C840-4696-BCCD-0E903B7750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F7F-4B41-9DD6-2A38BB7AE522}"/>
                </c:ext>
              </c:extLst>
            </c:dLbl>
            <c:dLbl>
              <c:idx val="8"/>
              <c:tx>
                <c:rich>
                  <a:bodyPr/>
                  <a:lstStyle/>
                  <a:p>
                    <a:fld id="{E55F66CA-3717-40DB-9B2D-8ADDD57311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F7F-4B41-9DD6-2A38BB7AE522}"/>
                </c:ext>
              </c:extLst>
            </c:dLbl>
            <c:dLbl>
              <c:idx val="9"/>
              <c:tx>
                <c:rich>
                  <a:bodyPr/>
                  <a:lstStyle/>
                  <a:p>
                    <a:fld id="{18DDB36D-809C-45F6-9282-8DE4FA33D2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F7F-4B41-9DD6-2A38BB7AE522}"/>
                </c:ext>
              </c:extLst>
            </c:dLbl>
            <c:dLbl>
              <c:idx val="10"/>
              <c:tx>
                <c:rich>
                  <a:bodyPr/>
                  <a:lstStyle/>
                  <a:p>
                    <a:fld id="{F4271043-9BF9-4815-81F3-0B7E4F6270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BF7F-4B41-9DD6-2A38BB7AE522}"/>
                </c:ext>
              </c:extLst>
            </c:dLbl>
            <c:dLbl>
              <c:idx val="11"/>
              <c:tx>
                <c:rich>
                  <a:bodyPr/>
                  <a:lstStyle/>
                  <a:p>
                    <a:fld id="{948E41AC-C52F-4EE5-8310-061C84F8AE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BF7F-4B41-9DD6-2A38BB7AE522}"/>
                </c:ext>
              </c:extLst>
            </c:dLbl>
            <c:dLbl>
              <c:idx val="12"/>
              <c:tx>
                <c:rich>
                  <a:bodyPr/>
                  <a:lstStyle/>
                  <a:p>
                    <a:fld id="{E4B7A732-4423-4CE7-AF61-F3031C66A8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BF7F-4B41-9DD6-2A38BB7AE522}"/>
                </c:ext>
              </c:extLst>
            </c:dLbl>
            <c:dLbl>
              <c:idx val="13"/>
              <c:tx>
                <c:rich>
                  <a:bodyPr/>
                  <a:lstStyle/>
                  <a:p>
                    <a:fld id="{17A1086B-3C69-4F9E-AC42-7EB0EC046A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BF7F-4B41-9DD6-2A38BB7AE522}"/>
                </c:ext>
              </c:extLst>
            </c:dLbl>
            <c:dLbl>
              <c:idx val="14"/>
              <c:tx>
                <c:rich>
                  <a:bodyPr/>
                  <a:lstStyle/>
                  <a:p>
                    <a:fld id="{12A5139D-792E-4ED9-8B09-170E73E36C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BF7F-4B41-9DD6-2A38BB7AE522}"/>
                </c:ext>
              </c:extLst>
            </c:dLbl>
            <c:dLbl>
              <c:idx val="15"/>
              <c:tx>
                <c:rich>
                  <a:bodyPr/>
                  <a:lstStyle/>
                  <a:p>
                    <a:fld id="{EE352784-B029-422E-A94A-B6AA402BD0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BF7F-4B41-9DD6-2A38BB7AE522}"/>
                </c:ext>
              </c:extLst>
            </c:dLbl>
            <c:dLbl>
              <c:idx val="16"/>
              <c:tx>
                <c:rich>
                  <a:bodyPr/>
                  <a:lstStyle/>
                  <a:p>
                    <a:fld id="{112589DD-B50A-4DFD-8535-A1471AED90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BF7F-4B41-9DD6-2A38BB7AE522}"/>
                </c:ext>
              </c:extLst>
            </c:dLbl>
            <c:dLbl>
              <c:idx val="17"/>
              <c:tx>
                <c:rich>
                  <a:bodyPr/>
                  <a:lstStyle/>
                  <a:p>
                    <a:fld id="{253022FA-0906-4ED2-8E8F-5ECE2EDCC0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BF7F-4B41-9DD6-2A38BB7AE522}"/>
                </c:ext>
              </c:extLst>
            </c:dLbl>
            <c:dLbl>
              <c:idx val="18"/>
              <c:tx>
                <c:rich>
                  <a:bodyPr/>
                  <a:lstStyle/>
                  <a:p>
                    <a:fld id="{D269ED90-24E9-4AF7-8185-F161D19AFD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BF7F-4B41-9DD6-2A38BB7AE522}"/>
                </c:ext>
              </c:extLst>
            </c:dLbl>
            <c:dLbl>
              <c:idx val="19"/>
              <c:tx>
                <c:rich>
                  <a:bodyPr/>
                  <a:lstStyle/>
                  <a:p>
                    <a:fld id="{68DCAD83-0B0C-45DF-860E-8F3B0C8E1B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BF7F-4B41-9DD6-2A38BB7AE522}"/>
                </c:ext>
              </c:extLst>
            </c:dLbl>
            <c:dLbl>
              <c:idx val="20"/>
              <c:tx>
                <c:rich>
                  <a:bodyPr/>
                  <a:lstStyle/>
                  <a:p>
                    <a:fld id="{4A711909-B5F8-496E-AB37-ADE6C0B243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BF7F-4B41-9DD6-2A38BB7AE522}"/>
                </c:ext>
              </c:extLst>
            </c:dLbl>
            <c:dLbl>
              <c:idx val="21"/>
              <c:tx>
                <c:rich>
                  <a:bodyPr/>
                  <a:lstStyle/>
                  <a:p>
                    <a:fld id="{D512F02D-FFDD-4BF2-903A-FA9E2B70EB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BF7F-4B41-9DD6-2A38BB7AE522}"/>
                </c:ext>
              </c:extLst>
            </c:dLbl>
            <c:dLbl>
              <c:idx val="22"/>
              <c:tx>
                <c:rich>
                  <a:bodyPr/>
                  <a:lstStyle/>
                  <a:p>
                    <a:fld id="{DDE2D0A9-9801-49CC-BD11-7ECAC97A28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BF7F-4B41-9DD6-2A38BB7AE522}"/>
                </c:ext>
              </c:extLst>
            </c:dLbl>
            <c:dLbl>
              <c:idx val="23"/>
              <c:tx>
                <c:rich>
                  <a:bodyPr/>
                  <a:lstStyle/>
                  <a:p>
                    <a:fld id="{9D91A167-54AC-40D4-8FA5-0A7EAA4CBB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BF7F-4B41-9DD6-2A38BB7AE522}"/>
                </c:ext>
              </c:extLst>
            </c:dLbl>
            <c:dLbl>
              <c:idx val="24"/>
              <c:tx>
                <c:rich>
                  <a:bodyPr/>
                  <a:lstStyle/>
                  <a:p>
                    <a:fld id="{712B4981-9D01-4B34-B88E-91DF5D3673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BF7F-4B41-9DD6-2A38BB7AE522}"/>
                </c:ext>
              </c:extLst>
            </c:dLbl>
            <c:dLbl>
              <c:idx val="25"/>
              <c:tx>
                <c:rich>
                  <a:bodyPr/>
                  <a:lstStyle/>
                  <a:p>
                    <a:fld id="{F421EF0A-BB7B-4E1D-A53E-29AF5338FC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BF7F-4B41-9DD6-2A38BB7AE522}"/>
                </c:ext>
              </c:extLst>
            </c:dLbl>
            <c:dLbl>
              <c:idx val="26"/>
              <c:tx>
                <c:rich>
                  <a:bodyPr/>
                  <a:lstStyle/>
                  <a:p>
                    <a:fld id="{843005D2-4CA1-406F-968B-29DD3395DC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BF7F-4B41-9DD6-2A38BB7AE522}"/>
                </c:ext>
              </c:extLst>
            </c:dLbl>
            <c:dLbl>
              <c:idx val="27"/>
              <c:tx>
                <c:rich>
                  <a:bodyPr/>
                  <a:lstStyle/>
                  <a:p>
                    <a:fld id="{DF5BFFF0-54F5-4465-B084-74D32DA30D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BF7F-4B41-9DD6-2A38BB7AE522}"/>
                </c:ext>
              </c:extLst>
            </c:dLbl>
            <c:dLbl>
              <c:idx val="28"/>
              <c:tx>
                <c:rich>
                  <a:bodyPr/>
                  <a:lstStyle/>
                  <a:p>
                    <a:fld id="{BB520586-91D4-4609-8DA9-03237798CA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BF7F-4B41-9DD6-2A38BB7AE522}"/>
                </c:ext>
              </c:extLst>
            </c:dLbl>
            <c:dLbl>
              <c:idx val="29"/>
              <c:tx>
                <c:rich>
                  <a:bodyPr/>
                  <a:lstStyle/>
                  <a:p>
                    <a:fld id="{DBC319AE-7B38-45E0-95BD-B0CF167E0A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BF7F-4B41-9DD6-2A38BB7AE522}"/>
                </c:ext>
              </c:extLst>
            </c:dLbl>
            <c:dLbl>
              <c:idx val="30"/>
              <c:tx>
                <c:rich>
                  <a:bodyPr/>
                  <a:lstStyle/>
                  <a:p>
                    <a:fld id="{084B38AE-799E-49D3-9ED4-274B1D30B8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BF7F-4B41-9DD6-2A38BB7AE522}"/>
                </c:ext>
              </c:extLst>
            </c:dLbl>
            <c:dLbl>
              <c:idx val="31"/>
              <c:tx>
                <c:rich>
                  <a:bodyPr/>
                  <a:lstStyle/>
                  <a:p>
                    <a:fld id="{696ACB7A-509F-4A10-B1F7-382444AB39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BF7F-4B41-9DD6-2A38BB7AE522}"/>
                </c:ext>
              </c:extLst>
            </c:dLbl>
            <c:dLbl>
              <c:idx val="32"/>
              <c:tx>
                <c:rich>
                  <a:bodyPr/>
                  <a:lstStyle/>
                  <a:p>
                    <a:fld id="{89E27252-ECD7-4C31-BEAC-9F23B4B97F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BF7F-4B41-9DD6-2A38BB7AE522}"/>
                </c:ext>
              </c:extLst>
            </c:dLbl>
            <c:dLbl>
              <c:idx val="33"/>
              <c:tx>
                <c:rich>
                  <a:bodyPr/>
                  <a:lstStyle/>
                  <a:p>
                    <a:fld id="{74B1E5B5-C94E-462D-BA81-530BC94226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BF7F-4B41-9DD6-2A38BB7AE522}"/>
                </c:ext>
              </c:extLst>
            </c:dLbl>
            <c:dLbl>
              <c:idx val="34"/>
              <c:tx>
                <c:rich>
                  <a:bodyPr/>
                  <a:lstStyle/>
                  <a:p>
                    <a:fld id="{4426EBA7-2BAB-4DB9-9506-51A91EB878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BF7F-4B41-9DD6-2A38BB7AE522}"/>
                </c:ext>
              </c:extLst>
            </c:dLbl>
            <c:dLbl>
              <c:idx val="35"/>
              <c:tx>
                <c:rich>
                  <a:bodyPr/>
                  <a:lstStyle/>
                  <a:p>
                    <a:fld id="{50C198FB-B4CB-4731-943B-B5F33881B0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BF7F-4B41-9DD6-2A38BB7AE522}"/>
                </c:ext>
              </c:extLst>
            </c:dLbl>
            <c:dLbl>
              <c:idx val="36"/>
              <c:tx>
                <c:rich>
                  <a:bodyPr/>
                  <a:lstStyle/>
                  <a:p>
                    <a:fld id="{1B90E07F-593E-4922-99BB-E17AD38C5C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BF7F-4B41-9DD6-2A38BB7AE522}"/>
                </c:ext>
              </c:extLst>
            </c:dLbl>
            <c:dLbl>
              <c:idx val="37"/>
              <c:tx>
                <c:rich>
                  <a:bodyPr/>
                  <a:lstStyle/>
                  <a:p>
                    <a:fld id="{B1E5CD28-E20F-4DDA-B738-8938097C2A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BF7F-4B41-9DD6-2A38BB7AE522}"/>
                </c:ext>
              </c:extLst>
            </c:dLbl>
            <c:dLbl>
              <c:idx val="38"/>
              <c:tx>
                <c:rich>
                  <a:bodyPr/>
                  <a:lstStyle/>
                  <a:p>
                    <a:fld id="{62E2F8FD-99D6-41B9-9DE7-5A1197D800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BF7F-4B41-9DD6-2A38BB7AE522}"/>
                </c:ext>
              </c:extLst>
            </c:dLbl>
            <c:dLbl>
              <c:idx val="39"/>
              <c:tx>
                <c:rich>
                  <a:bodyPr/>
                  <a:lstStyle/>
                  <a:p>
                    <a:fld id="{EC07A099-20A6-421A-A272-E0E9169971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BF7F-4B41-9DD6-2A38BB7AE522}"/>
                </c:ext>
              </c:extLst>
            </c:dLbl>
            <c:dLbl>
              <c:idx val="40"/>
              <c:tx>
                <c:rich>
                  <a:bodyPr/>
                  <a:lstStyle/>
                  <a:p>
                    <a:fld id="{F61D3A0E-4E3E-4CCC-8321-194266F80B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BF7F-4B41-9DD6-2A38BB7AE522}"/>
                </c:ext>
              </c:extLst>
            </c:dLbl>
            <c:dLbl>
              <c:idx val="41"/>
              <c:tx>
                <c:rich>
                  <a:bodyPr/>
                  <a:lstStyle/>
                  <a:p>
                    <a:fld id="{B4AC94E0-111A-4D1C-AC32-C75258A2AE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BF7F-4B41-9DD6-2A38BB7AE522}"/>
                </c:ext>
              </c:extLst>
            </c:dLbl>
            <c:dLbl>
              <c:idx val="42"/>
              <c:tx>
                <c:rich>
                  <a:bodyPr/>
                  <a:lstStyle/>
                  <a:p>
                    <a:fld id="{5C0FCA02-E892-4114-9F59-6F7618374A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BF7F-4B41-9DD6-2A38BB7AE522}"/>
                </c:ext>
              </c:extLst>
            </c:dLbl>
            <c:dLbl>
              <c:idx val="43"/>
              <c:tx>
                <c:rich>
                  <a:bodyPr/>
                  <a:lstStyle/>
                  <a:p>
                    <a:fld id="{022FFDB9-F8CC-4ED2-A58C-21ECA997E3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BF7F-4B41-9DD6-2A38BB7AE522}"/>
                </c:ext>
              </c:extLst>
            </c:dLbl>
            <c:dLbl>
              <c:idx val="44"/>
              <c:tx>
                <c:rich>
                  <a:bodyPr/>
                  <a:lstStyle/>
                  <a:p>
                    <a:fld id="{500D14FC-3C36-4C99-9C55-C2E0A5E684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BF7F-4B41-9DD6-2A38BB7AE522}"/>
                </c:ext>
              </c:extLst>
            </c:dLbl>
            <c:dLbl>
              <c:idx val="45"/>
              <c:tx>
                <c:rich>
                  <a:bodyPr/>
                  <a:lstStyle/>
                  <a:p>
                    <a:fld id="{BC5798E8-90E0-4EDB-B8FE-6B784C5D04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BF7F-4B41-9DD6-2A38BB7AE522}"/>
                </c:ext>
              </c:extLst>
            </c:dLbl>
            <c:dLbl>
              <c:idx val="46"/>
              <c:tx>
                <c:rich>
                  <a:bodyPr/>
                  <a:lstStyle/>
                  <a:p>
                    <a:fld id="{A3D344C2-7E8F-44A9-B474-18A6AB0217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BF7F-4B41-9DD6-2A38BB7AE522}"/>
                </c:ext>
              </c:extLst>
            </c:dLbl>
            <c:dLbl>
              <c:idx val="47"/>
              <c:tx>
                <c:rich>
                  <a:bodyPr/>
                  <a:lstStyle/>
                  <a:p>
                    <a:fld id="{4080B542-35DD-49C9-A06D-009698AABA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BF7F-4B41-9DD6-2A38BB7AE522}"/>
                </c:ext>
              </c:extLst>
            </c:dLbl>
            <c:dLbl>
              <c:idx val="48"/>
              <c:tx>
                <c:rich>
                  <a:bodyPr/>
                  <a:lstStyle/>
                  <a:p>
                    <a:fld id="{B89FDA54-D2CC-456C-80DD-B3D1EFFCB4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BF7F-4B41-9DD6-2A38BB7AE522}"/>
                </c:ext>
              </c:extLst>
            </c:dLbl>
            <c:dLbl>
              <c:idx val="49"/>
              <c:tx>
                <c:rich>
                  <a:bodyPr/>
                  <a:lstStyle/>
                  <a:p>
                    <a:fld id="{D4C4E8FB-C61F-4ED2-A7F4-AC2F8A9F2C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BF7F-4B41-9DD6-2A38BB7AE522}"/>
                </c:ext>
              </c:extLst>
            </c:dLbl>
            <c:dLbl>
              <c:idx val="50"/>
              <c:tx>
                <c:rich>
                  <a:bodyPr/>
                  <a:lstStyle/>
                  <a:p>
                    <a:fld id="{D7DC0106-6C35-4D73-A4DC-4FC3D783BB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BF7F-4B41-9DD6-2A38BB7AE522}"/>
                </c:ext>
              </c:extLst>
            </c:dLbl>
            <c:dLbl>
              <c:idx val="51"/>
              <c:tx>
                <c:rich>
                  <a:bodyPr/>
                  <a:lstStyle/>
                  <a:p>
                    <a:fld id="{76D7D542-8B91-45AF-8ECC-3C90B6F591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BF7F-4B41-9DD6-2A38BB7AE522}"/>
                </c:ext>
              </c:extLst>
            </c:dLbl>
            <c:dLbl>
              <c:idx val="52"/>
              <c:tx>
                <c:rich>
                  <a:bodyPr/>
                  <a:lstStyle/>
                  <a:p>
                    <a:fld id="{F296D94B-89C3-45C8-8D75-8C435B96B9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BF7F-4B41-9DD6-2A38BB7AE522}"/>
                </c:ext>
              </c:extLst>
            </c:dLbl>
            <c:dLbl>
              <c:idx val="53"/>
              <c:tx>
                <c:rich>
                  <a:bodyPr/>
                  <a:lstStyle/>
                  <a:p>
                    <a:fld id="{135575A4-4294-43EA-ABF0-16C7978396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BF7F-4B41-9DD6-2A38BB7AE522}"/>
                </c:ext>
              </c:extLst>
            </c:dLbl>
            <c:dLbl>
              <c:idx val="54"/>
              <c:tx>
                <c:rich>
                  <a:bodyPr/>
                  <a:lstStyle/>
                  <a:p>
                    <a:fld id="{A8788BD5-D804-4AD8-AC75-9445970895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BF7F-4B41-9DD6-2A38BB7AE522}"/>
                </c:ext>
              </c:extLst>
            </c:dLbl>
            <c:dLbl>
              <c:idx val="55"/>
              <c:tx>
                <c:rich>
                  <a:bodyPr/>
                  <a:lstStyle/>
                  <a:p>
                    <a:fld id="{3F0DD2C2-C49E-4B5E-A5DE-0F22E52A32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BF7F-4B41-9DD6-2A38BB7AE522}"/>
                </c:ext>
              </c:extLst>
            </c:dLbl>
            <c:dLbl>
              <c:idx val="56"/>
              <c:tx>
                <c:rich>
                  <a:bodyPr/>
                  <a:lstStyle/>
                  <a:p>
                    <a:fld id="{58AE0A3B-F039-4157-A4A3-76649E0B9F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BF7F-4B41-9DD6-2A38BB7AE522}"/>
                </c:ext>
              </c:extLst>
            </c:dLbl>
            <c:dLbl>
              <c:idx val="57"/>
              <c:tx>
                <c:rich>
                  <a:bodyPr/>
                  <a:lstStyle/>
                  <a:p>
                    <a:fld id="{1480ACDB-7C71-40C3-B2BF-84BC7EEF75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BF7F-4B41-9DD6-2A38BB7AE522}"/>
                </c:ext>
              </c:extLst>
            </c:dLbl>
            <c:dLbl>
              <c:idx val="58"/>
              <c:tx>
                <c:rich>
                  <a:bodyPr/>
                  <a:lstStyle/>
                  <a:p>
                    <a:fld id="{377D48BB-055B-40F9-B9E8-61DF271BDA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BF7F-4B41-9DD6-2A38BB7AE522}"/>
                </c:ext>
              </c:extLst>
            </c:dLbl>
            <c:dLbl>
              <c:idx val="59"/>
              <c:tx>
                <c:rich>
                  <a:bodyPr/>
                  <a:lstStyle/>
                  <a:p>
                    <a:fld id="{39F5F94C-DD4C-4DD8-8F3E-33E775A016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BF7F-4B41-9DD6-2A38BB7AE522}"/>
                </c:ext>
              </c:extLst>
            </c:dLbl>
            <c:dLbl>
              <c:idx val="60"/>
              <c:tx>
                <c:rich>
                  <a:bodyPr/>
                  <a:lstStyle/>
                  <a:p>
                    <a:fld id="{708A0040-8888-4973-A5C3-02A6E8E5CC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BF7F-4B41-9DD6-2A38BB7AE522}"/>
                </c:ext>
              </c:extLst>
            </c:dLbl>
            <c:dLbl>
              <c:idx val="61"/>
              <c:tx>
                <c:rich>
                  <a:bodyPr/>
                  <a:lstStyle/>
                  <a:p>
                    <a:fld id="{699E7F89-BAD0-41A1-886D-AFDF977325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BF7F-4B41-9DD6-2A38BB7AE522}"/>
                </c:ext>
              </c:extLst>
            </c:dLbl>
            <c:dLbl>
              <c:idx val="62"/>
              <c:tx>
                <c:rich>
                  <a:bodyPr/>
                  <a:lstStyle/>
                  <a:p>
                    <a:fld id="{424B0764-64BE-48A2-BC02-9B55733615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BF7F-4B41-9DD6-2A38BB7AE522}"/>
                </c:ext>
              </c:extLst>
            </c:dLbl>
            <c:dLbl>
              <c:idx val="63"/>
              <c:tx>
                <c:rich>
                  <a:bodyPr/>
                  <a:lstStyle/>
                  <a:p>
                    <a:fld id="{B8FADD27-9C6A-47BB-9B16-D14992E442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BF7F-4B41-9DD6-2A38BB7AE522}"/>
                </c:ext>
              </c:extLst>
            </c:dLbl>
            <c:dLbl>
              <c:idx val="64"/>
              <c:tx>
                <c:rich>
                  <a:bodyPr/>
                  <a:lstStyle/>
                  <a:p>
                    <a:fld id="{1BA25841-AD0C-4F0D-9B2D-2A7A48D8A6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BF7F-4B41-9DD6-2A38BB7AE522}"/>
                </c:ext>
              </c:extLst>
            </c:dLbl>
            <c:dLbl>
              <c:idx val="65"/>
              <c:tx>
                <c:rich>
                  <a:bodyPr/>
                  <a:lstStyle/>
                  <a:p>
                    <a:fld id="{AB9058F7-1C4F-40D3-970C-F329628E79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BF7F-4B41-9DD6-2A38BB7AE522}"/>
                </c:ext>
              </c:extLst>
            </c:dLbl>
            <c:dLbl>
              <c:idx val="66"/>
              <c:tx>
                <c:rich>
                  <a:bodyPr/>
                  <a:lstStyle/>
                  <a:p>
                    <a:fld id="{45C4006A-B04F-46D1-9530-04917113DA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BF7F-4B41-9DD6-2A38BB7AE522}"/>
                </c:ext>
              </c:extLst>
            </c:dLbl>
            <c:dLbl>
              <c:idx val="67"/>
              <c:tx>
                <c:rich>
                  <a:bodyPr/>
                  <a:lstStyle/>
                  <a:p>
                    <a:fld id="{2B66B104-221F-45CC-B912-38A946A5DA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BF7F-4B41-9DD6-2A38BB7AE522}"/>
                </c:ext>
              </c:extLst>
            </c:dLbl>
            <c:dLbl>
              <c:idx val="68"/>
              <c:tx>
                <c:rich>
                  <a:bodyPr/>
                  <a:lstStyle/>
                  <a:p>
                    <a:fld id="{FF1B926B-AFFC-48E6-85CA-4E21936F01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BF7F-4B41-9DD6-2A38BB7AE522}"/>
                </c:ext>
              </c:extLst>
            </c:dLbl>
            <c:dLbl>
              <c:idx val="69"/>
              <c:tx>
                <c:rich>
                  <a:bodyPr/>
                  <a:lstStyle/>
                  <a:p>
                    <a:fld id="{953A66AA-8898-49C7-8877-85423AFDE5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BF7F-4B41-9DD6-2A38BB7AE522}"/>
                </c:ext>
              </c:extLst>
            </c:dLbl>
            <c:dLbl>
              <c:idx val="70"/>
              <c:tx>
                <c:rich>
                  <a:bodyPr/>
                  <a:lstStyle/>
                  <a:p>
                    <a:fld id="{C765EC05-F554-4AEC-B4D1-9A3E6DD165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BF7F-4B41-9DD6-2A38BB7AE522}"/>
                </c:ext>
              </c:extLst>
            </c:dLbl>
            <c:dLbl>
              <c:idx val="71"/>
              <c:tx>
                <c:rich>
                  <a:bodyPr/>
                  <a:lstStyle/>
                  <a:p>
                    <a:fld id="{91869DB9-B72C-4FCD-BA99-731F843685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BF7F-4B41-9DD6-2A38BB7AE522}"/>
                </c:ext>
              </c:extLst>
            </c:dLbl>
            <c:dLbl>
              <c:idx val="72"/>
              <c:tx>
                <c:rich>
                  <a:bodyPr/>
                  <a:lstStyle/>
                  <a:p>
                    <a:fld id="{0944B3C0-9CFB-4721-89AE-720B483539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BF7F-4B41-9DD6-2A38BB7AE522}"/>
                </c:ext>
              </c:extLst>
            </c:dLbl>
            <c:dLbl>
              <c:idx val="73"/>
              <c:tx>
                <c:rich>
                  <a:bodyPr/>
                  <a:lstStyle/>
                  <a:p>
                    <a:fld id="{CE54BE37-B734-4C34-8D5C-3E8F2E9FF1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BF7F-4B41-9DD6-2A38BB7AE522}"/>
                </c:ext>
              </c:extLst>
            </c:dLbl>
            <c:dLbl>
              <c:idx val="74"/>
              <c:tx>
                <c:rich>
                  <a:bodyPr/>
                  <a:lstStyle/>
                  <a:p>
                    <a:fld id="{532E952C-2FFC-473B-A332-27ABFBA27E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BF7F-4B41-9DD6-2A38BB7AE522}"/>
                </c:ext>
              </c:extLst>
            </c:dLbl>
            <c:dLbl>
              <c:idx val="75"/>
              <c:tx>
                <c:rich>
                  <a:bodyPr/>
                  <a:lstStyle/>
                  <a:p>
                    <a:fld id="{7841F5A7-6EDA-43F4-905C-2E2CD535D5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BF7F-4B41-9DD6-2A38BB7AE522}"/>
                </c:ext>
              </c:extLst>
            </c:dLbl>
            <c:dLbl>
              <c:idx val="76"/>
              <c:tx>
                <c:rich>
                  <a:bodyPr/>
                  <a:lstStyle/>
                  <a:p>
                    <a:fld id="{AF6E52CF-AF87-4372-9F09-2F78568CF4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BF7F-4B41-9DD6-2A38BB7AE522}"/>
                </c:ext>
              </c:extLst>
            </c:dLbl>
            <c:dLbl>
              <c:idx val="77"/>
              <c:tx>
                <c:rich>
                  <a:bodyPr/>
                  <a:lstStyle/>
                  <a:p>
                    <a:fld id="{120379D2-1472-4BD2-91BC-B05C1BF0E5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BF7F-4B41-9DD6-2A38BB7AE522}"/>
                </c:ext>
              </c:extLst>
            </c:dLbl>
            <c:dLbl>
              <c:idx val="78"/>
              <c:tx>
                <c:rich>
                  <a:bodyPr/>
                  <a:lstStyle/>
                  <a:p>
                    <a:fld id="{690127DB-A31B-4979-AA35-F3909C083B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BF7F-4B41-9DD6-2A38BB7AE522}"/>
                </c:ext>
              </c:extLst>
            </c:dLbl>
            <c:dLbl>
              <c:idx val="79"/>
              <c:tx>
                <c:rich>
                  <a:bodyPr/>
                  <a:lstStyle/>
                  <a:p>
                    <a:fld id="{78146B3A-15B6-438A-9235-897D5BF0B6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BF7F-4B41-9DD6-2A38BB7AE522}"/>
                </c:ext>
              </c:extLst>
            </c:dLbl>
            <c:dLbl>
              <c:idx val="80"/>
              <c:tx>
                <c:rich>
                  <a:bodyPr/>
                  <a:lstStyle/>
                  <a:p>
                    <a:fld id="{90E37016-982C-4C45-8571-E57B96B027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BF7F-4B41-9DD6-2A38BB7AE522}"/>
                </c:ext>
              </c:extLst>
            </c:dLbl>
            <c:dLbl>
              <c:idx val="81"/>
              <c:tx>
                <c:rich>
                  <a:bodyPr/>
                  <a:lstStyle/>
                  <a:p>
                    <a:fld id="{C1EEB5E2-35C9-4DA5-9380-7D5C98FA2F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BF7F-4B41-9DD6-2A38BB7AE522}"/>
                </c:ext>
              </c:extLst>
            </c:dLbl>
            <c:dLbl>
              <c:idx val="82"/>
              <c:tx>
                <c:rich>
                  <a:bodyPr/>
                  <a:lstStyle/>
                  <a:p>
                    <a:fld id="{076DF58F-B3AD-4E5B-B500-C91202DC31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BF7F-4B41-9DD6-2A38BB7AE522}"/>
                </c:ext>
              </c:extLst>
            </c:dLbl>
            <c:dLbl>
              <c:idx val="83"/>
              <c:tx>
                <c:rich>
                  <a:bodyPr/>
                  <a:lstStyle/>
                  <a:p>
                    <a:fld id="{ABEA99E0-A96E-4253-B2AD-58CE4F8374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BF7F-4B41-9DD6-2A38BB7AE522}"/>
                </c:ext>
              </c:extLst>
            </c:dLbl>
            <c:dLbl>
              <c:idx val="84"/>
              <c:tx>
                <c:rich>
                  <a:bodyPr/>
                  <a:lstStyle/>
                  <a:p>
                    <a:fld id="{7B772332-7C6F-40EF-93E3-C2E425D5AE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BF7F-4B41-9DD6-2A38BB7AE522}"/>
                </c:ext>
              </c:extLst>
            </c:dLbl>
            <c:dLbl>
              <c:idx val="85"/>
              <c:tx>
                <c:rich>
                  <a:bodyPr/>
                  <a:lstStyle/>
                  <a:p>
                    <a:fld id="{8F88A9AD-C4BA-4790-8E9A-A78D1650ED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BF7F-4B41-9DD6-2A38BB7AE522}"/>
                </c:ext>
              </c:extLst>
            </c:dLbl>
            <c:dLbl>
              <c:idx val="86"/>
              <c:tx>
                <c:rich>
                  <a:bodyPr/>
                  <a:lstStyle/>
                  <a:p>
                    <a:fld id="{CF681CEB-8392-486B-9EB5-44F7B4BEE8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BF7F-4B41-9DD6-2A38BB7AE522}"/>
                </c:ext>
              </c:extLst>
            </c:dLbl>
            <c:dLbl>
              <c:idx val="87"/>
              <c:tx>
                <c:rich>
                  <a:bodyPr/>
                  <a:lstStyle/>
                  <a:p>
                    <a:fld id="{12C58F73-6132-4676-BCD6-19C6122FA8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BF7F-4B41-9DD6-2A38BB7AE522}"/>
                </c:ext>
              </c:extLst>
            </c:dLbl>
            <c:dLbl>
              <c:idx val="88"/>
              <c:tx>
                <c:rich>
                  <a:bodyPr/>
                  <a:lstStyle/>
                  <a:p>
                    <a:fld id="{19636773-6EEF-486F-BB79-140578AA6A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BF7F-4B41-9DD6-2A38BB7AE522}"/>
                </c:ext>
              </c:extLst>
            </c:dLbl>
            <c:dLbl>
              <c:idx val="89"/>
              <c:tx>
                <c:rich>
                  <a:bodyPr/>
                  <a:lstStyle/>
                  <a:p>
                    <a:fld id="{948FAFDF-E5B2-4064-9A37-CE8B039C9C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BF7F-4B41-9DD6-2A38BB7AE522}"/>
                </c:ext>
              </c:extLst>
            </c:dLbl>
            <c:dLbl>
              <c:idx val="90"/>
              <c:tx>
                <c:rich>
                  <a:bodyPr/>
                  <a:lstStyle/>
                  <a:p>
                    <a:fld id="{668A49C7-0D9D-493E-ADB0-03B87881FF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BF7F-4B41-9DD6-2A38BB7AE522}"/>
                </c:ext>
              </c:extLst>
            </c:dLbl>
            <c:dLbl>
              <c:idx val="91"/>
              <c:tx>
                <c:rich>
                  <a:bodyPr/>
                  <a:lstStyle/>
                  <a:p>
                    <a:fld id="{294142DA-5396-457B-BB53-E0E6D6A93C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BF7F-4B41-9DD6-2A38BB7AE522}"/>
                </c:ext>
              </c:extLst>
            </c:dLbl>
            <c:dLbl>
              <c:idx val="92"/>
              <c:tx>
                <c:rich>
                  <a:bodyPr/>
                  <a:lstStyle/>
                  <a:p>
                    <a:fld id="{D7DCE8BE-09ED-4590-A819-56945B180C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BF7F-4B41-9DD6-2A38BB7AE522}"/>
                </c:ext>
              </c:extLst>
            </c:dLbl>
            <c:dLbl>
              <c:idx val="93"/>
              <c:tx>
                <c:rich>
                  <a:bodyPr/>
                  <a:lstStyle/>
                  <a:p>
                    <a:fld id="{B8FD9620-43FB-4A5E-8EAD-3116F54C48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BF7F-4B41-9DD6-2A38BB7AE522}"/>
                </c:ext>
              </c:extLst>
            </c:dLbl>
            <c:dLbl>
              <c:idx val="94"/>
              <c:tx>
                <c:rich>
                  <a:bodyPr/>
                  <a:lstStyle/>
                  <a:p>
                    <a:fld id="{38C71F36-EF12-4038-B051-F476C275EB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BF7F-4B41-9DD6-2A38BB7AE522}"/>
                </c:ext>
              </c:extLst>
            </c:dLbl>
            <c:dLbl>
              <c:idx val="95"/>
              <c:tx>
                <c:rich>
                  <a:bodyPr/>
                  <a:lstStyle/>
                  <a:p>
                    <a:fld id="{1DE74CBA-0A0F-4AD6-BA2B-0A90C92AF7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BF7F-4B41-9DD6-2A38BB7AE522}"/>
                </c:ext>
              </c:extLst>
            </c:dLbl>
            <c:dLbl>
              <c:idx val="96"/>
              <c:tx>
                <c:rich>
                  <a:bodyPr/>
                  <a:lstStyle/>
                  <a:p>
                    <a:fld id="{FBAB626C-A5F0-45D2-974F-73459C8F51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BF7F-4B41-9DD6-2A38BB7AE522}"/>
                </c:ext>
              </c:extLst>
            </c:dLbl>
            <c:dLbl>
              <c:idx val="97"/>
              <c:tx>
                <c:rich>
                  <a:bodyPr/>
                  <a:lstStyle/>
                  <a:p>
                    <a:fld id="{851CF13B-C22D-4EED-ABA3-998332A532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BF7F-4B41-9DD6-2A38BB7AE522}"/>
                </c:ext>
              </c:extLst>
            </c:dLbl>
            <c:dLbl>
              <c:idx val="98"/>
              <c:tx>
                <c:rich>
                  <a:bodyPr/>
                  <a:lstStyle/>
                  <a:p>
                    <a:fld id="{282025DE-0D73-458F-8D49-AA2820C6CB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BF7F-4B41-9DD6-2A38BB7AE522}"/>
                </c:ext>
              </c:extLst>
            </c:dLbl>
            <c:dLbl>
              <c:idx val="99"/>
              <c:tx>
                <c:rich>
                  <a:bodyPr/>
                  <a:lstStyle/>
                  <a:p>
                    <a:fld id="{CF759D0B-DC31-473B-BFDD-5DCDBF3608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BF7F-4B41-9DD6-2A38BB7AE522}"/>
                </c:ext>
              </c:extLst>
            </c:dLbl>
            <c:dLbl>
              <c:idx val="100"/>
              <c:tx>
                <c:rich>
                  <a:bodyPr/>
                  <a:lstStyle/>
                  <a:p>
                    <a:fld id="{E6F8634F-9680-4800-88BB-C2534DD892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BF7F-4B41-9DD6-2A38BB7AE522}"/>
                </c:ext>
              </c:extLst>
            </c:dLbl>
            <c:dLbl>
              <c:idx val="101"/>
              <c:tx>
                <c:rich>
                  <a:bodyPr/>
                  <a:lstStyle/>
                  <a:p>
                    <a:fld id="{E3C22BEB-EAED-4DFE-89B0-185C4184F6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BF7F-4B41-9DD6-2A38BB7AE522}"/>
                </c:ext>
              </c:extLst>
            </c:dLbl>
            <c:dLbl>
              <c:idx val="102"/>
              <c:tx>
                <c:rich>
                  <a:bodyPr/>
                  <a:lstStyle/>
                  <a:p>
                    <a:fld id="{739F0342-1B6B-4E8A-BC7E-49B53FD3C9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BF7F-4B41-9DD6-2A38BB7AE522}"/>
                </c:ext>
              </c:extLst>
            </c:dLbl>
            <c:dLbl>
              <c:idx val="103"/>
              <c:tx>
                <c:rich>
                  <a:bodyPr/>
                  <a:lstStyle/>
                  <a:p>
                    <a:fld id="{CF0F78E5-EBA8-4C5A-9BDE-018C83522D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BF7F-4B41-9DD6-2A38BB7AE522}"/>
                </c:ext>
              </c:extLst>
            </c:dLbl>
            <c:dLbl>
              <c:idx val="104"/>
              <c:tx>
                <c:rich>
                  <a:bodyPr/>
                  <a:lstStyle/>
                  <a:p>
                    <a:fld id="{D9410860-AA4E-4F7C-9094-4E6E5EEDD0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BF7F-4B41-9DD6-2A38BB7AE522}"/>
                </c:ext>
              </c:extLst>
            </c:dLbl>
            <c:dLbl>
              <c:idx val="105"/>
              <c:tx>
                <c:rich>
                  <a:bodyPr/>
                  <a:lstStyle/>
                  <a:p>
                    <a:fld id="{630D1DCE-8D08-4C38-AB45-CFD21417BE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BF7F-4B41-9DD6-2A38BB7AE522}"/>
                </c:ext>
              </c:extLst>
            </c:dLbl>
            <c:dLbl>
              <c:idx val="106"/>
              <c:tx>
                <c:rich>
                  <a:bodyPr/>
                  <a:lstStyle/>
                  <a:p>
                    <a:fld id="{AD225001-0B45-4775-BB06-7600059201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BF7F-4B41-9DD6-2A38BB7AE522}"/>
                </c:ext>
              </c:extLst>
            </c:dLbl>
            <c:dLbl>
              <c:idx val="107"/>
              <c:tx>
                <c:rich>
                  <a:bodyPr/>
                  <a:lstStyle/>
                  <a:p>
                    <a:fld id="{568B2910-BF2B-4B79-94C2-560216C411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BF7F-4B41-9DD6-2A38BB7AE522}"/>
                </c:ext>
              </c:extLst>
            </c:dLbl>
            <c:dLbl>
              <c:idx val="108"/>
              <c:tx>
                <c:rich>
                  <a:bodyPr/>
                  <a:lstStyle/>
                  <a:p>
                    <a:fld id="{FA054F4C-BFC6-4DCD-8A8A-48FB2347D2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BF7F-4B41-9DD6-2A38BB7AE522}"/>
                </c:ext>
              </c:extLst>
            </c:dLbl>
            <c:dLbl>
              <c:idx val="109"/>
              <c:tx>
                <c:rich>
                  <a:bodyPr/>
                  <a:lstStyle/>
                  <a:p>
                    <a:fld id="{FFB7FC82-F395-4C2F-8A94-7FAEA02876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BF7F-4B41-9DD6-2A38BB7AE522}"/>
                </c:ext>
              </c:extLst>
            </c:dLbl>
            <c:dLbl>
              <c:idx val="110"/>
              <c:tx>
                <c:rich>
                  <a:bodyPr/>
                  <a:lstStyle/>
                  <a:p>
                    <a:fld id="{FA6B07B6-92DB-4297-A4CF-DD6EDDE5F0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BF7F-4B41-9DD6-2A38BB7AE522}"/>
                </c:ext>
              </c:extLst>
            </c:dLbl>
            <c:dLbl>
              <c:idx val="111"/>
              <c:tx>
                <c:rich>
                  <a:bodyPr/>
                  <a:lstStyle/>
                  <a:p>
                    <a:fld id="{110FCDC1-CE2E-42E1-A40E-CBB04AADFC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BF7F-4B41-9DD6-2A38BB7AE522}"/>
                </c:ext>
              </c:extLst>
            </c:dLbl>
            <c:dLbl>
              <c:idx val="112"/>
              <c:tx>
                <c:rich>
                  <a:bodyPr/>
                  <a:lstStyle/>
                  <a:p>
                    <a:fld id="{C4C48042-CEC4-425E-9F0C-B075DEDBD5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BF7F-4B41-9DD6-2A38BB7AE522}"/>
                </c:ext>
              </c:extLst>
            </c:dLbl>
            <c:dLbl>
              <c:idx val="113"/>
              <c:tx>
                <c:rich>
                  <a:bodyPr/>
                  <a:lstStyle/>
                  <a:p>
                    <a:fld id="{98182E77-7CAE-467D-91FA-62F8DCB3D2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BF7F-4B41-9DD6-2A38BB7AE522}"/>
                </c:ext>
              </c:extLst>
            </c:dLbl>
            <c:dLbl>
              <c:idx val="114"/>
              <c:tx>
                <c:rich>
                  <a:bodyPr/>
                  <a:lstStyle/>
                  <a:p>
                    <a:fld id="{A93F2130-75D7-44A0-B36E-E7D93CE880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BF7F-4B41-9DD6-2A38BB7AE522}"/>
                </c:ext>
              </c:extLst>
            </c:dLbl>
            <c:dLbl>
              <c:idx val="115"/>
              <c:tx>
                <c:rich>
                  <a:bodyPr/>
                  <a:lstStyle/>
                  <a:p>
                    <a:fld id="{E3AF36A3-BF4C-4919-9583-F66AC489AF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BF7F-4B41-9DD6-2A38BB7AE522}"/>
                </c:ext>
              </c:extLst>
            </c:dLbl>
            <c:dLbl>
              <c:idx val="116"/>
              <c:tx>
                <c:rich>
                  <a:bodyPr/>
                  <a:lstStyle/>
                  <a:p>
                    <a:fld id="{DA18AD1B-0840-4275-B996-F4F01E8F7C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BF7F-4B41-9DD6-2A38BB7AE522}"/>
                </c:ext>
              </c:extLst>
            </c:dLbl>
            <c:dLbl>
              <c:idx val="117"/>
              <c:tx>
                <c:rich>
                  <a:bodyPr/>
                  <a:lstStyle/>
                  <a:p>
                    <a:fld id="{DBC26562-15F6-484E-9744-EDACFC94CA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BF7F-4B41-9DD6-2A38BB7AE522}"/>
                </c:ext>
              </c:extLst>
            </c:dLbl>
            <c:dLbl>
              <c:idx val="118"/>
              <c:tx>
                <c:rich>
                  <a:bodyPr/>
                  <a:lstStyle/>
                  <a:p>
                    <a:fld id="{4804E9CA-5370-47CE-9A18-65436992D4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BF7F-4B41-9DD6-2A38BB7AE522}"/>
                </c:ext>
              </c:extLst>
            </c:dLbl>
            <c:dLbl>
              <c:idx val="119"/>
              <c:tx>
                <c:rich>
                  <a:bodyPr/>
                  <a:lstStyle/>
                  <a:p>
                    <a:fld id="{49F51363-5830-4125-8F78-B931F2EC21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BF7F-4B41-9DD6-2A38BB7AE522}"/>
                </c:ext>
              </c:extLst>
            </c:dLbl>
            <c:dLbl>
              <c:idx val="120"/>
              <c:tx>
                <c:rich>
                  <a:bodyPr/>
                  <a:lstStyle/>
                  <a:p>
                    <a:fld id="{43D3D105-67EF-42D4-93FB-43266ADABA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BF7F-4B41-9DD6-2A38BB7AE522}"/>
                </c:ext>
              </c:extLst>
            </c:dLbl>
            <c:dLbl>
              <c:idx val="121"/>
              <c:tx>
                <c:rich>
                  <a:bodyPr/>
                  <a:lstStyle/>
                  <a:p>
                    <a:fld id="{B5DFFBD4-EE3F-464F-9DD2-5F8EE99304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BF7F-4B41-9DD6-2A38BB7AE522}"/>
                </c:ext>
              </c:extLst>
            </c:dLbl>
            <c:dLbl>
              <c:idx val="122"/>
              <c:tx>
                <c:rich>
                  <a:bodyPr/>
                  <a:lstStyle/>
                  <a:p>
                    <a:fld id="{F47FCEC9-5991-4CA4-94D5-C430155183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BF7F-4B41-9DD6-2A38BB7AE522}"/>
                </c:ext>
              </c:extLst>
            </c:dLbl>
            <c:dLbl>
              <c:idx val="123"/>
              <c:tx>
                <c:rich>
                  <a:bodyPr/>
                  <a:lstStyle/>
                  <a:p>
                    <a:fld id="{66CD410D-7BD8-442B-824A-5A69DB695A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BF7F-4B41-9DD6-2A38BB7AE522}"/>
                </c:ext>
              </c:extLst>
            </c:dLbl>
            <c:dLbl>
              <c:idx val="124"/>
              <c:tx>
                <c:rich>
                  <a:bodyPr/>
                  <a:lstStyle/>
                  <a:p>
                    <a:fld id="{6A7CE678-FB59-4F5D-857B-5630386FD5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BF7F-4B41-9DD6-2A38BB7AE522}"/>
                </c:ext>
              </c:extLst>
            </c:dLbl>
            <c:dLbl>
              <c:idx val="125"/>
              <c:tx>
                <c:rich>
                  <a:bodyPr/>
                  <a:lstStyle/>
                  <a:p>
                    <a:fld id="{E9E2AF01-BCE7-4E8E-9A7A-1D0DAC0BAD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BF7F-4B41-9DD6-2A38BB7AE522}"/>
                </c:ext>
              </c:extLst>
            </c:dLbl>
            <c:dLbl>
              <c:idx val="126"/>
              <c:tx>
                <c:rich>
                  <a:bodyPr/>
                  <a:lstStyle/>
                  <a:p>
                    <a:fld id="{42754DFD-9E90-4C7B-9E23-E02D75F7C9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BF7F-4B41-9DD6-2A38BB7AE522}"/>
                </c:ext>
              </c:extLst>
            </c:dLbl>
            <c:dLbl>
              <c:idx val="127"/>
              <c:tx>
                <c:rich>
                  <a:bodyPr/>
                  <a:lstStyle/>
                  <a:p>
                    <a:fld id="{E087F9A6-A593-45D3-B893-45D17816D6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BF7F-4B41-9DD6-2A38BB7AE522}"/>
                </c:ext>
              </c:extLst>
            </c:dLbl>
            <c:dLbl>
              <c:idx val="128"/>
              <c:tx>
                <c:rich>
                  <a:bodyPr/>
                  <a:lstStyle/>
                  <a:p>
                    <a:fld id="{3B15DA8B-A898-4340-B557-EC420C8B8C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BF7F-4B41-9DD6-2A38BB7AE522}"/>
                </c:ext>
              </c:extLst>
            </c:dLbl>
            <c:dLbl>
              <c:idx val="129"/>
              <c:tx>
                <c:rich>
                  <a:bodyPr/>
                  <a:lstStyle/>
                  <a:p>
                    <a:fld id="{6E29201C-C2BB-484A-9A97-9B2ED20D82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BF7F-4B41-9DD6-2A38BB7AE522}"/>
                </c:ext>
              </c:extLst>
            </c:dLbl>
            <c:dLbl>
              <c:idx val="130"/>
              <c:tx>
                <c:rich>
                  <a:bodyPr/>
                  <a:lstStyle/>
                  <a:p>
                    <a:fld id="{63B0EA89-D35C-449C-B988-87EDFAC218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BF7F-4B41-9DD6-2A38BB7AE522}"/>
                </c:ext>
              </c:extLst>
            </c:dLbl>
            <c:dLbl>
              <c:idx val="131"/>
              <c:tx>
                <c:rich>
                  <a:bodyPr/>
                  <a:lstStyle/>
                  <a:p>
                    <a:fld id="{7A37E8DA-C2E5-471B-94D0-30347747CB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BF7F-4B41-9DD6-2A38BB7AE522}"/>
                </c:ext>
              </c:extLst>
            </c:dLbl>
            <c:dLbl>
              <c:idx val="132"/>
              <c:tx>
                <c:rich>
                  <a:bodyPr/>
                  <a:lstStyle/>
                  <a:p>
                    <a:fld id="{CA8C93AD-8885-4197-B768-176DDE4F3B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BF7F-4B41-9DD6-2A38BB7AE522}"/>
                </c:ext>
              </c:extLst>
            </c:dLbl>
            <c:dLbl>
              <c:idx val="133"/>
              <c:tx>
                <c:rich>
                  <a:bodyPr/>
                  <a:lstStyle/>
                  <a:p>
                    <a:fld id="{0B5F0E7A-2BD7-40A2-9A34-C92ED91D60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BF7F-4B41-9DD6-2A38BB7AE522}"/>
                </c:ext>
              </c:extLst>
            </c:dLbl>
            <c:dLbl>
              <c:idx val="134"/>
              <c:tx>
                <c:rich>
                  <a:bodyPr/>
                  <a:lstStyle/>
                  <a:p>
                    <a:fld id="{69CAB0C3-F186-4E5A-88B6-AB836A3CAA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BF7F-4B41-9DD6-2A38BB7AE522}"/>
                </c:ext>
              </c:extLst>
            </c:dLbl>
            <c:dLbl>
              <c:idx val="135"/>
              <c:tx>
                <c:rich>
                  <a:bodyPr/>
                  <a:lstStyle/>
                  <a:p>
                    <a:fld id="{74BB5772-3943-4A37-BB32-291C099130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BF7F-4B41-9DD6-2A38BB7AE522}"/>
                </c:ext>
              </c:extLst>
            </c:dLbl>
            <c:dLbl>
              <c:idx val="136"/>
              <c:tx>
                <c:rich>
                  <a:bodyPr/>
                  <a:lstStyle/>
                  <a:p>
                    <a:fld id="{757D8148-A0B6-4613-BCD3-1A461FFA90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BF7F-4B41-9DD6-2A38BB7AE522}"/>
                </c:ext>
              </c:extLst>
            </c:dLbl>
            <c:dLbl>
              <c:idx val="137"/>
              <c:tx>
                <c:rich>
                  <a:bodyPr/>
                  <a:lstStyle/>
                  <a:p>
                    <a:fld id="{F37F914E-E172-443E-8A86-D429AE5F58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BF7F-4B41-9DD6-2A38BB7AE522}"/>
                </c:ext>
              </c:extLst>
            </c:dLbl>
            <c:dLbl>
              <c:idx val="138"/>
              <c:tx>
                <c:rich>
                  <a:bodyPr/>
                  <a:lstStyle/>
                  <a:p>
                    <a:fld id="{E6B672C6-261F-4A0A-9DC7-9ED09B3F30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BF7F-4B41-9DD6-2A38BB7AE522}"/>
                </c:ext>
              </c:extLst>
            </c:dLbl>
            <c:dLbl>
              <c:idx val="139"/>
              <c:tx>
                <c:rich>
                  <a:bodyPr/>
                  <a:lstStyle/>
                  <a:p>
                    <a:fld id="{443D3235-AB5D-4D9A-8A07-4E9D22AE53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BF7F-4B41-9DD6-2A38BB7AE522}"/>
                </c:ext>
              </c:extLst>
            </c:dLbl>
            <c:dLbl>
              <c:idx val="140"/>
              <c:tx>
                <c:rich>
                  <a:bodyPr/>
                  <a:lstStyle/>
                  <a:p>
                    <a:fld id="{2CE9AB07-00D2-40A5-A8A9-F7434A4975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BF7F-4B41-9DD6-2A38BB7AE522}"/>
                </c:ext>
              </c:extLst>
            </c:dLbl>
            <c:dLbl>
              <c:idx val="141"/>
              <c:tx>
                <c:rich>
                  <a:bodyPr/>
                  <a:lstStyle/>
                  <a:p>
                    <a:fld id="{4AB21D28-55C4-44FC-A317-35695436F6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BF7F-4B41-9DD6-2A38BB7AE522}"/>
                </c:ext>
              </c:extLst>
            </c:dLbl>
            <c:dLbl>
              <c:idx val="142"/>
              <c:tx>
                <c:rich>
                  <a:bodyPr/>
                  <a:lstStyle/>
                  <a:p>
                    <a:fld id="{955A807B-077D-40F7-99B2-26552581F1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BF7F-4B41-9DD6-2A38BB7AE522}"/>
                </c:ext>
              </c:extLst>
            </c:dLbl>
            <c:dLbl>
              <c:idx val="143"/>
              <c:tx>
                <c:rich>
                  <a:bodyPr/>
                  <a:lstStyle/>
                  <a:p>
                    <a:fld id="{19F58A06-5CE0-4779-9669-F6D6FF9499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BF7F-4B41-9DD6-2A38BB7AE522}"/>
                </c:ext>
              </c:extLst>
            </c:dLbl>
            <c:dLbl>
              <c:idx val="144"/>
              <c:tx>
                <c:rich>
                  <a:bodyPr/>
                  <a:lstStyle/>
                  <a:p>
                    <a:fld id="{B6B08B26-D0C7-4471-927D-D8FDE162F3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BF7F-4B41-9DD6-2A38BB7AE522}"/>
                </c:ext>
              </c:extLst>
            </c:dLbl>
            <c:dLbl>
              <c:idx val="145"/>
              <c:tx>
                <c:rich>
                  <a:bodyPr/>
                  <a:lstStyle/>
                  <a:p>
                    <a:fld id="{BFB1D9E2-7CB0-4042-8E45-E480EEC840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BF7F-4B41-9DD6-2A38BB7AE522}"/>
                </c:ext>
              </c:extLst>
            </c:dLbl>
            <c:dLbl>
              <c:idx val="146"/>
              <c:tx>
                <c:rich>
                  <a:bodyPr/>
                  <a:lstStyle/>
                  <a:p>
                    <a:fld id="{7E7DA5E8-578E-4636-BABC-C57D4C0CEE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BF7F-4B41-9DD6-2A38BB7AE522}"/>
                </c:ext>
              </c:extLst>
            </c:dLbl>
            <c:dLbl>
              <c:idx val="147"/>
              <c:tx>
                <c:rich>
                  <a:bodyPr/>
                  <a:lstStyle/>
                  <a:p>
                    <a:fld id="{4CA13C2B-4230-4398-B4A9-02C7E663F4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BF7F-4B41-9DD6-2A38BB7AE522}"/>
                </c:ext>
              </c:extLst>
            </c:dLbl>
            <c:dLbl>
              <c:idx val="148"/>
              <c:tx>
                <c:rich>
                  <a:bodyPr/>
                  <a:lstStyle/>
                  <a:p>
                    <a:fld id="{AC81961F-A90A-459E-A397-F309EB059A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BF7F-4B41-9DD6-2A38BB7AE522}"/>
                </c:ext>
              </c:extLst>
            </c:dLbl>
            <c:dLbl>
              <c:idx val="149"/>
              <c:tx>
                <c:rich>
                  <a:bodyPr/>
                  <a:lstStyle/>
                  <a:p>
                    <a:fld id="{FD771532-F524-41D3-9C34-EC14862A20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BF7F-4B41-9DD6-2A38BB7AE522}"/>
                </c:ext>
              </c:extLst>
            </c:dLbl>
            <c:dLbl>
              <c:idx val="150"/>
              <c:tx>
                <c:rich>
                  <a:bodyPr/>
                  <a:lstStyle/>
                  <a:p>
                    <a:fld id="{253ADFB7-D431-4B9E-BDA7-A4086A4DBE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BF7F-4B41-9DD6-2A38BB7AE522}"/>
                </c:ext>
              </c:extLst>
            </c:dLbl>
            <c:dLbl>
              <c:idx val="151"/>
              <c:tx>
                <c:rich>
                  <a:bodyPr/>
                  <a:lstStyle/>
                  <a:p>
                    <a:fld id="{04A1B11A-2345-457E-A901-C441F8838C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BF7F-4B41-9DD6-2A38BB7AE522}"/>
                </c:ext>
              </c:extLst>
            </c:dLbl>
            <c:dLbl>
              <c:idx val="152"/>
              <c:tx>
                <c:rich>
                  <a:bodyPr/>
                  <a:lstStyle/>
                  <a:p>
                    <a:fld id="{92BB1393-E648-422F-8B81-33C331218B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BF7F-4B41-9DD6-2A38BB7AE522}"/>
                </c:ext>
              </c:extLst>
            </c:dLbl>
            <c:dLbl>
              <c:idx val="153"/>
              <c:tx>
                <c:rich>
                  <a:bodyPr/>
                  <a:lstStyle/>
                  <a:p>
                    <a:fld id="{6D0985B6-1306-4E08-9B97-CAA36636FA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BF7F-4B41-9DD6-2A38BB7AE522}"/>
                </c:ext>
              </c:extLst>
            </c:dLbl>
            <c:dLbl>
              <c:idx val="154"/>
              <c:tx>
                <c:rich>
                  <a:bodyPr/>
                  <a:lstStyle/>
                  <a:p>
                    <a:fld id="{F6B6CA72-260F-44CC-B40E-0AC0780125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BF7F-4B41-9DD6-2A38BB7AE522}"/>
                </c:ext>
              </c:extLst>
            </c:dLbl>
            <c:dLbl>
              <c:idx val="155"/>
              <c:tx>
                <c:rich>
                  <a:bodyPr/>
                  <a:lstStyle/>
                  <a:p>
                    <a:fld id="{F926A3D3-94F0-4192-9F20-98B8EAD332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BF7F-4B41-9DD6-2A38BB7AE522}"/>
                </c:ext>
              </c:extLst>
            </c:dLbl>
            <c:dLbl>
              <c:idx val="156"/>
              <c:tx>
                <c:rich>
                  <a:bodyPr/>
                  <a:lstStyle/>
                  <a:p>
                    <a:fld id="{D95E1517-6FA3-4658-8AD3-9E100BB8E3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BF7F-4B41-9DD6-2A38BB7AE522}"/>
                </c:ext>
              </c:extLst>
            </c:dLbl>
            <c:dLbl>
              <c:idx val="157"/>
              <c:tx>
                <c:rich>
                  <a:bodyPr/>
                  <a:lstStyle/>
                  <a:p>
                    <a:fld id="{E29E6AD5-EC70-48B1-BA67-02CD200317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BF7F-4B41-9DD6-2A38BB7AE522}"/>
                </c:ext>
              </c:extLst>
            </c:dLbl>
            <c:dLbl>
              <c:idx val="158"/>
              <c:tx>
                <c:rich>
                  <a:bodyPr/>
                  <a:lstStyle/>
                  <a:p>
                    <a:fld id="{ADB15693-4BB9-488E-A001-B4A593FC1C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BF7F-4B41-9DD6-2A38BB7AE522}"/>
                </c:ext>
              </c:extLst>
            </c:dLbl>
            <c:dLbl>
              <c:idx val="159"/>
              <c:tx>
                <c:rich>
                  <a:bodyPr/>
                  <a:lstStyle/>
                  <a:p>
                    <a:fld id="{08A67FC2-6EFF-4083-A4F3-8740576341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BF7F-4B41-9DD6-2A38BB7AE522}"/>
                </c:ext>
              </c:extLst>
            </c:dLbl>
            <c:dLbl>
              <c:idx val="160"/>
              <c:tx>
                <c:rich>
                  <a:bodyPr/>
                  <a:lstStyle/>
                  <a:p>
                    <a:fld id="{7D246A24-85F0-4D1B-BC3F-29B1881210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BF7F-4B41-9DD6-2A38BB7AE522}"/>
                </c:ext>
              </c:extLst>
            </c:dLbl>
            <c:dLbl>
              <c:idx val="161"/>
              <c:tx>
                <c:rich>
                  <a:bodyPr/>
                  <a:lstStyle/>
                  <a:p>
                    <a:fld id="{796D1C51-627C-4A38-B65D-D20255610D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BF7F-4B41-9DD6-2A38BB7AE522}"/>
                </c:ext>
              </c:extLst>
            </c:dLbl>
            <c:dLbl>
              <c:idx val="162"/>
              <c:tx>
                <c:rich>
                  <a:bodyPr/>
                  <a:lstStyle/>
                  <a:p>
                    <a:fld id="{670AF45B-E62F-41F2-8304-F592661BFA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BF7F-4B41-9DD6-2A38BB7AE522}"/>
                </c:ext>
              </c:extLst>
            </c:dLbl>
            <c:dLbl>
              <c:idx val="163"/>
              <c:tx>
                <c:rich>
                  <a:bodyPr/>
                  <a:lstStyle/>
                  <a:p>
                    <a:fld id="{F544F042-E1FC-4710-84E8-EDC2EB591B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BF7F-4B41-9DD6-2A38BB7AE522}"/>
                </c:ext>
              </c:extLst>
            </c:dLbl>
            <c:dLbl>
              <c:idx val="164"/>
              <c:tx>
                <c:rich>
                  <a:bodyPr/>
                  <a:lstStyle/>
                  <a:p>
                    <a:fld id="{EAFB1EED-2D30-4354-A53B-C21C928D32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BF7F-4B41-9DD6-2A38BB7AE522}"/>
                </c:ext>
              </c:extLst>
            </c:dLbl>
            <c:dLbl>
              <c:idx val="165"/>
              <c:tx>
                <c:rich>
                  <a:bodyPr/>
                  <a:lstStyle/>
                  <a:p>
                    <a:fld id="{A7B3630E-9921-4790-89BB-ADEF2BC480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BF7F-4B41-9DD6-2A38BB7AE522}"/>
                </c:ext>
              </c:extLst>
            </c:dLbl>
            <c:dLbl>
              <c:idx val="166"/>
              <c:tx>
                <c:rich>
                  <a:bodyPr/>
                  <a:lstStyle/>
                  <a:p>
                    <a:fld id="{668CCBCC-1323-4943-BDF4-066407350A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BF7F-4B41-9DD6-2A38BB7AE522}"/>
                </c:ext>
              </c:extLst>
            </c:dLbl>
            <c:dLbl>
              <c:idx val="167"/>
              <c:tx>
                <c:rich>
                  <a:bodyPr/>
                  <a:lstStyle/>
                  <a:p>
                    <a:fld id="{DECB73EB-F8E6-4A14-B4E0-08F49E6F5C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BF7F-4B41-9DD6-2A38BB7AE522}"/>
                </c:ext>
              </c:extLst>
            </c:dLbl>
            <c:dLbl>
              <c:idx val="168"/>
              <c:tx>
                <c:rich>
                  <a:bodyPr/>
                  <a:lstStyle/>
                  <a:p>
                    <a:fld id="{A1DB217E-5D6F-4987-A39F-A6408398AC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BF7F-4B41-9DD6-2A38BB7AE522}"/>
                </c:ext>
              </c:extLst>
            </c:dLbl>
            <c:dLbl>
              <c:idx val="169"/>
              <c:tx>
                <c:rich>
                  <a:bodyPr/>
                  <a:lstStyle/>
                  <a:p>
                    <a:fld id="{2B7F8D6D-9083-4B41-89FE-76E80C8EFF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BF7F-4B41-9DD6-2A38BB7AE522}"/>
                </c:ext>
              </c:extLst>
            </c:dLbl>
            <c:dLbl>
              <c:idx val="170"/>
              <c:tx>
                <c:rich>
                  <a:bodyPr/>
                  <a:lstStyle/>
                  <a:p>
                    <a:fld id="{4E65D7E0-5DCE-42EB-B720-CDF88DC464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BF7F-4B41-9DD6-2A38BB7AE522}"/>
                </c:ext>
              </c:extLst>
            </c:dLbl>
            <c:dLbl>
              <c:idx val="171"/>
              <c:tx>
                <c:rich>
                  <a:bodyPr/>
                  <a:lstStyle/>
                  <a:p>
                    <a:fld id="{A91D381C-3474-413A-AA42-2DB59325ED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BF7F-4B41-9DD6-2A38BB7AE522}"/>
                </c:ext>
              </c:extLst>
            </c:dLbl>
            <c:dLbl>
              <c:idx val="172"/>
              <c:tx>
                <c:rich>
                  <a:bodyPr/>
                  <a:lstStyle/>
                  <a:p>
                    <a:fld id="{B7034542-15D3-4FB6-8ABC-6769FD3AFD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BF7F-4B41-9DD6-2A38BB7AE522}"/>
                </c:ext>
              </c:extLst>
            </c:dLbl>
            <c:dLbl>
              <c:idx val="173"/>
              <c:tx>
                <c:rich>
                  <a:bodyPr/>
                  <a:lstStyle/>
                  <a:p>
                    <a:fld id="{F9A0FEF2-14A7-4ED8-9E60-4326D6E6B9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BF7F-4B41-9DD6-2A38BB7AE522}"/>
                </c:ext>
              </c:extLst>
            </c:dLbl>
            <c:dLbl>
              <c:idx val="174"/>
              <c:tx>
                <c:rich>
                  <a:bodyPr/>
                  <a:lstStyle/>
                  <a:p>
                    <a:fld id="{B14DDCFC-0A59-4635-8B38-C440D324B7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BF7F-4B41-9DD6-2A38BB7AE522}"/>
                </c:ext>
              </c:extLst>
            </c:dLbl>
            <c:dLbl>
              <c:idx val="175"/>
              <c:tx>
                <c:rich>
                  <a:bodyPr/>
                  <a:lstStyle/>
                  <a:p>
                    <a:fld id="{0AEFB40C-5D90-4F71-863F-ADF3C32A98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BF7F-4B41-9DD6-2A38BB7AE522}"/>
                </c:ext>
              </c:extLst>
            </c:dLbl>
            <c:dLbl>
              <c:idx val="176"/>
              <c:tx>
                <c:rich>
                  <a:bodyPr/>
                  <a:lstStyle/>
                  <a:p>
                    <a:fld id="{310A780A-F60C-47E3-9EA7-F6F03316CC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BF7F-4B41-9DD6-2A38BB7AE522}"/>
                </c:ext>
              </c:extLst>
            </c:dLbl>
            <c:dLbl>
              <c:idx val="177"/>
              <c:tx>
                <c:rich>
                  <a:bodyPr/>
                  <a:lstStyle/>
                  <a:p>
                    <a:fld id="{9A5B436E-60CD-439A-BD36-06EEC5C58B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BF7F-4B41-9DD6-2A38BB7AE522}"/>
                </c:ext>
              </c:extLst>
            </c:dLbl>
            <c:dLbl>
              <c:idx val="178"/>
              <c:tx>
                <c:rich>
                  <a:bodyPr/>
                  <a:lstStyle/>
                  <a:p>
                    <a:fld id="{C25AC555-B933-4B8A-B602-0E160528B6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BF7F-4B41-9DD6-2A38BB7AE522}"/>
                </c:ext>
              </c:extLst>
            </c:dLbl>
            <c:dLbl>
              <c:idx val="179"/>
              <c:tx>
                <c:rich>
                  <a:bodyPr/>
                  <a:lstStyle/>
                  <a:p>
                    <a:fld id="{A59A098B-4685-4320-B478-6BA3B0F857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BF7F-4B41-9DD6-2A38BB7AE522}"/>
                </c:ext>
              </c:extLst>
            </c:dLbl>
            <c:dLbl>
              <c:idx val="180"/>
              <c:tx>
                <c:rich>
                  <a:bodyPr/>
                  <a:lstStyle/>
                  <a:p>
                    <a:fld id="{05F5AA47-F4D5-489D-9902-BFA15D10C3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BF7F-4B41-9DD6-2A38BB7AE522}"/>
                </c:ext>
              </c:extLst>
            </c:dLbl>
            <c:dLbl>
              <c:idx val="181"/>
              <c:tx>
                <c:rich>
                  <a:bodyPr/>
                  <a:lstStyle/>
                  <a:p>
                    <a:fld id="{C3522061-EF2B-4AC3-A7B5-0CE19BDC81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BF7F-4B41-9DD6-2A38BB7AE522}"/>
                </c:ext>
              </c:extLst>
            </c:dLbl>
            <c:dLbl>
              <c:idx val="182"/>
              <c:tx>
                <c:rich>
                  <a:bodyPr/>
                  <a:lstStyle/>
                  <a:p>
                    <a:fld id="{307B126F-8B63-4675-A478-79BAA4F2A1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BF7F-4B41-9DD6-2A38BB7AE522}"/>
                </c:ext>
              </c:extLst>
            </c:dLbl>
            <c:dLbl>
              <c:idx val="183"/>
              <c:tx>
                <c:rich>
                  <a:bodyPr/>
                  <a:lstStyle/>
                  <a:p>
                    <a:fld id="{51EC269E-2C1D-402F-98E3-6DAC40EA41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BF7F-4B41-9DD6-2A38BB7AE522}"/>
                </c:ext>
              </c:extLst>
            </c:dLbl>
            <c:dLbl>
              <c:idx val="184"/>
              <c:tx>
                <c:rich>
                  <a:bodyPr/>
                  <a:lstStyle/>
                  <a:p>
                    <a:fld id="{F8ACF2CC-003A-4531-BA17-39638E8CB1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BF7F-4B41-9DD6-2A38BB7AE522}"/>
                </c:ext>
              </c:extLst>
            </c:dLbl>
            <c:dLbl>
              <c:idx val="185"/>
              <c:tx>
                <c:rich>
                  <a:bodyPr/>
                  <a:lstStyle/>
                  <a:p>
                    <a:fld id="{5731EAB3-57C1-43A7-9C4A-E2544456F8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BF7F-4B41-9DD6-2A38BB7AE522}"/>
                </c:ext>
              </c:extLst>
            </c:dLbl>
            <c:dLbl>
              <c:idx val="186"/>
              <c:tx>
                <c:rich>
                  <a:bodyPr/>
                  <a:lstStyle/>
                  <a:p>
                    <a:fld id="{13ADD7C8-9920-47C9-838E-EB4E3BF72B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BF7F-4B41-9DD6-2A38BB7AE522}"/>
                </c:ext>
              </c:extLst>
            </c:dLbl>
            <c:dLbl>
              <c:idx val="187"/>
              <c:tx>
                <c:rich>
                  <a:bodyPr/>
                  <a:lstStyle/>
                  <a:p>
                    <a:fld id="{80FD009A-495A-42F0-9117-C5B226EE67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BF7F-4B41-9DD6-2A38BB7AE522}"/>
                </c:ext>
              </c:extLst>
            </c:dLbl>
            <c:dLbl>
              <c:idx val="188"/>
              <c:tx>
                <c:rich>
                  <a:bodyPr/>
                  <a:lstStyle/>
                  <a:p>
                    <a:fld id="{284B5285-2127-4411-BD08-AD43553C9F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BF7F-4B41-9DD6-2A38BB7AE522}"/>
                </c:ext>
              </c:extLst>
            </c:dLbl>
            <c:dLbl>
              <c:idx val="189"/>
              <c:tx>
                <c:rich>
                  <a:bodyPr/>
                  <a:lstStyle/>
                  <a:p>
                    <a:fld id="{AFF38045-A019-44E7-9FE5-73405758C7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BF7F-4B41-9DD6-2A38BB7AE522}"/>
                </c:ext>
              </c:extLst>
            </c:dLbl>
            <c:dLbl>
              <c:idx val="190"/>
              <c:tx>
                <c:rich>
                  <a:bodyPr/>
                  <a:lstStyle/>
                  <a:p>
                    <a:fld id="{4D6C9744-8EDD-47F7-80D5-C40E572D57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BF7F-4B41-9DD6-2A38BB7AE522}"/>
                </c:ext>
              </c:extLst>
            </c:dLbl>
            <c:dLbl>
              <c:idx val="191"/>
              <c:tx>
                <c:rich>
                  <a:bodyPr/>
                  <a:lstStyle/>
                  <a:p>
                    <a:fld id="{391E4908-2D45-4370-8F23-34CB272149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BF7F-4B41-9DD6-2A38BB7AE522}"/>
                </c:ext>
              </c:extLst>
            </c:dLbl>
            <c:dLbl>
              <c:idx val="192"/>
              <c:tx>
                <c:rich>
                  <a:bodyPr/>
                  <a:lstStyle/>
                  <a:p>
                    <a:fld id="{7D7C7C16-567F-4190-A862-B70A373806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BF7F-4B41-9DD6-2A38BB7AE522}"/>
                </c:ext>
              </c:extLst>
            </c:dLbl>
            <c:dLbl>
              <c:idx val="193"/>
              <c:tx>
                <c:rich>
                  <a:bodyPr/>
                  <a:lstStyle/>
                  <a:p>
                    <a:fld id="{01C78398-102B-4C1F-BB75-EEE7179153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BF7F-4B41-9DD6-2A38BB7AE522}"/>
                </c:ext>
              </c:extLst>
            </c:dLbl>
            <c:dLbl>
              <c:idx val="194"/>
              <c:tx>
                <c:rich>
                  <a:bodyPr/>
                  <a:lstStyle/>
                  <a:p>
                    <a:fld id="{36639CE4-1141-40AB-8A2E-78947B7080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BF7F-4B41-9DD6-2A38BB7AE522}"/>
                </c:ext>
              </c:extLst>
            </c:dLbl>
            <c:dLbl>
              <c:idx val="195"/>
              <c:tx>
                <c:rich>
                  <a:bodyPr/>
                  <a:lstStyle/>
                  <a:p>
                    <a:fld id="{2DD84CEE-2C2B-46F6-A9FB-CD7C72EFCB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BF7F-4B41-9DD6-2A38BB7AE522}"/>
                </c:ext>
              </c:extLst>
            </c:dLbl>
            <c:dLbl>
              <c:idx val="196"/>
              <c:tx>
                <c:rich>
                  <a:bodyPr/>
                  <a:lstStyle/>
                  <a:p>
                    <a:fld id="{CF75B51A-1FF1-4CD4-B1EE-C104FE6F0C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BF7F-4B41-9DD6-2A38BB7AE522}"/>
                </c:ext>
              </c:extLst>
            </c:dLbl>
            <c:dLbl>
              <c:idx val="197"/>
              <c:tx>
                <c:rich>
                  <a:bodyPr/>
                  <a:lstStyle/>
                  <a:p>
                    <a:fld id="{5FBA4FAF-354F-4BA8-BDBC-E62A1CD939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BF7F-4B41-9DD6-2A38BB7AE522}"/>
                </c:ext>
              </c:extLst>
            </c:dLbl>
            <c:dLbl>
              <c:idx val="198"/>
              <c:tx>
                <c:rich>
                  <a:bodyPr/>
                  <a:lstStyle/>
                  <a:p>
                    <a:fld id="{3071F8E0-E321-43F8-A51C-48D2A30A6F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BF7F-4B41-9DD6-2A38BB7AE522}"/>
                </c:ext>
              </c:extLst>
            </c:dLbl>
            <c:dLbl>
              <c:idx val="199"/>
              <c:tx>
                <c:rich>
                  <a:bodyPr/>
                  <a:lstStyle/>
                  <a:p>
                    <a:fld id="{B2C7AA79-224A-4F02-8596-2017DF449F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BF7F-4B41-9DD6-2A38BB7AE522}"/>
                </c:ext>
              </c:extLst>
            </c:dLbl>
            <c:dLbl>
              <c:idx val="200"/>
              <c:tx>
                <c:rich>
                  <a:bodyPr/>
                  <a:lstStyle/>
                  <a:p>
                    <a:fld id="{06E5D921-5EA5-45C7-952D-A227A542C8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BF7F-4B41-9DD6-2A38BB7AE522}"/>
                </c:ext>
              </c:extLst>
            </c:dLbl>
            <c:dLbl>
              <c:idx val="201"/>
              <c:tx>
                <c:rich>
                  <a:bodyPr/>
                  <a:lstStyle/>
                  <a:p>
                    <a:fld id="{F767EC4B-D293-4C9E-9737-F3176240B0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BF7F-4B41-9DD6-2A38BB7AE522}"/>
                </c:ext>
              </c:extLst>
            </c:dLbl>
            <c:dLbl>
              <c:idx val="202"/>
              <c:tx>
                <c:rich>
                  <a:bodyPr/>
                  <a:lstStyle/>
                  <a:p>
                    <a:fld id="{9F11266B-1194-458B-B9C4-272E3A5690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BF7F-4B41-9DD6-2A38BB7AE522}"/>
                </c:ext>
              </c:extLst>
            </c:dLbl>
            <c:dLbl>
              <c:idx val="203"/>
              <c:tx>
                <c:rich>
                  <a:bodyPr/>
                  <a:lstStyle/>
                  <a:p>
                    <a:fld id="{280AFDB5-E59B-449D-8263-CEABAA0730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BF7F-4B41-9DD6-2A38BB7AE522}"/>
                </c:ext>
              </c:extLst>
            </c:dLbl>
            <c:dLbl>
              <c:idx val="204"/>
              <c:tx>
                <c:rich>
                  <a:bodyPr/>
                  <a:lstStyle/>
                  <a:p>
                    <a:fld id="{F3C2C4B0-E949-4A6D-8F9D-4F3189C117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BF7F-4B41-9DD6-2A38BB7AE522}"/>
                </c:ext>
              </c:extLst>
            </c:dLbl>
            <c:dLbl>
              <c:idx val="205"/>
              <c:tx>
                <c:rich>
                  <a:bodyPr/>
                  <a:lstStyle/>
                  <a:p>
                    <a:fld id="{203FEBF5-5CC6-4FE1-BAA2-8BB075449E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BF7F-4B41-9DD6-2A38BB7AE522}"/>
                </c:ext>
              </c:extLst>
            </c:dLbl>
            <c:dLbl>
              <c:idx val="206"/>
              <c:tx>
                <c:rich>
                  <a:bodyPr/>
                  <a:lstStyle/>
                  <a:p>
                    <a:fld id="{3B7090E1-D0FE-477C-956E-CB90807814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BF7F-4B41-9DD6-2A38BB7AE522}"/>
                </c:ext>
              </c:extLst>
            </c:dLbl>
            <c:dLbl>
              <c:idx val="207"/>
              <c:tx>
                <c:rich>
                  <a:bodyPr/>
                  <a:lstStyle/>
                  <a:p>
                    <a:fld id="{9859C5E3-750F-4AE2-A158-85A187A973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BF7F-4B41-9DD6-2A38BB7AE522}"/>
                </c:ext>
              </c:extLst>
            </c:dLbl>
            <c:dLbl>
              <c:idx val="208"/>
              <c:tx>
                <c:rich>
                  <a:bodyPr/>
                  <a:lstStyle/>
                  <a:p>
                    <a:fld id="{20A37F28-68DA-4654-9EB1-BCA252DB66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BF7F-4B41-9DD6-2A38BB7AE522}"/>
                </c:ext>
              </c:extLst>
            </c:dLbl>
            <c:dLbl>
              <c:idx val="209"/>
              <c:tx>
                <c:rich>
                  <a:bodyPr/>
                  <a:lstStyle/>
                  <a:p>
                    <a:fld id="{D72FB059-3113-4C32-93EA-67C9624D40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BF7F-4B41-9DD6-2A38BB7AE522}"/>
                </c:ext>
              </c:extLst>
            </c:dLbl>
            <c:dLbl>
              <c:idx val="210"/>
              <c:tx>
                <c:rich>
                  <a:bodyPr/>
                  <a:lstStyle/>
                  <a:p>
                    <a:fld id="{C00815F6-E965-4497-94B4-BB128BE57A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BF7F-4B41-9DD6-2A38BB7AE522}"/>
                </c:ext>
              </c:extLst>
            </c:dLbl>
            <c:dLbl>
              <c:idx val="211"/>
              <c:tx>
                <c:rich>
                  <a:bodyPr/>
                  <a:lstStyle/>
                  <a:p>
                    <a:fld id="{3E15D7F6-FF2C-4F5F-BCB5-BE6FFB2C9C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BF7F-4B41-9DD6-2A38BB7AE522}"/>
                </c:ext>
              </c:extLst>
            </c:dLbl>
            <c:dLbl>
              <c:idx val="212"/>
              <c:tx>
                <c:rich>
                  <a:bodyPr/>
                  <a:lstStyle/>
                  <a:p>
                    <a:fld id="{1571164D-995D-4731-BF1C-EB987E377B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BF7F-4B41-9DD6-2A38BB7AE522}"/>
                </c:ext>
              </c:extLst>
            </c:dLbl>
            <c:dLbl>
              <c:idx val="213"/>
              <c:tx>
                <c:rich>
                  <a:bodyPr/>
                  <a:lstStyle/>
                  <a:p>
                    <a:fld id="{1AD2799C-7820-40DE-95F5-C9EA00A7F3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BF7F-4B41-9DD6-2A38BB7AE522}"/>
                </c:ext>
              </c:extLst>
            </c:dLbl>
            <c:dLbl>
              <c:idx val="214"/>
              <c:tx>
                <c:rich>
                  <a:bodyPr/>
                  <a:lstStyle/>
                  <a:p>
                    <a:fld id="{68230346-53F2-4411-A71E-C57CEF3389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BF7F-4B41-9DD6-2A38BB7AE522}"/>
                </c:ext>
              </c:extLst>
            </c:dLbl>
            <c:dLbl>
              <c:idx val="215"/>
              <c:tx>
                <c:rich>
                  <a:bodyPr/>
                  <a:lstStyle/>
                  <a:p>
                    <a:fld id="{0D8B6CF5-E8E2-42A0-81C0-FF43BE01F0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BF7F-4B41-9DD6-2A38BB7AE522}"/>
                </c:ext>
              </c:extLst>
            </c:dLbl>
            <c:dLbl>
              <c:idx val="216"/>
              <c:tx>
                <c:rich>
                  <a:bodyPr/>
                  <a:lstStyle/>
                  <a:p>
                    <a:fld id="{3D5E9161-4B3E-4988-B564-8E22798A1C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BF7F-4B41-9DD6-2A38BB7AE522}"/>
                </c:ext>
              </c:extLst>
            </c:dLbl>
            <c:dLbl>
              <c:idx val="217"/>
              <c:tx>
                <c:rich>
                  <a:bodyPr/>
                  <a:lstStyle/>
                  <a:p>
                    <a:fld id="{447FDB2D-4C7F-4798-9ABD-D31F48179B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BF7F-4B41-9DD6-2A38BB7AE522}"/>
                </c:ext>
              </c:extLst>
            </c:dLbl>
            <c:dLbl>
              <c:idx val="218"/>
              <c:tx>
                <c:rich>
                  <a:bodyPr/>
                  <a:lstStyle/>
                  <a:p>
                    <a:fld id="{0D5D764B-A510-400C-8311-8568119F00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BF7F-4B41-9DD6-2A38BB7AE522}"/>
                </c:ext>
              </c:extLst>
            </c:dLbl>
            <c:dLbl>
              <c:idx val="219"/>
              <c:tx>
                <c:rich>
                  <a:bodyPr/>
                  <a:lstStyle/>
                  <a:p>
                    <a:fld id="{068E93AE-F5CE-4F13-8A27-EE2666B15B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BF7F-4B41-9DD6-2A38BB7AE522}"/>
                </c:ext>
              </c:extLst>
            </c:dLbl>
            <c:dLbl>
              <c:idx val="220"/>
              <c:tx>
                <c:rich>
                  <a:bodyPr/>
                  <a:lstStyle/>
                  <a:p>
                    <a:fld id="{FED02D4A-148B-4AD2-9A2A-7B53A2F577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BF7F-4B41-9DD6-2A38BB7AE522}"/>
                </c:ext>
              </c:extLst>
            </c:dLbl>
            <c:dLbl>
              <c:idx val="221"/>
              <c:tx>
                <c:rich>
                  <a:bodyPr/>
                  <a:lstStyle/>
                  <a:p>
                    <a:fld id="{D92CC8A6-6A78-4598-B5B8-3DBD110768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BF7F-4B41-9DD6-2A38BB7AE522}"/>
                </c:ext>
              </c:extLst>
            </c:dLbl>
            <c:dLbl>
              <c:idx val="222"/>
              <c:tx>
                <c:rich>
                  <a:bodyPr/>
                  <a:lstStyle/>
                  <a:p>
                    <a:fld id="{89341870-E414-46C2-9D3B-3F77B602C4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BF7F-4B41-9DD6-2A38BB7AE522}"/>
                </c:ext>
              </c:extLst>
            </c:dLbl>
            <c:dLbl>
              <c:idx val="223"/>
              <c:tx>
                <c:rich>
                  <a:bodyPr/>
                  <a:lstStyle/>
                  <a:p>
                    <a:fld id="{49A6FAC3-0706-43CB-B245-4A80517112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BF7F-4B41-9DD6-2A38BB7AE522}"/>
                </c:ext>
              </c:extLst>
            </c:dLbl>
            <c:dLbl>
              <c:idx val="224"/>
              <c:tx>
                <c:rich>
                  <a:bodyPr/>
                  <a:lstStyle/>
                  <a:p>
                    <a:fld id="{0CE3020B-A004-4131-B7D9-2739E1A769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BF7F-4B41-9DD6-2A38BB7AE522}"/>
                </c:ext>
              </c:extLst>
            </c:dLbl>
            <c:dLbl>
              <c:idx val="225"/>
              <c:tx>
                <c:rich>
                  <a:bodyPr/>
                  <a:lstStyle/>
                  <a:p>
                    <a:fld id="{F7F0F1CD-C237-4C52-A94E-E9B7DB6E6C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BF7F-4B41-9DD6-2A38BB7AE522}"/>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BF7F-4B41-9DD6-2A38BB7AE522}"/>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BF7F-4B41-9DD6-2A38BB7AE522}"/>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BF7F-4B41-9DD6-2A38BB7AE522}"/>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BF7F-4B41-9DD6-2A38BB7AE522}"/>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BF7F-4B41-9DD6-2A38BB7AE522}"/>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BF7F-4B41-9DD6-2A38BB7AE522}"/>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BF7F-4B41-9DD6-2A38BB7AE522}"/>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BF7F-4B41-9DD6-2A38BB7AE522}"/>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BF7F-4B41-9DD6-2A38BB7AE522}"/>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BF7F-4B41-9DD6-2A38BB7AE522}"/>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BF7F-4B41-9DD6-2A38BB7AE522}"/>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BF7F-4B41-9DD6-2A38BB7AE522}"/>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BF7F-4B41-9DD6-2A38BB7AE522}"/>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BF7F-4B41-9DD6-2A38BB7AE522}"/>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BF7F-4B41-9DD6-2A38BB7AE522}"/>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BF7F-4B41-9DD6-2A38BB7AE522}"/>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BF7F-4B41-9DD6-2A38BB7AE522}"/>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BF7F-4B41-9DD6-2A38BB7AE522}"/>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BF7F-4B41-9DD6-2A38BB7AE522}"/>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BF7F-4B41-9DD6-2A38BB7AE522}"/>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BF7F-4B41-9DD6-2A38BB7AE522}"/>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BF7F-4B41-9DD6-2A38BB7AE522}"/>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BF7F-4B41-9DD6-2A38BB7AE522}"/>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BF7F-4B41-9DD6-2A38BB7AE522}"/>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BF7F-4B41-9DD6-2A38BB7AE522}"/>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BF7F-4B41-9DD6-2A38BB7AE522}"/>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BF7F-4B41-9DD6-2A38BB7AE522}"/>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BF7F-4B41-9DD6-2A38BB7AE522}"/>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BF7F-4B41-9DD6-2A38BB7AE522}"/>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BF7F-4B41-9DD6-2A38BB7AE522}"/>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BF7F-4B41-9DD6-2A38BB7AE522}"/>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BF7F-4B41-9DD6-2A38BB7AE522}"/>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BF7F-4B41-9DD6-2A38BB7AE522}"/>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BF7F-4B41-9DD6-2A38BB7AE522}"/>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BF7F-4B41-9DD6-2A38BB7AE522}"/>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BF7F-4B41-9DD6-2A38BB7AE522}"/>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BF7F-4B41-9DD6-2A38BB7AE522}"/>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BF7F-4B41-9DD6-2A38BB7AE522}"/>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BF7F-4B41-9DD6-2A38BB7AE522}"/>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BF7F-4B41-9DD6-2A38BB7AE522}"/>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BF7F-4B41-9DD6-2A38BB7AE522}"/>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BF7F-4B41-9DD6-2A38BB7AE522}"/>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BF7F-4B41-9DD6-2A38BB7AE522}"/>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BF7F-4B41-9DD6-2A38BB7AE522}"/>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BF7F-4B41-9DD6-2A38BB7AE522}"/>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BF7F-4B41-9DD6-2A38BB7AE522}"/>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BF7F-4B41-9DD6-2A38BB7AE522}"/>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BF7F-4B41-9DD6-2A38BB7AE522}"/>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BF7F-4B41-9DD6-2A38BB7AE522}"/>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BF7F-4B41-9DD6-2A38BB7AE522}"/>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BF7F-4B41-9DD6-2A38BB7AE522}"/>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BF7F-4B41-9DD6-2A38BB7AE522}"/>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BF7F-4B41-9DD6-2A38BB7AE522}"/>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BF7F-4B41-9DD6-2A38BB7AE522}"/>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BF7F-4B41-9DD6-2A38BB7AE522}"/>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BF7F-4B41-9DD6-2A38BB7AE522}"/>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BF7F-4B41-9DD6-2A38BB7AE522}"/>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BF7F-4B41-9DD6-2A38BB7AE522}"/>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BF7F-4B41-9DD6-2A38BB7AE522}"/>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BF7F-4B41-9DD6-2A38BB7AE522}"/>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BF7F-4B41-9DD6-2A38BB7AE522}"/>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BF7F-4B41-9DD6-2A38BB7AE522}"/>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BF7F-4B41-9DD6-2A38BB7AE522}"/>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BF7F-4B41-9DD6-2A38BB7AE522}"/>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BF7F-4B41-9DD6-2A38BB7AE522}"/>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BF7F-4B41-9DD6-2A38BB7AE522}"/>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BF7F-4B41-9DD6-2A38BB7AE522}"/>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BF7F-4B41-9DD6-2A38BB7AE522}"/>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BF7F-4B41-9DD6-2A38BB7AE522}"/>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BF7F-4B41-9DD6-2A38BB7AE522}"/>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BF7F-4B41-9DD6-2A38BB7AE522}"/>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BF7F-4B41-9DD6-2A38BB7AE522}"/>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BF7F-4B41-9DD6-2A38BB7AE522}"/>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NormalisedUVVisData!$F$2:$F$300</c:f>
              <c:numCache>
                <c:formatCode>General</c:formatCode>
                <c:ptCount val="299"/>
                <c:pt idx="0">
                  <c:v>81.868721008300781</c:v>
                </c:pt>
                <c:pt idx="1">
                  <c:v>85.572586059570313</c:v>
                </c:pt>
                <c:pt idx="2">
                  <c:v>86.207466125488281</c:v>
                </c:pt>
                <c:pt idx="3">
                  <c:v>85.407417297363281</c:v>
                </c:pt>
                <c:pt idx="4">
                  <c:v>83.912506103515625</c:v>
                </c:pt>
                <c:pt idx="5">
                  <c:v>81.435371398925781</c:v>
                </c:pt>
                <c:pt idx="6">
                  <c:v>78.415359497070313</c:v>
                </c:pt>
                <c:pt idx="7">
                  <c:v>75.8935546875</c:v>
                </c:pt>
                <c:pt idx="8">
                  <c:v>73.554824829101563</c:v>
                </c:pt>
                <c:pt idx="9">
                  <c:v>71.28985595703125</c:v>
                </c:pt>
                <c:pt idx="10">
                  <c:v>69.282669067382813</c:v>
                </c:pt>
                <c:pt idx="11">
                  <c:v>66.866722106933594</c:v>
                </c:pt>
                <c:pt idx="12">
                  <c:v>64.085845947265625</c:v>
                </c:pt>
                <c:pt idx="13">
                  <c:v>61.471183776855469</c:v>
                </c:pt>
                <c:pt idx="14">
                  <c:v>60.385330200195313</c:v>
                </c:pt>
                <c:pt idx="15">
                  <c:v>62.239654541015625</c:v>
                </c:pt>
                <c:pt idx="16">
                  <c:v>66.977226257324219</c:v>
                </c:pt>
                <c:pt idx="17">
                  <c:v>74.039154052734375</c:v>
                </c:pt>
                <c:pt idx="18">
                  <c:v>82.116256713867188</c:v>
                </c:pt>
                <c:pt idx="19">
                  <c:v>90.123687744140625</c:v>
                </c:pt>
                <c:pt idx="20">
                  <c:v>96.445838928222656</c:v>
                </c:pt>
                <c:pt idx="21">
                  <c:v>100.00000762939453</c:v>
                </c:pt>
                <c:pt idx="22">
                  <c:v>99.806037902832031</c:v>
                </c:pt>
                <c:pt idx="23">
                  <c:v>96.122673034667969</c:v>
                </c:pt>
                <c:pt idx="24">
                  <c:v>90.204086303710938</c:v>
                </c:pt>
                <c:pt idx="25">
                  <c:v>83.984939575195313</c:v>
                </c:pt>
                <c:pt idx="26">
                  <c:v>77.621597290039063</c:v>
                </c:pt>
                <c:pt idx="27">
                  <c:v>71.195549011230469</c:v>
                </c:pt>
                <c:pt idx="28">
                  <c:v>63.648468017578125</c:v>
                </c:pt>
                <c:pt idx="29">
                  <c:v>55.299911499023438</c:v>
                </c:pt>
                <c:pt idx="30">
                  <c:v>46.469234466552734</c:v>
                </c:pt>
                <c:pt idx="31">
                  <c:v>38.766708374023438</c:v>
                </c:pt>
                <c:pt idx="32">
                  <c:v>32.267189025878906</c:v>
                </c:pt>
                <c:pt idx="33">
                  <c:v>27.346918106079102</c:v>
                </c:pt>
                <c:pt idx="34">
                  <c:v>24.010398864746094</c:v>
                </c:pt>
                <c:pt idx="35">
                  <c:v>21.838642120361328</c:v>
                </c:pt>
                <c:pt idx="36">
                  <c:v>20.449901580810547</c:v>
                </c:pt>
                <c:pt idx="37">
                  <c:v>19.669044494628906</c:v>
                </c:pt>
                <c:pt idx="38">
                  <c:v>19.22407341003418</c:v>
                </c:pt>
                <c:pt idx="39">
                  <c:v>18.783349990844727</c:v>
                </c:pt>
                <c:pt idx="40">
                  <c:v>18.413181304931641</c:v>
                </c:pt>
                <c:pt idx="41">
                  <c:v>18.165098190307617</c:v>
                </c:pt>
                <c:pt idx="42">
                  <c:v>17.999265670776367</c:v>
                </c:pt>
                <c:pt idx="43">
                  <c:v>17.523715972900391</c:v>
                </c:pt>
                <c:pt idx="44">
                  <c:v>17.175634384155273</c:v>
                </c:pt>
                <c:pt idx="45">
                  <c:v>17.171175003051758</c:v>
                </c:pt>
                <c:pt idx="46">
                  <c:v>17.294065475463867</c:v>
                </c:pt>
                <c:pt idx="47">
                  <c:v>17.433588027954102</c:v>
                </c:pt>
                <c:pt idx="48">
                  <c:v>17.795547485351563</c:v>
                </c:pt>
                <c:pt idx="49">
                  <c:v>18.532371520996094</c:v>
                </c:pt>
                <c:pt idx="50">
                  <c:v>19.607006072998047</c:v>
                </c:pt>
                <c:pt idx="51">
                  <c:v>20.897481918334961</c:v>
                </c:pt>
                <c:pt idx="52">
                  <c:v>22.429895401000977</c:v>
                </c:pt>
                <c:pt idx="53">
                  <c:v>24.311151504516602</c:v>
                </c:pt>
                <c:pt idx="54">
                  <c:v>26.445352554321289</c:v>
                </c:pt>
                <c:pt idx="55">
                  <c:v>28.679740905761719</c:v>
                </c:pt>
                <c:pt idx="56">
                  <c:v>31.035005569458008</c:v>
                </c:pt>
                <c:pt idx="57">
                  <c:v>33.522602081298828</c:v>
                </c:pt>
                <c:pt idx="58">
                  <c:v>36.130577087402344</c:v>
                </c:pt>
                <c:pt idx="59">
                  <c:v>38.384109497070313</c:v>
                </c:pt>
                <c:pt idx="60">
                  <c:v>40.331272125244141</c:v>
                </c:pt>
                <c:pt idx="61">
                  <c:v>41.970989227294922</c:v>
                </c:pt>
                <c:pt idx="62">
                  <c:v>42.959529876708984</c:v>
                </c:pt>
                <c:pt idx="63">
                  <c:v>43.419563293457031</c:v>
                </c:pt>
                <c:pt idx="64">
                  <c:v>43.414176940917969</c:v>
                </c:pt>
                <c:pt idx="65">
                  <c:v>42.700981140136719</c:v>
                </c:pt>
                <c:pt idx="66">
                  <c:v>41.366901397705078</c:v>
                </c:pt>
                <c:pt idx="67">
                  <c:v>39.587162017822266</c:v>
                </c:pt>
                <c:pt idx="68">
                  <c:v>37.428382873535156</c:v>
                </c:pt>
                <c:pt idx="69">
                  <c:v>34.681835174560547</c:v>
                </c:pt>
                <c:pt idx="70">
                  <c:v>31.900510787963867</c:v>
                </c:pt>
                <c:pt idx="71">
                  <c:v>28.915464401245117</c:v>
                </c:pt>
                <c:pt idx="72">
                  <c:v>25.427349090576172</c:v>
                </c:pt>
                <c:pt idx="73">
                  <c:v>22.322734832763672</c:v>
                </c:pt>
                <c:pt idx="74">
                  <c:v>19.25897216796875</c:v>
                </c:pt>
                <c:pt idx="75">
                  <c:v>16.560182571411133</c:v>
                </c:pt>
                <c:pt idx="76">
                  <c:v>14.224230766296387</c:v>
                </c:pt>
                <c:pt idx="77">
                  <c:v>12.267200469970703</c:v>
                </c:pt>
                <c:pt idx="78">
                  <c:v>10.518706321716309</c:v>
                </c:pt>
                <c:pt idx="79">
                  <c:v>9.0744028091430664</c:v>
                </c:pt>
                <c:pt idx="80">
                  <c:v>8.0053920745849609</c:v>
                </c:pt>
                <c:pt idx="81">
                  <c:v>7.0885953903198242</c:v>
                </c:pt>
                <c:pt idx="82">
                  <c:v>6.4077358245849609</c:v>
                </c:pt>
                <c:pt idx="83">
                  <c:v>6.2404093742370605</c:v>
                </c:pt>
                <c:pt idx="84">
                  <c:v>6.1301155090332031</c:v>
                </c:pt>
                <c:pt idx="85">
                  <c:v>5.9732990264892578</c:v>
                </c:pt>
                <c:pt idx="86">
                  <c:v>5.9012961387634277</c:v>
                </c:pt>
                <c:pt idx="87">
                  <c:v>5.9532995223999023</c:v>
                </c:pt>
                <c:pt idx="88">
                  <c:v>6.199580192565918</c:v>
                </c:pt>
                <c:pt idx="89">
                  <c:v>6.2359018325805664</c:v>
                </c:pt>
                <c:pt idx="90">
                  <c:v>6.2680244445800781</c:v>
                </c:pt>
                <c:pt idx="91">
                  <c:v>6.4941153526306152</c:v>
                </c:pt>
                <c:pt idx="92">
                  <c:v>6.7224369049072266</c:v>
                </c:pt>
                <c:pt idx="93">
                  <c:v>6.9136300086975098</c:v>
                </c:pt>
                <c:pt idx="94">
                  <c:v>6.9793219566345215</c:v>
                </c:pt>
                <c:pt idx="95">
                  <c:v>7.265388011932373</c:v>
                </c:pt>
                <c:pt idx="96">
                  <c:v>7.782717227935791</c:v>
                </c:pt>
                <c:pt idx="97">
                  <c:v>8.0092830657958984</c:v>
                </c:pt>
                <c:pt idx="98">
                  <c:v>8.2586708068847656</c:v>
                </c:pt>
                <c:pt idx="99">
                  <c:v>8.6020307540893555</c:v>
                </c:pt>
                <c:pt idx="100">
                  <c:v>9.0169191360473633</c:v>
                </c:pt>
                <c:pt idx="101">
                  <c:v>9.1858348846435547</c:v>
                </c:pt>
                <c:pt idx="102">
                  <c:v>9.3038387298583984</c:v>
                </c:pt>
                <c:pt idx="103">
                  <c:v>9.9521493911743164</c:v>
                </c:pt>
                <c:pt idx="104">
                  <c:v>10.480771064758301</c:v>
                </c:pt>
                <c:pt idx="105">
                  <c:v>11.076033592224121</c:v>
                </c:pt>
                <c:pt idx="106">
                  <c:v>11.634310722351074</c:v>
                </c:pt>
                <c:pt idx="107">
                  <c:v>11.817176818847656</c:v>
                </c:pt>
                <c:pt idx="108">
                  <c:v>12.129528999328613</c:v>
                </c:pt>
                <c:pt idx="109">
                  <c:v>12.647475242614746</c:v>
                </c:pt>
                <c:pt idx="110">
                  <c:v>13.160795211791992</c:v>
                </c:pt>
                <c:pt idx="111">
                  <c:v>13.776009559631348</c:v>
                </c:pt>
                <c:pt idx="112">
                  <c:v>14.504294395446777</c:v>
                </c:pt>
                <c:pt idx="113">
                  <c:v>14.992561340332031</c:v>
                </c:pt>
                <c:pt idx="114">
                  <c:v>15.485027313232422</c:v>
                </c:pt>
                <c:pt idx="115">
                  <c:v>16.093955993652344</c:v>
                </c:pt>
                <c:pt idx="116">
                  <c:v>16.6190185546875</c:v>
                </c:pt>
                <c:pt idx="117">
                  <c:v>17.198575973510742</c:v>
                </c:pt>
                <c:pt idx="118">
                  <c:v>17.964748382568359</c:v>
                </c:pt>
                <c:pt idx="119">
                  <c:v>18.881330490112305</c:v>
                </c:pt>
                <c:pt idx="120">
                  <c:v>19.694120407104492</c:v>
                </c:pt>
                <c:pt idx="121">
                  <c:v>20.493387222290039</c:v>
                </c:pt>
                <c:pt idx="122">
                  <c:v>21.029481887817383</c:v>
                </c:pt>
                <c:pt idx="123">
                  <c:v>21.479909896850586</c:v>
                </c:pt>
                <c:pt idx="124">
                  <c:v>22.346481323242188</c:v>
                </c:pt>
                <c:pt idx="125">
                  <c:v>22.992656707763672</c:v>
                </c:pt>
                <c:pt idx="126">
                  <c:v>23.655012130737305</c:v>
                </c:pt>
                <c:pt idx="127">
                  <c:v>24.685447692871094</c:v>
                </c:pt>
                <c:pt idx="128">
                  <c:v>25.131082534790039</c:v>
                </c:pt>
                <c:pt idx="129">
                  <c:v>25.872888565063477</c:v>
                </c:pt>
                <c:pt idx="130">
                  <c:v>27.13722038269043</c:v>
                </c:pt>
                <c:pt idx="131">
                  <c:v>28.213064193725586</c:v>
                </c:pt>
                <c:pt idx="132">
                  <c:v>29.554712295532227</c:v>
                </c:pt>
                <c:pt idx="133">
                  <c:v>30.695014953613281</c:v>
                </c:pt>
                <c:pt idx="134">
                  <c:v>31.671785354614258</c:v>
                </c:pt>
                <c:pt idx="135">
                  <c:v>32.426048278808594</c:v>
                </c:pt>
                <c:pt idx="136">
                  <c:v>33.194732666015625</c:v>
                </c:pt>
                <c:pt idx="137">
                  <c:v>33.573230743408203</c:v>
                </c:pt>
                <c:pt idx="138">
                  <c:v>32.991584777832031</c:v>
                </c:pt>
                <c:pt idx="139">
                  <c:v>32.573184967041016</c:v>
                </c:pt>
                <c:pt idx="140">
                  <c:v>32.568534851074219</c:v>
                </c:pt>
                <c:pt idx="141">
                  <c:v>32.757190704345703</c:v>
                </c:pt>
                <c:pt idx="142">
                  <c:v>33.149753570556641</c:v>
                </c:pt>
                <c:pt idx="143">
                  <c:v>33.627723693847656</c:v>
                </c:pt>
                <c:pt idx="144">
                  <c:v>34.646583557128906</c:v>
                </c:pt>
                <c:pt idx="145">
                  <c:v>35.600105285644531</c:v>
                </c:pt>
                <c:pt idx="146">
                  <c:v>37.328811645507813</c:v>
                </c:pt>
                <c:pt idx="147">
                  <c:v>38.355712890625</c:v>
                </c:pt>
                <c:pt idx="148">
                  <c:v>38.053512573242188</c:v>
                </c:pt>
                <c:pt idx="149">
                  <c:v>38.293933868408203</c:v>
                </c:pt>
                <c:pt idx="150">
                  <c:v>39.319267272949219</c:v>
                </c:pt>
                <c:pt idx="151">
                  <c:v>39.292224884033203</c:v>
                </c:pt>
                <c:pt idx="152">
                  <c:v>38.5462646484375</c:v>
                </c:pt>
                <c:pt idx="153">
                  <c:v>37.016387939453125</c:v>
                </c:pt>
                <c:pt idx="154">
                  <c:v>35.205783843994141</c:v>
                </c:pt>
                <c:pt idx="155">
                  <c:v>33.454963684082031</c:v>
                </c:pt>
                <c:pt idx="156">
                  <c:v>31.867532730102539</c:v>
                </c:pt>
                <c:pt idx="157">
                  <c:v>30.028200149536133</c:v>
                </c:pt>
                <c:pt idx="158">
                  <c:v>28.529804229736328</c:v>
                </c:pt>
                <c:pt idx="159">
                  <c:v>27.860950469970703</c:v>
                </c:pt>
                <c:pt idx="160">
                  <c:v>26.736448287963867</c:v>
                </c:pt>
                <c:pt idx="161">
                  <c:v>26.418331146240234</c:v>
                </c:pt>
                <c:pt idx="162">
                  <c:v>26.784656524658203</c:v>
                </c:pt>
                <c:pt idx="163">
                  <c:v>26.57481575012207</c:v>
                </c:pt>
                <c:pt idx="164">
                  <c:v>26.772603988647461</c:v>
                </c:pt>
                <c:pt idx="165">
                  <c:v>27.408149719238281</c:v>
                </c:pt>
                <c:pt idx="166">
                  <c:v>28.117265701293945</c:v>
                </c:pt>
                <c:pt idx="167">
                  <c:v>28.847257614135742</c:v>
                </c:pt>
                <c:pt idx="168">
                  <c:v>28.59684944152832</c:v>
                </c:pt>
                <c:pt idx="169">
                  <c:v>27.464044570922852</c:v>
                </c:pt>
                <c:pt idx="170">
                  <c:v>25.860622406005859</c:v>
                </c:pt>
                <c:pt idx="171">
                  <c:v>24.036235809326172</c:v>
                </c:pt>
                <c:pt idx="172">
                  <c:v>21.958995819091797</c:v>
                </c:pt>
                <c:pt idx="173">
                  <c:v>19.458942413330078</c:v>
                </c:pt>
                <c:pt idx="174">
                  <c:v>16.863922119140625</c:v>
                </c:pt>
                <c:pt idx="175">
                  <c:v>14.2733154296875</c:v>
                </c:pt>
                <c:pt idx="176">
                  <c:v>11.646244049072266</c:v>
                </c:pt>
                <c:pt idx="177">
                  <c:v>9.2439355850219727</c:v>
                </c:pt>
                <c:pt idx="178">
                  <c:v>7.5059986114501953</c:v>
                </c:pt>
                <c:pt idx="179">
                  <c:v>6.2757582664489746</c:v>
                </c:pt>
                <c:pt idx="180">
                  <c:v>5.3182272911071777</c:v>
                </c:pt>
                <c:pt idx="181">
                  <c:v>4.8298182487487793</c:v>
                </c:pt>
                <c:pt idx="182">
                  <c:v>4.1844735145568848</c:v>
                </c:pt>
                <c:pt idx="183">
                  <c:v>3.8589541912078857</c:v>
                </c:pt>
                <c:pt idx="184">
                  <c:v>3.5928165912628174</c:v>
                </c:pt>
                <c:pt idx="185">
                  <c:v>3.492795467376709</c:v>
                </c:pt>
                <c:pt idx="186">
                  <c:v>3.5356888771057129</c:v>
                </c:pt>
                <c:pt idx="187">
                  <c:v>3.2438814640045166</c:v>
                </c:pt>
                <c:pt idx="188">
                  <c:v>3.3181619644165039</c:v>
                </c:pt>
                <c:pt idx="189">
                  <c:v>3.3805091381072998</c:v>
                </c:pt>
                <c:pt idx="190">
                  <c:v>3.4930801391601563</c:v>
                </c:pt>
                <c:pt idx="191">
                  <c:v>3.4952154159545898</c:v>
                </c:pt>
                <c:pt idx="192">
                  <c:v>3.1967415809631348</c:v>
                </c:pt>
                <c:pt idx="193">
                  <c:v>3.2924923896789551</c:v>
                </c:pt>
                <c:pt idx="194">
                  <c:v>3.2440237998962402</c:v>
                </c:pt>
                <c:pt idx="195">
                  <c:v>3.3575677871704102</c:v>
                </c:pt>
                <c:pt idx="196">
                  <c:v>2.8108208179473877</c:v>
                </c:pt>
                <c:pt idx="197">
                  <c:v>2.4571170806884766</c:v>
                </c:pt>
                <c:pt idx="198">
                  <c:v>2.6475272178649902</c:v>
                </c:pt>
                <c:pt idx="199">
                  <c:v>2.8102512359619141</c:v>
                </c:pt>
                <c:pt idx="200">
                  <c:v>2.8050558567047119</c:v>
                </c:pt>
                <c:pt idx="201">
                  <c:v>2.8429431915283203</c:v>
                </c:pt>
                <c:pt idx="202">
                  <c:v>2.9985263347625732</c:v>
                </c:pt>
                <c:pt idx="203">
                  <c:v>2.720123291015625</c:v>
                </c:pt>
                <c:pt idx="204">
                  <c:v>2.7995755672454834</c:v>
                </c:pt>
                <c:pt idx="205">
                  <c:v>2.5583720207214355</c:v>
                </c:pt>
                <c:pt idx="206">
                  <c:v>2.8098006248474121</c:v>
                </c:pt>
                <c:pt idx="207">
                  <c:v>2.5216705799102783</c:v>
                </c:pt>
                <c:pt idx="208">
                  <c:v>2.7455556392669678</c:v>
                </c:pt>
                <c:pt idx="209">
                  <c:v>3.0347530841827393</c:v>
                </c:pt>
                <c:pt idx="210">
                  <c:v>3.1496255397796631</c:v>
                </c:pt>
                <c:pt idx="211">
                  <c:v>3.0967681407928467</c:v>
                </c:pt>
                <c:pt idx="212">
                  <c:v>2.7383670806884766</c:v>
                </c:pt>
                <c:pt idx="213">
                  <c:v>2.6533870697021484</c:v>
                </c:pt>
                <c:pt idx="214">
                  <c:v>2.0934021472930908</c:v>
                </c:pt>
                <c:pt idx="215">
                  <c:v>2.66690993309021</c:v>
                </c:pt>
                <c:pt idx="216">
                  <c:v>2.8536903858184814</c:v>
                </c:pt>
                <c:pt idx="217">
                  <c:v>3.0325703620910645</c:v>
                </c:pt>
                <c:pt idx="218">
                  <c:v>3.1924238204956055</c:v>
                </c:pt>
                <c:pt idx="219">
                  <c:v>2.304499626159668</c:v>
                </c:pt>
                <c:pt idx="220">
                  <c:v>2.6791279315948486</c:v>
                </c:pt>
                <c:pt idx="221">
                  <c:v>2.8052692413330078</c:v>
                </c:pt>
                <c:pt idx="222">
                  <c:v>3.4476721286773682</c:v>
                </c:pt>
                <c:pt idx="223">
                  <c:v>3.3536295890808105</c:v>
                </c:pt>
                <c:pt idx="224">
                  <c:v>2</c:v>
                </c:pt>
                <c:pt idx="225">
                  <c:v>2.2963860034942627</c:v>
                </c:pt>
              </c:numCache>
            </c:numRef>
          </c:yVal>
          <c:smooth val="1"/>
          <c:extLst>
            <c:ext xmlns:c15="http://schemas.microsoft.com/office/drawing/2012/chart" uri="{02D57815-91ED-43cb-92C2-25804820EDAC}">
              <c15:datalabelsRange>
                <c15:f>PeakLabels!$F$2:$F$300</c15:f>
                <c15:dlblRangeCache>
                  <c:ptCount val="299"/>
                  <c:pt idx="2">
                    <c:v>194</c:v>
                  </c:pt>
                  <c:pt idx="21">
                    <c:v>232</c:v>
                  </c:pt>
                  <c:pt idx="63">
                    <c:v>316</c:v>
                  </c:pt>
                  <c:pt idx="91">
                    <c:v>374s</c:v>
                  </c:pt>
                  <c:pt idx="99">
                    <c:v>390s</c:v>
                  </c:pt>
                  <c:pt idx="137">
                    <c:v>464</c:v>
                  </c:pt>
                  <c:pt idx="150">
                    <c:v>490</c:v>
                  </c:pt>
                  <c:pt idx="167">
                    <c:v>524</c:v>
                  </c:pt>
                </c15:dlblRangeCache>
              </c15:datalabelsRange>
            </c:ext>
            <c:ext xmlns:c16="http://schemas.microsoft.com/office/drawing/2014/chart" uri="{C3380CC4-5D6E-409C-BE32-E72D297353CC}">
              <c16:uniqueId val="{00000000-9522-4649-85B0-3ECCE8C0D8BF}"/>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4FB20DB4-C543-4CB7-9E88-42AA5D96B66A}"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522-4649-85B0-3ECCE8C0D8BF}"/>
                </c:ext>
              </c:extLst>
            </c:dLbl>
            <c:dLbl>
              <c:idx val="1"/>
              <c:tx>
                <c:rich>
                  <a:bodyPr/>
                  <a:lstStyle/>
                  <a:p>
                    <a:fld id="{F90A7FF1-5C60-4A49-86CA-8673E483C379}"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522-4649-85B0-3ECCE8C0D8BF}"/>
                </c:ext>
              </c:extLst>
            </c:dLbl>
            <c:dLbl>
              <c:idx val="2"/>
              <c:tx>
                <c:rich>
                  <a:bodyPr/>
                  <a:lstStyle/>
                  <a:p>
                    <a:fld id="{330137BC-0A9C-4DDA-94F7-1A18E15C0F29}"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522-4649-85B0-3ECCE8C0D8BF}"/>
                </c:ext>
              </c:extLst>
            </c:dLbl>
            <c:dLbl>
              <c:idx val="3"/>
              <c:tx>
                <c:rich>
                  <a:bodyPr/>
                  <a:lstStyle/>
                  <a:p>
                    <a:fld id="{2850E5E9-768A-4A26-B56F-CC63AA07F877}"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522-4649-85B0-3ECCE8C0D8BF}"/>
                </c:ext>
              </c:extLst>
            </c:dLbl>
            <c:dLbl>
              <c:idx val="4"/>
              <c:tx>
                <c:rich>
                  <a:bodyPr/>
                  <a:lstStyle/>
                  <a:p>
                    <a:fld id="{7414D301-9B66-410F-AD49-08AB484885E5}"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522-4649-85B0-3ECCE8C0D8BF}"/>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9522-4649-85B0-3ECCE8C0D8BF}"/>
            </c:ext>
          </c:extLst>
        </c:ser>
        <c:dLbls>
          <c:showLegendKey val="0"/>
          <c:showVal val="0"/>
          <c:showCatName val="0"/>
          <c:showSerName val="0"/>
          <c:showPercent val="0"/>
          <c:showBubbleSize val="0"/>
        </c:dLbls>
        <c:axId val="1767905184"/>
        <c:axId val="1767909536"/>
      </c:scatterChart>
      <c:valAx>
        <c:axId val="1767905184"/>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9536"/>
        <c:crossesAt val="0"/>
        <c:crossBetween val="midCat"/>
        <c:majorUnit val="100"/>
      </c:valAx>
      <c:valAx>
        <c:axId val="1767909536"/>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905184"/>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8758142F-E82F-4FB9-9A79-D24FB4D346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F8ED-40ED-A79F-8F8A8BEBD8A1}"/>
                </c:ext>
              </c:extLst>
            </c:dLbl>
            <c:dLbl>
              <c:idx val="1"/>
              <c:tx>
                <c:rich>
                  <a:bodyPr/>
                  <a:lstStyle/>
                  <a:p>
                    <a:fld id="{BE41FC04-5183-4C02-BC51-7875E5DC42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8ED-40ED-A79F-8F8A8BEBD8A1}"/>
                </c:ext>
              </c:extLst>
            </c:dLbl>
            <c:dLbl>
              <c:idx val="2"/>
              <c:tx>
                <c:rich>
                  <a:bodyPr/>
                  <a:lstStyle/>
                  <a:p>
                    <a:fld id="{D03CA95E-1830-4DD2-992F-C3E1FE2C15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8ED-40ED-A79F-8F8A8BEBD8A1}"/>
                </c:ext>
              </c:extLst>
            </c:dLbl>
            <c:dLbl>
              <c:idx val="3"/>
              <c:tx>
                <c:rich>
                  <a:bodyPr/>
                  <a:lstStyle/>
                  <a:p>
                    <a:fld id="{12DC4B63-604B-4DD9-AF82-25A632E4F1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8ED-40ED-A79F-8F8A8BEBD8A1}"/>
                </c:ext>
              </c:extLst>
            </c:dLbl>
            <c:dLbl>
              <c:idx val="4"/>
              <c:tx>
                <c:rich>
                  <a:bodyPr/>
                  <a:lstStyle/>
                  <a:p>
                    <a:fld id="{073820B8-4F2E-403F-8855-669E7BC015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8ED-40ED-A79F-8F8A8BEBD8A1}"/>
                </c:ext>
              </c:extLst>
            </c:dLbl>
            <c:dLbl>
              <c:idx val="5"/>
              <c:tx>
                <c:rich>
                  <a:bodyPr/>
                  <a:lstStyle/>
                  <a:p>
                    <a:fld id="{4C2F861A-D1D0-43B7-B4AB-D57300A6C5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8ED-40ED-A79F-8F8A8BEBD8A1}"/>
                </c:ext>
              </c:extLst>
            </c:dLbl>
            <c:dLbl>
              <c:idx val="6"/>
              <c:tx>
                <c:rich>
                  <a:bodyPr/>
                  <a:lstStyle/>
                  <a:p>
                    <a:fld id="{4061A8F7-282F-4385-BECD-ED6DB7D03F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8ED-40ED-A79F-8F8A8BEBD8A1}"/>
                </c:ext>
              </c:extLst>
            </c:dLbl>
            <c:dLbl>
              <c:idx val="7"/>
              <c:tx>
                <c:rich>
                  <a:bodyPr/>
                  <a:lstStyle/>
                  <a:p>
                    <a:fld id="{91ED2966-A9D4-4E7E-8F28-73D3A21843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8ED-40ED-A79F-8F8A8BEBD8A1}"/>
                </c:ext>
              </c:extLst>
            </c:dLbl>
            <c:dLbl>
              <c:idx val="8"/>
              <c:tx>
                <c:rich>
                  <a:bodyPr/>
                  <a:lstStyle/>
                  <a:p>
                    <a:fld id="{810A28BF-415C-4ABD-9FE0-1433015492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F8ED-40ED-A79F-8F8A8BEBD8A1}"/>
                </c:ext>
              </c:extLst>
            </c:dLbl>
            <c:dLbl>
              <c:idx val="9"/>
              <c:tx>
                <c:rich>
                  <a:bodyPr/>
                  <a:lstStyle/>
                  <a:p>
                    <a:fld id="{09B47E4E-DBB0-4DBC-A57C-7493FA4B54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8ED-40ED-A79F-8F8A8BEBD8A1}"/>
                </c:ext>
              </c:extLst>
            </c:dLbl>
            <c:dLbl>
              <c:idx val="10"/>
              <c:tx>
                <c:rich>
                  <a:bodyPr/>
                  <a:lstStyle/>
                  <a:p>
                    <a:fld id="{8E83FA90-88A2-437D-8EF9-75A2D7D074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8ED-40ED-A79F-8F8A8BEBD8A1}"/>
                </c:ext>
              </c:extLst>
            </c:dLbl>
            <c:dLbl>
              <c:idx val="11"/>
              <c:tx>
                <c:rich>
                  <a:bodyPr/>
                  <a:lstStyle/>
                  <a:p>
                    <a:fld id="{1B0C34F2-B887-4ADA-AB22-1A9EDBAE6B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8ED-40ED-A79F-8F8A8BEBD8A1}"/>
                </c:ext>
              </c:extLst>
            </c:dLbl>
            <c:dLbl>
              <c:idx val="12"/>
              <c:tx>
                <c:rich>
                  <a:bodyPr/>
                  <a:lstStyle/>
                  <a:p>
                    <a:fld id="{A9C1382E-5A2A-48B8-98D7-A735C24E34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8ED-40ED-A79F-8F8A8BEBD8A1}"/>
                </c:ext>
              </c:extLst>
            </c:dLbl>
            <c:dLbl>
              <c:idx val="13"/>
              <c:tx>
                <c:rich>
                  <a:bodyPr/>
                  <a:lstStyle/>
                  <a:p>
                    <a:fld id="{80D67200-629F-4431-8F9B-852A2F0174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F8ED-40ED-A79F-8F8A8BEBD8A1}"/>
                </c:ext>
              </c:extLst>
            </c:dLbl>
            <c:dLbl>
              <c:idx val="14"/>
              <c:tx>
                <c:rich>
                  <a:bodyPr/>
                  <a:lstStyle/>
                  <a:p>
                    <a:fld id="{D6D3440B-6A9A-4391-B6F5-D78BFDC901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F8ED-40ED-A79F-8F8A8BEBD8A1}"/>
                </c:ext>
              </c:extLst>
            </c:dLbl>
            <c:dLbl>
              <c:idx val="15"/>
              <c:tx>
                <c:rich>
                  <a:bodyPr/>
                  <a:lstStyle/>
                  <a:p>
                    <a:fld id="{9E93373E-531B-49B7-A310-2439D5E166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F8ED-40ED-A79F-8F8A8BEBD8A1}"/>
                </c:ext>
              </c:extLst>
            </c:dLbl>
            <c:dLbl>
              <c:idx val="16"/>
              <c:tx>
                <c:rich>
                  <a:bodyPr/>
                  <a:lstStyle/>
                  <a:p>
                    <a:fld id="{6840AC6B-6C00-40BA-9103-EF5B18A28B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F8ED-40ED-A79F-8F8A8BEBD8A1}"/>
                </c:ext>
              </c:extLst>
            </c:dLbl>
            <c:dLbl>
              <c:idx val="17"/>
              <c:tx>
                <c:rich>
                  <a:bodyPr/>
                  <a:lstStyle/>
                  <a:p>
                    <a:fld id="{1AE7E536-C475-44E9-B21F-955B60EA51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F8ED-40ED-A79F-8F8A8BEBD8A1}"/>
                </c:ext>
              </c:extLst>
            </c:dLbl>
            <c:dLbl>
              <c:idx val="18"/>
              <c:tx>
                <c:rich>
                  <a:bodyPr/>
                  <a:lstStyle/>
                  <a:p>
                    <a:fld id="{934F0FCD-D1BE-405E-ACFF-BAEC460961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F8ED-40ED-A79F-8F8A8BEBD8A1}"/>
                </c:ext>
              </c:extLst>
            </c:dLbl>
            <c:dLbl>
              <c:idx val="19"/>
              <c:tx>
                <c:rich>
                  <a:bodyPr/>
                  <a:lstStyle/>
                  <a:p>
                    <a:fld id="{EB7A8C66-CA07-4B0A-A100-7884DD1CEC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F8ED-40ED-A79F-8F8A8BEBD8A1}"/>
                </c:ext>
              </c:extLst>
            </c:dLbl>
            <c:dLbl>
              <c:idx val="20"/>
              <c:tx>
                <c:rich>
                  <a:bodyPr/>
                  <a:lstStyle/>
                  <a:p>
                    <a:fld id="{733EDBDF-A3C3-4C37-BC64-53913FE434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F8ED-40ED-A79F-8F8A8BEBD8A1}"/>
                </c:ext>
              </c:extLst>
            </c:dLbl>
            <c:dLbl>
              <c:idx val="21"/>
              <c:tx>
                <c:rich>
                  <a:bodyPr/>
                  <a:lstStyle/>
                  <a:p>
                    <a:fld id="{53C5B332-E429-48F2-A78B-FCDE073086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F8ED-40ED-A79F-8F8A8BEBD8A1}"/>
                </c:ext>
              </c:extLst>
            </c:dLbl>
            <c:dLbl>
              <c:idx val="22"/>
              <c:tx>
                <c:rich>
                  <a:bodyPr/>
                  <a:lstStyle/>
                  <a:p>
                    <a:fld id="{BD9B7E54-F8EB-49B4-81D6-8832AAC6F1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8ED-40ED-A79F-8F8A8BEBD8A1}"/>
                </c:ext>
              </c:extLst>
            </c:dLbl>
            <c:dLbl>
              <c:idx val="23"/>
              <c:tx>
                <c:rich>
                  <a:bodyPr/>
                  <a:lstStyle/>
                  <a:p>
                    <a:fld id="{66A2F122-5ECE-4BF3-9BAA-1A0E41C7D1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8ED-40ED-A79F-8F8A8BEBD8A1}"/>
                </c:ext>
              </c:extLst>
            </c:dLbl>
            <c:dLbl>
              <c:idx val="24"/>
              <c:tx>
                <c:rich>
                  <a:bodyPr/>
                  <a:lstStyle/>
                  <a:p>
                    <a:fld id="{9478C341-A054-42DC-BD0A-0661F1AEF5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8ED-40ED-A79F-8F8A8BEBD8A1}"/>
                </c:ext>
              </c:extLst>
            </c:dLbl>
            <c:dLbl>
              <c:idx val="25"/>
              <c:tx>
                <c:rich>
                  <a:bodyPr/>
                  <a:lstStyle/>
                  <a:p>
                    <a:fld id="{CA259184-1927-4925-8AA0-E4B484AF74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8ED-40ED-A79F-8F8A8BEBD8A1}"/>
                </c:ext>
              </c:extLst>
            </c:dLbl>
            <c:dLbl>
              <c:idx val="26"/>
              <c:tx>
                <c:rich>
                  <a:bodyPr/>
                  <a:lstStyle/>
                  <a:p>
                    <a:fld id="{18207FD1-2EF0-42CD-AD5D-DCC55B30AE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8ED-40ED-A79F-8F8A8BEBD8A1}"/>
                </c:ext>
              </c:extLst>
            </c:dLbl>
            <c:dLbl>
              <c:idx val="27"/>
              <c:tx>
                <c:rich>
                  <a:bodyPr/>
                  <a:lstStyle/>
                  <a:p>
                    <a:fld id="{58746AFF-74D5-410C-A9C6-070F270878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8ED-40ED-A79F-8F8A8BEBD8A1}"/>
                </c:ext>
              </c:extLst>
            </c:dLbl>
            <c:dLbl>
              <c:idx val="28"/>
              <c:tx>
                <c:rich>
                  <a:bodyPr/>
                  <a:lstStyle/>
                  <a:p>
                    <a:fld id="{E8AAA9F6-98E0-499F-970E-458F9FEEB2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8ED-40ED-A79F-8F8A8BEBD8A1}"/>
                </c:ext>
              </c:extLst>
            </c:dLbl>
            <c:dLbl>
              <c:idx val="29"/>
              <c:tx>
                <c:rich>
                  <a:bodyPr/>
                  <a:lstStyle/>
                  <a:p>
                    <a:fld id="{14B77B0C-06E1-4884-95C8-6C6572B79E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8ED-40ED-A79F-8F8A8BEBD8A1}"/>
                </c:ext>
              </c:extLst>
            </c:dLbl>
            <c:dLbl>
              <c:idx val="30"/>
              <c:tx>
                <c:rich>
                  <a:bodyPr/>
                  <a:lstStyle/>
                  <a:p>
                    <a:fld id="{B3A4F63C-02D6-462B-8E6F-83B8860F17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8ED-40ED-A79F-8F8A8BEBD8A1}"/>
                </c:ext>
              </c:extLst>
            </c:dLbl>
            <c:dLbl>
              <c:idx val="31"/>
              <c:tx>
                <c:rich>
                  <a:bodyPr/>
                  <a:lstStyle/>
                  <a:p>
                    <a:fld id="{4E2CC410-80A1-4837-815B-C89432411D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8ED-40ED-A79F-8F8A8BEBD8A1}"/>
                </c:ext>
              </c:extLst>
            </c:dLbl>
            <c:dLbl>
              <c:idx val="32"/>
              <c:tx>
                <c:rich>
                  <a:bodyPr/>
                  <a:lstStyle/>
                  <a:p>
                    <a:fld id="{D829A126-177B-446F-AE2C-CDD3B4406E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F8ED-40ED-A79F-8F8A8BEBD8A1}"/>
                </c:ext>
              </c:extLst>
            </c:dLbl>
            <c:dLbl>
              <c:idx val="33"/>
              <c:tx>
                <c:rich>
                  <a:bodyPr/>
                  <a:lstStyle/>
                  <a:p>
                    <a:fld id="{E8E72C6A-C761-4F9A-8601-F5CA7A2276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F8ED-40ED-A79F-8F8A8BEBD8A1}"/>
                </c:ext>
              </c:extLst>
            </c:dLbl>
            <c:dLbl>
              <c:idx val="34"/>
              <c:tx>
                <c:rich>
                  <a:bodyPr/>
                  <a:lstStyle/>
                  <a:p>
                    <a:fld id="{16BD2EF2-5C2A-45A8-B426-C83B622FFB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F8ED-40ED-A79F-8F8A8BEBD8A1}"/>
                </c:ext>
              </c:extLst>
            </c:dLbl>
            <c:dLbl>
              <c:idx val="35"/>
              <c:tx>
                <c:rich>
                  <a:bodyPr/>
                  <a:lstStyle/>
                  <a:p>
                    <a:fld id="{D10AD513-28E7-4221-B1F8-2314F34D25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F8ED-40ED-A79F-8F8A8BEBD8A1}"/>
                </c:ext>
              </c:extLst>
            </c:dLbl>
            <c:dLbl>
              <c:idx val="36"/>
              <c:tx>
                <c:rich>
                  <a:bodyPr/>
                  <a:lstStyle/>
                  <a:p>
                    <a:fld id="{F0511C21-E2B4-4F74-949A-82173E759C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F8ED-40ED-A79F-8F8A8BEBD8A1}"/>
                </c:ext>
              </c:extLst>
            </c:dLbl>
            <c:dLbl>
              <c:idx val="37"/>
              <c:tx>
                <c:rich>
                  <a:bodyPr/>
                  <a:lstStyle/>
                  <a:p>
                    <a:fld id="{1F443FE6-5358-41C1-958B-69F3CAD7D6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F8ED-40ED-A79F-8F8A8BEBD8A1}"/>
                </c:ext>
              </c:extLst>
            </c:dLbl>
            <c:dLbl>
              <c:idx val="38"/>
              <c:tx>
                <c:rich>
                  <a:bodyPr/>
                  <a:lstStyle/>
                  <a:p>
                    <a:fld id="{782E48BA-DBB1-4DE5-920C-75D1C51699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F8ED-40ED-A79F-8F8A8BEBD8A1}"/>
                </c:ext>
              </c:extLst>
            </c:dLbl>
            <c:dLbl>
              <c:idx val="39"/>
              <c:tx>
                <c:rich>
                  <a:bodyPr/>
                  <a:lstStyle/>
                  <a:p>
                    <a:fld id="{33FA93D3-7F9B-4D03-8F0E-A587051FC2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F8ED-40ED-A79F-8F8A8BEBD8A1}"/>
                </c:ext>
              </c:extLst>
            </c:dLbl>
            <c:dLbl>
              <c:idx val="40"/>
              <c:tx>
                <c:rich>
                  <a:bodyPr/>
                  <a:lstStyle/>
                  <a:p>
                    <a:fld id="{55BAC3AC-5B41-4AAE-92CB-B5F067F7D6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F8ED-40ED-A79F-8F8A8BEBD8A1}"/>
                </c:ext>
              </c:extLst>
            </c:dLbl>
            <c:dLbl>
              <c:idx val="41"/>
              <c:tx>
                <c:rich>
                  <a:bodyPr/>
                  <a:lstStyle/>
                  <a:p>
                    <a:fld id="{ADEAB646-D692-44CE-9600-315650193B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F8ED-40ED-A79F-8F8A8BEBD8A1}"/>
                </c:ext>
              </c:extLst>
            </c:dLbl>
            <c:dLbl>
              <c:idx val="42"/>
              <c:tx>
                <c:rich>
                  <a:bodyPr/>
                  <a:lstStyle/>
                  <a:p>
                    <a:fld id="{EAD0CE72-DD27-4E41-B9F5-C8410A8D11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F8ED-40ED-A79F-8F8A8BEBD8A1}"/>
                </c:ext>
              </c:extLst>
            </c:dLbl>
            <c:dLbl>
              <c:idx val="43"/>
              <c:tx>
                <c:rich>
                  <a:bodyPr/>
                  <a:lstStyle/>
                  <a:p>
                    <a:fld id="{00F6FF7B-6972-46AA-ABF5-79BBC408A5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F8ED-40ED-A79F-8F8A8BEBD8A1}"/>
                </c:ext>
              </c:extLst>
            </c:dLbl>
            <c:dLbl>
              <c:idx val="44"/>
              <c:tx>
                <c:rich>
                  <a:bodyPr/>
                  <a:lstStyle/>
                  <a:p>
                    <a:fld id="{209B5263-9D4B-485E-9A06-4772324A2D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F8ED-40ED-A79F-8F8A8BEBD8A1}"/>
                </c:ext>
              </c:extLst>
            </c:dLbl>
            <c:dLbl>
              <c:idx val="45"/>
              <c:tx>
                <c:rich>
                  <a:bodyPr/>
                  <a:lstStyle/>
                  <a:p>
                    <a:fld id="{06EB8EAA-DEDC-4C2C-B7E5-8E00954264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F8ED-40ED-A79F-8F8A8BEBD8A1}"/>
                </c:ext>
              </c:extLst>
            </c:dLbl>
            <c:dLbl>
              <c:idx val="46"/>
              <c:tx>
                <c:rich>
                  <a:bodyPr/>
                  <a:lstStyle/>
                  <a:p>
                    <a:fld id="{A8CAAA78-F1D0-4363-AF1E-08D84B7002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F8ED-40ED-A79F-8F8A8BEBD8A1}"/>
                </c:ext>
              </c:extLst>
            </c:dLbl>
            <c:dLbl>
              <c:idx val="47"/>
              <c:tx>
                <c:rich>
                  <a:bodyPr/>
                  <a:lstStyle/>
                  <a:p>
                    <a:fld id="{A84C9011-8CBD-4C86-A5C5-0021764D6A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F8ED-40ED-A79F-8F8A8BEBD8A1}"/>
                </c:ext>
              </c:extLst>
            </c:dLbl>
            <c:dLbl>
              <c:idx val="48"/>
              <c:tx>
                <c:rich>
                  <a:bodyPr/>
                  <a:lstStyle/>
                  <a:p>
                    <a:fld id="{8721E1B9-8E2E-4B35-B0E8-5F04C03428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F8ED-40ED-A79F-8F8A8BEBD8A1}"/>
                </c:ext>
              </c:extLst>
            </c:dLbl>
            <c:dLbl>
              <c:idx val="49"/>
              <c:tx>
                <c:rich>
                  <a:bodyPr/>
                  <a:lstStyle/>
                  <a:p>
                    <a:fld id="{EA2C700F-9A03-4BF0-B331-FCBEA892F4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F8ED-40ED-A79F-8F8A8BEBD8A1}"/>
                </c:ext>
              </c:extLst>
            </c:dLbl>
            <c:dLbl>
              <c:idx val="50"/>
              <c:tx>
                <c:rich>
                  <a:bodyPr/>
                  <a:lstStyle/>
                  <a:p>
                    <a:fld id="{E911CC48-48B1-4A70-B3E2-25E865E204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F8ED-40ED-A79F-8F8A8BEBD8A1}"/>
                </c:ext>
              </c:extLst>
            </c:dLbl>
            <c:dLbl>
              <c:idx val="51"/>
              <c:tx>
                <c:rich>
                  <a:bodyPr/>
                  <a:lstStyle/>
                  <a:p>
                    <a:fld id="{544C4FB7-15AD-4A80-A219-C818F37374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F8ED-40ED-A79F-8F8A8BEBD8A1}"/>
                </c:ext>
              </c:extLst>
            </c:dLbl>
            <c:dLbl>
              <c:idx val="52"/>
              <c:tx>
                <c:rich>
                  <a:bodyPr/>
                  <a:lstStyle/>
                  <a:p>
                    <a:fld id="{6D31177A-13CA-4174-A3D2-350A7D4EB2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F8ED-40ED-A79F-8F8A8BEBD8A1}"/>
                </c:ext>
              </c:extLst>
            </c:dLbl>
            <c:dLbl>
              <c:idx val="53"/>
              <c:tx>
                <c:rich>
                  <a:bodyPr/>
                  <a:lstStyle/>
                  <a:p>
                    <a:fld id="{699FD192-823C-483C-8D92-E04D7A26EC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F8ED-40ED-A79F-8F8A8BEBD8A1}"/>
                </c:ext>
              </c:extLst>
            </c:dLbl>
            <c:dLbl>
              <c:idx val="54"/>
              <c:tx>
                <c:rich>
                  <a:bodyPr/>
                  <a:lstStyle/>
                  <a:p>
                    <a:fld id="{96154773-F142-408A-A5D9-E2531A09ED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F8ED-40ED-A79F-8F8A8BEBD8A1}"/>
                </c:ext>
              </c:extLst>
            </c:dLbl>
            <c:dLbl>
              <c:idx val="55"/>
              <c:tx>
                <c:rich>
                  <a:bodyPr/>
                  <a:lstStyle/>
                  <a:p>
                    <a:fld id="{EFF31427-147F-479D-A3CE-AD66711CA6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F8ED-40ED-A79F-8F8A8BEBD8A1}"/>
                </c:ext>
              </c:extLst>
            </c:dLbl>
            <c:dLbl>
              <c:idx val="56"/>
              <c:tx>
                <c:rich>
                  <a:bodyPr/>
                  <a:lstStyle/>
                  <a:p>
                    <a:fld id="{A7F4D6AB-467B-4398-85AF-6FB13C647B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F8ED-40ED-A79F-8F8A8BEBD8A1}"/>
                </c:ext>
              </c:extLst>
            </c:dLbl>
            <c:dLbl>
              <c:idx val="57"/>
              <c:tx>
                <c:rich>
                  <a:bodyPr/>
                  <a:lstStyle/>
                  <a:p>
                    <a:fld id="{4461637D-1EC6-4845-820F-851BCEE0E8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F8ED-40ED-A79F-8F8A8BEBD8A1}"/>
                </c:ext>
              </c:extLst>
            </c:dLbl>
            <c:dLbl>
              <c:idx val="58"/>
              <c:tx>
                <c:rich>
                  <a:bodyPr/>
                  <a:lstStyle/>
                  <a:p>
                    <a:fld id="{17A64F38-781B-4B7B-899E-78129D03A5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F8ED-40ED-A79F-8F8A8BEBD8A1}"/>
                </c:ext>
              </c:extLst>
            </c:dLbl>
            <c:dLbl>
              <c:idx val="59"/>
              <c:tx>
                <c:rich>
                  <a:bodyPr/>
                  <a:lstStyle/>
                  <a:p>
                    <a:fld id="{6B910337-D676-4804-BC2D-BB6A5647A8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F8ED-40ED-A79F-8F8A8BEBD8A1}"/>
                </c:ext>
              </c:extLst>
            </c:dLbl>
            <c:dLbl>
              <c:idx val="60"/>
              <c:tx>
                <c:rich>
                  <a:bodyPr/>
                  <a:lstStyle/>
                  <a:p>
                    <a:fld id="{4843D5AC-7149-4AFE-A5DA-11D5B436B4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F8ED-40ED-A79F-8F8A8BEBD8A1}"/>
                </c:ext>
              </c:extLst>
            </c:dLbl>
            <c:dLbl>
              <c:idx val="61"/>
              <c:tx>
                <c:rich>
                  <a:bodyPr/>
                  <a:lstStyle/>
                  <a:p>
                    <a:fld id="{5CEBE485-D327-442F-A379-D4BC2CB348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F8ED-40ED-A79F-8F8A8BEBD8A1}"/>
                </c:ext>
              </c:extLst>
            </c:dLbl>
            <c:dLbl>
              <c:idx val="62"/>
              <c:tx>
                <c:rich>
                  <a:bodyPr/>
                  <a:lstStyle/>
                  <a:p>
                    <a:fld id="{AA48DA08-7DDC-4DF3-808A-9E2C1D8303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F8ED-40ED-A79F-8F8A8BEBD8A1}"/>
                </c:ext>
              </c:extLst>
            </c:dLbl>
            <c:dLbl>
              <c:idx val="63"/>
              <c:tx>
                <c:rich>
                  <a:bodyPr/>
                  <a:lstStyle/>
                  <a:p>
                    <a:fld id="{FCE9B94E-0E9C-45AC-A99E-0A227355BC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F8ED-40ED-A79F-8F8A8BEBD8A1}"/>
                </c:ext>
              </c:extLst>
            </c:dLbl>
            <c:dLbl>
              <c:idx val="64"/>
              <c:tx>
                <c:rich>
                  <a:bodyPr/>
                  <a:lstStyle/>
                  <a:p>
                    <a:fld id="{75EC1A83-E46D-4F09-A326-639C0908A5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F8ED-40ED-A79F-8F8A8BEBD8A1}"/>
                </c:ext>
              </c:extLst>
            </c:dLbl>
            <c:dLbl>
              <c:idx val="65"/>
              <c:tx>
                <c:rich>
                  <a:bodyPr/>
                  <a:lstStyle/>
                  <a:p>
                    <a:fld id="{F9A20B3E-2034-4B4C-8FEB-78E6F59A4D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F8ED-40ED-A79F-8F8A8BEBD8A1}"/>
                </c:ext>
              </c:extLst>
            </c:dLbl>
            <c:dLbl>
              <c:idx val="66"/>
              <c:tx>
                <c:rich>
                  <a:bodyPr/>
                  <a:lstStyle/>
                  <a:p>
                    <a:fld id="{79AD3329-64D8-4452-9392-91A0F85FE1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F8ED-40ED-A79F-8F8A8BEBD8A1}"/>
                </c:ext>
              </c:extLst>
            </c:dLbl>
            <c:dLbl>
              <c:idx val="67"/>
              <c:tx>
                <c:rich>
                  <a:bodyPr/>
                  <a:lstStyle/>
                  <a:p>
                    <a:fld id="{DE3DFA26-846F-45CC-A76D-4B8ACD2E97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F8ED-40ED-A79F-8F8A8BEBD8A1}"/>
                </c:ext>
              </c:extLst>
            </c:dLbl>
            <c:dLbl>
              <c:idx val="68"/>
              <c:tx>
                <c:rich>
                  <a:bodyPr/>
                  <a:lstStyle/>
                  <a:p>
                    <a:fld id="{0F470AF6-8813-4C58-B6D5-72E494294F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F8ED-40ED-A79F-8F8A8BEBD8A1}"/>
                </c:ext>
              </c:extLst>
            </c:dLbl>
            <c:dLbl>
              <c:idx val="69"/>
              <c:tx>
                <c:rich>
                  <a:bodyPr/>
                  <a:lstStyle/>
                  <a:p>
                    <a:fld id="{7ADC60B5-E76B-495D-809E-2A2CC19556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F8ED-40ED-A79F-8F8A8BEBD8A1}"/>
                </c:ext>
              </c:extLst>
            </c:dLbl>
            <c:dLbl>
              <c:idx val="70"/>
              <c:tx>
                <c:rich>
                  <a:bodyPr/>
                  <a:lstStyle/>
                  <a:p>
                    <a:fld id="{D49AAC1D-D218-4A69-9AF7-DE96089425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F8ED-40ED-A79F-8F8A8BEBD8A1}"/>
                </c:ext>
              </c:extLst>
            </c:dLbl>
            <c:dLbl>
              <c:idx val="71"/>
              <c:tx>
                <c:rich>
                  <a:bodyPr/>
                  <a:lstStyle/>
                  <a:p>
                    <a:fld id="{383F2960-8627-4877-BE56-0DBC533EE4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F8ED-40ED-A79F-8F8A8BEBD8A1}"/>
                </c:ext>
              </c:extLst>
            </c:dLbl>
            <c:dLbl>
              <c:idx val="72"/>
              <c:tx>
                <c:rich>
                  <a:bodyPr/>
                  <a:lstStyle/>
                  <a:p>
                    <a:fld id="{8256A0A4-F9A9-4388-B125-3944541772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F8ED-40ED-A79F-8F8A8BEBD8A1}"/>
                </c:ext>
              </c:extLst>
            </c:dLbl>
            <c:dLbl>
              <c:idx val="73"/>
              <c:tx>
                <c:rich>
                  <a:bodyPr/>
                  <a:lstStyle/>
                  <a:p>
                    <a:fld id="{84B11427-7D78-4FE4-AC3C-86BE78B656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F8ED-40ED-A79F-8F8A8BEBD8A1}"/>
                </c:ext>
              </c:extLst>
            </c:dLbl>
            <c:dLbl>
              <c:idx val="74"/>
              <c:tx>
                <c:rich>
                  <a:bodyPr/>
                  <a:lstStyle/>
                  <a:p>
                    <a:fld id="{DA0144E5-EBBF-45FB-959E-6830BB5310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F8ED-40ED-A79F-8F8A8BEBD8A1}"/>
                </c:ext>
              </c:extLst>
            </c:dLbl>
            <c:dLbl>
              <c:idx val="75"/>
              <c:tx>
                <c:rich>
                  <a:bodyPr/>
                  <a:lstStyle/>
                  <a:p>
                    <a:fld id="{20AC23C2-8CD0-418C-8814-2E0E95A0F3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F8ED-40ED-A79F-8F8A8BEBD8A1}"/>
                </c:ext>
              </c:extLst>
            </c:dLbl>
            <c:dLbl>
              <c:idx val="76"/>
              <c:tx>
                <c:rich>
                  <a:bodyPr/>
                  <a:lstStyle/>
                  <a:p>
                    <a:fld id="{D93CAD8B-CFEC-4A37-B936-3C11E4010B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F8ED-40ED-A79F-8F8A8BEBD8A1}"/>
                </c:ext>
              </c:extLst>
            </c:dLbl>
            <c:dLbl>
              <c:idx val="77"/>
              <c:tx>
                <c:rich>
                  <a:bodyPr/>
                  <a:lstStyle/>
                  <a:p>
                    <a:fld id="{8F51CE7A-7739-4DCB-9A17-DA1C37419B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F8ED-40ED-A79F-8F8A8BEBD8A1}"/>
                </c:ext>
              </c:extLst>
            </c:dLbl>
            <c:dLbl>
              <c:idx val="78"/>
              <c:tx>
                <c:rich>
                  <a:bodyPr/>
                  <a:lstStyle/>
                  <a:p>
                    <a:fld id="{2476551E-DB7C-47C6-B4E0-BAC3899E9C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F8ED-40ED-A79F-8F8A8BEBD8A1}"/>
                </c:ext>
              </c:extLst>
            </c:dLbl>
            <c:dLbl>
              <c:idx val="79"/>
              <c:tx>
                <c:rich>
                  <a:bodyPr/>
                  <a:lstStyle/>
                  <a:p>
                    <a:fld id="{28C2D89D-C360-48E4-86C9-1CA2581FCA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F8ED-40ED-A79F-8F8A8BEBD8A1}"/>
                </c:ext>
              </c:extLst>
            </c:dLbl>
            <c:dLbl>
              <c:idx val="80"/>
              <c:tx>
                <c:rich>
                  <a:bodyPr/>
                  <a:lstStyle/>
                  <a:p>
                    <a:fld id="{068F1BC8-4A75-4703-A922-6A3DFEB0C0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F8ED-40ED-A79F-8F8A8BEBD8A1}"/>
                </c:ext>
              </c:extLst>
            </c:dLbl>
            <c:dLbl>
              <c:idx val="81"/>
              <c:tx>
                <c:rich>
                  <a:bodyPr/>
                  <a:lstStyle/>
                  <a:p>
                    <a:fld id="{18A3DD33-1594-40BC-ABA3-60E9208C28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F8ED-40ED-A79F-8F8A8BEBD8A1}"/>
                </c:ext>
              </c:extLst>
            </c:dLbl>
            <c:dLbl>
              <c:idx val="82"/>
              <c:tx>
                <c:rich>
                  <a:bodyPr/>
                  <a:lstStyle/>
                  <a:p>
                    <a:fld id="{398E9E9B-6F01-4E8A-9B3C-63BE1BC83F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F8ED-40ED-A79F-8F8A8BEBD8A1}"/>
                </c:ext>
              </c:extLst>
            </c:dLbl>
            <c:dLbl>
              <c:idx val="83"/>
              <c:tx>
                <c:rich>
                  <a:bodyPr/>
                  <a:lstStyle/>
                  <a:p>
                    <a:fld id="{1F1A8024-AF2D-43C5-B739-334632CEB1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F8ED-40ED-A79F-8F8A8BEBD8A1}"/>
                </c:ext>
              </c:extLst>
            </c:dLbl>
            <c:dLbl>
              <c:idx val="84"/>
              <c:tx>
                <c:rich>
                  <a:bodyPr/>
                  <a:lstStyle/>
                  <a:p>
                    <a:fld id="{12EBC79C-4168-4F62-AB6E-2C0D222C3D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F8ED-40ED-A79F-8F8A8BEBD8A1}"/>
                </c:ext>
              </c:extLst>
            </c:dLbl>
            <c:dLbl>
              <c:idx val="85"/>
              <c:tx>
                <c:rich>
                  <a:bodyPr/>
                  <a:lstStyle/>
                  <a:p>
                    <a:fld id="{AFBD7989-9F7F-4699-B89F-5ECECF8B51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F8ED-40ED-A79F-8F8A8BEBD8A1}"/>
                </c:ext>
              </c:extLst>
            </c:dLbl>
            <c:dLbl>
              <c:idx val="86"/>
              <c:tx>
                <c:rich>
                  <a:bodyPr/>
                  <a:lstStyle/>
                  <a:p>
                    <a:fld id="{0F96B858-3858-41B1-BB73-BD562AF1C8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F8ED-40ED-A79F-8F8A8BEBD8A1}"/>
                </c:ext>
              </c:extLst>
            </c:dLbl>
            <c:dLbl>
              <c:idx val="87"/>
              <c:tx>
                <c:rich>
                  <a:bodyPr/>
                  <a:lstStyle/>
                  <a:p>
                    <a:fld id="{83ECA61A-B3F5-4A72-A62B-5D989032FF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F8ED-40ED-A79F-8F8A8BEBD8A1}"/>
                </c:ext>
              </c:extLst>
            </c:dLbl>
            <c:dLbl>
              <c:idx val="88"/>
              <c:tx>
                <c:rich>
                  <a:bodyPr/>
                  <a:lstStyle/>
                  <a:p>
                    <a:fld id="{C6369EC6-42A3-4417-9188-25A5E6306D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F8ED-40ED-A79F-8F8A8BEBD8A1}"/>
                </c:ext>
              </c:extLst>
            </c:dLbl>
            <c:dLbl>
              <c:idx val="89"/>
              <c:tx>
                <c:rich>
                  <a:bodyPr/>
                  <a:lstStyle/>
                  <a:p>
                    <a:fld id="{A274397A-F0BB-43BC-98AE-88477BF9B7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F8ED-40ED-A79F-8F8A8BEBD8A1}"/>
                </c:ext>
              </c:extLst>
            </c:dLbl>
            <c:dLbl>
              <c:idx val="90"/>
              <c:tx>
                <c:rich>
                  <a:bodyPr/>
                  <a:lstStyle/>
                  <a:p>
                    <a:fld id="{9F9ADD7B-7499-4AE1-86FB-E1DBB28BF3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F8ED-40ED-A79F-8F8A8BEBD8A1}"/>
                </c:ext>
              </c:extLst>
            </c:dLbl>
            <c:dLbl>
              <c:idx val="91"/>
              <c:tx>
                <c:rich>
                  <a:bodyPr/>
                  <a:lstStyle/>
                  <a:p>
                    <a:fld id="{07EF0697-C45E-4A61-866B-26B08BD07A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F8ED-40ED-A79F-8F8A8BEBD8A1}"/>
                </c:ext>
              </c:extLst>
            </c:dLbl>
            <c:dLbl>
              <c:idx val="92"/>
              <c:tx>
                <c:rich>
                  <a:bodyPr/>
                  <a:lstStyle/>
                  <a:p>
                    <a:fld id="{E5444528-C09E-41FE-911D-8D6CCDF71F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F8ED-40ED-A79F-8F8A8BEBD8A1}"/>
                </c:ext>
              </c:extLst>
            </c:dLbl>
            <c:dLbl>
              <c:idx val="93"/>
              <c:tx>
                <c:rich>
                  <a:bodyPr/>
                  <a:lstStyle/>
                  <a:p>
                    <a:fld id="{D09C80A9-7909-43F3-9968-DB184D6F92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F8ED-40ED-A79F-8F8A8BEBD8A1}"/>
                </c:ext>
              </c:extLst>
            </c:dLbl>
            <c:dLbl>
              <c:idx val="94"/>
              <c:tx>
                <c:rich>
                  <a:bodyPr/>
                  <a:lstStyle/>
                  <a:p>
                    <a:fld id="{3D7E992A-AF4B-4B07-BA97-1A38C6F883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F8ED-40ED-A79F-8F8A8BEBD8A1}"/>
                </c:ext>
              </c:extLst>
            </c:dLbl>
            <c:dLbl>
              <c:idx val="95"/>
              <c:tx>
                <c:rich>
                  <a:bodyPr/>
                  <a:lstStyle/>
                  <a:p>
                    <a:fld id="{1C6ECBEF-C2D9-42E9-8159-68F0AF13E9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F8ED-40ED-A79F-8F8A8BEBD8A1}"/>
                </c:ext>
              </c:extLst>
            </c:dLbl>
            <c:dLbl>
              <c:idx val="96"/>
              <c:tx>
                <c:rich>
                  <a:bodyPr/>
                  <a:lstStyle/>
                  <a:p>
                    <a:fld id="{34214B77-6D01-4178-8192-37BCC8ADB1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F8ED-40ED-A79F-8F8A8BEBD8A1}"/>
                </c:ext>
              </c:extLst>
            </c:dLbl>
            <c:dLbl>
              <c:idx val="97"/>
              <c:tx>
                <c:rich>
                  <a:bodyPr/>
                  <a:lstStyle/>
                  <a:p>
                    <a:fld id="{0360EF99-A17A-49B8-ADAF-818367ADC4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F8ED-40ED-A79F-8F8A8BEBD8A1}"/>
                </c:ext>
              </c:extLst>
            </c:dLbl>
            <c:dLbl>
              <c:idx val="98"/>
              <c:tx>
                <c:rich>
                  <a:bodyPr/>
                  <a:lstStyle/>
                  <a:p>
                    <a:fld id="{41D4E76C-9DA3-417F-B3E4-CADB061D08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F8ED-40ED-A79F-8F8A8BEBD8A1}"/>
                </c:ext>
              </c:extLst>
            </c:dLbl>
            <c:dLbl>
              <c:idx val="99"/>
              <c:tx>
                <c:rich>
                  <a:bodyPr/>
                  <a:lstStyle/>
                  <a:p>
                    <a:fld id="{A180A4AA-059E-44D5-9110-ED7F16D92F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F8ED-40ED-A79F-8F8A8BEBD8A1}"/>
                </c:ext>
              </c:extLst>
            </c:dLbl>
            <c:dLbl>
              <c:idx val="100"/>
              <c:tx>
                <c:rich>
                  <a:bodyPr/>
                  <a:lstStyle/>
                  <a:p>
                    <a:fld id="{8DAF7A57-CD5C-4DA0-8FA4-16924CEDB4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F8ED-40ED-A79F-8F8A8BEBD8A1}"/>
                </c:ext>
              </c:extLst>
            </c:dLbl>
            <c:dLbl>
              <c:idx val="101"/>
              <c:tx>
                <c:rich>
                  <a:bodyPr/>
                  <a:lstStyle/>
                  <a:p>
                    <a:fld id="{A4B052A0-04AE-4219-9FF2-EFA1B43166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F8ED-40ED-A79F-8F8A8BEBD8A1}"/>
                </c:ext>
              </c:extLst>
            </c:dLbl>
            <c:dLbl>
              <c:idx val="102"/>
              <c:tx>
                <c:rich>
                  <a:bodyPr/>
                  <a:lstStyle/>
                  <a:p>
                    <a:fld id="{B0FFED84-2F98-4E3B-B1F5-E347670BD4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F8ED-40ED-A79F-8F8A8BEBD8A1}"/>
                </c:ext>
              </c:extLst>
            </c:dLbl>
            <c:dLbl>
              <c:idx val="103"/>
              <c:tx>
                <c:rich>
                  <a:bodyPr/>
                  <a:lstStyle/>
                  <a:p>
                    <a:fld id="{EEA7A6BB-E142-47AC-B49E-3F446083D9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F8ED-40ED-A79F-8F8A8BEBD8A1}"/>
                </c:ext>
              </c:extLst>
            </c:dLbl>
            <c:dLbl>
              <c:idx val="104"/>
              <c:tx>
                <c:rich>
                  <a:bodyPr/>
                  <a:lstStyle/>
                  <a:p>
                    <a:fld id="{07E2E085-B77D-40E4-AB5F-8F178BC0A9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F8ED-40ED-A79F-8F8A8BEBD8A1}"/>
                </c:ext>
              </c:extLst>
            </c:dLbl>
            <c:dLbl>
              <c:idx val="105"/>
              <c:tx>
                <c:rich>
                  <a:bodyPr/>
                  <a:lstStyle/>
                  <a:p>
                    <a:fld id="{BD26C6C4-5C2B-4313-BBD1-0250B4B475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F8ED-40ED-A79F-8F8A8BEBD8A1}"/>
                </c:ext>
              </c:extLst>
            </c:dLbl>
            <c:dLbl>
              <c:idx val="106"/>
              <c:tx>
                <c:rich>
                  <a:bodyPr/>
                  <a:lstStyle/>
                  <a:p>
                    <a:fld id="{F2FFAD27-BFEB-4E5C-85F0-8CDD97FF0C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F8ED-40ED-A79F-8F8A8BEBD8A1}"/>
                </c:ext>
              </c:extLst>
            </c:dLbl>
            <c:dLbl>
              <c:idx val="107"/>
              <c:tx>
                <c:rich>
                  <a:bodyPr/>
                  <a:lstStyle/>
                  <a:p>
                    <a:fld id="{45C97EAE-ABC4-4E8F-B328-5A08968C26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F8ED-40ED-A79F-8F8A8BEBD8A1}"/>
                </c:ext>
              </c:extLst>
            </c:dLbl>
            <c:dLbl>
              <c:idx val="108"/>
              <c:tx>
                <c:rich>
                  <a:bodyPr/>
                  <a:lstStyle/>
                  <a:p>
                    <a:fld id="{DD739688-4F2A-40CB-87C8-720D48CFEA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F8ED-40ED-A79F-8F8A8BEBD8A1}"/>
                </c:ext>
              </c:extLst>
            </c:dLbl>
            <c:dLbl>
              <c:idx val="109"/>
              <c:tx>
                <c:rich>
                  <a:bodyPr/>
                  <a:lstStyle/>
                  <a:p>
                    <a:fld id="{BF897439-379F-4BB5-BEFB-3FD8AFD504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F8ED-40ED-A79F-8F8A8BEBD8A1}"/>
                </c:ext>
              </c:extLst>
            </c:dLbl>
            <c:dLbl>
              <c:idx val="110"/>
              <c:tx>
                <c:rich>
                  <a:bodyPr/>
                  <a:lstStyle/>
                  <a:p>
                    <a:fld id="{F69A7BC1-2A9F-46B1-84A8-9EB26842E6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F8ED-40ED-A79F-8F8A8BEBD8A1}"/>
                </c:ext>
              </c:extLst>
            </c:dLbl>
            <c:dLbl>
              <c:idx val="111"/>
              <c:tx>
                <c:rich>
                  <a:bodyPr/>
                  <a:lstStyle/>
                  <a:p>
                    <a:fld id="{5B0D7ABA-26B6-4BE4-9C78-5DA422B6C7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F8ED-40ED-A79F-8F8A8BEBD8A1}"/>
                </c:ext>
              </c:extLst>
            </c:dLbl>
            <c:dLbl>
              <c:idx val="112"/>
              <c:tx>
                <c:rich>
                  <a:bodyPr/>
                  <a:lstStyle/>
                  <a:p>
                    <a:fld id="{D35FB7ED-D5CF-4C53-A2C2-6C3874D8B2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F8ED-40ED-A79F-8F8A8BEBD8A1}"/>
                </c:ext>
              </c:extLst>
            </c:dLbl>
            <c:dLbl>
              <c:idx val="113"/>
              <c:tx>
                <c:rich>
                  <a:bodyPr/>
                  <a:lstStyle/>
                  <a:p>
                    <a:fld id="{D5411F97-54DA-4F87-B0CC-2965DBDA7A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F8ED-40ED-A79F-8F8A8BEBD8A1}"/>
                </c:ext>
              </c:extLst>
            </c:dLbl>
            <c:dLbl>
              <c:idx val="114"/>
              <c:tx>
                <c:rich>
                  <a:bodyPr/>
                  <a:lstStyle/>
                  <a:p>
                    <a:fld id="{E3B08712-6AE3-42CF-B5D6-175FBA9FD3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F8ED-40ED-A79F-8F8A8BEBD8A1}"/>
                </c:ext>
              </c:extLst>
            </c:dLbl>
            <c:dLbl>
              <c:idx val="115"/>
              <c:tx>
                <c:rich>
                  <a:bodyPr/>
                  <a:lstStyle/>
                  <a:p>
                    <a:fld id="{FE544C22-7834-4DBD-B8B8-921E873909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F8ED-40ED-A79F-8F8A8BEBD8A1}"/>
                </c:ext>
              </c:extLst>
            </c:dLbl>
            <c:dLbl>
              <c:idx val="116"/>
              <c:tx>
                <c:rich>
                  <a:bodyPr/>
                  <a:lstStyle/>
                  <a:p>
                    <a:fld id="{7923F858-4E47-4ED5-86AC-1DC12B7B4B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F8ED-40ED-A79F-8F8A8BEBD8A1}"/>
                </c:ext>
              </c:extLst>
            </c:dLbl>
            <c:dLbl>
              <c:idx val="117"/>
              <c:tx>
                <c:rich>
                  <a:bodyPr/>
                  <a:lstStyle/>
                  <a:p>
                    <a:fld id="{EE94B571-4456-4FE3-9602-A07BBFF4E0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F8ED-40ED-A79F-8F8A8BEBD8A1}"/>
                </c:ext>
              </c:extLst>
            </c:dLbl>
            <c:dLbl>
              <c:idx val="118"/>
              <c:tx>
                <c:rich>
                  <a:bodyPr/>
                  <a:lstStyle/>
                  <a:p>
                    <a:fld id="{33EB3518-C703-47C4-8D6A-5E1BD6E1CE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F8ED-40ED-A79F-8F8A8BEBD8A1}"/>
                </c:ext>
              </c:extLst>
            </c:dLbl>
            <c:dLbl>
              <c:idx val="119"/>
              <c:tx>
                <c:rich>
                  <a:bodyPr/>
                  <a:lstStyle/>
                  <a:p>
                    <a:fld id="{77F14EFE-3C8C-4860-9A21-444463A304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F8ED-40ED-A79F-8F8A8BEBD8A1}"/>
                </c:ext>
              </c:extLst>
            </c:dLbl>
            <c:dLbl>
              <c:idx val="120"/>
              <c:tx>
                <c:rich>
                  <a:bodyPr/>
                  <a:lstStyle/>
                  <a:p>
                    <a:fld id="{CFB51031-171B-4132-9D5E-F776CB5BDD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F8ED-40ED-A79F-8F8A8BEBD8A1}"/>
                </c:ext>
              </c:extLst>
            </c:dLbl>
            <c:dLbl>
              <c:idx val="121"/>
              <c:tx>
                <c:rich>
                  <a:bodyPr/>
                  <a:lstStyle/>
                  <a:p>
                    <a:fld id="{A37BD464-4057-4844-AEAF-1BCEE1039F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F8ED-40ED-A79F-8F8A8BEBD8A1}"/>
                </c:ext>
              </c:extLst>
            </c:dLbl>
            <c:dLbl>
              <c:idx val="122"/>
              <c:tx>
                <c:rich>
                  <a:bodyPr/>
                  <a:lstStyle/>
                  <a:p>
                    <a:fld id="{CF6CE79C-DEC1-425D-B847-E7D6F4F390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F8ED-40ED-A79F-8F8A8BEBD8A1}"/>
                </c:ext>
              </c:extLst>
            </c:dLbl>
            <c:dLbl>
              <c:idx val="123"/>
              <c:tx>
                <c:rich>
                  <a:bodyPr/>
                  <a:lstStyle/>
                  <a:p>
                    <a:fld id="{A3A19D62-DFBD-4489-8DCB-B8A2BC89B8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F8ED-40ED-A79F-8F8A8BEBD8A1}"/>
                </c:ext>
              </c:extLst>
            </c:dLbl>
            <c:dLbl>
              <c:idx val="124"/>
              <c:tx>
                <c:rich>
                  <a:bodyPr/>
                  <a:lstStyle/>
                  <a:p>
                    <a:fld id="{6510787C-F4EF-473B-8F61-F0EFA282CF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F8ED-40ED-A79F-8F8A8BEBD8A1}"/>
                </c:ext>
              </c:extLst>
            </c:dLbl>
            <c:dLbl>
              <c:idx val="125"/>
              <c:tx>
                <c:rich>
                  <a:bodyPr/>
                  <a:lstStyle/>
                  <a:p>
                    <a:fld id="{ED57E675-6CAC-4659-B15A-16931881DF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F8ED-40ED-A79F-8F8A8BEBD8A1}"/>
                </c:ext>
              </c:extLst>
            </c:dLbl>
            <c:dLbl>
              <c:idx val="126"/>
              <c:tx>
                <c:rich>
                  <a:bodyPr/>
                  <a:lstStyle/>
                  <a:p>
                    <a:fld id="{3674B7AF-71BE-43B0-BAFC-8EC95D13E7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F8ED-40ED-A79F-8F8A8BEBD8A1}"/>
                </c:ext>
              </c:extLst>
            </c:dLbl>
            <c:dLbl>
              <c:idx val="127"/>
              <c:tx>
                <c:rich>
                  <a:bodyPr/>
                  <a:lstStyle/>
                  <a:p>
                    <a:fld id="{1375A5AC-8870-4E01-874A-33E142A274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F8ED-40ED-A79F-8F8A8BEBD8A1}"/>
                </c:ext>
              </c:extLst>
            </c:dLbl>
            <c:dLbl>
              <c:idx val="128"/>
              <c:tx>
                <c:rich>
                  <a:bodyPr/>
                  <a:lstStyle/>
                  <a:p>
                    <a:fld id="{65506DCB-95B5-4252-9A5F-F2B62A7D0E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F8ED-40ED-A79F-8F8A8BEBD8A1}"/>
                </c:ext>
              </c:extLst>
            </c:dLbl>
            <c:dLbl>
              <c:idx val="129"/>
              <c:tx>
                <c:rich>
                  <a:bodyPr/>
                  <a:lstStyle/>
                  <a:p>
                    <a:fld id="{7E143D3F-5632-477A-B841-39ABCE0112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F8ED-40ED-A79F-8F8A8BEBD8A1}"/>
                </c:ext>
              </c:extLst>
            </c:dLbl>
            <c:dLbl>
              <c:idx val="130"/>
              <c:tx>
                <c:rich>
                  <a:bodyPr/>
                  <a:lstStyle/>
                  <a:p>
                    <a:fld id="{CE2356CB-4CF4-4426-A47C-7C52A58921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F8ED-40ED-A79F-8F8A8BEBD8A1}"/>
                </c:ext>
              </c:extLst>
            </c:dLbl>
            <c:dLbl>
              <c:idx val="131"/>
              <c:tx>
                <c:rich>
                  <a:bodyPr/>
                  <a:lstStyle/>
                  <a:p>
                    <a:fld id="{215281F8-290B-4D2E-BFFD-4BA90A346A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F8ED-40ED-A79F-8F8A8BEBD8A1}"/>
                </c:ext>
              </c:extLst>
            </c:dLbl>
            <c:dLbl>
              <c:idx val="132"/>
              <c:tx>
                <c:rich>
                  <a:bodyPr/>
                  <a:lstStyle/>
                  <a:p>
                    <a:fld id="{5F384115-3B30-4309-9B9B-47E2339DB9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F8ED-40ED-A79F-8F8A8BEBD8A1}"/>
                </c:ext>
              </c:extLst>
            </c:dLbl>
            <c:dLbl>
              <c:idx val="133"/>
              <c:tx>
                <c:rich>
                  <a:bodyPr/>
                  <a:lstStyle/>
                  <a:p>
                    <a:fld id="{B617B9E8-79DB-44BA-8608-92D8977255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F8ED-40ED-A79F-8F8A8BEBD8A1}"/>
                </c:ext>
              </c:extLst>
            </c:dLbl>
            <c:dLbl>
              <c:idx val="134"/>
              <c:tx>
                <c:rich>
                  <a:bodyPr/>
                  <a:lstStyle/>
                  <a:p>
                    <a:fld id="{340697FF-051C-4610-88D0-6D6C3C628F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F8ED-40ED-A79F-8F8A8BEBD8A1}"/>
                </c:ext>
              </c:extLst>
            </c:dLbl>
            <c:dLbl>
              <c:idx val="135"/>
              <c:tx>
                <c:rich>
                  <a:bodyPr/>
                  <a:lstStyle/>
                  <a:p>
                    <a:fld id="{06C843AC-E4AE-4A98-804E-79FED4AEA2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F8ED-40ED-A79F-8F8A8BEBD8A1}"/>
                </c:ext>
              </c:extLst>
            </c:dLbl>
            <c:dLbl>
              <c:idx val="136"/>
              <c:tx>
                <c:rich>
                  <a:bodyPr/>
                  <a:lstStyle/>
                  <a:p>
                    <a:fld id="{6A5C1CCB-730B-4E79-A915-F752A8FDDA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F8ED-40ED-A79F-8F8A8BEBD8A1}"/>
                </c:ext>
              </c:extLst>
            </c:dLbl>
            <c:dLbl>
              <c:idx val="137"/>
              <c:tx>
                <c:rich>
                  <a:bodyPr/>
                  <a:lstStyle/>
                  <a:p>
                    <a:fld id="{EC082AE0-29C4-4295-8FA5-BCA85147EE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F8ED-40ED-A79F-8F8A8BEBD8A1}"/>
                </c:ext>
              </c:extLst>
            </c:dLbl>
            <c:dLbl>
              <c:idx val="138"/>
              <c:tx>
                <c:rich>
                  <a:bodyPr/>
                  <a:lstStyle/>
                  <a:p>
                    <a:fld id="{CC192BF9-96D1-48EA-9869-761D97ADF5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F8ED-40ED-A79F-8F8A8BEBD8A1}"/>
                </c:ext>
              </c:extLst>
            </c:dLbl>
            <c:dLbl>
              <c:idx val="139"/>
              <c:tx>
                <c:rich>
                  <a:bodyPr/>
                  <a:lstStyle/>
                  <a:p>
                    <a:fld id="{6E21E2F2-4D86-4075-A445-2394CDEE63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F8ED-40ED-A79F-8F8A8BEBD8A1}"/>
                </c:ext>
              </c:extLst>
            </c:dLbl>
            <c:dLbl>
              <c:idx val="140"/>
              <c:tx>
                <c:rich>
                  <a:bodyPr/>
                  <a:lstStyle/>
                  <a:p>
                    <a:fld id="{7B4B35F8-63F9-4DDA-A4EC-B2739DAA06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F8ED-40ED-A79F-8F8A8BEBD8A1}"/>
                </c:ext>
              </c:extLst>
            </c:dLbl>
            <c:dLbl>
              <c:idx val="141"/>
              <c:tx>
                <c:rich>
                  <a:bodyPr/>
                  <a:lstStyle/>
                  <a:p>
                    <a:fld id="{C410FD2A-34DA-42A6-B237-51F57FB2FA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F8ED-40ED-A79F-8F8A8BEBD8A1}"/>
                </c:ext>
              </c:extLst>
            </c:dLbl>
            <c:dLbl>
              <c:idx val="142"/>
              <c:tx>
                <c:rich>
                  <a:bodyPr/>
                  <a:lstStyle/>
                  <a:p>
                    <a:fld id="{1EAE36AF-5D92-4436-BB25-98F6CC1A85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F8ED-40ED-A79F-8F8A8BEBD8A1}"/>
                </c:ext>
              </c:extLst>
            </c:dLbl>
            <c:dLbl>
              <c:idx val="143"/>
              <c:tx>
                <c:rich>
                  <a:bodyPr/>
                  <a:lstStyle/>
                  <a:p>
                    <a:fld id="{3158D4EB-C233-4EB5-9B26-E9D0D9A420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F8ED-40ED-A79F-8F8A8BEBD8A1}"/>
                </c:ext>
              </c:extLst>
            </c:dLbl>
            <c:dLbl>
              <c:idx val="144"/>
              <c:tx>
                <c:rich>
                  <a:bodyPr/>
                  <a:lstStyle/>
                  <a:p>
                    <a:fld id="{FFAD8108-192C-4FB2-BA44-32B42E92A3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F8ED-40ED-A79F-8F8A8BEBD8A1}"/>
                </c:ext>
              </c:extLst>
            </c:dLbl>
            <c:dLbl>
              <c:idx val="145"/>
              <c:tx>
                <c:rich>
                  <a:bodyPr/>
                  <a:lstStyle/>
                  <a:p>
                    <a:fld id="{3D7FE557-21B9-4CAB-96F5-7316F4E5D8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F8ED-40ED-A79F-8F8A8BEBD8A1}"/>
                </c:ext>
              </c:extLst>
            </c:dLbl>
            <c:dLbl>
              <c:idx val="146"/>
              <c:tx>
                <c:rich>
                  <a:bodyPr/>
                  <a:lstStyle/>
                  <a:p>
                    <a:fld id="{663CA3B7-5360-43C1-986E-431B1DEF14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F8ED-40ED-A79F-8F8A8BEBD8A1}"/>
                </c:ext>
              </c:extLst>
            </c:dLbl>
            <c:dLbl>
              <c:idx val="147"/>
              <c:tx>
                <c:rich>
                  <a:bodyPr/>
                  <a:lstStyle/>
                  <a:p>
                    <a:fld id="{0218062D-63A3-4A57-B111-B695F68949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F8ED-40ED-A79F-8F8A8BEBD8A1}"/>
                </c:ext>
              </c:extLst>
            </c:dLbl>
            <c:dLbl>
              <c:idx val="148"/>
              <c:tx>
                <c:rich>
                  <a:bodyPr/>
                  <a:lstStyle/>
                  <a:p>
                    <a:fld id="{3649170D-7BF9-4769-A885-9B6EAF7233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F8ED-40ED-A79F-8F8A8BEBD8A1}"/>
                </c:ext>
              </c:extLst>
            </c:dLbl>
            <c:dLbl>
              <c:idx val="149"/>
              <c:tx>
                <c:rich>
                  <a:bodyPr/>
                  <a:lstStyle/>
                  <a:p>
                    <a:fld id="{2CE7D360-EE94-4E74-B5DC-9BCB124663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F8ED-40ED-A79F-8F8A8BEBD8A1}"/>
                </c:ext>
              </c:extLst>
            </c:dLbl>
            <c:dLbl>
              <c:idx val="150"/>
              <c:tx>
                <c:rich>
                  <a:bodyPr/>
                  <a:lstStyle/>
                  <a:p>
                    <a:fld id="{48106A55-B423-4F0B-A426-18828AF3D5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F8ED-40ED-A79F-8F8A8BEBD8A1}"/>
                </c:ext>
              </c:extLst>
            </c:dLbl>
            <c:dLbl>
              <c:idx val="151"/>
              <c:tx>
                <c:rich>
                  <a:bodyPr/>
                  <a:lstStyle/>
                  <a:p>
                    <a:fld id="{FC13CD79-99DA-4417-AF25-D2DFF99C33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F8ED-40ED-A79F-8F8A8BEBD8A1}"/>
                </c:ext>
              </c:extLst>
            </c:dLbl>
            <c:dLbl>
              <c:idx val="152"/>
              <c:tx>
                <c:rich>
                  <a:bodyPr/>
                  <a:lstStyle/>
                  <a:p>
                    <a:fld id="{79FFFC95-BE5C-4622-89D3-A467EA2E90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F8ED-40ED-A79F-8F8A8BEBD8A1}"/>
                </c:ext>
              </c:extLst>
            </c:dLbl>
            <c:dLbl>
              <c:idx val="153"/>
              <c:tx>
                <c:rich>
                  <a:bodyPr/>
                  <a:lstStyle/>
                  <a:p>
                    <a:fld id="{681F2F2E-9822-49D3-8042-28C7DA91C5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F8ED-40ED-A79F-8F8A8BEBD8A1}"/>
                </c:ext>
              </c:extLst>
            </c:dLbl>
            <c:dLbl>
              <c:idx val="154"/>
              <c:tx>
                <c:rich>
                  <a:bodyPr/>
                  <a:lstStyle/>
                  <a:p>
                    <a:fld id="{A880AB8B-C81D-4262-9EED-39A1C43631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F8ED-40ED-A79F-8F8A8BEBD8A1}"/>
                </c:ext>
              </c:extLst>
            </c:dLbl>
            <c:dLbl>
              <c:idx val="155"/>
              <c:tx>
                <c:rich>
                  <a:bodyPr/>
                  <a:lstStyle/>
                  <a:p>
                    <a:fld id="{D695F8A4-491C-45D6-810F-BA9C36DD03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F8ED-40ED-A79F-8F8A8BEBD8A1}"/>
                </c:ext>
              </c:extLst>
            </c:dLbl>
            <c:dLbl>
              <c:idx val="156"/>
              <c:tx>
                <c:rich>
                  <a:bodyPr/>
                  <a:lstStyle/>
                  <a:p>
                    <a:fld id="{6EF01086-7336-41E5-AD0B-5B4F5B97C0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F8ED-40ED-A79F-8F8A8BEBD8A1}"/>
                </c:ext>
              </c:extLst>
            </c:dLbl>
            <c:dLbl>
              <c:idx val="157"/>
              <c:tx>
                <c:rich>
                  <a:bodyPr/>
                  <a:lstStyle/>
                  <a:p>
                    <a:fld id="{9C5A546E-1EE9-40B7-9841-682AB821B8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F8ED-40ED-A79F-8F8A8BEBD8A1}"/>
                </c:ext>
              </c:extLst>
            </c:dLbl>
            <c:dLbl>
              <c:idx val="158"/>
              <c:tx>
                <c:rich>
                  <a:bodyPr/>
                  <a:lstStyle/>
                  <a:p>
                    <a:fld id="{D8F83C0E-6B43-4A01-AFFD-31629C071E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F8ED-40ED-A79F-8F8A8BEBD8A1}"/>
                </c:ext>
              </c:extLst>
            </c:dLbl>
            <c:dLbl>
              <c:idx val="159"/>
              <c:tx>
                <c:rich>
                  <a:bodyPr/>
                  <a:lstStyle/>
                  <a:p>
                    <a:fld id="{291EB476-A496-4F95-B038-FC92524EE0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F8ED-40ED-A79F-8F8A8BEBD8A1}"/>
                </c:ext>
              </c:extLst>
            </c:dLbl>
            <c:dLbl>
              <c:idx val="160"/>
              <c:tx>
                <c:rich>
                  <a:bodyPr/>
                  <a:lstStyle/>
                  <a:p>
                    <a:fld id="{5AB972A3-1705-44CF-8032-6982F443B7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F8ED-40ED-A79F-8F8A8BEBD8A1}"/>
                </c:ext>
              </c:extLst>
            </c:dLbl>
            <c:dLbl>
              <c:idx val="161"/>
              <c:tx>
                <c:rich>
                  <a:bodyPr/>
                  <a:lstStyle/>
                  <a:p>
                    <a:fld id="{9B4590AC-A46C-4729-8257-9E83796579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F8ED-40ED-A79F-8F8A8BEBD8A1}"/>
                </c:ext>
              </c:extLst>
            </c:dLbl>
            <c:dLbl>
              <c:idx val="162"/>
              <c:tx>
                <c:rich>
                  <a:bodyPr/>
                  <a:lstStyle/>
                  <a:p>
                    <a:fld id="{DD468659-C3C3-453B-9DA1-D52B43EE80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F8ED-40ED-A79F-8F8A8BEBD8A1}"/>
                </c:ext>
              </c:extLst>
            </c:dLbl>
            <c:dLbl>
              <c:idx val="163"/>
              <c:tx>
                <c:rich>
                  <a:bodyPr/>
                  <a:lstStyle/>
                  <a:p>
                    <a:fld id="{F9A9EEF0-CC18-4490-AA8B-6E8F1A1FA4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F8ED-40ED-A79F-8F8A8BEBD8A1}"/>
                </c:ext>
              </c:extLst>
            </c:dLbl>
            <c:dLbl>
              <c:idx val="164"/>
              <c:tx>
                <c:rich>
                  <a:bodyPr/>
                  <a:lstStyle/>
                  <a:p>
                    <a:fld id="{487D31AF-7556-47C3-96DC-74B81D9B97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F8ED-40ED-A79F-8F8A8BEBD8A1}"/>
                </c:ext>
              </c:extLst>
            </c:dLbl>
            <c:dLbl>
              <c:idx val="165"/>
              <c:tx>
                <c:rich>
                  <a:bodyPr/>
                  <a:lstStyle/>
                  <a:p>
                    <a:fld id="{3760E784-32A3-4EDC-B350-03B25897E5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F8ED-40ED-A79F-8F8A8BEBD8A1}"/>
                </c:ext>
              </c:extLst>
            </c:dLbl>
            <c:dLbl>
              <c:idx val="166"/>
              <c:tx>
                <c:rich>
                  <a:bodyPr/>
                  <a:lstStyle/>
                  <a:p>
                    <a:fld id="{AF69C45D-C10F-4436-9B6B-B0B2796894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F8ED-40ED-A79F-8F8A8BEBD8A1}"/>
                </c:ext>
              </c:extLst>
            </c:dLbl>
            <c:dLbl>
              <c:idx val="167"/>
              <c:tx>
                <c:rich>
                  <a:bodyPr/>
                  <a:lstStyle/>
                  <a:p>
                    <a:fld id="{9432386B-2007-4415-BBA9-ABE7D7DC83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F8ED-40ED-A79F-8F8A8BEBD8A1}"/>
                </c:ext>
              </c:extLst>
            </c:dLbl>
            <c:dLbl>
              <c:idx val="168"/>
              <c:tx>
                <c:rich>
                  <a:bodyPr/>
                  <a:lstStyle/>
                  <a:p>
                    <a:fld id="{16D5B1AE-7AB2-4091-9329-128F8D0391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F8ED-40ED-A79F-8F8A8BEBD8A1}"/>
                </c:ext>
              </c:extLst>
            </c:dLbl>
            <c:dLbl>
              <c:idx val="169"/>
              <c:tx>
                <c:rich>
                  <a:bodyPr/>
                  <a:lstStyle/>
                  <a:p>
                    <a:fld id="{88F8527F-83D5-403E-93EC-CF3862EFB5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F8ED-40ED-A79F-8F8A8BEBD8A1}"/>
                </c:ext>
              </c:extLst>
            </c:dLbl>
            <c:dLbl>
              <c:idx val="170"/>
              <c:tx>
                <c:rich>
                  <a:bodyPr/>
                  <a:lstStyle/>
                  <a:p>
                    <a:fld id="{C429AF79-EBAB-4BEF-9020-024166D073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F8ED-40ED-A79F-8F8A8BEBD8A1}"/>
                </c:ext>
              </c:extLst>
            </c:dLbl>
            <c:dLbl>
              <c:idx val="171"/>
              <c:tx>
                <c:rich>
                  <a:bodyPr/>
                  <a:lstStyle/>
                  <a:p>
                    <a:fld id="{3880D6B3-06B3-4568-8D6E-EDEFD20031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F8ED-40ED-A79F-8F8A8BEBD8A1}"/>
                </c:ext>
              </c:extLst>
            </c:dLbl>
            <c:dLbl>
              <c:idx val="172"/>
              <c:tx>
                <c:rich>
                  <a:bodyPr/>
                  <a:lstStyle/>
                  <a:p>
                    <a:fld id="{A02BD580-09B3-46C3-A2BC-4C6EE955BD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F8ED-40ED-A79F-8F8A8BEBD8A1}"/>
                </c:ext>
              </c:extLst>
            </c:dLbl>
            <c:dLbl>
              <c:idx val="173"/>
              <c:tx>
                <c:rich>
                  <a:bodyPr/>
                  <a:lstStyle/>
                  <a:p>
                    <a:fld id="{B7EC94D0-40FC-48A3-84B2-E03E95BE0A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F8ED-40ED-A79F-8F8A8BEBD8A1}"/>
                </c:ext>
              </c:extLst>
            </c:dLbl>
            <c:dLbl>
              <c:idx val="174"/>
              <c:tx>
                <c:rich>
                  <a:bodyPr/>
                  <a:lstStyle/>
                  <a:p>
                    <a:fld id="{00B008FD-9E40-4CC5-B293-412139B591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F8ED-40ED-A79F-8F8A8BEBD8A1}"/>
                </c:ext>
              </c:extLst>
            </c:dLbl>
            <c:dLbl>
              <c:idx val="175"/>
              <c:tx>
                <c:rich>
                  <a:bodyPr/>
                  <a:lstStyle/>
                  <a:p>
                    <a:fld id="{BDC32B10-E4C7-4A31-9137-38D0956E8E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F8ED-40ED-A79F-8F8A8BEBD8A1}"/>
                </c:ext>
              </c:extLst>
            </c:dLbl>
            <c:dLbl>
              <c:idx val="176"/>
              <c:tx>
                <c:rich>
                  <a:bodyPr/>
                  <a:lstStyle/>
                  <a:p>
                    <a:fld id="{98F70B78-7507-4623-AE02-91E874C038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F8ED-40ED-A79F-8F8A8BEBD8A1}"/>
                </c:ext>
              </c:extLst>
            </c:dLbl>
            <c:dLbl>
              <c:idx val="177"/>
              <c:tx>
                <c:rich>
                  <a:bodyPr/>
                  <a:lstStyle/>
                  <a:p>
                    <a:fld id="{136DDEFA-AC7E-445A-9DC0-2CDF8C5D38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F8ED-40ED-A79F-8F8A8BEBD8A1}"/>
                </c:ext>
              </c:extLst>
            </c:dLbl>
            <c:dLbl>
              <c:idx val="178"/>
              <c:tx>
                <c:rich>
                  <a:bodyPr/>
                  <a:lstStyle/>
                  <a:p>
                    <a:fld id="{C10291E4-8806-4FCF-8483-43DECA678C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F8ED-40ED-A79F-8F8A8BEBD8A1}"/>
                </c:ext>
              </c:extLst>
            </c:dLbl>
            <c:dLbl>
              <c:idx val="179"/>
              <c:tx>
                <c:rich>
                  <a:bodyPr/>
                  <a:lstStyle/>
                  <a:p>
                    <a:fld id="{CB0135C9-B470-4FB3-95D6-269E6B977C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F8ED-40ED-A79F-8F8A8BEBD8A1}"/>
                </c:ext>
              </c:extLst>
            </c:dLbl>
            <c:dLbl>
              <c:idx val="180"/>
              <c:tx>
                <c:rich>
                  <a:bodyPr/>
                  <a:lstStyle/>
                  <a:p>
                    <a:fld id="{28F75F22-AFDF-4F02-97FC-3FE02A2F2C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F8ED-40ED-A79F-8F8A8BEBD8A1}"/>
                </c:ext>
              </c:extLst>
            </c:dLbl>
            <c:dLbl>
              <c:idx val="181"/>
              <c:tx>
                <c:rich>
                  <a:bodyPr/>
                  <a:lstStyle/>
                  <a:p>
                    <a:fld id="{BF204F89-FF06-4531-B273-BF00723139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F8ED-40ED-A79F-8F8A8BEBD8A1}"/>
                </c:ext>
              </c:extLst>
            </c:dLbl>
            <c:dLbl>
              <c:idx val="182"/>
              <c:tx>
                <c:rich>
                  <a:bodyPr/>
                  <a:lstStyle/>
                  <a:p>
                    <a:fld id="{90FCB5CC-8169-46E2-A710-142D753D0F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F8ED-40ED-A79F-8F8A8BEBD8A1}"/>
                </c:ext>
              </c:extLst>
            </c:dLbl>
            <c:dLbl>
              <c:idx val="183"/>
              <c:tx>
                <c:rich>
                  <a:bodyPr/>
                  <a:lstStyle/>
                  <a:p>
                    <a:fld id="{F3AFACA3-14F7-4A64-9CEA-F2B88E7991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F8ED-40ED-A79F-8F8A8BEBD8A1}"/>
                </c:ext>
              </c:extLst>
            </c:dLbl>
            <c:dLbl>
              <c:idx val="184"/>
              <c:tx>
                <c:rich>
                  <a:bodyPr/>
                  <a:lstStyle/>
                  <a:p>
                    <a:fld id="{B9672DBC-1560-4587-9626-C5E480C366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F8ED-40ED-A79F-8F8A8BEBD8A1}"/>
                </c:ext>
              </c:extLst>
            </c:dLbl>
            <c:dLbl>
              <c:idx val="185"/>
              <c:tx>
                <c:rich>
                  <a:bodyPr/>
                  <a:lstStyle/>
                  <a:p>
                    <a:fld id="{842D5275-5BBB-4DA5-9BD4-FB8D8E8B02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F8ED-40ED-A79F-8F8A8BEBD8A1}"/>
                </c:ext>
              </c:extLst>
            </c:dLbl>
            <c:dLbl>
              <c:idx val="186"/>
              <c:tx>
                <c:rich>
                  <a:bodyPr/>
                  <a:lstStyle/>
                  <a:p>
                    <a:fld id="{5DCA62FD-4412-4099-B15A-F6B0D98672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F8ED-40ED-A79F-8F8A8BEBD8A1}"/>
                </c:ext>
              </c:extLst>
            </c:dLbl>
            <c:dLbl>
              <c:idx val="187"/>
              <c:tx>
                <c:rich>
                  <a:bodyPr/>
                  <a:lstStyle/>
                  <a:p>
                    <a:fld id="{72F4727A-DA80-4324-AC01-6190507ED2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F8ED-40ED-A79F-8F8A8BEBD8A1}"/>
                </c:ext>
              </c:extLst>
            </c:dLbl>
            <c:dLbl>
              <c:idx val="188"/>
              <c:tx>
                <c:rich>
                  <a:bodyPr/>
                  <a:lstStyle/>
                  <a:p>
                    <a:fld id="{44E7AE59-2300-44A8-A298-71B9C2CE7E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F8ED-40ED-A79F-8F8A8BEBD8A1}"/>
                </c:ext>
              </c:extLst>
            </c:dLbl>
            <c:dLbl>
              <c:idx val="189"/>
              <c:tx>
                <c:rich>
                  <a:bodyPr/>
                  <a:lstStyle/>
                  <a:p>
                    <a:fld id="{6DC94A4E-F4BD-4A64-9A24-FFCA05ED71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F8ED-40ED-A79F-8F8A8BEBD8A1}"/>
                </c:ext>
              </c:extLst>
            </c:dLbl>
            <c:dLbl>
              <c:idx val="190"/>
              <c:tx>
                <c:rich>
                  <a:bodyPr/>
                  <a:lstStyle/>
                  <a:p>
                    <a:fld id="{E2BAABE4-5D70-4B27-96B7-9A92D5A0C6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F8ED-40ED-A79F-8F8A8BEBD8A1}"/>
                </c:ext>
              </c:extLst>
            </c:dLbl>
            <c:dLbl>
              <c:idx val="191"/>
              <c:tx>
                <c:rich>
                  <a:bodyPr/>
                  <a:lstStyle/>
                  <a:p>
                    <a:fld id="{2DB562C4-E154-420F-8108-85DB67A52D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F8ED-40ED-A79F-8F8A8BEBD8A1}"/>
                </c:ext>
              </c:extLst>
            </c:dLbl>
            <c:dLbl>
              <c:idx val="192"/>
              <c:tx>
                <c:rich>
                  <a:bodyPr/>
                  <a:lstStyle/>
                  <a:p>
                    <a:fld id="{B5400EA6-C40A-4E4F-AD7E-AF4A4BB936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F8ED-40ED-A79F-8F8A8BEBD8A1}"/>
                </c:ext>
              </c:extLst>
            </c:dLbl>
            <c:dLbl>
              <c:idx val="193"/>
              <c:tx>
                <c:rich>
                  <a:bodyPr/>
                  <a:lstStyle/>
                  <a:p>
                    <a:fld id="{D222C312-2060-4500-99E6-2D5AEA2E19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F8ED-40ED-A79F-8F8A8BEBD8A1}"/>
                </c:ext>
              </c:extLst>
            </c:dLbl>
            <c:dLbl>
              <c:idx val="194"/>
              <c:tx>
                <c:rich>
                  <a:bodyPr/>
                  <a:lstStyle/>
                  <a:p>
                    <a:fld id="{7D986BDB-132F-4301-BAA3-CC90EE1180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F8ED-40ED-A79F-8F8A8BEBD8A1}"/>
                </c:ext>
              </c:extLst>
            </c:dLbl>
            <c:dLbl>
              <c:idx val="195"/>
              <c:tx>
                <c:rich>
                  <a:bodyPr/>
                  <a:lstStyle/>
                  <a:p>
                    <a:fld id="{D4CB8B5C-3640-44E1-AA05-D617F2027E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F8ED-40ED-A79F-8F8A8BEBD8A1}"/>
                </c:ext>
              </c:extLst>
            </c:dLbl>
            <c:dLbl>
              <c:idx val="196"/>
              <c:tx>
                <c:rich>
                  <a:bodyPr/>
                  <a:lstStyle/>
                  <a:p>
                    <a:fld id="{9974C575-5689-4B04-A6BF-45BE959268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F8ED-40ED-A79F-8F8A8BEBD8A1}"/>
                </c:ext>
              </c:extLst>
            </c:dLbl>
            <c:dLbl>
              <c:idx val="197"/>
              <c:tx>
                <c:rich>
                  <a:bodyPr/>
                  <a:lstStyle/>
                  <a:p>
                    <a:fld id="{4CE144EE-FF4C-465C-B597-DD4304A8A9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F8ED-40ED-A79F-8F8A8BEBD8A1}"/>
                </c:ext>
              </c:extLst>
            </c:dLbl>
            <c:dLbl>
              <c:idx val="198"/>
              <c:tx>
                <c:rich>
                  <a:bodyPr/>
                  <a:lstStyle/>
                  <a:p>
                    <a:fld id="{5745C350-798B-4B0D-9225-9252B4024A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F8ED-40ED-A79F-8F8A8BEBD8A1}"/>
                </c:ext>
              </c:extLst>
            </c:dLbl>
            <c:dLbl>
              <c:idx val="199"/>
              <c:tx>
                <c:rich>
                  <a:bodyPr/>
                  <a:lstStyle/>
                  <a:p>
                    <a:fld id="{9C7C78C5-22BB-4975-8BE9-8E03338372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F8ED-40ED-A79F-8F8A8BEBD8A1}"/>
                </c:ext>
              </c:extLst>
            </c:dLbl>
            <c:dLbl>
              <c:idx val="200"/>
              <c:tx>
                <c:rich>
                  <a:bodyPr/>
                  <a:lstStyle/>
                  <a:p>
                    <a:fld id="{F890EAA7-B7AD-4945-84CC-E1C6C65034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F8ED-40ED-A79F-8F8A8BEBD8A1}"/>
                </c:ext>
              </c:extLst>
            </c:dLbl>
            <c:dLbl>
              <c:idx val="201"/>
              <c:tx>
                <c:rich>
                  <a:bodyPr/>
                  <a:lstStyle/>
                  <a:p>
                    <a:fld id="{5AF63361-9B30-4DC7-9840-2DF4561DE3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F8ED-40ED-A79F-8F8A8BEBD8A1}"/>
                </c:ext>
              </c:extLst>
            </c:dLbl>
            <c:dLbl>
              <c:idx val="202"/>
              <c:tx>
                <c:rich>
                  <a:bodyPr/>
                  <a:lstStyle/>
                  <a:p>
                    <a:fld id="{CFF05477-12E1-4DF8-B793-C04CBFADB6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F8ED-40ED-A79F-8F8A8BEBD8A1}"/>
                </c:ext>
              </c:extLst>
            </c:dLbl>
            <c:dLbl>
              <c:idx val="203"/>
              <c:tx>
                <c:rich>
                  <a:bodyPr/>
                  <a:lstStyle/>
                  <a:p>
                    <a:fld id="{6AEF4760-D9F9-4444-8DE1-23E6D571F9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F8ED-40ED-A79F-8F8A8BEBD8A1}"/>
                </c:ext>
              </c:extLst>
            </c:dLbl>
            <c:dLbl>
              <c:idx val="204"/>
              <c:tx>
                <c:rich>
                  <a:bodyPr/>
                  <a:lstStyle/>
                  <a:p>
                    <a:fld id="{CFE2877B-0E19-4A0B-BA76-3F3D235BC5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F8ED-40ED-A79F-8F8A8BEBD8A1}"/>
                </c:ext>
              </c:extLst>
            </c:dLbl>
            <c:dLbl>
              <c:idx val="205"/>
              <c:tx>
                <c:rich>
                  <a:bodyPr/>
                  <a:lstStyle/>
                  <a:p>
                    <a:fld id="{7B082C76-DFB4-4637-BD50-55F03851D3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F8ED-40ED-A79F-8F8A8BEBD8A1}"/>
                </c:ext>
              </c:extLst>
            </c:dLbl>
            <c:dLbl>
              <c:idx val="206"/>
              <c:tx>
                <c:rich>
                  <a:bodyPr/>
                  <a:lstStyle/>
                  <a:p>
                    <a:fld id="{FC7C61B3-3938-449F-B7F6-C1E760EACA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F8ED-40ED-A79F-8F8A8BEBD8A1}"/>
                </c:ext>
              </c:extLst>
            </c:dLbl>
            <c:dLbl>
              <c:idx val="207"/>
              <c:tx>
                <c:rich>
                  <a:bodyPr/>
                  <a:lstStyle/>
                  <a:p>
                    <a:fld id="{46255340-A980-4E4F-9E93-BD6EF153BA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F8ED-40ED-A79F-8F8A8BEBD8A1}"/>
                </c:ext>
              </c:extLst>
            </c:dLbl>
            <c:dLbl>
              <c:idx val="208"/>
              <c:tx>
                <c:rich>
                  <a:bodyPr/>
                  <a:lstStyle/>
                  <a:p>
                    <a:fld id="{8C1781BA-A37E-4470-8E85-0DDBCEAA13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F8ED-40ED-A79F-8F8A8BEBD8A1}"/>
                </c:ext>
              </c:extLst>
            </c:dLbl>
            <c:dLbl>
              <c:idx val="209"/>
              <c:tx>
                <c:rich>
                  <a:bodyPr/>
                  <a:lstStyle/>
                  <a:p>
                    <a:fld id="{9C0B1EB0-D311-4D0F-8513-8FCA2580D0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F8ED-40ED-A79F-8F8A8BEBD8A1}"/>
                </c:ext>
              </c:extLst>
            </c:dLbl>
            <c:dLbl>
              <c:idx val="210"/>
              <c:tx>
                <c:rich>
                  <a:bodyPr/>
                  <a:lstStyle/>
                  <a:p>
                    <a:fld id="{FB106D20-13D8-4248-9F37-2DB2B2BD3D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F8ED-40ED-A79F-8F8A8BEBD8A1}"/>
                </c:ext>
              </c:extLst>
            </c:dLbl>
            <c:dLbl>
              <c:idx val="211"/>
              <c:tx>
                <c:rich>
                  <a:bodyPr/>
                  <a:lstStyle/>
                  <a:p>
                    <a:fld id="{4DF0F269-5291-409C-BD95-E9E27FAC53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F8ED-40ED-A79F-8F8A8BEBD8A1}"/>
                </c:ext>
              </c:extLst>
            </c:dLbl>
            <c:dLbl>
              <c:idx val="212"/>
              <c:tx>
                <c:rich>
                  <a:bodyPr/>
                  <a:lstStyle/>
                  <a:p>
                    <a:fld id="{914251A5-7BBA-43CD-86C7-34F88870B5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F8ED-40ED-A79F-8F8A8BEBD8A1}"/>
                </c:ext>
              </c:extLst>
            </c:dLbl>
            <c:dLbl>
              <c:idx val="213"/>
              <c:tx>
                <c:rich>
                  <a:bodyPr/>
                  <a:lstStyle/>
                  <a:p>
                    <a:fld id="{1B9A4011-E7D0-4C24-B410-4632436AF4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F8ED-40ED-A79F-8F8A8BEBD8A1}"/>
                </c:ext>
              </c:extLst>
            </c:dLbl>
            <c:dLbl>
              <c:idx val="214"/>
              <c:tx>
                <c:rich>
                  <a:bodyPr/>
                  <a:lstStyle/>
                  <a:p>
                    <a:fld id="{64AABBFC-E2FA-4B50-9FD1-E654F5A91C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F8ED-40ED-A79F-8F8A8BEBD8A1}"/>
                </c:ext>
              </c:extLst>
            </c:dLbl>
            <c:dLbl>
              <c:idx val="215"/>
              <c:tx>
                <c:rich>
                  <a:bodyPr/>
                  <a:lstStyle/>
                  <a:p>
                    <a:fld id="{951BE864-9B2D-4DE7-AEDA-647AB7A2D8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F8ED-40ED-A79F-8F8A8BEBD8A1}"/>
                </c:ext>
              </c:extLst>
            </c:dLbl>
            <c:dLbl>
              <c:idx val="216"/>
              <c:tx>
                <c:rich>
                  <a:bodyPr/>
                  <a:lstStyle/>
                  <a:p>
                    <a:fld id="{3C6455E9-9EA6-463C-8694-EE79C27F12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F8ED-40ED-A79F-8F8A8BEBD8A1}"/>
                </c:ext>
              </c:extLst>
            </c:dLbl>
            <c:dLbl>
              <c:idx val="217"/>
              <c:tx>
                <c:rich>
                  <a:bodyPr/>
                  <a:lstStyle/>
                  <a:p>
                    <a:fld id="{890F0253-902E-4141-A268-74B22C3BFB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F8ED-40ED-A79F-8F8A8BEBD8A1}"/>
                </c:ext>
              </c:extLst>
            </c:dLbl>
            <c:dLbl>
              <c:idx val="218"/>
              <c:tx>
                <c:rich>
                  <a:bodyPr/>
                  <a:lstStyle/>
                  <a:p>
                    <a:fld id="{E3132BEB-4A1E-4BBF-B110-C1D6178369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F8ED-40ED-A79F-8F8A8BEBD8A1}"/>
                </c:ext>
              </c:extLst>
            </c:dLbl>
            <c:dLbl>
              <c:idx val="219"/>
              <c:tx>
                <c:rich>
                  <a:bodyPr/>
                  <a:lstStyle/>
                  <a:p>
                    <a:fld id="{F347D641-1CF6-4B0F-8F71-80D33DDC1E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F8ED-40ED-A79F-8F8A8BEBD8A1}"/>
                </c:ext>
              </c:extLst>
            </c:dLbl>
            <c:dLbl>
              <c:idx val="220"/>
              <c:tx>
                <c:rich>
                  <a:bodyPr/>
                  <a:lstStyle/>
                  <a:p>
                    <a:fld id="{F15DDC2A-03D9-4DF0-8D38-F522B8718E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F8ED-40ED-A79F-8F8A8BEBD8A1}"/>
                </c:ext>
              </c:extLst>
            </c:dLbl>
            <c:dLbl>
              <c:idx val="221"/>
              <c:tx>
                <c:rich>
                  <a:bodyPr/>
                  <a:lstStyle/>
                  <a:p>
                    <a:fld id="{390D4377-A69A-444D-9C8C-403B0E352F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F8ED-40ED-A79F-8F8A8BEBD8A1}"/>
                </c:ext>
              </c:extLst>
            </c:dLbl>
            <c:dLbl>
              <c:idx val="222"/>
              <c:tx>
                <c:rich>
                  <a:bodyPr/>
                  <a:lstStyle/>
                  <a:p>
                    <a:fld id="{D19B9FBB-A6EC-4D43-BF32-2954DDB1B0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F8ED-40ED-A79F-8F8A8BEBD8A1}"/>
                </c:ext>
              </c:extLst>
            </c:dLbl>
            <c:dLbl>
              <c:idx val="223"/>
              <c:tx>
                <c:rich>
                  <a:bodyPr/>
                  <a:lstStyle/>
                  <a:p>
                    <a:fld id="{5CF9BE85-3994-43DC-957E-B290CB511F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F8ED-40ED-A79F-8F8A8BEBD8A1}"/>
                </c:ext>
              </c:extLst>
            </c:dLbl>
            <c:dLbl>
              <c:idx val="224"/>
              <c:tx>
                <c:rich>
                  <a:bodyPr/>
                  <a:lstStyle/>
                  <a:p>
                    <a:fld id="{E5A47474-240A-470D-BC9C-68A79B77BD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F8ED-40ED-A79F-8F8A8BEBD8A1}"/>
                </c:ext>
              </c:extLst>
            </c:dLbl>
            <c:dLbl>
              <c:idx val="225"/>
              <c:tx>
                <c:rich>
                  <a:bodyPr/>
                  <a:lstStyle/>
                  <a:p>
                    <a:fld id="{0D4B5F91-880D-4E6E-AE7F-BCC52543FB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F8ED-40ED-A79F-8F8A8BEBD8A1}"/>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F8ED-40ED-A79F-8F8A8BEBD8A1}"/>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F8ED-40ED-A79F-8F8A8BEBD8A1}"/>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F8ED-40ED-A79F-8F8A8BEBD8A1}"/>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F8ED-40ED-A79F-8F8A8BEBD8A1}"/>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F8ED-40ED-A79F-8F8A8BEBD8A1}"/>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F8ED-40ED-A79F-8F8A8BEBD8A1}"/>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F8ED-40ED-A79F-8F8A8BEBD8A1}"/>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F8ED-40ED-A79F-8F8A8BEBD8A1}"/>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F8ED-40ED-A79F-8F8A8BEBD8A1}"/>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F8ED-40ED-A79F-8F8A8BEBD8A1}"/>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F8ED-40ED-A79F-8F8A8BEBD8A1}"/>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F8ED-40ED-A79F-8F8A8BEBD8A1}"/>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F8ED-40ED-A79F-8F8A8BEBD8A1}"/>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F8ED-40ED-A79F-8F8A8BEBD8A1}"/>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F8ED-40ED-A79F-8F8A8BEBD8A1}"/>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F8ED-40ED-A79F-8F8A8BEBD8A1}"/>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F8ED-40ED-A79F-8F8A8BEBD8A1}"/>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F8ED-40ED-A79F-8F8A8BEBD8A1}"/>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F8ED-40ED-A79F-8F8A8BEBD8A1}"/>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F8ED-40ED-A79F-8F8A8BEBD8A1}"/>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F8ED-40ED-A79F-8F8A8BEBD8A1}"/>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F8ED-40ED-A79F-8F8A8BEBD8A1}"/>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F8ED-40ED-A79F-8F8A8BEBD8A1}"/>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F8ED-40ED-A79F-8F8A8BEBD8A1}"/>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F8ED-40ED-A79F-8F8A8BEBD8A1}"/>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F8ED-40ED-A79F-8F8A8BEBD8A1}"/>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F8ED-40ED-A79F-8F8A8BEBD8A1}"/>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F8ED-40ED-A79F-8F8A8BEBD8A1}"/>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F8ED-40ED-A79F-8F8A8BEBD8A1}"/>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F8ED-40ED-A79F-8F8A8BEBD8A1}"/>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F8ED-40ED-A79F-8F8A8BEBD8A1}"/>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F8ED-40ED-A79F-8F8A8BEBD8A1}"/>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F8ED-40ED-A79F-8F8A8BEBD8A1}"/>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F8ED-40ED-A79F-8F8A8BEBD8A1}"/>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F8ED-40ED-A79F-8F8A8BEBD8A1}"/>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F8ED-40ED-A79F-8F8A8BEBD8A1}"/>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F8ED-40ED-A79F-8F8A8BEBD8A1}"/>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F8ED-40ED-A79F-8F8A8BEBD8A1}"/>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F8ED-40ED-A79F-8F8A8BEBD8A1}"/>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F8ED-40ED-A79F-8F8A8BEBD8A1}"/>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F8ED-40ED-A79F-8F8A8BEBD8A1}"/>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F8ED-40ED-A79F-8F8A8BEBD8A1}"/>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F8ED-40ED-A79F-8F8A8BEBD8A1}"/>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F8ED-40ED-A79F-8F8A8BEBD8A1}"/>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F8ED-40ED-A79F-8F8A8BEBD8A1}"/>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F8ED-40ED-A79F-8F8A8BEBD8A1}"/>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F8ED-40ED-A79F-8F8A8BEBD8A1}"/>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F8ED-40ED-A79F-8F8A8BEBD8A1}"/>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F8ED-40ED-A79F-8F8A8BEBD8A1}"/>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F8ED-40ED-A79F-8F8A8BEBD8A1}"/>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F8ED-40ED-A79F-8F8A8BEBD8A1}"/>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F8ED-40ED-A79F-8F8A8BEBD8A1}"/>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F8ED-40ED-A79F-8F8A8BEBD8A1}"/>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F8ED-40ED-A79F-8F8A8BEBD8A1}"/>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F8ED-40ED-A79F-8F8A8BEBD8A1}"/>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F8ED-40ED-A79F-8F8A8BEBD8A1}"/>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F8ED-40ED-A79F-8F8A8BEBD8A1}"/>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F8ED-40ED-A79F-8F8A8BEBD8A1}"/>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F8ED-40ED-A79F-8F8A8BEBD8A1}"/>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F8ED-40ED-A79F-8F8A8BEBD8A1}"/>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F8ED-40ED-A79F-8F8A8BEBD8A1}"/>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F8ED-40ED-A79F-8F8A8BEBD8A1}"/>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F8ED-40ED-A79F-8F8A8BEBD8A1}"/>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F8ED-40ED-A79F-8F8A8BEBD8A1}"/>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F8ED-40ED-A79F-8F8A8BEBD8A1}"/>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F8ED-40ED-A79F-8F8A8BEBD8A1}"/>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F8ED-40ED-A79F-8F8A8BEBD8A1}"/>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F8ED-40ED-A79F-8F8A8BEBD8A1}"/>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F8ED-40ED-A79F-8F8A8BEBD8A1}"/>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F8ED-40ED-A79F-8F8A8BEBD8A1}"/>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F8ED-40ED-A79F-8F8A8BEBD8A1}"/>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F8ED-40ED-A79F-8F8A8BEBD8A1}"/>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F8ED-40ED-A79F-8F8A8BEBD8A1}"/>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NormalisedUVVisData!$G$2:$G$300</c:f>
              <c:numCache>
                <c:formatCode>General</c:formatCode>
                <c:ptCount val="299"/>
                <c:pt idx="0">
                  <c:v>68.4962158203125</c:v>
                </c:pt>
                <c:pt idx="1">
                  <c:v>68.585983276367188</c:v>
                </c:pt>
                <c:pt idx="2">
                  <c:v>67.259529113769531</c:v>
                </c:pt>
                <c:pt idx="3">
                  <c:v>65.660972595214844</c:v>
                </c:pt>
                <c:pt idx="4">
                  <c:v>63.728919982910156</c:v>
                </c:pt>
                <c:pt idx="5">
                  <c:v>61.444927215576172</c:v>
                </c:pt>
                <c:pt idx="6">
                  <c:v>59.020839691162109</c:v>
                </c:pt>
                <c:pt idx="7">
                  <c:v>57.003910064697266</c:v>
                </c:pt>
                <c:pt idx="8">
                  <c:v>55.977565765380859</c:v>
                </c:pt>
                <c:pt idx="9">
                  <c:v>56.172382354736328</c:v>
                </c:pt>
                <c:pt idx="10">
                  <c:v>57.518207550048828</c:v>
                </c:pt>
                <c:pt idx="11">
                  <c:v>60.209396362304688</c:v>
                </c:pt>
                <c:pt idx="12">
                  <c:v>64.501976013183594</c:v>
                </c:pt>
                <c:pt idx="13">
                  <c:v>71.001113891601563</c:v>
                </c:pt>
                <c:pt idx="14">
                  <c:v>79.408920288085938</c:v>
                </c:pt>
                <c:pt idx="15">
                  <c:v>88.733871459960938</c:v>
                </c:pt>
                <c:pt idx="16">
                  <c:v>96.296112060546875</c:v>
                </c:pt>
                <c:pt idx="17">
                  <c:v>100</c:v>
                </c:pt>
                <c:pt idx="18">
                  <c:v>97.800285339355469</c:v>
                </c:pt>
                <c:pt idx="19">
                  <c:v>89.241737365722656</c:v>
                </c:pt>
                <c:pt idx="20">
                  <c:v>77.416343688964844</c:v>
                </c:pt>
                <c:pt idx="21">
                  <c:v>65.51318359375</c:v>
                </c:pt>
                <c:pt idx="22">
                  <c:v>55.280071258544922</c:v>
                </c:pt>
                <c:pt idx="23">
                  <c:v>47.635585784912109</c:v>
                </c:pt>
                <c:pt idx="24">
                  <c:v>41.983291625976563</c:v>
                </c:pt>
                <c:pt idx="25">
                  <c:v>38.206863403320313</c:v>
                </c:pt>
                <c:pt idx="26">
                  <c:v>35.692768096923828</c:v>
                </c:pt>
                <c:pt idx="27">
                  <c:v>34.271625518798828</c:v>
                </c:pt>
                <c:pt idx="28">
                  <c:v>33.553718566894531</c:v>
                </c:pt>
                <c:pt idx="29">
                  <c:v>33.227664947509766</c:v>
                </c:pt>
                <c:pt idx="30">
                  <c:v>33.226428985595703</c:v>
                </c:pt>
                <c:pt idx="31">
                  <c:v>33.6287841796875</c:v>
                </c:pt>
                <c:pt idx="32">
                  <c:v>34.212154388427734</c:v>
                </c:pt>
                <c:pt idx="33">
                  <c:v>34.767337799072266</c:v>
                </c:pt>
                <c:pt idx="34">
                  <c:v>35.271720886230469</c:v>
                </c:pt>
                <c:pt idx="35">
                  <c:v>35.600444793701172</c:v>
                </c:pt>
                <c:pt idx="36">
                  <c:v>35.704456329345703</c:v>
                </c:pt>
                <c:pt idx="37">
                  <c:v>35.407810211181641</c:v>
                </c:pt>
                <c:pt idx="38">
                  <c:v>34.622234344482422</c:v>
                </c:pt>
                <c:pt idx="39">
                  <c:v>33.538112640380859</c:v>
                </c:pt>
                <c:pt idx="40">
                  <c:v>32.395236968994141</c:v>
                </c:pt>
                <c:pt idx="41">
                  <c:v>31.667413711547852</c:v>
                </c:pt>
                <c:pt idx="42">
                  <c:v>31.48582649230957</c:v>
                </c:pt>
                <c:pt idx="43">
                  <c:v>31.55517578125</c:v>
                </c:pt>
                <c:pt idx="44">
                  <c:v>31.918615341186523</c:v>
                </c:pt>
                <c:pt idx="45">
                  <c:v>32.295177459716797</c:v>
                </c:pt>
                <c:pt idx="46">
                  <c:v>32.591621398925781</c:v>
                </c:pt>
                <c:pt idx="47">
                  <c:v>32.809581756591797</c:v>
                </c:pt>
                <c:pt idx="48">
                  <c:v>32.987686157226563</c:v>
                </c:pt>
                <c:pt idx="49">
                  <c:v>33.142589569091797</c:v>
                </c:pt>
                <c:pt idx="50">
                  <c:v>33.176494598388672</c:v>
                </c:pt>
                <c:pt idx="51">
                  <c:v>33.016471862792969</c:v>
                </c:pt>
                <c:pt idx="52">
                  <c:v>32.698410034179688</c:v>
                </c:pt>
                <c:pt idx="53">
                  <c:v>32.084514617919922</c:v>
                </c:pt>
                <c:pt idx="54">
                  <c:v>31.223138809204102</c:v>
                </c:pt>
                <c:pt idx="55">
                  <c:v>30.107719421386719</c:v>
                </c:pt>
                <c:pt idx="56">
                  <c:v>28.706092834472656</c:v>
                </c:pt>
                <c:pt idx="57">
                  <c:v>27.244903564453125</c:v>
                </c:pt>
                <c:pt idx="58">
                  <c:v>25.693532943725586</c:v>
                </c:pt>
                <c:pt idx="59">
                  <c:v>24.13994026184082</c:v>
                </c:pt>
                <c:pt idx="60">
                  <c:v>22.580060958862305</c:v>
                </c:pt>
                <c:pt idx="61">
                  <c:v>20.997684478759766</c:v>
                </c:pt>
                <c:pt idx="62">
                  <c:v>19.433496475219727</c:v>
                </c:pt>
                <c:pt idx="63">
                  <c:v>17.732181549072266</c:v>
                </c:pt>
                <c:pt idx="64">
                  <c:v>16.052642822265625</c:v>
                </c:pt>
                <c:pt idx="65">
                  <c:v>14.399018287658691</c:v>
                </c:pt>
                <c:pt idx="66">
                  <c:v>12.765641212463379</c:v>
                </c:pt>
                <c:pt idx="67">
                  <c:v>11.211997032165527</c:v>
                </c:pt>
                <c:pt idx="68">
                  <c:v>10.018879890441895</c:v>
                </c:pt>
                <c:pt idx="69">
                  <c:v>8.9419097900390625</c:v>
                </c:pt>
                <c:pt idx="70">
                  <c:v>7.9853954315185547</c:v>
                </c:pt>
                <c:pt idx="71">
                  <c:v>7.2952914237976074</c:v>
                </c:pt>
                <c:pt idx="72">
                  <c:v>6.7612872123718262</c:v>
                </c:pt>
                <c:pt idx="73">
                  <c:v>6.4391827583312988</c:v>
                </c:pt>
                <c:pt idx="74">
                  <c:v>6.2272562980651855</c:v>
                </c:pt>
                <c:pt idx="75">
                  <c:v>6.0598821640014648</c:v>
                </c:pt>
                <c:pt idx="76">
                  <c:v>6.0037097930908203</c:v>
                </c:pt>
                <c:pt idx="77">
                  <c:v>6.0299544334411621</c:v>
                </c:pt>
                <c:pt idx="78">
                  <c:v>6.0590577125549316</c:v>
                </c:pt>
                <c:pt idx="79">
                  <c:v>6.0237455368041992</c:v>
                </c:pt>
                <c:pt idx="80">
                  <c:v>6.1484551429748535</c:v>
                </c:pt>
                <c:pt idx="81">
                  <c:v>6.3433237075805664</c:v>
                </c:pt>
                <c:pt idx="82">
                  <c:v>6.4451656341552734</c:v>
                </c:pt>
                <c:pt idx="83">
                  <c:v>6.5533356666564941</c:v>
                </c:pt>
                <c:pt idx="84">
                  <c:v>6.7338590621948242</c:v>
                </c:pt>
                <c:pt idx="85">
                  <c:v>6.852226734161377</c:v>
                </c:pt>
                <c:pt idx="86">
                  <c:v>7.1348972320556641</c:v>
                </c:pt>
                <c:pt idx="87">
                  <c:v>7.3831467628479004</c:v>
                </c:pt>
                <c:pt idx="88">
                  <c:v>7.4385743141174316</c:v>
                </c:pt>
                <c:pt idx="89">
                  <c:v>7.6812000274658203</c:v>
                </c:pt>
                <c:pt idx="90">
                  <c:v>7.9794526100158691</c:v>
                </c:pt>
                <c:pt idx="91">
                  <c:v>8.0799646377563477</c:v>
                </c:pt>
                <c:pt idx="92">
                  <c:v>8.3616113662719727</c:v>
                </c:pt>
                <c:pt idx="93">
                  <c:v>8.6465024948120117</c:v>
                </c:pt>
                <c:pt idx="94">
                  <c:v>8.9493551254272461</c:v>
                </c:pt>
                <c:pt idx="95">
                  <c:v>9.3668670654296875</c:v>
                </c:pt>
                <c:pt idx="96">
                  <c:v>9.7407426834106445</c:v>
                </c:pt>
                <c:pt idx="97">
                  <c:v>10.13020133972168</c:v>
                </c:pt>
                <c:pt idx="98">
                  <c:v>10.572162628173828</c:v>
                </c:pt>
                <c:pt idx="99">
                  <c:v>10.878830909729004</c:v>
                </c:pt>
                <c:pt idx="100">
                  <c:v>11.217620849609375</c:v>
                </c:pt>
                <c:pt idx="101">
                  <c:v>11.561050415039063</c:v>
                </c:pt>
                <c:pt idx="102">
                  <c:v>11.900199890136719</c:v>
                </c:pt>
                <c:pt idx="103">
                  <c:v>12.30626392364502</c:v>
                </c:pt>
                <c:pt idx="104">
                  <c:v>12.736577987670898</c:v>
                </c:pt>
                <c:pt idx="105">
                  <c:v>13.206751823425293</c:v>
                </c:pt>
                <c:pt idx="106">
                  <c:v>13.688359260559082</c:v>
                </c:pt>
                <c:pt idx="107">
                  <c:v>14.047079086303711</c:v>
                </c:pt>
                <c:pt idx="108">
                  <c:v>14.351540565490723</c:v>
                </c:pt>
                <c:pt idx="109">
                  <c:v>14.81472110748291</c:v>
                </c:pt>
                <c:pt idx="110">
                  <c:v>15.277342796325684</c:v>
                </c:pt>
                <c:pt idx="111">
                  <c:v>15.704014778137207</c:v>
                </c:pt>
                <c:pt idx="112">
                  <c:v>16.169761657714844</c:v>
                </c:pt>
                <c:pt idx="113">
                  <c:v>16.628208160400391</c:v>
                </c:pt>
                <c:pt idx="114">
                  <c:v>17.110773086547852</c:v>
                </c:pt>
                <c:pt idx="115">
                  <c:v>17.402923583984375</c:v>
                </c:pt>
                <c:pt idx="116">
                  <c:v>17.535877227783203</c:v>
                </c:pt>
                <c:pt idx="117">
                  <c:v>17.785043716430664</c:v>
                </c:pt>
                <c:pt idx="118">
                  <c:v>18.161046981811523</c:v>
                </c:pt>
                <c:pt idx="119">
                  <c:v>18.465932846069336</c:v>
                </c:pt>
                <c:pt idx="120">
                  <c:v>18.736013412475586</c:v>
                </c:pt>
                <c:pt idx="121">
                  <c:v>19.04798698425293</c:v>
                </c:pt>
                <c:pt idx="122">
                  <c:v>19.21946907043457</c:v>
                </c:pt>
                <c:pt idx="123">
                  <c:v>19.51344108581543</c:v>
                </c:pt>
                <c:pt idx="124">
                  <c:v>19.777551651000977</c:v>
                </c:pt>
                <c:pt idx="125">
                  <c:v>19.735977172851563</c:v>
                </c:pt>
                <c:pt idx="126">
                  <c:v>19.725925445556641</c:v>
                </c:pt>
                <c:pt idx="127">
                  <c:v>19.680948257446289</c:v>
                </c:pt>
                <c:pt idx="128">
                  <c:v>19.681678771972656</c:v>
                </c:pt>
                <c:pt idx="129">
                  <c:v>19.629348754882813</c:v>
                </c:pt>
                <c:pt idx="130">
                  <c:v>19.384729385375977</c:v>
                </c:pt>
                <c:pt idx="131">
                  <c:v>19.214178085327148</c:v>
                </c:pt>
                <c:pt idx="132">
                  <c:v>19.103933334350586</c:v>
                </c:pt>
                <c:pt idx="133">
                  <c:v>19.069404602050781</c:v>
                </c:pt>
                <c:pt idx="134">
                  <c:v>18.958536148071289</c:v>
                </c:pt>
                <c:pt idx="135">
                  <c:v>18.827564239501953</c:v>
                </c:pt>
                <c:pt idx="136">
                  <c:v>17.38463020324707</c:v>
                </c:pt>
                <c:pt idx="137">
                  <c:v>16.685884475708008</c:v>
                </c:pt>
                <c:pt idx="138">
                  <c:v>18.054603576660156</c:v>
                </c:pt>
                <c:pt idx="139">
                  <c:v>18.81593132019043</c:v>
                </c:pt>
                <c:pt idx="140">
                  <c:v>18.745824813842773</c:v>
                </c:pt>
                <c:pt idx="141">
                  <c:v>18.661054611206055</c:v>
                </c:pt>
                <c:pt idx="142">
                  <c:v>18.256546020507813</c:v>
                </c:pt>
                <c:pt idx="143">
                  <c:v>17.864004135131836</c:v>
                </c:pt>
                <c:pt idx="144">
                  <c:v>17.918354034423828</c:v>
                </c:pt>
                <c:pt idx="145">
                  <c:v>17.838529586791992</c:v>
                </c:pt>
                <c:pt idx="146">
                  <c:v>17.387302398681641</c:v>
                </c:pt>
                <c:pt idx="147">
                  <c:v>17.610475540161133</c:v>
                </c:pt>
                <c:pt idx="148">
                  <c:v>17.83892822265625</c:v>
                </c:pt>
                <c:pt idx="149">
                  <c:v>17.843196868896484</c:v>
                </c:pt>
                <c:pt idx="150">
                  <c:v>18.177160263061523</c:v>
                </c:pt>
                <c:pt idx="151">
                  <c:v>18.200054168701172</c:v>
                </c:pt>
                <c:pt idx="152">
                  <c:v>18.362216949462891</c:v>
                </c:pt>
                <c:pt idx="153">
                  <c:v>18.528619766235352</c:v>
                </c:pt>
                <c:pt idx="154">
                  <c:v>18.389446258544922</c:v>
                </c:pt>
                <c:pt idx="155">
                  <c:v>18.510551452636719</c:v>
                </c:pt>
                <c:pt idx="156">
                  <c:v>18.391613006591797</c:v>
                </c:pt>
                <c:pt idx="157">
                  <c:v>17.756763458251953</c:v>
                </c:pt>
                <c:pt idx="158">
                  <c:v>17.004623413085938</c:v>
                </c:pt>
                <c:pt idx="159">
                  <c:v>16.397708892822266</c:v>
                </c:pt>
                <c:pt idx="160">
                  <c:v>15.695785522460938</c:v>
                </c:pt>
                <c:pt idx="161">
                  <c:v>14.937648773193359</c:v>
                </c:pt>
                <c:pt idx="162">
                  <c:v>14.446881294250488</c:v>
                </c:pt>
                <c:pt idx="163">
                  <c:v>14.043901443481445</c:v>
                </c:pt>
                <c:pt idx="164">
                  <c:v>13.385839462280273</c:v>
                </c:pt>
                <c:pt idx="165">
                  <c:v>12.814315795898438</c:v>
                </c:pt>
                <c:pt idx="166">
                  <c:v>12.65864086151123</c:v>
                </c:pt>
                <c:pt idx="167">
                  <c:v>12.831319808959961</c:v>
                </c:pt>
                <c:pt idx="168">
                  <c:v>12.535207748413086</c:v>
                </c:pt>
                <c:pt idx="169">
                  <c:v>12.308989524841309</c:v>
                </c:pt>
                <c:pt idx="170">
                  <c:v>12.320263862609863</c:v>
                </c:pt>
                <c:pt idx="171">
                  <c:v>12.161824226379395</c:v>
                </c:pt>
                <c:pt idx="172">
                  <c:v>12.083766937255859</c:v>
                </c:pt>
                <c:pt idx="173">
                  <c:v>11.681918144226074</c:v>
                </c:pt>
                <c:pt idx="174">
                  <c:v>11.209497451782227</c:v>
                </c:pt>
                <c:pt idx="175">
                  <c:v>10.801692008972168</c:v>
                </c:pt>
                <c:pt idx="176">
                  <c:v>10.170418739318848</c:v>
                </c:pt>
                <c:pt idx="177">
                  <c:v>9.1021976470947266</c:v>
                </c:pt>
                <c:pt idx="178">
                  <c:v>8.3376665115356445</c:v>
                </c:pt>
                <c:pt idx="179">
                  <c:v>7.613274097442627</c:v>
                </c:pt>
                <c:pt idx="180">
                  <c:v>6.9902849197387695</c:v>
                </c:pt>
                <c:pt idx="181">
                  <c:v>6.5229825973510742</c:v>
                </c:pt>
                <c:pt idx="182">
                  <c:v>5.5860519409179688</c:v>
                </c:pt>
                <c:pt idx="183">
                  <c:v>4.781954288482666</c:v>
                </c:pt>
                <c:pt idx="184">
                  <c:v>4.3399133682250977</c:v>
                </c:pt>
                <c:pt idx="185">
                  <c:v>3.8910653591156006</c:v>
                </c:pt>
                <c:pt idx="186">
                  <c:v>3.3306167125701904</c:v>
                </c:pt>
                <c:pt idx="187">
                  <c:v>2.884746789932251</c:v>
                </c:pt>
                <c:pt idx="188">
                  <c:v>2.6582086086273193</c:v>
                </c:pt>
                <c:pt idx="189">
                  <c:v>2.4875905513763428</c:v>
                </c:pt>
                <c:pt idx="190">
                  <c:v>2.5186748504638672</c:v>
                </c:pt>
                <c:pt idx="191">
                  <c:v>2.2896904945373535</c:v>
                </c:pt>
                <c:pt idx="192">
                  <c:v>2.385310173034668</c:v>
                </c:pt>
                <c:pt idx="193">
                  <c:v>2.4029262065887451</c:v>
                </c:pt>
                <c:pt idx="194">
                  <c:v>2.4337978363037109</c:v>
                </c:pt>
                <c:pt idx="195">
                  <c:v>2.4982001781463623</c:v>
                </c:pt>
                <c:pt idx="196">
                  <c:v>2.251812219619751</c:v>
                </c:pt>
                <c:pt idx="197">
                  <c:v>2.3001008033752441</c:v>
                </c:pt>
                <c:pt idx="198">
                  <c:v>2.183168888092041</c:v>
                </c:pt>
                <c:pt idx="199">
                  <c:v>2.1885402202606201</c:v>
                </c:pt>
                <c:pt idx="200">
                  <c:v>2.2928149700164795</c:v>
                </c:pt>
                <c:pt idx="201">
                  <c:v>2.2872176170349121</c:v>
                </c:pt>
                <c:pt idx="202">
                  <c:v>2.090221643447876</c:v>
                </c:pt>
                <c:pt idx="203">
                  <c:v>2.3503170013427734</c:v>
                </c:pt>
                <c:pt idx="204">
                  <c:v>2.3455307483673096</c:v>
                </c:pt>
                <c:pt idx="205">
                  <c:v>2.1817729473114014</c:v>
                </c:pt>
                <c:pt idx="206">
                  <c:v>2.2676470279693604</c:v>
                </c:pt>
                <c:pt idx="207">
                  <c:v>2.1581206321716309</c:v>
                </c:pt>
                <c:pt idx="208">
                  <c:v>2.167360782623291</c:v>
                </c:pt>
                <c:pt idx="209">
                  <c:v>2</c:v>
                </c:pt>
                <c:pt idx="210">
                  <c:v>2.2541389465332031</c:v>
                </c:pt>
                <c:pt idx="211">
                  <c:v>2.1916379928588867</c:v>
                </c:pt>
                <c:pt idx="212">
                  <c:v>2.2782168388366699</c:v>
                </c:pt>
                <c:pt idx="213">
                  <c:v>2.3477110862731934</c:v>
                </c:pt>
                <c:pt idx="214">
                  <c:v>2.2004127502441406</c:v>
                </c:pt>
                <c:pt idx="215">
                  <c:v>2.328951358795166</c:v>
                </c:pt>
                <c:pt idx="216">
                  <c:v>2.2655463218688965</c:v>
                </c:pt>
                <c:pt idx="217">
                  <c:v>2.2097725868225098</c:v>
                </c:pt>
                <c:pt idx="218">
                  <c:v>2.1570701599121094</c:v>
                </c:pt>
                <c:pt idx="219">
                  <c:v>2.2769670486450195</c:v>
                </c:pt>
                <c:pt idx="220">
                  <c:v>2.1683447360992432</c:v>
                </c:pt>
                <c:pt idx="221">
                  <c:v>2.0148773193359375</c:v>
                </c:pt>
                <c:pt idx="222">
                  <c:v>2.4073138236999512</c:v>
                </c:pt>
                <c:pt idx="223">
                  <c:v>2.2118732929229736</c:v>
                </c:pt>
                <c:pt idx="224">
                  <c:v>2.3210008144378662</c:v>
                </c:pt>
                <c:pt idx="225">
                  <c:v>2.4189338684082031</c:v>
                </c:pt>
              </c:numCache>
            </c:numRef>
          </c:yVal>
          <c:smooth val="1"/>
          <c:extLst>
            <c:ext xmlns:c15="http://schemas.microsoft.com/office/drawing/2012/chart" uri="{02D57815-91ED-43cb-92C2-25804820EDAC}">
              <c15:datalabelsRange>
                <c15:f>PeakLabels!$G$2:$G$300</c15:f>
                <c15:dlblRangeCache>
                  <c:ptCount val="299"/>
                  <c:pt idx="1">
                    <c:v>192</c:v>
                  </c:pt>
                  <c:pt idx="17">
                    <c:v>224</c:v>
                  </c:pt>
                  <c:pt idx="36">
                    <c:v>262</c:v>
                  </c:pt>
                  <c:pt idx="44">
                    <c:v>280s</c:v>
                  </c:pt>
                  <c:pt idx="50">
                    <c:v>290</c:v>
                  </c:pt>
                  <c:pt idx="78">
                    <c:v>346</c:v>
                  </c:pt>
                  <c:pt idx="105">
                    <c:v>402s</c:v>
                  </c:pt>
                  <c:pt idx="124">
                    <c:v>438</c:v>
                  </c:pt>
                  <c:pt idx="139">
                    <c:v>468</c:v>
                  </c:pt>
                  <c:pt idx="153">
                    <c:v>496</c:v>
                  </c:pt>
                  <c:pt idx="167">
                    <c:v>524</c:v>
                  </c:pt>
                </c15:dlblRangeCache>
              </c15:datalabelsRange>
            </c:ext>
            <c:ext xmlns:c16="http://schemas.microsoft.com/office/drawing/2014/chart" uri="{C3380CC4-5D6E-409C-BE32-E72D297353CC}">
              <c16:uniqueId val="{00000000-F3B2-46DE-AC41-2C44E136DB0E}"/>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549710C0-D16E-4A16-A5CD-D7086FC132A6}"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F3B2-46DE-AC41-2C44E136DB0E}"/>
                </c:ext>
              </c:extLst>
            </c:dLbl>
            <c:dLbl>
              <c:idx val="1"/>
              <c:tx>
                <c:rich>
                  <a:bodyPr/>
                  <a:lstStyle/>
                  <a:p>
                    <a:fld id="{E7E4999A-EA8F-4924-8EB3-E236362C266B}"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3B2-46DE-AC41-2C44E136DB0E}"/>
                </c:ext>
              </c:extLst>
            </c:dLbl>
            <c:dLbl>
              <c:idx val="2"/>
              <c:tx>
                <c:rich>
                  <a:bodyPr/>
                  <a:lstStyle/>
                  <a:p>
                    <a:fld id="{877C2D94-8190-45DF-A037-94969EB04BF9}"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3B2-46DE-AC41-2C44E136DB0E}"/>
                </c:ext>
              </c:extLst>
            </c:dLbl>
            <c:dLbl>
              <c:idx val="3"/>
              <c:tx>
                <c:rich>
                  <a:bodyPr/>
                  <a:lstStyle/>
                  <a:p>
                    <a:fld id="{C92FF535-B157-4953-8EC7-D4BD06D2DE1C}"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3B2-46DE-AC41-2C44E136DB0E}"/>
                </c:ext>
              </c:extLst>
            </c:dLbl>
            <c:dLbl>
              <c:idx val="4"/>
              <c:tx>
                <c:rich>
                  <a:bodyPr/>
                  <a:lstStyle/>
                  <a:p>
                    <a:fld id="{4F236F14-1C18-4610-A4F7-B820A09E7888}"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3B2-46DE-AC41-2C44E136DB0E}"/>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F3B2-46DE-AC41-2C44E136DB0E}"/>
            </c:ext>
          </c:extLst>
        </c:ser>
        <c:dLbls>
          <c:showLegendKey val="0"/>
          <c:showVal val="0"/>
          <c:showCatName val="0"/>
          <c:showSerName val="0"/>
          <c:showPercent val="0"/>
          <c:showBubbleSize val="0"/>
        </c:dLbls>
        <c:axId val="1767907360"/>
        <c:axId val="1767900288"/>
      </c:scatterChart>
      <c:valAx>
        <c:axId val="1767907360"/>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0288"/>
        <c:crossesAt val="0"/>
        <c:crossBetween val="midCat"/>
        <c:majorUnit val="100"/>
      </c:valAx>
      <c:valAx>
        <c:axId val="1767900288"/>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907360"/>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14BE33D4-C9FA-45CE-B5BC-76AD056EA1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423-4577-91BC-4F41351FD99C}"/>
                </c:ext>
              </c:extLst>
            </c:dLbl>
            <c:dLbl>
              <c:idx val="1"/>
              <c:tx>
                <c:rich>
                  <a:bodyPr/>
                  <a:lstStyle/>
                  <a:p>
                    <a:fld id="{AA8D2592-EEAD-452B-ADC5-42593B0666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423-4577-91BC-4F41351FD99C}"/>
                </c:ext>
              </c:extLst>
            </c:dLbl>
            <c:dLbl>
              <c:idx val="2"/>
              <c:tx>
                <c:rich>
                  <a:bodyPr/>
                  <a:lstStyle/>
                  <a:p>
                    <a:fld id="{4729188F-1F18-4532-9903-9CCDFADF81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423-4577-91BC-4F41351FD99C}"/>
                </c:ext>
              </c:extLst>
            </c:dLbl>
            <c:dLbl>
              <c:idx val="3"/>
              <c:tx>
                <c:rich>
                  <a:bodyPr/>
                  <a:lstStyle/>
                  <a:p>
                    <a:fld id="{DD9D2AE6-32B0-4269-A038-AAC8349BBD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423-4577-91BC-4F41351FD99C}"/>
                </c:ext>
              </c:extLst>
            </c:dLbl>
            <c:dLbl>
              <c:idx val="4"/>
              <c:tx>
                <c:rich>
                  <a:bodyPr/>
                  <a:lstStyle/>
                  <a:p>
                    <a:fld id="{8FAFE58C-A4A3-44D6-B9FC-CE28EED6E0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423-4577-91BC-4F41351FD99C}"/>
                </c:ext>
              </c:extLst>
            </c:dLbl>
            <c:dLbl>
              <c:idx val="5"/>
              <c:tx>
                <c:rich>
                  <a:bodyPr/>
                  <a:lstStyle/>
                  <a:p>
                    <a:fld id="{588BF904-EC4B-4CD7-97DB-CA550ADEDB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423-4577-91BC-4F41351FD99C}"/>
                </c:ext>
              </c:extLst>
            </c:dLbl>
            <c:dLbl>
              <c:idx val="6"/>
              <c:tx>
                <c:rich>
                  <a:bodyPr/>
                  <a:lstStyle/>
                  <a:p>
                    <a:fld id="{D80E0253-5BFB-4D33-AB30-8F1F72016C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423-4577-91BC-4F41351FD99C}"/>
                </c:ext>
              </c:extLst>
            </c:dLbl>
            <c:dLbl>
              <c:idx val="7"/>
              <c:tx>
                <c:rich>
                  <a:bodyPr/>
                  <a:lstStyle/>
                  <a:p>
                    <a:fld id="{05853BF4-756A-471E-B9C9-DA897CF144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423-4577-91BC-4F41351FD99C}"/>
                </c:ext>
              </c:extLst>
            </c:dLbl>
            <c:dLbl>
              <c:idx val="8"/>
              <c:tx>
                <c:rich>
                  <a:bodyPr/>
                  <a:lstStyle/>
                  <a:p>
                    <a:fld id="{FFA4AD03-7AAD-4612-ADB0-E6C1FD7108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423-4577-91BC-4F41351FD99C}"/>
                </c:ext>
              </c:extLst>
            </c:dLbl>
            <c:dLbl>
              <c:idx val="9"/>
              <c:tx>
                <c:rich>
                  <a:bodyPr/>
                  <a:lstStyle/>
                  <a:p>
                    <a:fld id="{39DD8BB7-A28B-42D2-9698-ED8158EE11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423-4577-91BC-4F41351FD99C}"/>
                </c:ext>
              </c:extLst>
            </c:dLbl>
            <c:dLbl>
              <c:idx val="10"/>
              <c:tx>
                <c:rich>
                  <a:bodyPr/>
                  <a:lstStyle/>
                  <a:p>
                    <a:fld id="{CAF08FAD-B5F9-4B06-A988-182D977C8E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423-4577-91BC-4F41351FD99C}"/>
                </c:ext>
              </c:extLst>
            </c:dLbl>
            <c:dLbl>
              <c:idx val="11"/>
              <c:tx>
                <c:rich>
                  <a:bodyPr/>
                  <a:lstStyle/>
                  <a:p>
                    <a:fld id="{A5FFC2D5-DB2C-4E67-AC77-F297C11B91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423-4577-91BC-4F41351FD99C}"/>
                </c:ext>
              </c:extLst>
            </c:dLbl>
            <c:dLbl>
              <c:idx val="12"/>
              <c:tx>
                <c:rich>
                  <a:bodyPr/>
                  <a:lstStyle/>
                  <a:p>
                    <a:fld id="{AF87FE6D-A110-4A5F-AE39-5D61BED76E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423-4577-91BC-4F41351FD99C}"/>
                </c:ext>
              </c:extLst>
            </c:dLbl>
            <c:dLbl>
              <c:idx val="13"/>
              <c:tx>
                <c:rich>
                  <a:bodyPr/>
                  <a:lstStyle/>
                  <a:p>
                    <a:fld id="{93A296C2-806A-499F-B937-D7C8F1E8B6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423-4577-91BC-4F41351FD99C}"/>
                </c:ext>
              </c:extLst>
            </c:dLbl>
            <c:dLbl>
              <c:idx val="14"/>
              <c:tx>
                <c:rich>
                  <a:bodyPr/>
                  <a:lstStyle/>
                  <a:p>
                    <a:fld id="{C0840C0E-12A3-4F7F-BA1D-A47E22AB5C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423-4577-91BC-4F41351FD99C}"/>
                </c:ext>
              </c:extLst>
            </c:dLbl>
            <c:dLbl>
              <c:idx val="15"/>
              <c:tx>
                <c:rich>
                  <a:bodyPr/>
                  <a:lstStyle/>
                  <a:p>
                    <a:fld id="{EA05AB85-8072-4D7E-A4CA-E4C66D4394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A423-4577-91BC-4F41351FD99C}"/>
                </c:ext>
              </c:extLst>
            </c:dLbl>
            <c:dLbl>
              <c:idx val="16"/>
              <c:tx>
                <c:rich>
                  <a:bodyPr/>
                  <a:lstStyle/>
                  <a:p>
                    <a:fld id="{47241D33-28E7-4F22-B98C-1D9340BF5F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A423-4577-91BC-4F41351FD99C}"/>
                </c:ext>
              </c:extLst>
            </c:dLbl>
            <c:dLbl>
              <c:idx val="17"/>
              <c:tx>
                <c:rich>
                  <a:bodyPr/>
                  <a:lstStyle/>
                  <a:p>
                    <a:fld id="{399E8771-EA58-42E8-A95A-2625F33FB4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A423-4577-91BC-4F41351FD99C}"/>
                </c:ext>
              </c:extLst>
            </c:dLbl>
            <c:dLbl>
              <c:idx val="18"/>
              <c:tx>
                <c:rich>
                  <a:bodyPr/>
                  <a:lstStyle/>
                  <a:p>
                    <a:fld id="{12547380-C17F-49E4-AD5B-D1A97CFE17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A423-4577-91BC-4F41351FD99C}"/>
                </c:ext>
              </c:extLst>
            </c:dLbl>
            <c:dLbl>
              <c:idx val="19"/>
              <c:tx>
                <c:rich>
                  <a:bodyPr/>
                  <a:lstStyle/>
                  <a:p>
                    <a:fld id="{9CAAEFF2-B697-4489-97B4-9B87EBBEB6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A423-4577-91BC-4F41351FD99C}"/>
                </c:ext>
              </c:extLst>
            </c:dLbl>
            <c:dLbl>
              <c:idx val="20"/>
              <c:tx>
                <c:rich>
                  <a:bodyPr/>
                  <a:lstStyle/>
                  <a:p>
                    <a:fld id="{E820F6F6-1A1D-4D3C-981F-A1B5D1DC29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A423-4577-91BC-4F41351FD99C}"/>
                </c:ext>
              </c:extLst>
            </c:dLbl>
            <c:dLbl>
              <c:idx val="21"/>
              <c:tx>
                <c:rich>
                  <a:bodyPr/>
                  <a:lstStyle/>
                  <a:p>
                    <a:fld id="{BC3739E3-8CF0-4861-8952-D9947CE4CF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A423-4577-91BC-4F41351FD99C}"/>
                </c:ext>
              </c:extLst>
            </c:dLbl>
            <c:dLbl>
              <c:idx val="22"/>
              <c:tx>
                <c:rich>
                  <a:bodyPr/>
                  <a:lstStyle/>
                  <a:p>
                    <a:fld id="{FBD10118-CB44-4A1F-B8DF-DCD8BA58F5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A423-4577-91BC-4F41351FD99C}"/>
                </c:ext>
              </c:extLst>
            </c:dLbl>
            <c:dLbl>
              <c:idx val="23"/>
              <c:tx>
                <c:rich>
                  <a:bodyPr/>
                  <a:lstStyle/>
                  <a:p>
                    <a:fld id="{3D7089EE-1290-4709-8E8F-09F74EC182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A423-4577-91BC-4F41351FD99C}"/>
                </c:ext>
              </c:extLst>
            </c:dLbl>
            <c:dLbl>
              <c:idx val="24"/>
              <c:tx>
                <c:rich>
                  <a:bodyPr/>
                  <a:lstStyle/>
                  <a:p>
                    <a:fld id="{2E03513F-7204-428B-8D60-D36C3E065E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A423-4577-91BC-4F41351FD99C}"/>
                </c:ext>
              </c:extLst>
            </c:dLbl>
            <c:dLbl>
              <c:idx val="25"/>
              <c:tx>
                <c:rich>
                  <a:bodyPr/>
                  <a:lstStyle/>
                  <a:p>
                    <a:fld id="{FD15E90E-6112-406B-A241-C32DB95CC9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A423-4577-91BC-4F41351FD99C}"/>
                </c:ext>
              </c:extLst>
            </c:dLbl>
            <c:dLbl>
              <c:idx val="26"/>
              <c:tx>
                <c:rich>
                  <a:bodyPr/>
                  <a:lstStyle/>
                  <a:p>
                    <a:fld id="{B6F77C09-3F3B-4578-90F9-9F0AC115E7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A423-4577-91BC-4F41351FD99C}"/>
                </c:ext>
              </c:extLst>
            </c:dLbl>
            <c:dLbl>
              <c:idx val="27"/>
              <c:tx>
                <c:rich>
                  <a:bodyPr/>
                  <a:lstStyle/>
                  <a:p>
                    <a:fld id="{34101651-8A6E-43E6-9B2B-2EA79E8DDA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A423-4577-91BC-4F41351FD99C}"/>
                </c:ext>
              </c:extLst>
            </c:dLbl>
            <c:dLbl>
              <c:idx val="28"/>
              <c:tx>
                <c:rich>
                  <a:bodyPr/>
                  <a:lstStyle/>
                  <a:p>
                    <a:fld id="{363EA9B5-F431-453D-B041-8674BF678D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A423-4577-91BC-4F41351FD99C}"/>
                </c:ext>
              </c:extLst>
            </c:dLbl>
            <c:dLbl>
              <c:idx val="29"/>
              <c:tx>
                <c:rich>
                  <a:bodyPr/>
                  <a:lstStyle/>
                  <a:p>
                    <a:fld id="{DDCED3BC-B67C-42CD-BEB7-4041A71C43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A423-4577-91BC-4F41351FD99C}"/>
                </c:ext>
              </c:extLst>
            </c:dLbl>
            <c:dLbl>
              <c:idx val="30"/>
              <c:tx>
                <c:rich>
                  <a:bodyPr/>
                  <a:lstStyle/>
                  <a:p>
                    <a:fld id="{7F1E2781-5EB2-447F-938E-DE11209C27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A423-4577-91BC-4F41351FD99C}"/>
                </c:ext>
              </c:extLst>
            </c:dLbl>
            <c:dLbl>
              <c:idx val="31"/>
              <c:tx>
                <c:rich>
                  <a:bodyPr/>
                  <a:lstStyle/>
                  <a:p>
                    <a:fld id="{7D9FE272-C996-490B-9F6D-83D046215B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A423-4577-91BC-4F41351FD99C}"/>
                </c:ext>
              </c:extLst>
            </c:dLbl>
            <c:dLbl>
              <c:idx val="32"/>
              <c:tx>
                <c:rich>
                  <a:bodyPr/>
                  <a:lstStyle/>
                  <a:p>
                    <a:fld id="{C9866E17-AB2E-48B8-84C1-E1666C4EAD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A423-4577-91BC-4F41351FD99C}"/>
                </c:ext>
              </c:extLst>
            </c:dLbl>
            <c:dLbl>
              <c:idx val="33"/>
              <c:tx>
                <c:rich>
                  <a:bodyPr/>
                  <a:lstStyle/>
                  <a:p>
                    <a:fld id="{03EB6763-7696-470B-B031-2D21B2B265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A423-4577-91BC-4F41351FD99C}"/>
                </c:ext>
              </c:extLst>
            </c:dLbl>
            <c:dLbl>
              <c:idx val="34"/>
              <c:tx>
                <c:rich>
                  <a:bodyPr/>
                  <a:lstStyle/>
                  <a:p>
                    <a:fld id="{99170F76-E1B4-40B0-8B8F-66D92B0A86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A423-4577-91BC-4F41351FD99C}"/>
                </c:ext>
              </c:extLst>
            </c:dLbl>
            <c:dLbl>
              <c:idx val="35"/>
              <c:tx>
                <c:rich>
                  <a:bodyPr/>
                  <a:lstStyle/>
                  <a:p>
                    <a:fld id="{DB3B222A-AE0A-4154-A2F9-6240D82A09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A423-4577-91BC-4F41351FD99C}"/>
                </c:ext>
              </c:extLst>
            </c:dLbl>
            <c:dLbl>
              <c:idx val="36"/>
              <c:tx>
                <c:rich>
                  <a:bodyPr/>
                  <a:lstStyle/>
                  <a:p>
                    <a:fld id="{53C089F3-51DA-4181-9E0F-A4D7984D83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A423-4577-91BC-4F41351FD99C}"/>
                </c:ext>
              </c:extLst>
            </c:dLbl>
            <c:dLbl>
              <c:idx val="37"/>
              <c:tx>
                <c:rich>
                  <a:bodyPr/>
                  <a:lstStyle/>
                  <a:p>
                    <a:fld id="{5EBCC9D1-F34C-4C63-B4B9-2DC78B7AA0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A423-4577-91BC-4F41351FD99C}"/>
                </c:ext>
              </c:extLst>
            </c:dLbl>
            <c:dLbl>
              <c:idx val="38"/>
              <c:tx>
                <c:rich>
                  <a:bodyPr/>
                  <a:lstStyle/>
                  <a:p>
                    <a:fld id="{21F9A4C0-7531-413B-9819-4326E1CF54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A423-4577-91BC-4F41351FD99C}"/>
                </c:ext>
              </c:extLst>
            </c:dLbl>
            <c:dLbl>
              <c:idx val="39"/>
              <c:tx>
                <c:rich>
                  <a:bodyPr/>
                  <a:lstStyle/>
                  <a:p>
                    <a:fld id="{0F7D4D46-4BB3-4FAE-A4BE-A741F7DC4A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A423-4577-91BC-4F41351FD99C}"/>
                </c:ext>
              </c:extLst>
            </c:dLbl>
            <c:dLbl>
              <c:idx val="40"/>
              <c:tx>
                <c:rich>
                  <a:bodyPr/>
                  <a:lstStyle/>
                  <a:p>
                    <a:fld id="{8CB56874-66FA-40B1-BB59-AD6E98787E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A423-4577-91BC-4F41351FD99C}"/>
                </c:ext>
              </c:extLst>
            </c:dLbl>
            <c:dLbl>
              <c:idx val="41"/>
              <c:tx>
                <c:rich>
                  <a:bodyPr/>
                  <a:lstStyle/>
                  <a:p>
                    <a:fld id="{4A456BCB-AC62-4D69-BE20-C5D3FE4CF8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A423-4577-91BC-4F41351FD99C}"/>
                </c:ext>
              </c:extLst>
            </c:dLbl>
            <c:dLbl>
              <c:idx val="42"/>
              <c:tx>
                <c:rich>
                  <a:bodyPr/>
                  <a:lstStyle/>
                  <a:p>
                    <a:fld id="{C8195D06-67BB-4D32-A8A0-57958620BF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A423-4577-91BC-4F41351FD99C}"/>
                </c:ext>
              </c:extLst>
            </c:dLbl>
            <c:dLbl>
              <c:idx val="43"/>
              <c:tx>
                <c:rich>
                  <a:bodyPr/>
                  <a:lstStyle/>
                  <a:p>
                    <a:fld id="{F38C48B2-3F1A-45A0-A0E6-3C617CE764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A423-4577-91BC-4F41351FD99C}"/>
                </c:ext>
              </c:extLst>
            </c:dLbl>
            <c:dLbl>
              <c:idx val="44"/>
              <c:tx>
                <c:rich>
                  <a:bodyPr/>
                  <a:lstStyle/>
                  <a:p>
                    <a:fld id="{23DC9940-717C-43CC-8F22-8BA0876B0E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A423-4577-91BC-4F41351FD99C}"/>
                </c:ext>
              </c:extLst>
            </c:dLbl>
            <c:dLbl>
              <c:idx val="45"/>
              <c:tx>
                <c:rich>
                  <a:bodyPr/>
                  <a:lstStyle/>
                  <a:p>
                    <a:fld id="{B5005E88-8657-4B59-B837-EDC4967468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A423-4577-91BC-4F41351FD99C}"/>
                </c:ext>
              </c:extLst>
            </c:dLbl>
            <c:dLbl>
              <c:idx val="46"/>
              <c:tx>
                <c:rich>
                  <a:bodyPr/>
                  <a:lstStyle/>
                  <a:p>
                    <a:fld id="{32AD6434-45B9-40B2-81B2-8C778AA17D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A423-4577-91BC-4F41351FD99C}"/>
                </c:ext>
              </c:extLst>
            </c:dLbl>
            <c:dLbl>
              <c:idx val="47"/>
              <c:tx>
                <c:rich>
                  <a:bodyPr/>
                  <a:lstStyle/>
                  <a:p>
                    <a:fld id="{335B48E2-9A6A-4053-A2A5-CFD9D84DF6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A423-4577-91BC-4F41351FD99C}"/>
                </c:ext>
              </c:extLst>
            </c:dLbl>
            <c:dLbl>
              <c:idx val="48"/>
              <c:tx>
                <c:rich>
                  <a:bodyPr/>
                  <a:lstStyle/>
                  <a:p>
                    <a:fld id="{54CE95EC-1DD3-4C97-8D9E-799BCC5299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A423-4577-91BC-4F41351FD99C}"/>
                </c:ext>
              </c:extLst>
            </c:dLbl>
            <c:dLbl>
              <c:idx val="49"/>
              <c:tx>
                <c:rich>
                  <a:bodyPr/>
                  <a:lstStyle/>
                  <a:p>
                    <a:fld id="{6718D300-98BC-4879-9E9C-34E992CF36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A423-4577-91BC-4F41351FD99C}"/>
                </c:ext>
              </c:extLst>
            </c:dLbl>
            <c:dLbl>
              <c:idx val="50"/>
              <c:tx>
                <c:rich>
                  <a:bodyPr/>
                  <a:lstStyle/>
                  <a:p>
                    <a:fld id="{5B74D17F-96EA-436B-8D93-9E8348C01A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A423-4577-91BC-4F41351FD99C}"/>
                </c:ext>
              </c:extLst>
            </c:dLbl>
            <c:dLbl>
              <c:idx val="51"/>
              <c:tx>
                <c:rich>
                  <a:bodyPr/>
                  <a:lstStyle/>
                  <a:p>
                    <a:fld id="{B5AADC97-7142-44C8-90C6-2CE40A86CB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A423-4577-91BC-4F41351FD99C}"/>
                </c:ext>
              </c:extLst>
            </c:dLbl>
            <c:dLbl>
              <c:idx val="52"/>
              <c:tx>
                <c:rich>
                  <a:bodyPr/>
                  <a:lstStyle/>
                  <a:p>
                    <a:fld id="{90B4D17B-86EF-4836-AD25-A6F22A745B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A423-4577-91BC-4F41351FD99C}"/>
                </c:ext>
              </c:extLst>
            </c:dLbl>
            <c:dLbl>
              <c:idx val="53"/>
              <c:tx>
                <c:rich>
                  <a:bodyPr/>
                  <a:lstStyle/>
                  <a:p>
                    <a:fld id="{E1031381-A48E-4BF9-AC81-4F3CFD0F3B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A423-4577-91BC-4F41351FD99C}"/>
                </c:ext>
              </c:extLst>
            </c:dLbl>
            <c:dLbl>
              <c:idx val="54"/>
              <c:tx>
                <c:rich>
                  <a:bodyPr/>
                  <a:lstStyle/>
                  <a:p>
                    <a:fld id="{F6EF6213-5A92-4FBE-A206-84A47C1083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A423-4577-91BC-4F41351FD99C}"/>
                </c:ext>
              </c:extLst>
            </c:dLbl>
            <c:dLbl>
              <c:idx val="55"/>
              <c:tx>
                <c:rich>
                  <a:bodyPr/>
                  <a:lstStyle/>
                  <a:p>
                    <a:fld id="{15128D85-26C8-44E1-ACFA-6DD1160813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A423-4577-91BC-4F41351FD99C}"/>
                </c:ext>
              </c:extLst>
            </c:dLbl>
            <c:dLbl>
              <c:idx val="56"/>
              <c:tx>
                <c:rich>
                  <a:bodyPr/>
                  <a:lstStyle/>
                  <a:p>
                    <a:fld id="{63673CCB-4D94-4511-85DA-B45A0D3DE9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A423-4577-91BC-4F41351FD99C}"/>
                </c:ext>
              </c:extLst>
            </c:dLbl>
            <c:dLbl>
              <c:idx val="57"/>
              <c:tx>
                <c:rich>
                  <a:bodyPr/>
                  <a:lstStyle/>
                  <a:p>
                    <a:fld id="{E991739B-D316-456D-AAA2-C2F5DAF099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A423-4577-91BC-4F41351FD99C}"/>
                </c:ext>
              </c:extLst>
            </c:dLbl>
            <c:dLbl>
              <c:idx val="58"/>
              <c:tx>
                <c:rich>
                  <a:bodyPr/>
                  <a:lstStyle/>
                  <a:p>
                    <a:fld id="{297AF665-EC2A-4A1B-A393-FF9CB78840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A423-4577-91BC-4F41351FD99C}"/>
                </c:ext>
              </c:extLst>
            </c:dLbl>
            <c:dLbl>
              <c:idx val="59"/>
              <c:tx>
                <c:rich>
                  <a:bodyPr/>
                  <a:lstStyle/>
                  <a:p>
                    <a:fld id="{147FB676-7416-4DB5-9152-455B86ACEA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A423-4577-91BC-4F41351FD99C}"/>
                </c:ext>
              </c:extLst>
            </c:dLbl>
            <c:dLbl>
              <c:idx val="60"/>
              <c:tx>
                <c:rich>
                  <a:bodyPr/>
                  <a:lstStyle/>
                  <a:p>
                    <a:fld id="{5A6E4949-BB4D-47B0-BE80-65CF326A65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A423-4577-91BC-4F41351FD99C}"/>
                </c:ext>
              </c:extLst>
            </c:dLbl>
            <c:dLbl>
              <c:idx val="61"/>
              <c:tx>
                <c:rich>
                  <a:bodyPr/>
                  <a:lstStyle/>
                  <a:p>
                    <a:fld id="{B6A41656-A2AB-4BDC-84F6-887AC2BD14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A423-4577-91BC-4F41351FD99C}"/>
                </c:ext>
              </c:extLst>
            </c:dLbl>
            <c:dLbl>
              <c:idx val="62"/>
              <c:tx>
                <c:rich>
                  <a:bodyPr/>
                  <a:lstStyle/>
                  <a:p>
                    <a:fld id="{009EF9F9-8004-4D68-B262-ED0B840959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A423-4577-91BC-4F41351FD99C}"/>
                </c:ext>
              </c:extLst>
            </c:dLbl>
            <c:dLbl>
              <c:idx val="63"/>
              <c:tx>
                <c:rich>
                  <a:bodyPr/>
                  <a:lstStyle/>
                  <a:p>
                    <a:fld id="{F5EF6364-9039-4999-B624-711E611909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A423-4577-91BC-4F41351FD99C}"/>
                </c:ext>
              </c:extLst>
            </c:dLbl>
            <c:dLbl>
              <c:idx val="64"/>
              <c:tx>
                <c:rich>
                  <a:bodyPr/>
                  <a:lstStyle/>
                  <a:p>
                    <a:fld id="{CD290B89-54E7-47F7-8753-835EF97587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A423-4577-91BC-4F41351FD99C}"/>
                </c:ext>
              </c:extLst>
            </c:dLbl>
            <c:dLbl>
              <c:idx val="65"/>
              <c:tx>
                <c:rich>
                  <a:bodyPr/>
                  <a:lstStyle/>
                  <a:p>
                    <a:fld id="{E1C4EB5B-700C-4613-9B61-CE38DCB82F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A423-4577-91BC-4F41351FD99C}"/>
                </c:ext>
              </c:extLst>
            </c:dLbl>
            <c:dLbl>
              <c:idx val="66"/>
              <c:tx>
                <c:rich>
                  <a:bodyPr/>
                  <a:lstStyle/>
                  <a:p>
                    <a:fld id="{E29293E3-FA59-4CFA-995A-C73B814418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A423-4577-91BC-4F41351FD99C}"/>
                </c:ext>
              </c:extLst>
            </c:dLbl>
            <c:dLbl>
              <c:idx val="67"/>
              <c:tx>
                <c:rich>
                  <a:bodyPr/>
                  <a:lstStyle/>
                  <a:p>
                    <a:fld id="{D878F09B-BF2A-43BA-B75E-20BDDC0065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A423-4577-91BC-4F41351FD99C}"/>
                </c:ext>
              </c:extLst>
            </c:dLbl>
            <c:dLbl>
              <c:idx val="68"/>
              <c:tx>
                <c:rich>
                  <a:bodyPr/>
                  <a:lstStyle/>
                  <a:p>
                    <a:fld id="{9B6C4BDC-632D-461B-B611-1500360838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A423-4577-91BC-4F41351FD99C}"/>
                </c:ext>
              </c:extLst>
            </c:dLbl>
            <c:dLbl>
              <c:idx val="69"/>
              <c:tx>
                <c:rich>
                  <a:bodyPr/>
                  <a:lstStyle/>
                  <a:p>
                    <a:fld id="{B5B6D1CA-B91A-4333-BD7A-87EF1000C7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A423-4577-91BC-4F41351FD99C}"/>
                </c:ext>
              </c:extLst>
            </c:dLbl>
            <c:dLbl>
              <c:idx val="70"/>
              <c:tx>
                <c:rich>
                  <a:bodyPr/>
                  <a:lstStyle/>
                  <a:p>
                    <a:fld id="{E7C386C0-4FF0-4C62-BF37-103996905F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A423-4577-91BC-4F41351FD99C}"/>
                </c:ext>
              </c:extLst>
            </c:dLbl>
            <c:dLbl>
              <c:idx val="71"/>
              <c:tx>
                <c:rich>
                  <a:bodyPr/>
                  <a:lstStyle/>
                  <a:p>
                    <a:fld id="{7B3CCA6B-D4D0-4CF0-AF49-2820164EFF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A423-4577-91BC-4F41351FD99C}"/>
                </c:ext>
              </c:extLst>
            </c:dLbl>
            <c:dLbl>
              <c:idx val="72"/>
              <c:tx>
                <c:rich>
                  <a:bodyPr/>
                  <a:lstStyle/>
                  <a:p>
                    <a:fld id="{BD31EE11-BC39-440C-90C3-8A93B1B397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A423-4577-91BC-4F41351FD99C}"/>
                </c:ext>
              </c:extLst>
            </c:dLbl>
            <c:dLbl>
              <c:idx val="73"/>
              <c:tx>
                <c:rich>
                  <a:bodyPr/>
                  <a:lstStyle/>
                  <a:p>
                    <a:fld id="{4B0FA3A1-8577-42B2-BB6D-D4835D538F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A423-4577-91BC-4F41351FD99C}"/>
                </c:ext>
              </c:extLst>
            </c:dLbl>
            <c:dLbl>
              <c:idx val="74"/>
              <c:tx>
                <c:rich>
                  <a:bodyPr/>
                  <a:lstStyle/>
                  <a:p>
                    <a:fld id="{64F15F6A-3506-49A8-A552-CAD3C2340E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A423-4577-91BC-4F41351FD99C}"/>
                </c:ext>
              </c:extLst>
            </c:dLbl>
            <c:dLbl>
              <c:idx val="75"/>
              <c:tx>
                <c:rich>
                  <a:bodyPr/>
                  <a:lstStyle/>
                  <a:p>
                    <a:fld id="{D45B5710-1D8A-491C-AE3E-79054FBEE8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A423-4577-91BC-4F41351FD99C}"/>
                </c:ext>
              </c:extLst>
            </c:dLbl>
            <c:dLbl>
              <c:idx val="76"/>
              <c:tx>
                <c:rich>
                  <a:bodyPr/>
                  <a:lstStyle/>
                  <a:p>
                    <a:fld id="{8876E8F8-C851-4F40-BB63-2184F7328E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A423-4577-91BC-4F41351FD99C}"/>
                </c:ext>
              </c:extLst>
            </c:dLbl>
            <c:dLbl>
              <c:idx val="77"/>
              <c:tx>
                <c:rich>
                  <a:bodyPr/>
                  <a:lstStyle/>
                  <a:p>
                    <a:fld id="{F3D78EF5-2DA6-4D14-A9A4-AD68D5AF7D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A423-4577-91BC-4F41351FD99C}"/>
                </c:ext>
              </c:extLst>
            </c:dLbl>
            <c:dLbl>
              <c:idx val="78"/>
              <c:tx>
                <c:rich>
                  <a:bodyPr/>
                  <a:lstStyle/>
                  <a:p>
                    <a:fld id="{48F4C09A-D79A-4921-94AF-F455C9D386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A423-4577-91BC-4F41351FD99C}"/>
                </c:ext>
              </c:extLst>
            </c:dLbl>
            <c:dLbl>
              <c:idx val="79"/>
              <c:tx>
                <c:rich>
                  <a:bodyPr/>
                  <a:lstStyle/>
                  <a:p>
                    <a:fld id="{CEF25C0B-AF7D-4302-8256-0DAFC30512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A423-4577-91BC-4F41351FD99C}"/>
                </c:ext>
              </c:extLst>
            </c:dLbl>
            <c:dLbl>
              <c:idx val="80"/>
              <c:tx>
                <c:rich>
                  <a:bodyPr/>
                  <a:lstStyle/>
                  <a:p>
                    <a:fld id="{C00E11B9-04BE-4F59-9E8A-C36E4A2A8E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A423-4577-91BC-4F41351FD99C}"/>
                </c:ext>
              </c:extLst>
            </c:dLbl>
            <c:dLbl>
              <c:idx val="81"/>
              <c:tx>
                <c:rich>
                  <a:bodyPr/>
                  <a:lstStyle/>
                  <a:p>
                    <a:fld id="{86318AC8-7DBD-4FCC-9FDD-B02DA36850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A423-4577-91BC-4F41351FD99C}"/>
                </c:ext>
              </c:extLst>
            </c:dLbl>
            <c:dLbl>
              <c:idx val="82"/>
              <c:tx>
                <c:rich>
                  <a:bodyPr/>
                  <a:lstStyle/>
                  <a:p>
                    <a:fld id="{FE4C5EAE-619D-496A-B10A-9EBF46EABA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A423-4577-91BC-4F41351FD99C}"/>
                </c:ext>
              </c:extLst>
            </c:dLbl>
            <c:dLbl>
              <c:idx val="83"/>
              <c:tx>
                <c:rich>
                  <a:bodyPr/>
                  <a:lstStyle/>
                  <a:p>
                    <a:fld id="{EB26BC32-DAD2-419B-A979-9F83C74C92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A423-4577-91BC-4F41351FD99C}"/>
                </c:ext>
              </c:extLst>
            </c:dLbl>
            <c:dLbl>
              <c:idx val="84"/>
              <c:tx>
                <c:rich>
                  <a:bodyPr/>
                  <a:lstStyle/>
                  <a:p>
                    <a:fld id="{5D03CDEC-5C18-49CA-9064-1B4CFB0D29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A423-4577-91BC-4F41351FD99C}"/>
                </c:ext>
              </c:extLst>
            </c:dLbl>
            <c:dLbl>
              <c:idx val="85"/>
              <c:tx>
                <c:rich>
                  <a:bodyPr/>
                  <a:lstStyle/>
                  <a:p>
                    <a:fld id="{CA468CF9-7730-4D8F-9B1A-0523A7B203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A423-4577-91BC-4F41351FD99C}"/>
                </c:ext>
              </c:extLst>
            </c:dLbl>
            <c:dLbl>
              <c:idx val="86"/>
              <c:tx>
                <c:rich>
                  <a:bodyPr/>
                  <a:lstStyle/>
                  <a:p>
                    <a:fld id="{C5803BB2-BE52-4306-92E2-827384CD27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A423-4577-91BC-4F41351FD99C}"/>
                </c:ext>
              </c:extLst>
            </c:dLbl>
            <c:dLbl>
              <c:idx val="87"/>
              <c:tx>
                <c:rich>
                  <a:bodyPr/>
                  <a:lstStyle/>
                  <a:p>
                    <a:fld id="{EA5F8AD2-4223-4894-B7CC-3C409BA0B8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A423-4577-91BC-4F41351FD99C}"/>
                </c:ext>
              </c:extLst>
            </c:dLbl>
            <c:dLbl>
              <c:idx val="88"/>
              <c:tx>
                <c:rich>
                  <a:bodyPr/>
                  <a:lstStyle/>
                  <a:p>
                    <a:fld id="{1409EB10-B1AF-4BD4-887B-E30235E674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A423-4577-91BC-4F41351FD99C}"/>
                </c:ext>
              </c:extLst>
            </c:dLbl>
            <c:dLbl>
              <c:idx val="89"/>
              <c:tx>
                <c:rich>
                  <a:bodyPr/>
                  <a:lstStyle/>
                  <a:p>
                    <a:fld id="{A40BAB43-99C8-4969-A23E-0614F10FBF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A423-4577-91BC-4F41351FD99C}"/>
                </c:ext>
              </c:extLst>
            </c:dLbl>
            <c:dLbl>
              <c:idx val="90"/>
              <c:tx>
                <c:rich>
                  <a:bodyPr/>
                  <a:lstStyle/>
                  <a:p>
                    <a:fld id="{3E2C7AD2-32D0-4212-904B-3688360413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A423-4577-91BC-4F41351FD99C}"/>
                </c:ext>
              </c:extLst>
            </c:dLbl>
            <c:dLbl>
              <c:idx val="91"/>
              <c:tx>
                <c:rich>
                  <a:bodyPr/>
                  <a:lstStyle/>
                  <a:p>
                    <a:fld id="{9B9D5C62-5B39-47F6-8E2A-A87BE81F46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A423-4577-91BC-4F41351FD99C}"/>
                </c:ext>
              </c:extLst>
            </c:dLbl>
            <c:dLbl>
              <c:idx val="92"/>
              <c:tx>
                <c:rich>
                  <a:bodyPr/>
                  <a:lstStyle/>
                  <a:p>
                    <a:fld id="{2F3E9A06-EC46-4B35-921E-33ECCBF5FF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A423-4577-91BC-4F41351FD99C}"/>
                </c:ext>
              </c:extLst>
            </c:dLbl>
            <c:dLbl>
              <c:idx val="93"/>
              <c:tx>
                <c:rich>
                  <a:bodyPr/>
                  <a:lstStyle/>
                  <a:p>
                    <a:fld id="{2B272D25-705A-46DF-BB3E-BE4BE0A3F6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A423-4577-91BC-4F41351FD99C}"/>
                </c:ext>
              </c:extLst>
            </c:dLbl>
            <c:dLbl>
              <c:idx val="94"/>
              <c:tx>
                <c:rich>
                  <a:bodyPr/>
                  <a:lstStyle/>
                  <a:p>
                    <a:fld id="{635DAD17-3F34-4E66-8BE2-4BD3786A1E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A423-4577-91BC-4F41351FD99C}"/>
                </c:ext>
              </c:extLst>
            </c:dLbl>
            <c:dLbl>
              <c:idx val="95"/>
              <c:tx>
                <c:rich>
                  <a:bodyPr/>
                  <a:lstStyle/>
                  <a:p>
                    <a:fld id="{23224821-C8FE-4336-970A-3FA697CD66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A423-4577-91BC-4F41351FD99C}"/>
                </c:ext>
              </c:extLst>
            </c:dLbl>
            <c:dLbl>
              <c:idx val="96"/>
              <c:tx>
                <c:rich>
                  <a:bodyPr/>
                  <a:lstStyle/>
                  <a:p>
                    <a:fld id="{EC00C3EC-ABF5-4D6A-934E-78320EDC67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A423-4577-91BC-4F41351FD99C}"/>
                </c:ext>
              </c:extLst>
            </c:dLbl>
            <c:dLbl>
              <c:idx val="97"/>
              <c:tx>
                <c:rich>
                  <a:bodyPr/>
                  <a:lstStyle/>
                  <a:p>
                    <a:fld id="{B4D2A4E6-B795-47F5-AA8D-682CB68B87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A423-4577-91BC-4F41351FD99C}"/>
                </c:ext>
              </c:extLst>
            </c:dLbl>
            <c:dLbl>
              <c:idx val="98"/>
              <c:tx>
                <c:rich>
                  <a:bodyPr/>
                  <a:lstStyle/>
                  <a:p>
                    <a:fld id="{5A9682DC-6EA1-4628-A688-19B22B15D5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A423-4577-91BC-4F41351FD99C}"/>
                </c:ext>
              </c:extLst>
            </c:dLbl>
            <c:dLbl>
              <c:idx val="99"/>
              <c:tx>
                <c:rich>
                  <a:bodyPr/>
                  <a:lstStyle/>
                  <a:p>
                    <a:fld id="{21CF9BFB-CA00-4600-891E-C0D957EA3D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A423-4577-91BC-4F41351FD99C}"/>
                </c:ext>
              </c:extLst>
            </c:dLbl>
            <c:dLbl>
              <c:idx val="100"/>
              <c:tx>
                <c:rich>
                  <a:bodyPr/>
                  <a:lstStyle/>
                  <a:p>
                    <a:fld id="{19870513-2DA6-4944-B037-7AA03BD2FB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A423-4577-91BC-4F41351FD99C}"/>
                </c:ext>
              </c:extLst>
            </c:dLbl>
            <c:dLbl>
              <c:idx val="101"/>
              <c:tx>
                <c:rich>
                  <a:bodyPr/>
                  <a:lstStyle/>
                  <a:p>
                    <a:fld id="{EFBCCC4C-D966-420F-A9C6-531B252B8F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A423-4577-91BC-4F41351FD99C}"/>
                </c:ext>
              </c:extLst>
            </c:dLbl>
            <c:dLbl>
              <c:idx val="102"/>
              <c:tx>
                <c:rich>
                  <a:bodyPr/>
                  <a:lstStyle/>
                  <a:p>
                    <a:fld id="{300847AC-3246-4F01-BF45-9832044FAB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A423-4577-91BC-4F41351FD99C}"/>
                </c:ext>
              </c:extLst>
            </c:dLbl>
            <c:dLbl>
              <c:idx val="103"/>
              <c:tx>
                <c:rich>
                  <a:bodyPr/>
                  <a:lstStyle/>
                  <a:p>
                    <a:fld id="{856635E3-3ACF-4B70-B0AF-AE4F767673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A423-4577-91BC-4F41351FD99C}"/>
                </c:ext>
              </c:extLst>
            </c:dLbl>
            <c:dLbl>
              <c:idx val="104"/>
              <c:tx>
                <c:rich>
                  <a:bodyPr/>
                  <a:lstStyle/>
                  <a:p>
                    <a:fld id="{A72E4903-5E2C-43A2-8695-95661D8CE0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A423-4577-91BC-4F41351FD99C}"/>
                </c:ext>
              </c:extLst>
            </c:dLbl>
            <c:dLbl>
              <c:idx val="105"/>
              <c:tx>
                <c:rich>
                  <a:bodyPr/>
                  <a:lstStyle/>
                  <a:p>
                    <a:fld id="{516B8E05-7364-4AFE-9437-A22814DBAA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A423-4577-91BC-4F41351FD99C}"/>
                </c:ext>
              </c:extLst>
            </c:dLbl>
            <c:dLbl>
              <c:idx val="106"/>
              <c:tx>
                <c:rich>
                  <a:bodyPr/>
                  <a:lstStyle/>
                  <a:p>
                    <a:fld id="{FA48041C-DDF0-4B85-868D-5B61E00F62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A423-4577-91BC-4F41351FD99C}"/>
                </c:ext>
              </c:extLst>
            </c:dLbl>
            <c:dLbl>
              <c:idx val="107"/>
              <c:tx>
                <c:rich>
                  <a:bodyPr/>
                  <a:lstStyle/>
                  <a:p>
                    <a:fld id="{F069F23A-5B29-45C3-B398-08B753BC75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A423-4577-91BC-4F41351FD99C}"/>
                </c:ext>
              </c:extLst>
            </c:dLbl>
            <c:dLbl>
              <c:idx val="108"/>
              <c:tx>
                <c:rich>
                  <a:bodyPr/>
                  <a:lstStyle/>
                  <a:p>
                    <a:fld id="{F33FD800-DADD-49D1-855A-1559540664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A423-4577-91BC-4F41351FD99C}"/>
                </c:ext>
              </c:extLst>
            </c:dLbl>
            <c:dLbl>
              <c:idx val="109"/>
              <c:tx>
                <c:rich>
                  <a:bodyPr/>
                  <a:lstStyle/>
                  <a:p>
                    <a:fld id="{E2802C97-2447-432D-B6F9-EDFA3380F5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A423-4577-91BC-4F41351FD99C}"/>
                </c:ext>
              </c:extLst>
            </c:dLbl>
            <c:dLbl>
              <c:idx val="110"/>
              <c:tx>
                <c:rich>
                  <a:bodyPr/>
                  <a:lstStyle/>
                  <a:p>
                    <a:fld id="{34B7A05B-36D6-4B67-8C09-1330DDA070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A423-4577-91BC-4F41351FD99C}"/>
                </c:ext>
              </c:extLst>
            </c:dLbl>
            <c:dLbl>
              <c:idx val="111"/>
              <c:tx>
                <c:rich>
                  <a:bodyPr/>
                  <a:lstStyle/>
                  <a:p>
                    <a:fld id="{FCDA235D-46C8-403A-BFA8-3835F0C17F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A423-4577-91BC-4F41351FD99C}"/>
                </c:ext>
              </c:extLst>
            </c:dLbl>
            <c:dLbl>
              <c:idx val="112"/>
              <c:tx>
                <c:rich>
                  <a:bodyPr/>
                  <a:lstStyle/>
                  <a:p>
                    <a:fld id="{7B435782-7912-4AE8-9F86-A422987CE3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A423-4577-91BC-4F41351FD99C}"/>
                </c:ext>
              </c:extLst>
            </c:dLbl>
            <c:dLbl>
              <c:idx val="113"/>
              <c:tx>
                <c:rich>
                  <a:bodyPr/>
                  <a:lstStyle/>
                  <a:p>
                    <a:fld id="{BDA304EE-8A9D-4D76-9D7D-BC8ADDF913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A423-4577-91BC-4F41351FD99C}"/>
                </c:ext>
              </c:extLst>
            </c:dLbl>
            <c:dLbl>
              <c:idx val="114"/>
              <c:tx>
                <c:rich>
                  <a:bodyPr/>
                  <a:lstStyle/>
                  <a:p>
                    <a:fld id="{13296BB4-3BF1-4A14-95DF-D30BE5A798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A423-4577-91BC-4F41351FD99C}"/>
                </c:ext>
              </c:extLst>
            </c:dLbl>
            <c:dLbl>
              <c:idx val="115"/>
              <c:tx>
                <c:rich>
                  <a:bodyPr/>
                  <a:lstStyle/>
                  <a:p>
                    <a:fld id="{80FAF8FF-35C2-4288-8799-1283BA64FC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A423-4577-91BC-4F41351FD99C}"/>
                </c:ext>
              </c:extLst>
            </c:dLbl>
            <c:dLbl>
              <c:idx val="116"/>
              <c:tx>
                <c:rich>
                  <a:bodyPr/>
                  <a:lstStyle/>
                  <a:p>
                    <a:fld id="{A40C7713-CFF8-4D94-A3D2-47B37492A8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A423-4577-91BC-4F41351FD99C}"/>
                </c:ext>
              </c:extLst>
            </c:dLbl>
            <c:dLbl>
              <c:idx val="117"/>
              <c:tx>
                <c:rich>
                  <a:bodyPr/>
                  <a:lstStyle/>
                  <a:p>
                    <a:fld id="{6287BCEF-D86F-4FA2-B00D-40DEA46449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A423-4577-91BC-4F41351FD99C}"/>
                </c:ext>
              </c:extLst>
            </c:dLbl>
            <c:dLbl>
              <c:idx val="118"/>
              <c:tx>
                <c:rich>
                  <a:bodyPr/>
                  <a:lstStyle/>
                  <a:p>
                    <a:fld id="{49EE990F-173E-4905-B273-5B9AD20938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A423-4577-91BC-4F41351FD99C}"/>
                </c:ext>
              </c:extLst>
            </c:dLbl>
            <c:dLbl>
              <c:idx val="119"/>
              <c:tx>
                <c:rich>
                  <a:bodyPr/>
                  <a:lstStyle/>
                  <a:p>
                    <a:fld id="{B601C3DA-A697-48CA-8EC8-8F28767A72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A423-4577-91BC-4F41351FD99C}"/>
                </c:ext>
              </c:extLst>
            </c:dLbl>
            <c:dLbl>
              <c:idx val="120"/>
              <c:tx>
                <c:rich>
                  <a:bodyPr/>
                  <a:lstStyle/>
                  <a:p>
                    <a:fld id="{10932FD2-4CD5-44BE-B53F-7B044CFDCF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A423-4577-91BC-4F41351FD99C}"/>
                </c:ext>
              </c:extLst>
            </c:dLbl>
            <c:dLbl>
              <c:idx val="121"/>
              <c:tx>
                <c:rich>
                  <a:bodyPr/>
                  <a:lstStyle/>
                  <a:p>
                    <a:fld id="{D12F5663-BECE-4978-B2E7-9BD044AD09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A423-4577-91BC-4F41351FD99C}"/>
                </c:ext>
              </c:extLst>
            </c:dLbl>
            <c:dLbl>
              <c:idx val="122"/>
              <c:tx>
                <c:rich>
                  <a:bodyPr/>
                  <a:lstStyle/>
                  <a:p>
                    <a:fld id="{92A87DDD-8901-4975-8B06-8EAE23AE83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A423-4577-91BC-4F41351FD99C}"/>
                </c:ext>
              </c:extLst>
            </c:dLbl>
            <c:dLbl>
              <c:idx val="123"/>
              <c:tx>
                <c:rich>
                  <a:bodyPr/>
                  <a:lstStyle/>
                  <a:p>
                    <a:fld id="{FF46F1C8-6200-410A-8370-3FF57CD96A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A423-4577-91BC-4F41351FD99C}"/>
                </c:ext>
              </c:extLst>
            </c:dLbl>
            <c:dLbl>
              <c:idx val="124"/>
              <c:tx>
                <c:rich>
                  <a:bodyPr/>
                  <a:lstStyle/>
                  <a:p>
                    <a:fld id="{2AA080AA-5AF8-4966-8ED1-52BA5C3B80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A423-4577-91BC-4F41351FD99C}"/>
                </c:ext>
              </c:extLst>
            </c:dLbl>
            <c:dLbl>
              <c:idx val="125"/>
              <c:tx>
                <c:rich>
                  <a:bodyPr/>
                  <a:lstStyle/>
                  <a:p>
                    <a:fld id="{BA29BB78-24EF-4239-8F49-BB7CE1A235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A423-4577-91BC-4F41351FD99C}"/>
                </c:ext>
              </c:extLst>
            </c:dLbl>
            <c:dLbl>
              <c:idx val="126"/>
              <c:tx>
                <c:rich>
                  <a:bodyPr/>
                  <a:lstStyle/>
                  <a:p>
                    <a:fld id="{EFE0ECC1-EA63-44E9-9C14-C38B7BA9B2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A423-4577-91BC-4F41351FD99C}"/>
                </c:ext>
              </c:extLst>
            </c:dLbl>
            <c:dLbl>
              <c:idx val="127"/>
              <c:tx>
                <c:rich>
                  <a:bodyPr/>
                  <a:lstStyle/>
                  <a:p>
                    <a:fld id="{9EFE6506-C77E-4530-BFA4-212964EA1A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A423-4577-91BC-4F41351FD99C}"/>
                </c:ext>
              </c:extLst>
            </c:dLbl>
            <c:dLbl>
              <c:idx val="128"/>
              <c:tx>
                <c:rich>
                  <a:bodyPr/>
                  <a:lstStyle/>
                  <a:p>
                    <a:fld id="{172D7112-B7F4-4C19-8F41-4B3ED6B294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A423-4577-91BC-4F41351FD99C}"/>
                </c:ext>
              </c:extLst>
            </c:dLbl>
            <c:dLbl>
              <c:idx val="129"/>
              <c:tx>
                <c:rich>
                  <a:bodyPr/>
                  <a:lstStyle/>
                  <a:p>
                    <a:fld id="{DD2366BF-7161-4CD6-ADCA-4D9CAF6903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A423-4577-91BC-4F41351FD99C}"/>
                </c:ext>
              </c:extLst>
            </c:dLbl>
            <c:dLbl>
              <c:idx val="130"/>
              <c:tx>
                <c:rich>
                  <a:bodyPr/>
                  <a:lstStyle/>
                  <a:p>
                    <a:fld id="{0395374A-EB11-4796-96A2-02E85D503F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A423-4577-91BC-4F41351FD99C}"/>
                </c:ext>
              </c:extLst>
            </c:dLbl>
            <c:dLbl>
              <c:idx val="131"/>
              <c:tx>
                <c:rich>
                  <a:bodyPr/>
                  <a:lstStyle/>
                  <a:p>
                    <a:fld id="{8D7BEE5B-3C89-4387-8A60-AFC1AC0506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A423-4577-91BC-4F41351FD99C}"/>
                </c:ext>
              </c:extLst>
            </c:dLbl>
            <c:dLbl>
              <c:idx val="132"/>
              <c:tx>
                <c:rich>
                  <a:bodyPr/>
                  <a:lstStyle/>
                  <a:p>
                    <a:fld id="{32FA3283-C1E6-4CA7-92F4-1A516BF240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A423-4577-91BC-4F41351FD99C}"/>
                </c:ext>
              </c:extLst>
            </c:dLbl>
            <c:dLbl>
              <c:idx val="133"/>
              <c:tx>
                <c:rich>
                  <a:bodyPr/>
                  <a:lstStyle/>
                  <a:p>
                    <a:fld id="{838056DB-D19C-47F5-B22C-7819BF7C7D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A423-4577-91BC-4F41351FD99C}"/>
                </c:ext>
              </c:extLst>
            </c:dLbl>
            <c:dLbl>
              <c:idx val="134"/>
              <c:tx>
                <c:rich>
                  <a:bodyPr/>
                  <a:lstStyle/>
                  <a:p>
                    <a:fld id="{A11813A3-A716-40FB-A7AE-E4F711E7C4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A423-4577-91BC-4F41351FD99C}"/>
                </c:ext>
              </c:extLst>
            </c:dLbl>
            <c:dLbl>
              <c:idx val="135"/>
              <c:tx>
                <c:rich>
                  <a:bodyPr/>
                  <a:lstStyle/>
                  <a:p>
                    <a:fld id="{88588AC9-9357-484D-94E5-33ADA8BEC2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A423-4577-91BC-4F41351FD99C}"/>
                </c:ext>
              </c:extLst>
            </c:dLbl>
            <c:dLbl>
              <c:idx val="136"/>
              <c:tx>
                <c:rich>
                  <a:bodyPr/>
                  <a:lstStyle/>
                  <a:p>
                    <a:fld id="{F2197571-D0D0-43DE-9E2E-BDB8B316D0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A423-4577-91BC-4F41351FD99C}"/>
                </c:ext>
              </c:extLst>
            </c:dLbl>
            <c:dLbl>
              <c:idx val="137"/>
              <c:tx>
                <c:rich>
                  <a:bodyPr/>
                  <a:lstStyle/>
                  <a:p>
                    <a:fld id="{2E1D32D0-F033-4C6C-AD25-F7B1253AA9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A423-4577-91BC-4F41351FD99C}"/>
                </c:ext>
              </c:extLst>
            </c:dLbl>
            <c:dLbl>
              <c:idx val="138"/>
              <c:tx>
                <c:rich>
                  <a:bodyPr/>
                  <a:lstStyle/>
                  <a:p>
                    <a:fld id="{D497B854-804F-4487-BC0F-1EB21BE9A6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A423-4577-91BC-4F41351FD99C}"/>
                </c:ext>
              </c:extLst>
            </c:dLbl>
            <c:dLbl>
              <c:idx val="139"/>
              <c:tx>
                <c:rich>
                  <a:bodyPr/>
                  <a:lstStyle/>
                  <a:p>
                    <a:fld id="{7282D299-0566-4E73-A8E0-4FF0BDAD88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A423-4577-91BC-4F41351FD99C}"/>
                </c:ext>
              </c:extLst>
            </c:dLbl>
            <c:dLbl>
              <c:idx val="140"/>
              <c:tx>
                <c:rich>
                  <a:bodyPr/>
                  <a:lstStyle/>
                  <a:p>
                    <a:fld id="{AFFE2A31-DC17-41FC-9872-B5559891F3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A423-4577-91BC-4F41351FD99C}"/>
                </c:ext>
              </c:extLst>
            </c:dLbl>
            <c:dLbl>
              <c:idx val="141"/>
              <c:tx>
                <c:rich>
                  <a:bodyPr/>
                  <a:lstStyle/>
                  <a:p>
                    <a:fld id="{3298EC2E-0A69-4DF4-B95A-69F83CD9EA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A423-4577-91BC-4F41351FD99C}"/>
                </c:ext>
              </c:extLst>
            </c:dLbl>
            <c:dLbl>
              <c:idx val="142"/>
              <c:tx>
                <c:rich>
                  <a:bodyPr/>
                  <a:lstStyle/>
                  <a:p>
                    <a:fld id="{6EBA45B6-089A-4955-A454-495E8E4397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A423-4577-91BC-4F41351FD99C}"/>
                </c:ext>
              </c:extLst>
            </c:dLbl>
            <c:dLbl>
              <c:idx val="143"/>
              <c:tx>
                <c:rich>
                  <a:bodyPr/>
                  <a:lstStyle/>
                  <a:p>
                    <a:fld id="{DBC2AE9A-9CB9-4F64-9893-95788FC9FB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A423-4577-91BC-4F41351FD99C}"/>
                </c:ext>
              </c:extLst>
            </c:dLbl>
            <c:dLbl>
              <c:idx val="144"/>
              <c:tx>
                <c:rich>
                  <a:bodyPr/>
                  <a:lstStyle/>
                  <a:p>
                    <a:fld id="{0060A28E-81A9-401C-9E20-3EE6D777DE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A423-4577-91BC-4F41351FD99C}"/>
                </c:ext>
              </c:extLst>
            </c:dLbl>
            <c:dLbl>
              <c:idx val="145"/>
              <c:tx>
                <c:rich>
                  <a:bodyPr/>
                  <a:lstStyle/>
                  <a:p>
                    <a:fld id="{7B471A14-2A31-4107-AD8A-72D56643B6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A423-4577-91BC-4F41351FD99C}"/>
                </c:ext>
              </c:extLst>
            </c:dLbl>
            <c:dLbl>
              <c:idx val="146"/>
              <c:tx>
                <c:rich>
                  <a:bodyPr/>
                  <a:lstStyle/>
                  <a:p>
                    <a:fld id="{02B0E9C4-A586-49DE-9F90-82DC5EEAF2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A423-4577-91BC-4F41351FD99C}"/>
                </c:ext>
              </c:extLst>
            </c:dLbl>
            <c:dLbl>
              <c:idx val="147"/>
              <c:tx>
                <c:rich>
                  <a:bodyPr/>
                  <a:lstStyle/>
                  <a:p>
                    <a:fld id="{D95B281A-B5F9-4DFD-9F92-C3C258D10A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A423-4577-91BC-4F41351FD99C}"/>
                </c:ext>
              </c:extLst>
            </c:dLbl>
            <c:dLbl>
              <c:idx val="148"/>
              <c:tx>
                <c:rich>
                  <a:bodyPr/>
                  <a:lstStyle/>
                  <a:p>
                    <a:fld id="{8253AE2E-A1C6-4EB4-8C1F-463BF75A4D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A423-4577-91BC-4F41351FD99C}"/>
                </c:ext>
              </c:extLst>
            </c:dLbl>
            <c:dLbl>
              <c:idx val="149"/>
              <c:tx>
                <c:rich>
                  <a:bodyPr/>
                  <a:lstStyle/>
                  <a:p>
                    <a:fld id="{138072B2-B9BB-4B22-BBFA-E31EBAF886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A423-4577-91BC-4F41351FD99C}"/>
                </c:ext>
              </c:extLst>
            </c:dLbl>
            <c:dLbl>
              <c:idx val="150"/>
              <c:tx>
                <c:rich>
                  <a:bodyPr/>
                  <a:lstStyle/>
                  <a:p>
                    <a:fld id="{679C6B5B-29CA-46B6-BB31-F5617DE35A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A423-4577-91BC-4F41351FD99C}"/>
                </c:ext>
              </c:extLst>
            </c:dLbl>
            <c:dLbl>
              <c:idx val="151"/>
              <c:tx>
                <c:rich>
                  <a:bodyPr/>
                  <a:lstStyle/>
                  <a:p>
                    <a:fld id="{49DFE660-7482-4674-B196-B0E95DDB1C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A423-4577-91BC-4F41351FD99C}"/>
                </c:ext>
              </c:extLst>
            </c:dLbl>
            <c:dLbl>
              <c:idx val="152"/>
              <c:tx>
                <c:rich>
                  <a:bodyPr/>
                  <a:lstStyle/>
                  <a:p>
                    <a:fld id="{73A47DC0-DB47-4369-BE38-CB141F2EE6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A423-4577-91BC-4F41351FD99C}"/>
                </c:ext>
              </c:extLst>
            </c:dLbl>
            <c:dLbl>
              <c:idx val="153"/>
              <c:tx>
                <c:rich>
                  <a:bodyPr/>
                  <a:lstStyle/>
                  <a:p>
                    <a:fld id="{734DC682-7FBC-4F24-81F6-C5194F7F40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A423-4577-91BC-4F41351FD99C}"/>
                </c:ext>
              </c:extLst>
            </c:dLbl>
            <c:dLbl>
              <c:idx val="154"/>
              <c:tx>
                <c:rich>
                  <a:bodyPr/>
                  <a:lstStyle/>
                  <a:p>
                    <a:fld id="{5477A1C8-2980-4F75-8814-8C31FE0060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A423-4577-91BC-4F41351FD99C}"/>
                </c:ext>
              </c:extLst>
            </c:dLbl>
            <c:dLbl>
              <c:idx val="155"/>
              <c:tx>
                <c:rich>
                  <a:bodyPr/>
                  <a:lstStyle/>
                  <a:p>
                    <a:fld id="{3D858F17-352D-4A52-B2C3-77BE3B1992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A423-4577-91BC-4F41351FD99C}"/>
                </c:ext>
              </c:extLst>
            </c:dLbl>
            <c:dLbl>
              <c:idx val="156"/>
              <c:tx>
                <c:rich>
                  <a:bodyPr/>
                  <a:lstStyle/>
                  <a:p>
                    <a:fld id="{DF45148F-FF4B-436C-9AD8-4FD74D74BF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A423-4577-91BC-4F41351FD99C}"/>
                </c:ext>
              </c:extLst>
            </c:dLbl>
            <c:dLbl>
              <c:idx val="157"/>
              <c:tx>
                <c:rich>
                  <a:bodyPr/>
                  <a:lstStyle/>
                  <a:p>
                    <a:fld id="{62DB75FC-455B-4EE7-8619-40B31FBE58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A423-4577-91BC-4F41351FD99C}"/>
                </c:ext>
              </c:extLst>
            </c:dLbl>
            <c:dLbl>
              <c:idx val="158"/>
              <c:tx>
                <c:rich>
                  <a:bodyPr/>
                  <a:lstStyle/>
                  <a:p>
                    <a:fld id="{71851A3C-2CB3-4A9B-95CA-C093155957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A423-4577-91BC-4F41351FD99C}"/>
                </c:ext>
              </c:extLst>
            </c:dLbl>
            <c:dLbl>
              <c:idx val="159"/>
              <c:tx>
                <c:rich>
                  <a:bodyPr/>
                  <a:lstStyle/>
                  <a:p>
                    <a:fld id="{6AA0B6DB-2EB8-4FC7-8517-A8BDA8F960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A423-4577-91BC-4F41351FD99C}"/>
                </c:ext>
              </c:extLst>
            </c:dLbl>
            <c:dLbl>
              <c:idx val="160"/>
              <c:tx>
                <c:rich>
                  <a:bodyPr/>
                  <a:lstStyle/>
                  <a:p>
                    <a:fld id="{C78759AD-22FC-4420-A360-909F23EBB6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A423-4577-91BC-4F41351FD99C}"/>
                </c:ext>
              </c:extLst>
            </c:dLbl>
            <c:dLbl>
              <c:idx val="161"/>
              <c:tx>
                <c:rich>
                  <a:bodyPr/>
                  <a:lstStyle/>
                  <a:p>
                    <a:fld id="{1397C3AE-08AE-4D91-AED4-CB342FC82A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A423-4577-91BC-4F41351FD99C}"/>
                </c:ext>
              </c:extLst>
            </c:dLbl>
            <c:dLbl>
              <c:idx val="162"/>
              <c:tx>
                <c:rich>
                  <a:bodyPr/>
                  <a:lstStyle/>
                  <a:p>
                    <a:fld id="{960A4305-9170-40B1-8BD2-B54675D4A2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A423-4577-91BC-4F41351FD99C}"/>
                </c:ext>
              </c:extLst>
            </c:dLbl>
            <c:dLbl>
              <c:idx val="163"/>
              <c:tx>
                <c:rich>
                  <a:bodyPr/>
                  <a:lstStyle/>
                  <a:p>
                    <a:fld id="{27164B63-12BA-4F38-9528-034ED2B8E4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A423-4577-91BC-4F41351FD99C}"/>
                </c:ext>
              </c:extLst>
            </c:dLbl>
            <c:dLbl>
              <c:idx val="164"/>
              <c:tx>
                <c:rich>
                  <a:bodyPr/>
                  <a:lstStyle/>
                  <a:p>
                    <a:fld id="{20D4FF67-111F-4BC2-BDB7-FE47767762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A423-4577-91BC-4F41351FD99C}"/>
                </c:ext>
              </c:extLst>
            </c:dLbl>
            <c:dLbl>
              <c:idx val="165"/>
              <c:tx>
                <c:rich>
                  <a:bodyPr/>
                  <a:lstStyle/>
                  <a:p>
                    <a:fld id="{F97B5133-19D5-4332-964F-3104741364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A423-4577-91BC-4F41351FD99C}"/>
                </c:ext>
              </c:extLst>
            </c:dLbl>
            <c:dLbl>
              <c:idx val="166"/>
              <c:tx>
                <c:rich>
                  <a:bodyPr/>
                  <a:lstStyle/>
                  <a:p>
                    <a:fld id="{61681841-BFCF-4271-A0CF-B0B3853991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A423-4577-91BC-4F41351FD99C}"/>
                </c:ext>
              </c:extLst>
            </c:dLbl>
            <c:dLbl>
              <c:idx val="167"/>
              <c:tx>
                <c:rich>
                  <a:bodyPr/>
                  <a:lstStyle/>
                  <a:p>
                    <a:fld id="{E456AA22-6B38-44ED-A19E-2C534BED74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A423-4577-91BC-4F41351FD99C}"/>
                </c:ext>
              </c:extLst>
            </c:dLbl>
            <c:dLbl>
              <c:idx val="168"/>
              <c:tx>
                <c:rich>
                  <a:bodyPr/>
                  <a:lstStyle/>
                  <a:p>
                    <a:fld id="{BEC3CF94-E402-4BE2-AA67-8577D2A315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A423-4577-91BC-4F41351FD99C}"/>
                </c:ext>
              </c:extLst>
            </c:dLbl>
            <c:dLbl>
              <c:idx val="169"/>
              <c:tx>
                <c:rich>
                  <a:bodyPr/>
                  <a:lstStyle/>
                  <a:p>
                    <a:fld id="{D4B739A1-2317-49FB-88F9-7A3CC95DF3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A423-4577-91BC-4F41351FD99C}"/>
                </c:ext>
              </c:extLst>
            </c:dLbl>
            <c:dLbl>
              <c:idx val="170"/>
              <c:tx>
                <c:rich>
                  <a:bodyPr/>
                  <a:lstStyle/>
                  <a:p>
                    <a:fld id="{3BA08D10-84CE-49F0-9992-C87664F10B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A423-4577-91BC-4F41351FD99C}"/>
                </c:ext>
              </c:extLst>
            </c:dLbl>
            <c:dLbl>
              <c:idx val="171"/>
              <c:tx>
                <c:rich>
                  <a:bodyPr/>
                  <a:lstStyle/>
                  <a:p>
                    <a:fld id="{D8596B16-378E-4613-A97E-37E3C6BA78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A423-4577-91BC-4F41351FD99C}"/>
                </c:ext>
              </c:extLst>
            </c:dLbl>
            <c:dLbl>
              <c:idx val="172"/>
              <c:tx>
                <c:rich>
                  <a:bodyPr/>
                  <a:lstStyle/>
                  <a:p>
                    <a:fld id="{73A8B0D9-7C72-4F5D-B853-516749C832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A423-4577-91BC-4F41351FD99C}"/>
                </c:ext>
              </c:extLst>
            </c:dLbl>
            <c:dLbl>
              <c:idx val="173"/>
              <c:tx>
                <c:rich>
                  <a:bodyPr/>
                  <a:lstStyle/>
                  <a:p>
                    <a:fld id="{CBA507F5-8719-46E7-9CC6-17290A9A85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A423-4577-91BC-4F41351FD99C}"/>
                </c:ext>
              </c:extLst>
            </c:dLbl>
            <c:dLbl>
              <c:idx val="174"/>
              <c:tx>
                <c:rich>
                  <a:bodyPr/>
                  <a:lstStyle/>
                  <a:p>
                    <a:fld id="{E42793CE-C46F-4AA3-991E-EFA029B3B6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A423-4577-91BC-4F41351FD99C}"/>
                </c:ext>
              </c:extLst>
            </c:dLbl>
            <c:dLbl>
              <c:idx val="175"/>
              <c:tx>
                <c:rich>
                  <a:bodyPr/>
                  <a:lstStyle/>
                  <a:p>
                    <a:fld id="{042CEC79-3F29-4389-9BFA-7C1BD177E2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A423-4577-91BC-4F41351FD99C}"/>
                </c:ext>
              </c:extLst>
            </c:dLbl>
            <c:dLbl>
              <c:idx val="176"/>
              <c:tx>
                <c:rich>
                  <a:bodyPr/>
                  <a:lstStyle/>
                  <a:p>
                    <a:fld id="{6C8D9156-21FE-49A1-93DF-D42CEB58B3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A423-4577-91BC-4F41351FD99C}"/>
                </c:ext>
              </c:extLst>
            </c:dLbl>
            <c:dLbl>
              <c:idx val="177"/>
              <c:tx>
                <c:rich>
                  <a:bodyPr/>
                  <a:lstStyle/>
                  <a:p>
                    <a:fld id="{1229A853-6799-4EB7-9327-5459DE9802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A423-4577-91BC-4F41351FD99C}"/>
                </c:ext>
              </c:extLst>
            </c:dLbl>
            <c:dLbl>
              <c:idx val="178"/>
              <c:tx>
                <c:rich>
                  <a:bodyPr/>
                  <a:lstStyle/>
                  <a:p>
                    <a:fld id="{BDA4CD5D-C2B2-4D32-B159-1B8C231290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A423-4577-91BC-4F41351FD99C}"/>
                </c:ext>
              </c:extLst>
            </c:dLbl>
            <c:dLbl>
              <c:idx val="179"/>
              <c:tx>
                <c:rich>
                  <a:bodyPr/>
                  <a:lstStyle/>
                  <a:p>
                    <a:fld id="{9E5E50EC-10FF-4B77-A261-9A3E717725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A423-4577-91BC-4F41351FD99C}"/>
                </c:ext>
              </c:extLst>
            </c:dLbl>
            <c:dLbl>
              <c:idx val="180"/>
              <c:tx>
                <c:rich>
                  <a:bodyPr/>
                  <a:lstStyle/>
                  <a:p>
                    <a:fld id="{6352EFF7-1C25-4DCD-AC11-F6469F85C3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A423-4577-91BC-4F41351FD99C}"/>
                </c:ext>
              </c:extLst>
            </c:dLbl>
            <c:dLbl>
              <c:idx val="181"/>
              <c:tx>
                <c:rich>
                  <a:bodyPr/>
                  <a:lstStyle/>
                  <a:p>
                    <a:fld id="{3752DB96-188E-4DE2-A9DA-0BEA538680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A423-4577-91BC-4F41351FD99C}"/>
                </c:ext>
              </c:extLst>
            </c:dLbl>
            <c:dLbl>
              <c:idx val="182"/>
              <c:tx>
                <c:rich>
                  <a:bodyPr/>
                  <a:lstStyle/>
                  <a:p>
                    <a:fld id="{F97D39CD-6E08-4F91-92A2-A9C3955D0F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A423-4577-91BC-4F41351FD99C}"/>
                </c:ext>
              </c:extLst>
            </c:dLbl>
            <c:dLbl>
              <c:idx val="183"/>
              <c:tx>
                <c:rich>
                  <a:bodyPr/>
                  <a:lstStyle/>
                  <a:p>
                    <a:fld id="{2710F7DD-17B8-413B-A607-1115DE0BCC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A423-4577-91BC-4F41351FD99C}"/>
                </c:ext>
              </c:extLst>
            </c:dLbl>
            <c:dLbl>
              <c:idx val="184"/>
              <c:tx>
                <c:rich>
                  <a:bodyPr/>
                  <a:lstStyle/>
                  <a:p>
                    <a:fld id="{49959B45-24F5-4382-9422-5409D66F7E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A423-4577-91BC-4F41351FD99C}"/>
                </c:ext>
              </c:extLst>
            </c:dLbl>
            <c:dLbl>
              <c:idx val="185"/>
              <c:tx>
                <c:rich>
                  <a:bodyPr/>
                  <a:lstStyle/>
                  <a:p>
                    <a:fld id="{9FAD1EBD-8F8E-4B9F-9E07-1D0FC466C2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A423-4577-91BC-4F41351FD99C}"/>
                </c:ext>
              </c:extLst>
            </c:dLbl>
            <c:dLbl>
              <c:idx val="186"/>
              <c:tx>
                <c:rich>
                  <a:bodyPr/>
                  <a:lstStyle/>
                  <a:p>
                    <a:fld id="{9528B9FD-9932-48C1-BB79-8AECBF07D0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A423-4577-91BC-4F41351FD99C}"/>
                </c:ext>
              </c:extLst>
            </c:dLbl>
            <c:dLbl>
              <c:idx val="187"/>
              <c:tx>
                <c:rich>
                  <a:bodyPr/>
                  <a:lstStyle/>
                  <a:p>
                    <a:fld id="{4775743B-8D75-4B6A-993D-BF0D630436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A423-4577-91BC-4F41351FD99C}"/>
                </c:ext>
              </c:extLst>
            </c:dLbl>
            <c:dLbl>
              <c:idx val="188"/>
              <c:tx>
                <c:rich>
                  <a:bodyPr/>
                  <a:lstStyle/>
                  <a:p>
                    <a:fld id="{D5CF50D6-B431-4610-A61F-63AE45F7CC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A423-4577-91BC-4F41351FD99C}"/>
                </c:ext>
              </c:extLst>
            </c:dLbl>
            <c:dLbl>
              <c:idx val="189"/>
              <c:tx>
                <c:rich>
                  <a:bodyPr/>
                  <a:lstStyle/>
                  <a:p>
                    <a:fld id="{8EAA27B8-470C-4D48-B1B5-5C1C086E4A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A423-4577-91BC-4F41351FD99C}"/>
                </c:ext>
              </c:extLst>
            </c:dLbl>
            <c:dLbl>
              <c:idx val="190"/>
              <c:tx>
                <c:rich>
                  <a:bodyPr/>
                  <a:lstStyle/>
                  <a:p>
                    <a:fld id="{01EE0081-81F6-4673-AFE4-ED9BFCA3F9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A423-4577-91BC-4F41351FD99C}"/>
                </c:ext>
              </c:extLst>
            </c:dLbl>
            <c:dLbl>
              <c:idx val="191"/>
              <c:tx>
                <c:rich>
                  <a:bodyPr/>
                  <a:lstStyle/>
                  <a:p>
                    <a:fld id="{8CA8DE81-1046-4982-906A-634EF8C112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A423-4577-91BC-4F41351FD99C}"/>
                </c:ext>
              </c:extLst>
            </c:dLbl>
            <c:dLbl>
              <c:idx val="192"/>
              <c:tx>
                <c:rich>
                  <a:bodyPr/>
                  <a:lstStyle/>
                  <a:p>
                    <a:fld id="{9824BF3E-BC11-4D72-BC84-D5C371E799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A423-4577-91BC-4F41351FD99C}"/>
                </c:ext>
              </c:extLst>
            </c:dLbl>
            <c:dLbl>
              <c:idx val="193"/>
              <c:tx>
                <c:rich>
                  <a:bodyPr/>
                  <a:lstStyle/>
                  <a:p>
                    <a:fld id="{478FC151-67C4-4224-82A6-B564B70459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A423-4577-91BC-4F41351FD99C}"/>
                </c:ext>
              </c:extLst>
            </c:dLbl>
            <c:dLbl>
              <c:idx val="194"/>
              <c:tx>
                <c:rich>
                  <a:bodyPr/>
                  <a:lstStyle/>
                  <a:p>
                    <a:fld id="{CC37E91A-E481-4AE9-B6F5-211A307AF1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A423-4577-91BC-4F41351FD99C}"/>
                </c:ext>
              </c:extLst>
            </c:dLbl>
            <c:dLbl>
              <c:idx val="195"/>
              <c:tx>
                <c:rich>
                  <a:bodyPr/>
                  <a:lstStyle/>
                  <a:p>
                    <a:fld id="{8DAE48AE-71EC-40C4-8CCC-E39844A4AC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A423-4577-91BC-4F41351FD99C}"/>
                </c:ext>
              </c:extLst>
            </c:dLbl>
            <c:dLbl>
              <c:idx val="196"/>
              <c:tx>
                <c:rich>
                  <a:bodyPr/>
                  <a:lstStyle/>
                  <a:p>
                    <a:fld id="{EC148EAF-571D-4C04-BC58-7A01CCC038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A423-4577-91BC-4F41351FD99C}"/>
                </c:ext>
              </c:extLst>
            </c:dLbl>
            <c:dLbl>
              <c:idx val="197"/>
              <c:tx>
                <c:rich>
                  <a:bodyPr/>
                  <a:lstStyle/>
                  <a:p>
                    <a:fld id="{FE57EF36-7F04-4A17-9563-78C105642E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A423-4577-91BC-4F41351FD99C}"/>
                </c:ext>
              </c:extLst>
            </c:dLbl>
            <c:dLbl>
              <c:idx val="198"/>
              <c:tx>
                <c:rich>
                  <a:bodyPr/>
                  <a:lstStyle/>
                  <a:p>
                    <a:fld id="{0D64CE84-1780-49C8-A2A1-9D3B7C9DA5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A423-4577-91BC-4F41351FD99C}"/>
                </c:ext>
              </c:extLst>
            </c:dLbl>
            <c:dLbl>
              <c:idx val="199"/>
              <c:tx>
                <c:rich>
                  <a:bodyPr/>
                  <a:lstStyle/>
                  <a:p>
                    <a:fld id="{7FDB9761-10FB-476A-ACB3-724EDE0003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A423-4577-91BC-4F41351FD99C}"/>
                </c:ext>
              </c:extLst>
            </c:dLbl>
            <c:dLbl>
              <c:idx val="200"/>
              <c:tx>
                <c:rich>
                  <a:bodyPr/>
                  <a:lstStyle/>
                  <a:p>
                    <a:fld id="{2681965D-DD70-4799-93DF-2FB7ACC4E0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A423-4577-91BC-4F41351FD99C}"/>
                </c:ext>
              </c:extLst>
            </c:dLbl>
            <c:dLbl>
              <c:idx val="201"/>
              <c:tx>
                <c:rich>
                  <a:bodyPr/>
                  <a:lstStyle/>
                  <a:p>
                    <a:fld id="{C6040748-232A-44B1-814A-260B3CB279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A423-4577-91BC-4F41351FD99C}"/>
                </c:ext>
              </c:extLst>
            </c:dLbl>
            <c:dLbl>
              <c:idx val="202"/>
              <c:tx>
                <c:rich>
                  <a:bodyPr/>
                  <a:lstStyle/>
                  <a:p>
                    <a:fld id="{24B3F447-8695-4B1E-AA58-F6FBD52FB1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A423-4577-91BC-4F41351FD99C}"/>
                </c:ext>
              </c:extLst>
            </c:dLbl>
            <c:dLbl>
              <c:idx val="203"/>
              <c:tx>
                <c:rich>
                  <a:bodyPr/>
                  <a:lstStyle/>
                  <a:p>
                    <a:fld id="{6BA698A1-8220-4D6E-A80E-6AA9FA0B1E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A423-4577-91BC-4F41351FD99C}"/>
                </c:ext>
              </c:extLst>
            </c:dLbl>
            <c:dLbl>
              <c:idx val="204"/>
              <c:tx>
                <c:rich>
                  <a:bodyPr/>
                  <a:lstStyle/>
                  <a:p>
                    <a:fld id="{7A986A2B-0651-4785-988B-E5622C3E02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A423-4577-91BC-4F41351FD99C}"/>
                </c:ext>
              </c:extLst>
            </c:dLbl>
            <c:dLbl>
              <c:idx val="205"/>
              <c:tx>
                <c:rich>
                  <a:bodyPr/>
                  <a:lstStyle/>
                  <a:p>
                    <a:fld id="{A689175C-F764-4D1E-BDDA-1CC0AD06C6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A423-4577-91BC-4F41351FD99C}"/>
                </c:ext>
              </c:extLst>
            </c:dLbl>
            <c:dLbl>
              <c:idx val="206"/>
              <c:tx>
                <c:rich>
                  <a:bodyPr/>
                  <a:lstStyle/>
                  <a:p>
                    <a:fld id="{7F749D5F-212F-4D99-BF64-50CE586F58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A423-4577-91BC-4F41351FD99C}"/>
                </c:ext>
              </c:extLst>
            </c:dLbl>
            <c:dLbl>
              <c:idx val="207"/>
              <c:tx>
                <c:rich>
                  <a:bodyPr/>
                  <a:lstStyle/>
                  <a:p>
                    <a:fld id="{AEEEAC9C-D32A-42B6-A381-ACAA2D4A9F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A423-4577-91BC-4F41351FD99C}"/>
                </c:ext>
              </c:extLst>
            </c:dLbl>
            <c:dLbl>
              <c:idx val="208"/>
              <c:tx>
                <c:rich>
                  <a:bodyPr/>
                  <a:lstStyle/>
                  <a:p>
                    <a:fld id="{DC7425C7-BDD1-4AC3-8F5C-50F41DD8BC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A423-4577-91BC-4F41351FD99C}"/>
                </c:ext>
              </c:extLst>
            </c:dLbl>
            <c:dLbl>
              <c:idx val="209"/>
              <c:tx>
                <c:rich>
                  <a:bodyPr/>
                  <a:lstStyle/>
                  <a:p>
                    <a:fld id="{12265AA6-B836-4FD3-B9BD-CB9B5C9C14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A423-4577-91BC-4F41351FD99C}"/>
                </c:ext>
              </c:extLst>
            </c:dLbl>
            <c:dLbl>
              <c:idx val="210"/>
              <c:tx>
                <c:rich>
                  <a:bodyPr/>
                  <a:lstStyle/>
                  <a:p>
                    <a:fld id="{D717A764-A8AD-4893-99C4-467F6A3B16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A423-4577-91BC-4F41351FD99C}"/>
                </c:ext>
              </c:extLst>
            </c:dLbl>
            <c:dLbl>
              <c:idx val="211"/>
              <c:tx>
                <c:rich>
                  <a:bodyPr/>
                  <a:lstStyle/>
                  <a:p>
                    <a:fld id="{BA3F2C55-EA74-4104-B207-0E76520B93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A423-4577-91BC-4F41351FD99C}"/>
                </c:ext>
              </c:extLst>
            </c:dLbl>
            <c:dLbl>
              <c:idx val="212"/>
              <c:tx>
                <c:rich>
                  <a:bodyPr/>
                  <a:lstStyle/>
                  <a:p>
                    <a:fld id="{E5285BE5-B67E-4F80-A07E-19350AC250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A423-4577-91BC-4F41351FD99C}"/>
                </c:ext>
              </c:extLst>
            </c:dLbl>
            <c:dLbl>
              <c:idx val="213"/>
              <c:tx>
                <c:rich>
                  <a:bodyPr/>
                  <a:lstStyle/>
                  <a:p>
                    <a:fld id="{41677B20-7E71-4569-936C-541AFB2C73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A423-4577-91BC-4F41351FD99C}"/>
                </c:ext>
              </c:extLst>
            </c:dLbl>
            <c:dLbl>
              <c:idx val="214"/>
              <c:tx>
                <c:rich>
                  <a:bodyPr/>
                  <a:lstStyle/>
                  <a:p>
                    <a:fld id="{7D9EE90E-54E8-44E3-BBDF-3DC8884E49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A423-4577-91BC-4F41351FD99C}"/>
                </c:ext>
              </c:extLst>
            </c:dLbl>
            <c:dLbl>
              <c:idx val="215"/>
              <c:tx>
                <c:rich>
                  <a:bodyPr/>
                  <a:lstStyle/>
                  <a:p>
                    <a:fld id="{7FDCBC9E-5308-4268-AA8C-44697C33F5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A423-4577-91BC-4F41351FD99C}"/>
                </c:ext>
              </c:extLst>
            </c:dLbl>
            <c:dLbl>
              <c:idx val="216"/>
              <c:tx>
                <c:rich>
                  <a:bodyPr/>
                  <a:lstStyle/>
                  <a:p>
                    <a:fld id="{36677478-E40B-4146-A7E5-7ECB18352C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A423-4577-91BC-4F41351FD99C}"/>
                </c:ext>
              </c:extLst>
            </c:dLbl>
            <c:dLbl>
              <c:idx val="217"/>
              <c:tx>
                <c:rich>
                  <a:bodyPr/>
                  <a:lstStyle/>
                  <a:p>
                    <a:fld id="{B3BA4188-164C-40DD-B4DF-9E0068042B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A423-4577-91BC-4F41351FD99C}"/>
                </c:ext>
              </c:extLst>
            </c:dLbl>
            <c:dLbl>
              <c:idx val="218"/>
              <c:tx>
                <c:rich>
                  <a:bodyPr/>
                  <a:lstStyle/>
                  <a:p>
                    <a:fld id="{49D6F1E6-5C7E-4D39-974E-A060A1A9C2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A423-4577-91BC-4F41351FD99C}"/>
                </c:ext>
              </c:extLst>
            </c:dLbl>
            <c:dLbl>
              <c:idx val="219"/>
              <c:tx>
                <c:rich>
                  <a:bodyPr/>
                  <a:lstStyle/>
                  <a:p>
                    <a:fld id="{DF3CC720-0241-4F13-9E6E-E61131503F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A423-4577-91BC-4F41351FD99C}"/>
                </c:ext>
              </c:extLst>
            </c:dLbl>
            <c:dLbl>
              <c:idx val="220"/>
              <c:tx>
                <c:rich>
                  <a:bodyPr/>
                  <a:lstStyle/>
                  <a:p>
                    <a:fld id="{F47B48AB-896F-47C1-BD78-A705EB11C5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A423-4577-91BC-4F41351FD99C}"/>
                </c:ext>
              </c:extLst>
            </c:dLbl>
            <c:dLbl>
              <c:idx val="221"/>
              <c:tx>
                <c:rich>
                  <a:bodyPr/>
                  <a:lstStyle/>
                  <a:p>
                    <a:fld id="{739332D9-9483-47D5-B06E-A5807C5A50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A423-4577-91BC-4F41351FD99C}"/>
                </c:ext>
              </c:extLst>
            </c:dLbl>
            <c:dLbl>
              <c:idx val="222"/>
              <c:tx>
                <c:rich>
                  <a:bodyPr/>
                  <a:lstStyle/>
                  <a:p>
                    <a:fld id="{8D3F377C-F14B-4806-8799-0E0B9DB88E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A423-4577-91BC-4F41351FD99C}"/>
                </c:ext>
              </c:extLst>
            </c:dLbl>
            <c:dLbl>
              <c:idx val="223"/>
              <c:tx>
                <c:rich>
                  <a:bodyPr/>
                  <a:lstStyle/>
                  <a:p>
                    <a:fld id="{D063AD7F-52AF-42D2-BCD2-927E1484CF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A423-4577-91BC-4F41351FD99C}"/>
                </c:ext>
              </c:extLst>
            </c:dLbl>
            <c:dLbl>
              <c:idx val="224"/>
              <c:tx>
                <c:rich>
                  <a:bodyPr/>
                  <a:lstStyle/>
                  <a:p>
                    <a:fld id="{6238C0C6-8CA9-44A4-AB45-44A13BF7DB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A423-4577-91BC-4F41351FD99C}"/>
                </c:ext>
              </c:extLst>
            </c:dLbl>
            <c:dLbl>
              <c:idx val="225"/>
              <c:tx>
                <c:rich>
                  <a:bodyPr/>
                  <a:lstStyle/>
                  <a:p>
                    <a:fld id="{7C99357F-6A6E-44AB-B915-80E1A68E38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A423-4577-91BC-4F41351FD99C}"/>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A423-4577-91BC-4F41351FD99C}"/>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A423-4577-91BC-4F41351FD99C}"/>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A423-4577-91BC-4F41351FD99C}"/>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A423-4577-91BC-4F41351FD99C}"/>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A423-4577-91BC-4F41351FD99C}"/>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A423-4577-91BC-4F41351FD99C}"/>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A423-4577-91BC-4F41351FD99C}"/>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A423-4577-91BC-4F41351FD99C}"/>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A423-4577-91BC-4F41351FD99C}"/>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A423-4577-91BC-4F41351FD99C}"/>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A423-4577-91BC-4F41351FD99C}"/>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A423-4577-91BC-4F41351FD99C}"/>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A423-4577-91BC-4F41351FD99C}"/>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A423-4577-91BC-4F41351FD99C}"/>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A423-4577-91BC-4F41351FD99C}"/>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A423-4577-91BC-4F41351FD99C}"/>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A423-4577-91BC-4F41351FD99C}"/>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A423-4577-91BC-4F41351FD99C}"/>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A423-4577-91BC-4F41351FD99C}"/>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A423-4577-91BC-4F41351FD99C}"/>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A423-4577-91BC-4F41351FD99C}"/>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A423-4577-91BC-4F41351FD99C}"/>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A423-4577-91BC-4F41351FD99C}"/>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A423-4577-91BC-4F41351FD99C}"/>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A423-4577-91BC-4F41351FD99C}"/>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A423-4577-91BC-4F41351FD99C}"/>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A423-4577-91BC-4F41351FD99C}"/>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A423-4577-91BC-4F41351FD99C}"/>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A423-4577-91BC-4F41351FD99C}"/>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A423-4577-91BC-4F41351FD99C}"/>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A423-4577-91BC-4F41351FD99C}"/>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A423-4577-91BC-4F41351FD99C}"/>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A423-4577-91BC-4F41351FD99C}"/>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A423-4577-91BC-4F41351FD99C}"/>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A423-4577-91BC-4F41351FD99C}"/>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A423-4577-91BC-4F41351FD99C}"/>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A423-4577-91BC-4F41351FD99C}"/>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A423-4577-91BC-4F41351FD99C}"/>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A423-4577-91BC-4F41351FD99C}"/>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A423-4577-91BC-4F41351FD99C}"/>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A423-4577-91BC-4F41351FD99C}"/>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A423-4577-91BC-4F41351FD99C}"/>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A423-4577-91BC-4F41351FD99C}"/>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A423-4577-91BC-4F41351FD99C}"/>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A423-4577-91BC-4F41351FD99C}"/>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A423-4577-91BC-4F41351FD99C}"/>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A423-4577-91BC-4F41351FD99C}"/>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A423-4577-91BC-4F41351FD99C}"/>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A423-4577-91BC-4F41351FD99C}"/>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A423-4577-91BC-4F41351FD99C}"/>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A423-4577-91BC-4F41351FD99C}"/>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A423-4577-91BC-4F41351FD99C}"/>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A423-4577-91BC-4F41351FD99C}"/>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A423-4577-91BC-4F41351FD99C}"/>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A423-4577-91BC-4F41351FD99C}"/>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A423-4577-91BC-4F41351FD99C}"/>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A423-4577-91BC-4F41351FD99C}"/>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A423-4577-91BC-4F41351FD99C}"/>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A423-4577-91BC-4F41351FD99C}"/>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A423-4577-91BC-4F41351FD99C}"/>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A423-4577-91BC-4F41351FD99C}"/>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A423-4577-91BC-4F41351FD99C}"/>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A423-4577-91BC-4F41351FD99C}"/>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A423-4577-91BC-4F41351FD99C}"/>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A423-4577-91BC-4F41351FD99C}"/>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A423-4577-91BC-4F41351FD99C}"/>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A423-4577-91BC-4F41351FD99C}"/>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A423-4577-91BC-4F41351FD99C}"/>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A423-4577-91BC-4F41351FD99C}"/>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A423-4577-91BC-4F41351FD99C}"/>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A423-4577-91BC-4F41351FD99C}"/>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A423-4577-91BC-4F41351FD99C}"/>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A423-4577-91BC-4F41351FD99C}"/>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NormalisedUVVisData!$H$2:$H$300</c:f>
              <c:numCache>
                <c:formatCode>General</c:formatCode>
                <c:ptCount val="299"/>
                <c:pt idx="0">
                  <c:v>90.394149780273438</c:v>
                </c:pt>
                <c:pt idx="1">
                  <c:v>93.320083618164063</c:v>
                </c:pt>
                <c:pt idx="2">
                  <c:v>94.866859436035156</c:v>
                </c:pt>
                <c:pt idx="3">
                  <c:v>95.8671875</c:v>
                </c:pt>
                <c:pt idx="4">
                  <c:v>96.437400817871094</c:v>
                </c:pt>
                <c:pt idx="5">
                  <c:v>97.178993225097656</c:v>
                </c:pt>
                <c:pt idx="6">
                  <c:v>98.390640258789063</c:v>
                </c:pt>
                <c:pt idx="7">
                  <c:v>99.509269714355469</c:v>
                </c:pt>
                <c:pt idx="8">
                  <c:v>100</c:v>
                </c:pt>
                <c:pt idx="9">
                  <c:v>98.860023498535156</c:v>
                </c:pt>
                <c:pt idx="10">
                  <c:v>96.200698852539063</c:v>
                </c:pt>
                <c:pt idx="11">
                  <c:v>92.840461730957031</c:v>
                </c:pt>
                <c:pt idx="12">
                  <c:v>89.54364013671875</c:v>
                </c:pt>
                <c:pt idx="13">
                  <c:v>86.480445861816406</c:v>
                </c:pt>
                <c:pt idx="14">
                  <c:v>83.208969116210938</c:v>
                </c:pt>
                <c:pt idx="15">
                  <c:v>79.066162109375</c:v>
                </c:pt>
                <c:pt idx="16">
                  <c:v>73.863471984863281</c:v>
                </c:pt>
                <c:pt idx="17">
                  <c:v>67.778587341308594</c:v>
                </c:pt>
                <c:pt idx="18">
                  <c:v>61.435512542724609</c:v>
                </c:pt>
                <c:pt idx="19">
                  <c:v>55.121910095214844</c:v>
                </c:pt>
                <c:pt idx="20">
                  <c:v>49.276252746582031</c:v>
                </c:pt>
                <c:pt idx="21">
                  <c:v>43.4290771484375</c:v>
                </c:pt>
                <c:pt idx="22">
                  <c:v>37.084255218505859</c:v>
                </c:pt>
                <c:pt idx="23">
                  <c:v>30.799930572509766</c:v>
                </c:pt>
                <c:pt idx="24">
                  <c:v>25.081060409545898</c:v>
                </c:pt>
                <c:pt idx="25">
                  <c:v>21.001379013061523</c:v>
                </c:pt>
                <c:pt idx="26">
                  <c:v>18.744604110717773</c:v>
                </c:pt>
                <c:pt idx="27">
                  <c:v>18.115453720092773</c:v>
                </c:pt>
                <c:pt idx="28">
                  <c:v>18.33213996887207</c:v>
                </c:pt>
                <c:pt idx="29">
                  <c:v>18.981075286865234</c:v>
                </c:pt>
                <c:pt idx="30">
                  <c:v>19.960384368896484</c:v>
                </c:pt>
                <c:pt idx="31">
                  <c:v>20.974390029907227</c:v>
                </c:pt>
                <c:pt idx="32">
                  <c:v>21.831501007080078</c:v>
                </c:pt>
                <c:pt idx="33">
                  <c:v>22.676996231079102</c:v>
                </c:pt>
                <c:pt idx="34">
                  <c:v>23.669929504394531</c:v>
                </c:pt>
                <c:pt idx="35">
                  <c:v>24.619977951049805</c:v>
                </c:pt>
                <c:pt idx="36">
                  <c:v>25.549068450927734</c:v>
                </c:pt>
                <c:pt idx="37">
                  <c:v>26.554302215576172</c:v>
                </c:pt>
                <c:pt idx="38">
                  <c:v>27.790517807006836</c:v>
                </c:pt>
                <c:pt idx="39">
                  <c:v>29.250576019287109</c:v>
                </c:pt>
                <c:pt idx="40">
                  <c:v>30.922046661376953</c:v>
                </c:pt>
                <c:pt idx="41">
                  <c:v>32.688758850097656</c:v>
                </c:pt>
                <c:pt idx="42">
                  <c:v>34.3167724609375</c:v>
                </c:pt>
                <c:pt idx="43">
                  <c:v>35.993728637695313</c:v>
                </c:pt>
                <c:pt idx="44">
                  <c:v>37.495658874511719</c:v>
                </c:pt>
                <c:pt idx="45">
                  <c:v>38.600921630859375</c:v>
                </c:pt>
                <c:pt idx="46">
                  <c:v>39.176586151123047</c:v>
                </c:pt>
                <c:pt idx="47">
                  <c:v>39.210174560546875</c:v>
                </c:pt>
                <c:pt idx="48">
                  <c:v>38.658279418945313</c:v>
                </c:pt>
                <c:pt idx="49">
                  <c:v>37.662158966064453</c:v>
                </c:pt>
                <c:pt idx="50">
                  <c:v>36.242778778076172</c:v>
                </c:pt>
                <c:pt idx="51">
                  <c:v>34.415866851806641</c:v>
                </c:pt>
                <c:pt idx="52">
                  <c:v>32.453804016113281</c:v>
                </c:pt>
                <c:pt idx="53">
                  <c:v>30.408622741699219</c:v>
                </c:pt>
                <c:pt idx="54">
                  <c:v>28.275369644165039</c:v>
                </c:pt>
                <c:pt idx="55">
                  <c:v>26.398223876953125</c:v>
                </c:pt>
                <c:pt idx="56">
                  <c:v>24.780288696289063</c:v>
                </c:pt>
                <c:pt idx="57">
                  <c:v>23.345224380493164</c:v>
                </c:pt>
                <c:pt idx="58">
                  <c:v>22.154260635375977</c:v>
                </c:pt>
                <c:pt idx="59">
                  <c:v>21.415132522583008</c:v>
                </c:pt>
                <c:pt idx="60">
                  <c:v>20.897167205810547</c:v>
                </c:pt>
                <c:pt idx="61">
                  <c:v>20.304479598999023</c:v>
                </c:pt>
                <c:pt idx="62">
                  <c:v>19.950647354125977</c:v>
                </c:pt>
                <c:pt idx="63">
                  <c:v>19.733747482299805</c:v>
                </c:pt>
                <c:pt idx="64">
                  <c:v>19.484371185302734</c:v>
                </c:pt>
                <c:pt idx="65">
                  <c:v>19.281585693359375</c:v>
                </c:pt>
                <c:pt idx="66">
                  <c:v>19.012538909912109</c:v>
                </c:pt>
                <c:pt idx="67">
                  <c:v>18.714675903320313</c:v>
                </c:pt>
                <c:pt idx="68">
                  <c:v>18.432086944580078</c:v>
                </c:pt>
                <c:pt idx="69">
                  <c:v>18.059091567993164</c:v>
                </c:pt>
                <c:pt idx="70">
                  <c:v>17.513322830200195</c:v>
                </c:pt>
                <c:pt idx="71">
                  <c:v>17.031526565551758</c:v>
                </c:pt>
                <c:pt idx="72">
                  <c:v>16.566753387451172</c:v>
                </c:pt>
                <c:pt idx="73">
                  <c:v>15.950507164001465</c:v>
                </c:pt>
                <c:pt idx="74">
                  <c:v>15.354159355163574</c:v>
                </c:pt>
                <c:pt idx="75">
                  <c:v>14.816835403442383</c:v>
                </c:pt>
                <c:pt idx="76">
                  <c:v>14.233116149902344</c:v>
                </c:pt>
                <c:pt idx="77">
                  <c:v>13.693864822387695</c:v>
                </c:pt>
                <c:pt idx="78">
                  <c:v>13.26279354095459</c:v>
                </c:pt>
                <c:pt idx="79">
                  <c:v>12.780817031860352</c:v>
                </c:pt>
                <c:pt idx="80">
                  <c:v>12.353536605834961</c:v>
                </c:pt>
                <c:pt idx="81">
                  <c:v>11.891866683959961</c:v>
                </c:pt>
                <c:pt idx="82">
                  <c:v>11.502747535705566</c:v>
                </c:pt>
                <c:pt idx="83">
                  <c:v>10.930267333984375</c:v>
                </c:pt>
                <c:pt idx="84">
                  <c:v>10.292899131774902</c:v>
                </c:pt>
                <c:pt idx="85">
                  <c:v>9.8635263442993164</c:v>
                </c:pt>
                <c:pt idx="86">
                  <c:v>9.2296543121337891</c:v>
                </c:pt>
                <c:pt idx="87">
                  <c:v>8.732386589050293</c:v>
                </c:pt>
                <c:pt idx="88">
                  <c:v>8.2386817932128906</c:v>
                </c:pt>
                <c:pt idx="89">
                  <c:v>7.7108163833618164</c:v>
                </c:pt>
                <c:pt idx="90">
                  <c:v>7.2679667472839355</c:v>
                </c:pt>
                <c:pt idx="91">
                  <c:v>6.7109570503234863</c:v>
                </c:pt>
                <c:pt idx="92">
                  <c:v>6.4065756797790527</c:v>
                </c:pt>
                <c:pt idx="93">
                  <c:v>6.0938949584960938</c:v>
                </c:pt>
                <c:pt idx="94">
                  <c:v>5.6861686706542969</c:v>
                </c:pt>
                <c:pt idx="95">
                  <c:v>5.1782174110412598</c:v>
                </c:pt>
                <c:pt idx="96">
                  <c:v>4.6773896217346191</c:v>
                </c:pt>
                <c:pt idx="97">
                  <c:v>4.3818130493164063</c:v>
                </c:pt>
                <c:pt idx="98">
                  <c:v>4.2224669456481934</c:v>
                </c:pt>
                <c:pt idx="99">
                  <c:v>3.9612462520599365</c:v>
                </c:pt>
                <c:pt idx="100">
                  <c:v>3.6402175426483154</c:v>
                </c:pt>
                <c:pt idx="101">
                  <c:v>3.4732258319854736</c:v>
                </c:pt>
                <c:pt idx="102">
                  <c:v>3.3145167827606201</c:v>
                </c:pt>
                <c:pt idx="103">
                  <c:v>3.2048008441925049</c:v>
                </c:pt>
                <c:pt idx="104">
                  <c:v>3.0701389312744141</c:v>
                </c:pt>
                <c:pt idx="105">
                  <c:v>2.907656192779541</c:v>
                </c:pt>
                <c:pt idx="106">
                  <c:v>2.7819139957427979</c:v>
                </c:pt>
                <c:pt idx="107">
                  <c:v>2.749910831451416</c:v>
                </c:pt>
                <c:pt idx="108">
                  <c:v>2.6803827285766602</c:v>
                </c:pt>
                <c:pt idx="109">
                  <c:v>2.6387898921966553</c:v>
                </c:pt>
                <c:pt idx="110">
                  <c:v>2.7116997241973877</c:v>
                </c:pt>
                <c:pt idx="111">
                  <c:v>2.5593945980072021</c:v>
                </c:pt>
                <c:pt idx="112">
                  <c:v>2.4408242702484131</c:v>
                </c:pt>
                <c:pt idx="113">
                  <c:v>2.5107934474945068</c:v>
                </c:pt>
                <c:pt idx="114">
                  <c:v>2.5429272651672363</c:v>
                </c:pt>
                <c:pt idx="115">
                  <c:v>2.4555597305297852</c:v>
                </c:pt>
                <c:pt idx="116">
                  <c:v>2.4007835388183594</c:v>
                </c:pt>
                <c:pt idx="117">
                  <c:v>2.4282450675964355</c:v>
                </c:pt>
                <c:pt idx="118">
                  <c:v>2.3990354537963867</c:v>
                </c:pt>
                <c:pt idx="119">
                  <c:v>2.2890090942382813</c:v>
                </c:pt>
                <c:pt idx="120">
                  <c:v>2.2693400382995605</c:v>
                </c:pt>
                <c:pt idx="121">
                  <c:v>2.3698258399963379</c:v>
                </c:pt>
                <c:pt idx="122">
                  <c:v>2.4521944522857666</c:v>
                </c:pt>
                <c:pt idx="123">
                  <c:v>2.3987576961517334</c:v>
                </c:pt>
                <c:pt idx="124">
                  <c:v>2.3592724800109863</c:v>
                </c:pt>
                <c:pt idx="125">
                  <c:v>2.4510998725891113</c:v>
                </c:pt>
                <c:pt idx="126">
                  <c:v>2.4630908966064453</c:v>
                </c:pt>
                <c:pt idx="127">
                  <c:v>2.3417596817016602</c:v>
                </c:pt>
                <c:pt idx="128">
                  <c:v>2.4662110805511475</c:v>
                </c:pt>
                <c:pt idx="129">
                  <c:v>2.559459924697876</c:v>
                </c:pt>
                <c:pt idx="130">
                  <c:v>2.5016777515411377</c:v>
                </c:pt>
                <c:pt idx="131">
                  <c:v>2.5399868488311768</c:v>
                </c:pt>
                <c:pt idx="132">
                  <c:v>2.5236666202545166</c:v>
                </c:pt>
                <c:pt idx="133">
                  <c:v>2.4389455318450928</c:v>
                </c:pt>
                <c:pt idx="134">
                  <c:v>2.3488659858703613</c:v>
                </c:pt>
                <c:pt idx="135">
                  <c:v>2.350614070892334</c:v>
                </c:pt>
                <c:pt idx="136">
                  <c:v>4.0296635627746582</c:v>
                </c:pt>
                <c:pt idx="137">
                  <c:v>5.0518383979797363</c:v>
                </c:pt>
                <c:pt idx="138">
                  <c:v>3.4636034965515137</c:v>
                </c:pt>
                <c:pt idx="139">
                  <c:v>2.4116144180297852</c:v>
                </c:pt>
                <c:pt idx="140">
                  <c:v>2.384528636932373</c:v>
                </c:pt>
                <c:pt idx="141">
                  <c:v>2.3810489177703857</c:v>
                </c:pt>
                <c:pt idx="142">
                  <c:v>2.4571115970611572</c:v>
                </c:pt>
                <c:pt idx="143">
                  <c:v>2.4389944076538086</c:v>
                </c:pt>
                <c:pt idx="144">
                  <c:v>2.5480897426605225</c:v>
                </c:pt>
                <c:pt idx="145">
                  <c:v>2.6696169376373291</c:v>
                </c:pt>
                <c:pt idx="146">
                  <c:v>2.4357924461364746</c:v>
                </c:pt>
                <c:pt idx="147">
                  <c:v>2.1763525009155273</c:v>
                </c:pt>
                <c:pt idx="148">
                  <c:v>2.4361355304718018</c:v>
                </c:pt>
                <c:pt idx="149">
                  <c:v>2.6790430545806885</c:v>
                </c:pt>
                <c:pt idx="150">
                  <c:v>2.5786063671112061</c:v>
                </c:pt>
                <c:pt idx="151">
                  <c:v>2.6389205455780029</c:v>
                </c:pt>
                <c:pt idx="152">
                  <c:v>2.6981568336486816</c:v>
                </c:pt>
                <c:pt idx="153">
                  <c:v>2.6053981781005859</c:v>
                </c:pt>
                <c:pt idx="154">
                  <c:v>2.5445935726165771</c:v>
                </c:pt>
                <c:pt idx="155">
                  <c:v>2.4430623054504395</c:v>
                </c:pt>
                <c:pt idx="156">
                  <c:v>2.5038013458251953</c:v>
                </c:pt>
                <c:pt idx="157">
                  <c:v>2.6386919021606445</c:v>
                </c:pt>
                <c:pt idx="158">
                  <c:v>2.5234215259552002</c:v>
                </c:pt>
                <c:pt idx="159">
                  <c:v>2.4742159843444824</c:v>
                </c:pt>
                <c:pt idx="160">
                  <c:v>2.4363644123077393</c:v>
                </c:pt>
                <c:pt idx="161">
                  <c:v>2.6376299858093262</c:v>
                </c:pt>
                <c:pt idx="162">
                  <c:v>2.8461980819702148</c:v>
                </c:pt>
                <c:pt idx="163">
                  <c:v>2.7149996757507324</c:v>
                </c:pt>
                <c:pt idx="164">
                  <c:v>2.5619266033172607</c:v>
                </c:pt>
                <c:pt idx="165">
                  <c:v>2.5964946746826172</c:v>
                </c:pt>
                <c:pt idx="166">
                  <c:v>2.6251652240753174</c:v>
                </c:pt>
                <c:pt idx="167">
                  <c:v>2.7503354549407959</c:v>
                </c:pt>
                <c:pt idx="168">
                  <c:v>2.769906759262085</c:v>
                </c:pt>
                <c:pt idx="169">
                  <c:v>2.7446830272674561</c:v>
                </c:pt>
                <c:pt idx="170">
                  <c:v>3.0275170803070068</c:v>
                </c:pt>
                <c:pt idx="171">
                  <c:v>2.7818160057067871</c:v>
                </c:pt>
                <c:pt idx="172">
                  <c:v>2.5638217926025391</c:v>
                </c:pt>
                <c:pt idx="173">
                  <c:v>2.6772787570953369</c:v>
                </c:pt>
                <c:pt idx="174">
                  <c:v>2.6788632869720459</c:v>
                </c:pt>
                <c:pt idx="175">
                  <c:v>2.7329862117767334</c:v>
                </c:pt>
                <c:pt idx="176">
                  <c:v>2.8054549694061279</c:v>
                </c:pt>
                <c:pt idx="177">
                  <c:v>2.5682816505432129</c:v>
                </c:pt>
                <c:pt idx="178">
                  <c:v>2.410912036895752</c:v>
                </c:pt>
                <c:pt idx="179">
                  <c:v>2.5565357208251953</c:v>
                </c:pt>
                <c:pt idx="180">
                  <c:v>2.6023104190826416</c:v>
                </c:pt>
                <c:pt idx="181">
                  <c:v>2.5742771625518799</c:v>
                </c:pt>
                <c:pt idx="182">
                  <c:v>2.6708095073699951</c:v>
                </c:pt>
                <c:pt idx="183">
                  <c:v>2.7118303775787354</c:v>
                </c:pt>
                <c:pt idx="184">
                  <c:v>2.3611836433410645</c:v>
                </c:pt>
                <c:pt idx="185">
                  <c:v>2.2522518634796143</c:v>
                </c:pt>
                <c:pt idx="186">
                  <c:v>2.2085027694702148</c:v>
                </c:pt>
                <c:pt idx="187">
                  <c:v>2.3150331974029541</c:v>
                </c:pt>
                <c:pt idx="188">
                  <c:v>2.4656229019165039</c:v>
                </c:pt>
                <c:pt idx="189">
                  <c:v>2.5158741474151611</c:v>
                </c:pt>
                <c:pt idx="190">
                  <c:v>2.6440339088439941</c:v>
                </c:pt>
                <c:pt idx="191">
                  <c:v>2.5898456573486328</c:v>
                </c:pt>
                <c:pt idx="192">
                  <c:v>2.5966253280639648</c:v>
                </c:pt>
                <c:pt idx="193">
                  <c:v>2.4849979877471924</c:v>
                </c:pt>
                <c:pt idx="194">
                  <c:v>2.3951637744903564</c:v>
                </c:pt>
                <c:pt idx="195">
                  <c:v>2.350614070892334</c:v>
                </c:pt>
                <c:pt idx="196">
                  <c:v>2.3903608322143555</c:v>
                </c:pt>
                <c:pt idx="197">
                  <c:v>2.5041770935058594</c:v>
                </c:pt>
                <c:pt idx="198">
                  <c:v>2.3329215049743652</c:v>
                </c:pt>
                <c:pt idx="199">
                  <c:v>2.2478573322296143</c:v>
                </c:pt>
                <c:pt idx="200">
                  <c:v>2.3138079643249512</c:v>
                </c:pt>
                <c:pt idx="201">
                  <c:v>2.5932600498199463</c:v>
                </c:pt>
                <c:pt idx="202">
                  <c:v>2.5208404064178467</c:v>
                </c:pt>
                <c:pt idx="203">
                  <c:v>2.289874792098999</c:v>
                </c:pt>
                <c:pt idx="204">
                  <c:v>2.2904140949249268</c:v>
                </c:pt>
                <c:pt idx="205">
                  <c:v>2.4058966636657715</c:v>
                </c:pt>
                <c:pt idx="206">
                  <c:v>2.3297686576843262</c:v>
                </c:pt>
                <c:pt idx="207">
                  <c:v>2.333411693572998</c:v>
                </c:pt>
                <c:pt idx="208">
                  <c:v>2.4358580112457275</c:v>
                </c:pt>
                <c:pt idx="209">
                  <c:v>2.3378880023956299</c:v>
                </c:pt>
                <c:pt idx="210">
                  <c:v>2.5209383964538574</c:v>
                </c:pt>
                <c:pt idx="211">
                  <c:v>2.4031195640563965</c:v>
                </c:pt>
                <c:pt idx="212">
                  <c:v>2.1923460960388184</c:v>
                </c:pt>
                <c:pt idx="213">
                  <c:v>2.213599681854248</c:v>
                </c:pt>
                <c:pt idx="214">
                  <c:v>2.3674895763397217</c:v>
                </c:pt>
                <c:pt idx="215">
                  <c:v>2.3534729480743408</c:v>
                </c:pt>
                <c:pt idx="216">
                  <c:v>2.246795654296875</c:v>
                </c:pt>
                <c:pt idx="217">
                  <c:v>2.2673795223236084</c:v>
                </c:pt>
                <c:pt idx="218">
                  <c:v>2.0339798927307129</c:v>
                </c:pt>
                <c:pt idx="219">
                  <c:v>2.2980759143829346</c:v>
                </c:pt>
                <c:pt idx="220">
                  <c:v>2.4209589958190918</c:v>
                </c:pt>
                <c:pt idx="221">
                  <c:v>2.1580228805541992</c:v>
                </c:pt>
                <c:pt idx="222">
                  <c:v>2.2474489212036133</c:v>
                </c:pt>
                <c:pt idx="223">
                  <c:v>2.0414783954620361</c:v>
                </c:pt>
                <c:pt idx="224">
                  <c:v>2</c:v>
                </c:pt>
                <c:pt idx="225">
                  <c:v>2.4889025688171387</c:v>
                </c:pt>
              </c:numCache>
            </c:numRef>
          </c:yVal>
          <c:smooth val="1"/>
          <c:extLst>
            <c:ext xmlns:c15="http://schemas.microsoft.com/office/drawing/2012/chart" uri="{02D57815-91ED-43cb-92C2-25804820EDAC}">
              <c15:datalabelsRange>
                <c15:f>PeakLabels!$H$2:$H$300</c15:f>
                <c15:dlblRangeCache>
                  <c:ptCount val="299"/>
                  <c:pt idx="8">
                    <c:v>206</c:v>
                  </c:pt>
                  <c:pt idx="35">
                    <c:v>262s</c:v>
                  </c:pt>
                  <c:pt idx="47">
                    <c:v>284</c:v>
                  </c:pt>
                  <c:pt idx="137">
                    <c:v>464</c:v>
                  </c:pt>
                </c15:dlblRangeCache>
              </c15:datalabelsRange>
            </c:ext>
            <c:ext xmlns:c16="http://schemas.microsoft.com/office/drawing/2014/chart" uri="{C3380CC4-5D6E-409C-BE32-E72D297353CC}">
              <c16:uniqueId val="{00000000-5141-46A1-A384-3EAD28626209}"/>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35E7A735-59A5-4EC7-B12F-614A2BCFBC7E}"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141-46A1-A384-3EAD28626209}"/>
                </c:ext>
              </c:extLst>
            </c:dLbl>
            <c:dLbl>
              <c:idx val="1"/>
              <c:tx>
                <c:rich>
                  <a:bodyPr/>
                  <a:lstStyle/>
                  <a:p>
                    <a:fld id="{5C24ADC6-C46E-4151-946E-18DF0F080536}"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141-46A1-A384-3EAD28626209}"/>
                </c:ext>
              </c:extLst>
            </c:dLbl>
            <c:dLbl>
              <c:idx val="2"/>
              <c:tx>
                <c:rich>
                  <a:bodyPr/>
                  <a:lstStyle/>
                  <a:p>
                    <a:fld id="{D0CD4744-36A7-4057-95BC-3F351296F4B4}"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141-46A1-A384-3EAD28626209}"/>
                </c:ext>
              </c:extLst>
            </c:dLbl>
            <c:dLbl>
              <c:idx val="3"/>
              <c:tx>
                <c:rich>
                  <a:bodyPr/>
                  <a:lstStyle/>
                  <a:p>
                    <a:fld id="{AC79FD91-7C06-4010-A6CA-2E348AF2D7FE}"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5141-46A1-A384-3EAD28626209}"/>
                </c:ext>
              </c:extLst>
            </c:dLbl>
            <c:dLbl>
              <c:idx val="4"/>
              <c:tx>
                <c:rich>
                  <a:bodyPr/>
                  <a:lstStyle/>
                  <a:p>
                    <a:fld id="{0A0A8FB6-0DD2-4BD9-B7E8-34D202BCF537}"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5141-46A1-A384-3EAD28626209}"/>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5141-46A1-A384-3EAD28626209}"/>
            </c:ext>
          </c:extLst>
        </c:ser>
        <c:dLbls>
          <c:showLegendKey val="0"/>
          <c:showVal val="0"/>
          <c:showCatName val="0"/>
          <c:showSerName val="0"/>
          <c:showPercent val="0"/>
          <c:showBubbleSize val="0"/>
        </c:dLbls>
        <c:axId val="1767902464"/>
        <c:axId val="1767907904"/>
      </c:scatterChart>
      <c:valAx>
        <c:axId val="1767902464"/>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7904"/>
        <c:crossesAt val="0"/>
        <c:crossBetween val="midCat"/>
        <c:majorUnit val="100"/>
      </c:valAx>
      <c:valAx>
        <c:axId val="1767907904"/>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902464"/>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4214BA16-3E37-4BF4-8DAB-CB69E1AC5F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8E1E-4B38-AF90-B4E5227CA934}"/>
                </c:ext>
              </c:extLst>
            </c:dLbl>
            <c:dLbl>
              <c:idx val="1"/>
              <c:tx>
                <c:rich>
                  <a:bodyPr/>
                  <a:lstStyle/>
                  <a:p>
                    <a:fld id="{B1FF13B8-37E9-4927-B608-E7D4B92CB4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E1E-4B38-AF90-B4E5227CA934}"/>
                </c:ext>
              </c:extLst>
            </c:dLbl>
            <c:dLbl>
              <c:idx val="2"/>
              <c:tx>
                <c:rich>
                  <a:bodyPr/>
                  <a:lstStyle/>
                  <a:p>
                    <a:fld id="{26D68852-3186-4175-9C0F-AE274AB14C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E1E-4B38-AF90-B4E5227CA934}"/>
                </c:ext>
              </c:extLst>
            </c:dLbl>
            <c:dLbl>
              <c:idx val="3"/>
              <c:tx>
                <c:rich>
                  <a:bodyPr/>
                  <a:lstStyle/>
                  <a:p>
                    <a:fld id="{D97B5572-A80C-4578-8D45-398BCB84F4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E1E-4B38-AF90-B4E5227CA934}"/>
                </c:ext>
              </c:extLst>
            </c:dLbl>
            <c:dLbl>
              <c:idx val="4"/>
              <c:tx>
                <c:rich>
                  <a:bodyPr/>
                  <a:lstStyle/>
                  <a:p>
                    <a:fld id="{58822182-5665-4DAB-9933-963BAF00F7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E1E-4B38-AF90-B4E5227CA934}"/>
                </c:ext>
              </c:extLst>
            </c:dLbl>
            <c:dLbl>
              <c:idx val="5"/>
              <c:tx>
                <c:rich>
                  <a:bodyPr/>
                  <a:lstStyle/>
                  <a:p>
                    <a:fld id="{C4EAB7EB-5BFF-4223-BB83-F3F3264D49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E1E-4B38-AF90-B4E5227CA934}"/>
                </c:ext>
              </c:extLst>
            </c:dLbl>
            <c:dLbl>
              <c:idx val="6"/>
              <c:tx>
                <c:rich>
                  <a:bodyPr/>
                  <a:lstStyle/>
                  <a:p>
                    <a:fld id="{3140286E-E677-4C7E-843C-F146EC8FEF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E1E-4B38-AF90-B4E5227CA934}"/>
                </c:ext>
              </c:extLst>
            </c:dLbl>
            <c:dLbl>
              <c:idx val="7"/>
              <c:tx>
                <c:rich>
                  <a:bodyPr/>
                  <a:lstStyle/>
                  <a:p>
                    <a:fld id="{9921C6EF-2570-4320-B630-C1B6F554E8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E1E-4B38-AF90-B4E5227CA934}"/>
                </c:ext>
              </c:extLst>
            </c:dLbl>
            <c:dLbl>
              <c:idx val="8"/>
              <c:tx>
                <c:rich>
                  <a:bodyPr/>
                  <a:lstStyle/>
                  <a:p>
                    <a:fld id="{D145D15D-F5C0-47B0-BF4E-B27C3D6910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E1E-4B38-AF90-B4E5227CA934}"/>
                </c:ext>
              </c:extLst>
            </c:dLbl>
            <c:dLbl>
              <c:idx val="9"/>
              <c:tx>
                <c:rich>
                  <a:bodyPr/>
                  <a:lstStyle/>
                  <a:p>
                    <a:fld id="{0BD2E038-130D-4198-9179-4A69F5DB6C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E1E-4B38-AF90-B4E5227CA934}"/>
                </c:ext>
              </c:extLst>
            </c:dLbl>
            <c:dLbl>
              <c:idx val="10"/>
              <c:tx>
                <c:rich>
                  <a:bodyPr/>
                  <a:lstStyle/>
                  <a:p>
                    <a:fld id="{5D4978A2-26A4-4F13-ADB0-D0F667D82E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E1E-4B38-AF90-B4E5227CA934}"/>
                </c:ext>
              </c:extLst>
            </c:dLbl>
            <c:dLbl>
              <c:idx val="11"/>
              <c:tx>
                <c:rich>
                  <a:bodyPr/>
                  <a:lstStyle/>
                  <a:p>
                    <a:fld id="{954B638D-CBB1-4E6F-B028-6E5266F0D2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E1E-4B38-AF90-B4E5227CA934}"/>
                </c:ext>
              </c:extLst>
            </c:dLbl>
            <c:dLbl>
              <c:idx val="12"/>
              <c:tx>
                <c:rich>
                  <a:bodyPr/>
                  <a:lstStyle/>
                  <a:p>
                    <a:fld id="{F46E4187-89D3-42D1-81DD-218D30553D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E1E-4B38-AF90-B4E5227CA934}"/>
                </c:ext>
              </c:extLst>
            </c:dLbl>
            <c:dLbl>
              <c:idx val="13"/>
              <c:tx>
                <c:rich>
                  <a:bodyPr/>
                  <a:lstStyle/>
                  <a:p>
                    <a:fld id="{7165BFE9-43D0-427A-BEAD-132F2D95D4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E1E-4B38-AF90-B4E5227CA934}"/>
                </c:ext>
              </c:extLst>
            </c:dLbl>
            <c:dLbl>
              <c:idx val="14"/>
              <c:tx>
                <c:rich>
                  <a:bodyPr/>
                  <a:lstStyle/>
                  <a:p>
                    <a:fld id="{1E482346-3B60-4BA7-B2FA-9AAED6F81E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8E1E-4B38-AF90-B4E5227CA934}"/>
                </c:ext>
              </c:extLst>
            </c:dLbl>
            <c:dLbl>
              <c:idx val="15"/>
              <c:tx>
                <c:rich>
                  <a:bodyPr/>
                  <a:lstStyle/>
                  <a:p>
                    <a:fld id="{B1B0DF40-0B90-441F-917E-B06325DC82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E1E-4B38-AF90-B4E5227CA934}"/>
                </c:ext>
              </c:extLst>
            </c:dLbl>
            <c:dLbl>
              <c:idx val="16"/>
              <c:tx>
                <c:rich>
                  <a:bodyPr/>
                  <a:lstStyle/>
                  <a:p>
                    <a:fld id="{D489BA2B-205B-40B2-9B47-8157867ED0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8E1E-4B38-AF90-B4E5227CA934}"/>
                </c:ext>
              </c:extLst>
            </c:dLbl>
            <c:dLbl>
              <c:idx val="17"/>
              <c:tx>
                <c:rich>
                  <a:bodyPr/>
                  <a:lstStyle/>
                  <a:p>
                    <a:fld id="{1E19FDB0-62BB-4E66-9231-546A9D2950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E1E-4B38-AF90-B4E5227CA934}"/>
                </c:ext>
              </c:extLst>
            </c:dLbl>
            <c:dLbl>
              <c:idx val="18"/>
              <c:tx>
                <c:rich>
                  <a:bodyPr/>
                  <a:lstStyle/>
                  <a:p>
                    <a:fld id="{85D9D29A-F4BB-4370-BB18-9FF29B1A7C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8E1E-4B38-AF90-B4E5227CA934}"/>
                </c:ext>
              </c:extLst>
            </c:dLbl>
            <c:dLbl>
              <c:idx val="19"/>
              <c:tx>
                <c:rich>
                  <a:bodyPr/>
                  <a:lstStyle/>
                  <a:p>
                    <a:fld id="{86CD7C6E-2724-4ADB-9EC7-70C372A950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8E1E-4B38-AF90-B4E5227CA934}"/>
                </c:ext>
              </c:extLst>
            </c:dLbl>
            <c:dLbl>
              <c:idx val="20"/>
              <c:tx>
                <c:rich>
                  <a:bodyPr/>
                  <a:lstStyle/>
                  <a:p>
                    <a:fld id="{05618AA1-B6BD-41EC-90D4-C476930F9F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8E1E-4B38-AF90-B4E5227CA934}"/>
                </c:ext>
              </c:extLst>
            </c:dLbl>
            <c:dLbl>
              <c:idx val="21"/>
              <c:tx>
                <c:rich>
                  <a:bodyPr/>
                  <a:lstStyle/>
                  <a:p>
                    <a:fld id="{244CFD58-0BF5-4B59-91B8-8FDA74A0FE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8E1E-4B38-AF90-B4E5227CA934}"/>
                </c:ext>
              </c:extLst>
            </c:dLbl>
            <c:dLbl>
              <c:idx val="22"/>
              <c:tx>
                <c:rich>
                  <a:bodyPr/>
                  <a:lstStyle/>
                  <a:p>
                    <a:fld id="{6EFFDB36-16EC-4C6F-B4F6-E4C260E4F5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8E1E-4B38-AF90-B4E5227CA934}"/>
                </c:ext>
              </c:extLst>
            </c:dLbl>
            <c:dLbl>
              <c:idx val="23"/>
              <c:tx>
                <c:rich>
                  <a:bodyPr/>
                  <a:lstStyle/>
                  <a:p>
                    <a:fld id="{669DDDB2-2CF1-458A-BC6D-71D78425CC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8E1E-4B38-AF90-B4E5227CA934}"/>
                </c:ext>
              </c:extLst>
            </c:dLbl>
            <c:dLbl>
              <c:idx val="24"/>
              <c:tx>
                <c:rich>
                  <a:bodyPr/>
                  <a:lstStyle/>
                  <a:p>
                    <a:fld id="{61B9FF44-F58C-4B6D-9429-F21915BBE8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8E1E-4B38-AF90-B4E5227CA934}"/>
                </c:ext>
              </c:extLst>
            </c:dLbl>
            <c:dLbl>
              <c:idx val="25"/>
              <c:tx>
                <c:rich>
                  <a:bodyPr/>
                  <a:lstStyle/>
                  <a:p>
                    <a:fld id="{AE58EECA-7E82-4BF8-95E1-AFA3B4795C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8E1E-4B38-AF90-B4E5227CA934}"/>
                </c:ext>
              </c:extLst>
            </c:dLbl>
            <c:dLbl>
              <c:idx val="26"/>
              <c:tx>
                <c:rich>
                  <a:bodyPr/>
                  <a:lstStyle/>
                  <a:p>
                    <a:fld id="{FCA5D691-673C-443D-B144-341CD9EFA7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8E1E-4B38-AF90-B4E5227CA934}"/>
                </c:ext>
              </c:extLst>
            </c:dLbl>
            <c:dLbl>
              <c:idx val="27"/>
              <c:tx>
                <c:rich>
                  <a:bodyPr/>
                  <a:lstStyle/>
                  <a:p>
                    <a:fld id="{16DD824F-F6EA-4676-A4FE-94AD8F86BB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8E1E-4B38-AF90-B4E5227CA934}"/>
                </c:ext>
              </c:extLst>
            </c:dLbl>
            <c:dLbl>
              <c:idx val="28"/>
              <c:tx>
                <c:rich>
                  <a:bodyPr/>
                  <a:lstStyle/>
                  <a:p>
                    <a:fld id="{586452CC-202F-47A2-A33F-2757F48E1F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8E1E-4B38-AF90-B4E5227CA934}"/>
                </c:ext>
              </c:extLst>
            </c:dLbl>
            <c:dLbl>
              <c:idx val="29"/>
              <c:tx>
                <c:rich>
                  <a:bodyPr/>
                  <a:lstStyle/>
                  <a:p>
                    <a:fld id="{B8169BAC-0C74-4580-9960-76A65B7D87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8E1E-4B38-AF90-B4E5227CA934}"/>
                </c:ext>
              </c:extLst>
            </c:dLbl>
            <c:dLbl>
              <c:idx val="30"/>
              <c:tx>
                <c:rich>
                  <a:bodyPr/>
                  <a:lstStyle/>
                  <a:p>
                    <a:fld id="{F5637455-9739-41EE-8D16-591C62B458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8E1E-4B38-AF90-B4E5227CA934}"/>
                </c:ext>
              </c:extLst>
            </c:dLbl>
            <c:dLbl>
              <c:idx val="31"/>
              <c:tx>
                <c:rich>
                  <a:bodyPr/>
                  <a:lstStyle/>
                  <a:p>
                    <a:fld id="{BFDA1D1A-CEE0-4B8A-A482-4F113BC5E6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8E1E-4B38-AF90-B4E5227CA934}"/>
                </c:ext>
              </c:extLst>
            </c:dLbl>
            <c:dLbl>
              <c:idx val="32"/>
              <c:tx>
                <c:rich>
                  <a:bodyPr/>
                  <a:lstStyle/>
                  <a:p>
                    <a:fld id="{7CAA1B25-B78B-40F2-8CBA-BBE7A7E567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8E1E-4B38-AF90-B4E5227CA934}"/>
                </c:ext>
              </c:extLst>
            </c:dLbl>
            <c:dLbl>
              <c:idx val="33"/>
              <c:tx>
                <c:rich>
                  <a:bodyPr/>
                  <a:lstStyle/>
                  <a:p>
                    <a:fld id="{A22E8C0B-BAD9-4CAF-A63D-708BEDAEBE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8E1E-4B38-AF90-B4E5227CA934}"/>
                </c:ext>
              </c:extLst>
            </c:dLbl>
            <c:dLbl>
              <c:idx val="34"/>
              <c:tx>
                <c:rich>
                  <a:bodyPr/>
                  <a:lstStyle/>
                  <a:p>
                    <a:fld id="{A2AFEE90-C1D2-4E35-9EE9-A129298F76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8E1E-4B38-AF90-B4E5227CA934}"/>
                </c:ext>
              </c:extLst>
            </c:dLbl>
            <c:dLbl>
              <c:idx val="35"/>
              <c:tx>
                <c:rich>
                  <a:bodyPr/>
                  <a:lstStyle/>
                  <a:p>
                    <a:fld id="{761B5F31-81D2-42EF-8498-C1E3768C19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8E1E-4B38-AF90-B4E5227CA934}"/>
                </c:ext>
              </c:extLst>
            </c:dLbl>
            <c:dLbl>
              <c:idx val="36"/>
              <c:tx>
                <c:rich>
                  <a:bodyPr/>
                  <a:lstStyle/>
                  <a:p>
                    <a:fld id="{D3908695-A1D8-4102-A016-40F5B6F837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8E1E-4B38-AF90-B4E5227CA934}"/>
                </c:ext>
              </c:extLst>
            </c:dLbl>
            <c:dLbl>
              <c:idx val="37"/>
              <c:tx>
                <c:rich>
                  <a:bodyPr/>
                  <a:lstStyle/>
                  <a:p>
                    <a:fld id="{1DB5DE2C-58B8-47F3-AA48-3AAA1F5400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8E1E-4B38-AF90-B4E5227CA934}"/>
                </c:ext>
              </c:extLst>
            </c:dLbl>
            <c:dLbl>
              <c:idx val="38"/>
              <c:tx>
                <c:rich>
                  <a:bodyPr/>
                  <a:lstStyle/>
                  <a:p>
                    <a:fld id="{7CF8834F-59AB-4CF2-9AF6-F0330FCDD3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8E1E-4B38-AF90-B4E5227CA934}"/>
                </c:ext>
              </c:extLst>
            </c:dLbl>
            <c:dLbl>
              <c:idx val="39"/>
              <c:tx>
                <c:rich>
                  <a:bodyPr/>
                  <a:lstStyle/>
                  <a:p>
                    <a:fld id="{0402A7BC-FCBD-4934-B680-B922367603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8E1E-4B38-AF90-B4E5227CA934}"/>
                </c:ext>
              </c:extLst>
            </c:dLbl>
            <c:dLbl>
              <c:idx val="40"/>
              <c:tx>
                <c:rich>
                  <a:bodyPr/>
                  <a:lstStyle/>
                  <a:p>
                    <a:fld id="{0EACB467-9FA5-4D6D-9CF5-055EF16567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8E1E-4B38-AF90-B4E5227CA934}"/>
                </c:ext>
              </c:extLst>
            </c:dLbl>
            <c:dLbl>
              <c:idx val="41"/>
              <c:tx>
                <c:rich>
                  <a:bodyPr/>
                  <a:lstStyle/>
                  <a:p>
                    <a:fld id="{8195D876-5226-4E25-BAFC-90D13D2F03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8E1E-4B38-AF90-B4E5227CA934}"/>
                </c:ext>
              </c:extLst>
            </c:dLbl>
            <c:dLbl>
              <c:idx val="42"/>
              <c:tx>
                <c:rich>
                  <a:bodyPr/>
                  <a:lstStyle/>
                  <a:p>
                    <a:fld id="{108493B9-17E2-43AB-B68E-729333AC3C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8E1E-4B38-AF90-B4E5227CA934}"/>
                </c:ext>
              </c:extLst>
            </c:dLbl>
            <c:dLbl>
              <c:idx val="43"/>
              <c:tx>
                <c:rich>
                  <a:bodyPr/>
                  <a:lstStyle/>
                  <a:p>
                    <a:fld id="{22D3229D-B766-47F8-AA02-B19D98518D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8E1E-4B38-AF90-B4E5227CA934}"/>
                </c:ext>
              </c:extLst>
            </c:dLbl>
            <c:dLbl>
              <c:idx val="44"/>
              <c:tx>
                <c:rich>
                  <a:bodyPr/>
                  <a:lstStyle/>
                  <a:p>
                    <a:fld id="{7CD6896E-0B11-4954-981C-F7BE16E77E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8E1E-4B38-AF90-B4E5227CA934}"/>
                </c:ext>
              </c:extLst>
            </c:dLbl>
            <c:dLbl>
              <c:idx val="45"/>
              <c:tx>
                <c:rich>
                  <a:bodyPr/>
                  <a:lstStyle/>
                  <a:p>
                    <a:fld id="{A23B60A7-ED27-4AB9-B385-1792E244F0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8E1E-4B38-AF90-B4E5227CA934}"/>
                </c:ext>
              </c:extLst>
            </c:dLbl>
            <c:dLbl>
              <c:idx val="46"/>
              <c:tx>
                <c:rich>
                  <a:bodyPr/>
                  <a:lstStyle/>
                  <a:p>
                    <a:fld id="{25690244-68B5-4E12-9E47-4C1532C9D4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8E1E-4B38-AF90-B4E5227CA934}"/>
                </c:ext>
              </c:extLst>
            </c:dLbl>
            <c:dLbl>
              <c:idx val="47"/>
              <c:tx>
                <c:rich>
                  <a:bodyPr/>
                  <a:lstStyle/>
                  <a:p>
                    <a:fld id="{65728505-04B3-4862-AB8C-B6E1E6DF5D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8E1E-4B38-AF90-B4E5227CA934}"/>
                </c:ext>
              </c:extLst>
            </c:dLbl>
            <c:dLbl>
              <c:idx val="48"/>
              <c:tx>
                <c:rich>
                  <a:bodyPr/>
                  <a:lstStyle/>
                  <a:p>
                    <a:fld id="{3747E039-AF54-473E-8A0A-1C7C0EBE47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8E1E-4B38-AF90-B4E5227CA934}"/>
                </c:ext>
              </c:extLst>
            </c:dLbl>
            <c:dLbl>
              <c:idx val="49"/>
              <c:tx>
                <c:rich>
                  <a:bodyPr/>
                  <a:lstStyle/>
                  <a:p>
                    <a:fld id="{18B0CA67-0801-43DC-9BF5-1A52681125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8E1E-4B38-AF90-B4E5227CA934}"/>
                </c:ext>
              </c:extLst>
            </c:dLbl>
            <c:dLbl>
              <c:idx val="50"/>
              <c:tx>
                <c:rich>
                  <a:bodyPr/>
                  <a:lstStyle/>
                  <a:p>
                    <a:fld id="{D0003881-6E5E-42C3-88CC-9606D9D04B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8E1E-4B38-AF90-B4E5227CA934}"/>
                </c:ext>
              </c:extLst>
            </c:dLbl>
            <c:dLbl>
              <c:idx val="51"/>
              <c:tx>
                <c:rich>
                  <a:bodyPr/>
                  <a:lstStyle/>
                  <a:p>
                    <a:fld id="{94B2DF6D-CEFE-48D0-B5B1-9DACD5233D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8E1E-4B38-AF90-B4E5227CA934}"/>
                </c:ext>
              </c:extLst>
            </c:dLbl>
            <c:dLbl>
              <c:idx val="52"/>
              <c:tx>
                <c:rich>
                  <a:bodyPr/>
                  <a:lstStyle/>
                  <a:p>
                    <a:fld id="{85B04A81-7A70-474C-8D1D-AB0C1B0068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8E1E-4B38-AF90-B4E5227CA934}"/>
                </c:ext>
              </c:extLst>
            </c:dLbl>
            <c:dLbl>
              <c:idx val="53"/>
              <c:tx>
                <c:rich>
                  <a:bodyPr/>
                  <a:lstStyle/>
                  <a:p>
                    <a:fld id="{F0E40422-F4EF-4FDF-8EE6-FDB92B0BC5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8E1E-4B38-AF90-B4E5227CA934}"/>
                </c:ext>
              </c:extLst>
            </c:dLbl>
            <c:dLbl>
              <c:idx val="54"/>
              <c:tx>
                <c:rich>
                  <a:bodyPr/>
                  <a:lstStyle/>
                  <a:p>
                    <a:fld id="{79E2D3D9-28E4-4794-882F-AEDD0FF5AD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8E1E-4B38-AF90-B4E5227CA934}"/>
                </c:ext>
              </c:extLst>
            </c:dLbl>
            <c:dLbl>
              <c:idx val="55"/>
              <c:tx>
                <c:rich>
                  <a:bodyPr/>
                  <a:lstStyle/>
                  <a:p>
                    <a:fld id="{37410B42-10D2-4002-B420-FA62D6436E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8E1E-4B38-AF90-B4E5227CA934}"/>
                </c:ext>
              </c:extLst>
            </c:dLbl>
            <c:dLbl>
              <c:idx val="56"/>
              <c:tx>
                <c:rich>
                  <a:bodyPr/>
                  <a:lstStyle/>
                  <a:p>
                    <a:fld id="{5AEC3E1C-DBEE-4E47-80D6-2420CBEAD3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8E1E-4B38-AF90-B4E5227CA934}"/>
                </c:ext>
              </c:extLst>
            </c:dLbl>
            <c:dLbl>
              <c:idx val="57"/>
              <c:tx>
                <c:rich>
                  <a:bodyPr/>
                  <a:lstStyle/>
                  <a:p>
                    <a:fld id="{CDB76785-372D-49C7-803D-29D64B8EC1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8E1E-4B38-AF90-B4E5227CA934}"/>
                </c:ext>
              </c:extLst>
            </c:dLbl>
            <c:dLbl>
              <c:idx val="58"/>
              <c:tx>
                <c:rich>
                  <a:bodyPr/>
                  <a:lstStyle/>
                  <a:p>
                    <a:fld id="{B5469714-9B68-451C-9E59-B74A795E06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8E1E-4B38-AF90-B4E5227CA934}"/>
                </c:ext>
              </c:extLst>
            </c:dLbl>
            <c:dLbl>
              <c:idx val="59"/>
              <c:tx>
                <c:rich>
                  <a:bodyPr/>
                  <a:lstStyle/>
                  <a:p>
                    <a:fld id="{198BA215-5A7F-497D-BD89-28E728F770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8E1E-4B38-AF90-B4E5227CA934}"/>
                </c:ext>
              </c:extLst>
            </c:dLbl>
            <c:dLbl>
              <c:idx val="60"/>
              <c:tx>
                <c:rich>
                  <a:bodyPr/>
                  <a:lstStyle/>
                  <a:p>
                    <a:fld id="{2BEBA705-0B2A-4B5A-95E6-4EC14EAFF8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8E1E-4B38-AF90-B4E5227CA934}"/>
                </c:ext>
              </c:extLst>
            </c:dLbl>
            <c:dLbl>
              <c:idx val="61"/>
              <c:tx>
                <c:rich>
                  <a:bodyPr/>
                  <a:lstStyle/>
                  <a:p>
                    <a:fld id="{1ED84489-6270-468A-81C3-3F9190286E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8E1E-4B38-AF90-B4E5227CA934}"/>
                </c:ext>
              </c:extLst>
            </c:dLbl>
            <c:dLbl>
              <c:idx val="62"/>
              <c:tx>
                <c:rich>
                  <a:bodyPr/>
                  <a:lstStyle/>
                  <a:p>
                    <a:fld id="{9F474B9B-4D5E-4ED2-B580-8AB02C8688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8E1E-4B38-AF90-B4E5227CA934}"/>
                </c:ext>
              </c:extLst>
            </c:dLbl>
            <c:dLbl>
              <c:idx val="63"/>
              <c:tx>
                <c:rich>
                  <a:bodyPr/>
                  <a:lstStyle/>
                  <a:p>
                    <a:fld id="{E53FFD5B-32A5-45B2-B9E3-4B6EE6203E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8E1E-4B38-AF90-B4E5227CA934}"/>
                </c:ext>
              </c:extLst>
            </c:dLbl>
            <c:dLbl>
              <c:idx val="64"/>
              <c:tx>
                <c:rich>
                  <a:bodyPr/>
                  <a:lstStyle/>
                  <a:p>
                    <a:fld id="{10045D22-AB3D-4D00-8360-983E346B87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8E1E-4B38-AF90-B4E5227CA934}"/>
                </c:ext>
              </c:extLst>
            </c:dLbl>
            <c:dLbl>
              <c:idx val="65"/>
              <c:tx>
                <c:rich>
                  <a:bodyPr/>
                  <a:lstStyle/>
                  <a:p>
                    <a:fld id="{F70ECFDF-BE15-4403-9DBE-7B11A43AF9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8E1E-4B38-AF90-B4E5227CA934}"/>
                </c:ext>
              </c:extLst>
            </c:dLbl>
            <c:dLbl>
              <c:idx val="66"/>
              <c:tx>
                <c:rich>
                  <a:bodyPr/>
                  <a:lstStyle/>
                  <a:p>
                    <a:fld id="{15225244-6691-470D-96A9-F1F66835B0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8E1E-4B38-AF90-B4E5227CA934}"/>
                </c:ext>
              </c:extLst>
            </c:dLbl>
            <c:dLbl>
              <c:idx val="67"/>
              <c:tx>
                <c:rich>
                  <a:bodyPr/>
                  <a:lstStyle/>
                  <a:p>
                    <a:fld id="{58348847-409C-4B53-8E1D-AA4838AC4D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8E1E-4B38-AF90-B4E5227CA934}"/>
                </c:ext>
              </c:extLst>
            </c:dLbl>
            <c:dLbl>
              <c:idx val="68"/>
              <c:tx>
                <c:rich>
                  <a:bodyPr/>
                  <a:lstStyle/>
                  <a:p>
                    <a:fld id="{7073F248-35F4-4EF6-B789-15AC35BD02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8E1E-4B38-AF90-B4E5227CA934}"/>
                </c:ext>
              </c:extLst>
            </c:dLbl>
            <c:dLbl>
              <c:idx val="69"/>
              <c:tx>
                <c:rich>
                  <a:bodyPr/>
                  <a:lstStyle/>
                  <a:p>
                    <a:fld id="{955F7261-CC97-49C6-A162-838DFE058B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8E1E-4B38-AF90-B4E5227CA934}"/>
                </c:ext>
              </c:extLst>
            </c:dLbl>
            <c:dLbl>
              <c:idx val="70"/>
              <c:tx>
                <c:rich>
                  <a:bodyPr/>
                  <a:lstStyle/>
                  <a:p>
                    <a:fld id="{28B92E36-F591-4424-BB0C-CD04DDB5C0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8E1E-4B38-AF90-B4E5227CA934}"/>
                </c:ext>
              </c:extLst>
            </c:dLbl>
            <c:dLbl>
              <c:idx val="71"/>
              <c:tx>
                <c:rich>
                  <a:bodyPr/>
                  <a:lstStyle/>
                  <a:p>
                    <a:fld id="{8E153DA1-0C6B-4347-8167-5E5760260E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8E1E-4B38-AF90-B4E5227CA934}"/>
                </c:ext>
              </c:extLst>
            </c:dLbl>
            <c:dLbl>
              <c:idx val="72"/>
              <c:tx>
                <c:rich>
                  <a:bodyPr/>
                  <a:lstStyle/>
                  <a:p>
                    <a:fld id="{6AA606CD-F67D-4E57-BF4A-AA2FB3C1F6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8E1E-4B38-AF90-B4E5227CA934}"/>
                </c:ext>
              </c:extLst>
            </c:dLbl>
            <c:dLbl>
              <c:idx val="73"/>
              <c:tx>
                <c:rich>
                  <a:bodyPr/>
                  <a:lstStyle/>
                  <a:p>
                    <a:fld id="{754FF3D6-40DD-4F35-8AB7-5B821D49DF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8E1E-4B38-AF90-B4E5227CA934}"/>
                </c:ext>
              </c:extLst>
            </c:dLbl>
            <c:dLbl>
              <c:idx val="74"/>
              <c:tx>
                <c:rich>
                  <a:bodyPr/>
                  <a:lstStyle/>
                  <a:p>
                    <a:fld id="{AFBBFBD7-CD11-4F89-81B1-C5A4BE24D2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8E1E-4B38-AF90-B4E5227CA934}"/>
                </c:ext>
              </c:extLst>
            </c:dLbl>
            <c:dLbl>
              <c:idx val="75"/>
              <c:tx>
                <c:rich>
                  <a:bodyPr/>
                  <a:lstStyle/>
                  <a:p>
                    <a:fld id="{8C1462A1-7554-446F-B475-999DDEC6DE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8E1E-4B38-AF90-B4E5227CA934}"/>
                </c:ext>
              </c:extLst>
            </c:dLbl>
            <c:dLbl>
              <c:idx val="76"/>
              <c:tx>
                <c:rich>
                  <a:bodyPr/>
                  <a:lstStyle/>
                  <a:p>
                    <a:fld id="{0B9E77C9-CD8A-405E-8E69-93EAFEE06A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8E1E-4B38-AF90-B4E5227CA934}"/>
                </c:ext>
              </c:extLst>
            </c:dLbl>
            <c:dLbl>
              <c:idx val="77"/>
              <c:tx>
                <c:rich>
                  <a:bodyPr/>
                  <a:lstStyle/>
                  <a:p>
                    <a:fld id="{1A3461FD-5835-48A5-B833-CB5CE8B571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8E1E-4B38-AF90-B4E5227CA934}"/>
                </c:ext>
              </c:extLst>
            </c:dLbl>
            <c:dLbl>
              <c:idx val="78"/>
              <c:tx>
                <c:rich>
                  <a:bodyPr/>
                  <a:lstStyle/>
                  <a:p>
                    <a:fld id="{1AA8590D-8E64-4AF9-B58E-FCC91CB472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8E1E-4B38-AF90-B4E5227CA934}"/>
                </c:ext>
              </c:extLst>
            </c:dLbl>
            <c:dLbl>
              <c:idx val="79"/>
              <c:tx>
                <c:rich>
                  <a:bodyPr/>
                  <a:lstStyle/>
                  <a:p>
                    <a:fld id="{339497E3-D6BA-4665-8ACB-1061258D05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8E1E-4B38-AF90-B4E5227CA934}"/>
                </c:ext>
              </c:extLst>
            </c:dLbl>
            <c:dLbl>
              <c:idx val="80"/>
              <c:tx>
                <c:rich>
                  <a:bodyPr/>
                  <a:lstStyle/>
                  <a:p>
                    <a:fld id="{663E9AF8-A85F-4334-8190-37C69810A6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8E1E-4B38-AF90-B4E5227CA934}"/>
                </c:ext>
              </c:extLst>
            </c:dLbl>
            <c:dLbl>
              <c:idx val="81"/>
              <c:tx>
                <c:rich>
                  <a:bodyPr/>
                  <a:lstStyle/>
                  <a:p>
                    <a:fld id="{1CF29E47-A27A-41F3-8095-F894326967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8E1E-4B38-AF90-B4E5227CA934}"/>
                </c:ext>
              </c:extLst>
            </c:dLbl>
            <c:dLbl>
              <c:idx val="82"/>
              <c:tx>
                <c:rich>
                  <a:bodyPr/>
                  <a:lstStyle/>
                  <a:p>
                    <a:fld id="{E0639031-C02B-4A58-BF76-82D900C0BC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8E1E-4B38-AF90-B4E5227CA934}"/>
                </c:ext>
              </c:extLst>
            </c:dLbl>
            <c:dLbl>
              <c:idx val="83"/>
              <c:tx>
                <c:rich>
                  <a:bodyPr/>
                  <a:lstStyle/>
                  <a:p>
                    <a:fld id="{3CFF6C82-5776-466C-AC57-1934E6178D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8E1E-4B38-AF90-B4E5227CA934}"/>
                </c:ext>
              </c:extLst>
            </c:dLbl>
            <c:dLbl>
              <c:idx val="84"/>
              <c:tx>
                <c:rich>
                  <a:bodyPr/>
                  <a:lstStyle/>
                  <a:p>
                    <a:fld id="{D188AB5E-7C7F-4C3D-95E9-B6E58A10F9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8E1E-4B38-AF90-B4E5227CA934}"/>
                </c:ext>
              </c:extLst>
            </c:dLbl>
            <c:dLbl>
              <c:idx val="85"/>
              <c:tx>
                <c:rich>
                  <a:bodyPr/>
                  <a:lstStyle/>
                  <a:p>
                    <a:fld id="{0271F129-7EB0-42E7-9F72-2692F50F32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8E1E-4B38-AF90-B4E5227CA934}"/>
                </c:ext>
              </c:extLst>
            </c:dLbl>
            <c:dLbl>
              <c:idx val="86"/>
              <c:tx>
                <c:rich>
                  <a:bodyPr/>
                  <a:lstStyle/>
                  <a:p>
                    <a:fld id="{65BCA498-3698-4C77-9FCC-86C43F4632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8E1E-4B38-AF90-B4E5227CA934}"/>
                </c:ext>
              </c:extLst>
            </c:dLbl>
            <c:dLbl>
              <c:idx val="87"/>
              <c:tx>
                <c:rich>
                  <a:bodyPr/>
                  <a:lstStyle/>
                  <a:p>
                    <a:fld id="{356B918F-2C2F-4F91-A1CA-8AD830DA01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8E1E-4B38-AF90-B4E5227CA934}"/>
                </c:ext>
              </c:extLst>
            </c:dLbl>
            <c:dLbl>
              <c:idx val="88"/>
              <c:tx>
                <c:rich>
                  <a:bodyPr/>
                  <a:lstStyle/>
                  <a:p>
                    <a:fld id="{FF7E2DFD-2C17-4FC3-B406-7404C1F90D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8E1E-4B38-AF90-B4E5227CA934}"/>
                </c:ext>
              </c:extLst>
            </c:dLbl>
            <c:dLbl>
              <c:idx val="89"/>
              <c:tx>
                <c:rich>
                  <a:bodyPr/>
                  <a:lstStyle/>
                  <a:p>
                    <a:fld id="{C46E9C39-277E-4658-8293-EA2075A984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8E1E-4B38-AF90-B4E5227CA934}"/>
                </c:ext>
              </c:extLst>
            </c:dLbl>
            <c:dLbl>
              <c:idx val="90"/>
              <c:tx>
                <c:rich>
                  <a:bodyPr/>
                  <a:lstStyle/>
                  <a:p>
                    <a:fld id="{881C855C-562D-4525-901B-9D4198C0C6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8E1E-4B38-AF90-B4E5227CA934}"/>
                </c:ext>
              </c:extLst>
            </c:dLbl>
            <c:dLbl>
              <c:idx val="91"/>
              <c:tx>
                <c:rich>
                  <a:bodyPr/>
                  <a:lstStyle/>
                  <a:p>
                    <a:fld id="{49141C6A-4ACB-45BB-8932-E20986E4D9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8E1E-4B38-AF90-B4E5227CA934}"/>
                </c:ext>
              </c:extLst>
            </c:dLbl>
            <c:dLbl>
              <c:idx val="92"/>
              <c:tx>
                <c:rich>
                  <a:bodyPr/>
                  <a:lstStyle/>
                  <a:p>
                    <a:fld id="{1DB22298-0274-44A5-8629-8CBF60C43A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8E1E-4B38-AF90-B4E5227CA934}"/>
                </c:ext>
              </c:extLst>
            </c:dLbl>
            <c:dLbl>
              <c:idx val="93"/>
              <c:tx>
                <c:rich>
                  <a:bodyPr/>
                  <a:lstStyle/>
                  <a:p>
                    <a:fld id="{038FBF5A-7D4A-4FE6-88CD-CFFD5E9E66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8E1E-4B38-AF90-B4E5227CA934}"/>
                </c:ext>
              </c:extLst>
            </c:dLbl>
            <c:dLbl>
              <c:idx val="94"/>
              <c:tx>
                <c:rich>
                  <a:bodyPr/>
                  <a:lstStyle/>
                  <a:p>
                    <a:fld id="{0ADC5E1D-7A88-4B3F-9C5D-E0BA0C0166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8E1E-4B38-AF90-B4E5227CA934}"/>
                </c:ext>
              </c:extLst>
            </c:dLbl>
            <c:dLbl>
              <c:idx val="95"/>
              <c:tx>
                <c:rich>
                  <a:bodyPr/>
                  <a:lstStyle/>
                  <a:p>
                    <a:fld id="{0191281F-E88D-4588-B8C3-D183FE7908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8E1E-4B38-AF90-B4E5227CA934}"/>
                </c:ext>
              </c:extLst>
            </c:dLbl>
            <c:dLbl>
              <c:idx val="96"/>
              <c:tx>
                <c:rich>
                  <a:bodyPr/>
                  <a:lstStyle/>
                  <a:p>
                    <a:fld id="{9CF8D568-54D9-46FE-8943-35B001CC27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8E1E-4B38-AF90-B4E5227CA934}"/>
                </c:ext>
              </c:extLst>
            </c:dLbl>
            <c:dLbl>
              <c:idx val="97"/>
              <c:tx>
                <c:rich>
                  <a:bodyPr/>
                  <a:lstStyle/>
                  <a:p>
                    <a:fld id="{438A4495-32D4-4CA1-A549-0CE927DE14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8E1E-4B38-AF90-B4E5227CA934}"/>
                </c:ext>
              </c:extLst>
            </c:dLbl>
            <c:dLbl>
              <c:idx val="98"/>
              <c:tx>
                <c:rich>
                  <a:bodyPr/>
                  <a:lstStyle/>
                  <a:p>
                    <a:fld id="{522C01EA-1D91-41D6-847A-5500C5DA70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8E1E-4B38-AF90-B4E5227CA934}"/>
                </c:ext>
              </c:extLst>
            </c:dLbl>
            <c:dLbl>
              <c:idx val="99"/>
              <c:tx>
                <c:rich>
                  <a:bodyPr/>
                  <a:lstStyle/>
                  <a:p>
                    <a:fld id="{7C4F17CD-4BF2-44B6-8A00-CB5760DB7F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8E1E-4B38-AF90-B4E5227CA934}"/>
                </c:ext>
              </c:extLst>
            </c:dLbl>
            <c:dLbl>
              <c:idx val="100"/>
              <c:tx>
                <c:rich>
                  <a:bodyPr/>
                  <a:lstStyle/>
                  <a:p>
                    <a:fld id="{7DFE43BE-A8AB-471D-AAF7-B607AC3E52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8E1E-4B38-AF90-B4E5227CA934}"/>
                </c:ext>
              </c:extLst>
            </c:dLbl>
            <c:dLbl>
              <c:idx val="101"/>
              <c:tx>
                <c:rich>
                  <a:bodyPr/>
                  <a:lstStyle/>
                  <a:p>
                    <a:fld id="{4D0D8861-2ABD-4188-A9E5-60AF01E48F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8E1E-4B38-AF90-B4E5227CA934}"/>
                </c:ext>
              </c:extLst>
            </c:dLbl>
            <c:dLbl>
              <c:idx val="102"/>
              <c:tx>
                <c:rich>
                  <a:bodyPr/>
                  <a:lstStyle/>
                  <a:p>
                    <a:fld id="{50531671-E991-483B-A010-F8B81FE8BF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8E1E-4B38-AF90-B4E5227CA934}"/>
                </c:ext>
              </c:extLst>
            </c:dLbl>
            <c:dLbl>
              <c:idx val="103"/>
              <c:tx>
                <c:rich>
                  <a:bodyPr/>
                  <a:lstStyle/>
                  <a:p>
                    <a:fld id="{65B143CE-B392-407C-BB86-83C9A655D9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8E1E-4B38-AF90-B4E5227CA934}"/>
                </c:ext>
              </c:extLst>
            </c:dLbl>
            <c:dLbl>
              <c:idx val="104"/>
              <c:tx>
                <c:rich>
                  <a:bodyPr/>
                  <a:lstStyle/>
                  <a:p>
                    <a:fld id="{C8EA3213-D16F-4DDC-9978-0F47354557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8E1E-4B38-AF90-B4E5227CA934}"/>
                </c:ext>
              </c:extLst>
            </c:dLbl>
            <c:dLbl>
              <c:idx val="105"/>
              <c:tx>
                <c:rich>
                  <a:bodyPr/>
                  <a:lstStyle/>
                  <a:p>
                    <a:fld id="{24E32DD7-2C0C-4036-B4EC-AE932C434F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8E1E-4B38-AF90-B4E5227CA934}"/>
                </c:ext>
              </c:extLst>
            </c:dLbl>
            <c:dLbl>
              <c:idx val="106"/>
              <c:tx>
                <c:rich>
                  <a:bodyPr/>
                  <a:lstStyle/>
                  <a:p>
                    <a:fld id="{C8001C28-6704-42DF-AB53-2496AB4DCE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8E1E-4B38-AF90-B4E5227CA934}"/>
                </c:ext>
              </c:extLst>
            </c:dLbl>
            <c:dLbl>
              <c:idx val="107"/>
              <c:tx>
                <c:rich>
                  <a:bodyPr/>
                  <a:lstStyle/>
                  <a:p>
                    <a:fld id="{C9A3E51A-3B3B-47D0-86C6-E22EF05510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8E1E-4B38-AF90-B4E5227CA934}"/>
                </c:ext>
              </c:extLst>
            </c:dLbl>
            <c:dLbl>
              <c:idx val="108"/>
              <c:tx>
                <c:rich>
                  <a:bodyPr/>
                  <a:lstStyle/>
                  <a:p>
                    <a:fld id="{A76C96E6-1188-46BB-B5FF-EA5272417D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8E1E-4B38-AF90-B4E5227CA934}"/>
                </c:ext>
              </c:extLst>
            </c:dLbl>
            <c:dLbl>
              <c:idx val="109"/>
              <c:tx>
                <c:rich>
                  <a:bodyPr/>
                  <a:lstStyle/>
                  <a:p>
                    <a:fld id="{458369F9-DAB7-4820-A714-E4E135B7B5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8E1E-4B38-AF90-B4E5227CA934}"/>
                </c:ext>
              </c:extLst>
            </c:dLbl>
            <c:dLbl>
              <c:idx val="110"/>
              <c:tx>
                <c:rich>
                  <a:bodyPr/>
                  <a:lstStyle/>
                  <a:p>
                    <a:fld id="{2C4FCAD4-5B6C-463A-84C7-0BE1624913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8E1E-4B38-AF90-B4E5227CA934}"/>
                </c:ext>
              </c:extLst>
            </c:dLbl>
            <c:dLbl>
              <c:idx val="111"/>
              <c:tx>
                <c:rich>
                  <a:bodyPr/>
                  <a:lstStyle/>
                  <a:p>
                    <a:fld id="{FE7B7998-D792-443E-A7C7-FBD69AA918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8E1E-4B38-AF90-B4E5227CA934}"/>
                </c:ext>
              </c:extLst>
            </c:dLbl>
            <c:dLbl>
              <c:idx val="112"/>
              <c:tx>
                <c:rich>
                  <a:bodyPr/>
                  <a:lstStyle/>
                  <a:p>
                    <a:fld id="{AF5AA9DD-5241-402C-A52B-FD2339E801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8E1E-4B38-AF90-B4E5227CA934}"/>
                </c:ext>
              </c:extLst>
            </c:dLbl>
            <c:dLbl>
              <c:idx val="113"/>
              <c:tx>
                <c:rich>
                  <a:bodyPr/>
                  <a:lstStyle/>
                  <a:p>
                    <a:fld id="{3B272279-54DD-4414-8394-F31F814262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8E1E-4B38-AF90-B4E5227CA934}"/>
                </c:ext>
              </c:extLst>
            </c:dLbl>
            <c:dLbl>
              <c:idx val="114"/>
              <c:tx>
                <c:rich>
                  <a:bodyPr/>
                  <a:lstStyle/>
                  <a:p>
                    <a:fld id="{8394A019-1205-4F93-A7F8-C1420AAA9D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8E1E-4B38-AF90-B4E5227CA934}"/>
                </c:ext>
              </c:extLst>
            </c:dLbl>
            <c:dLbl>
              <c:idx val="115"/>
              <c:tx>
                <c:rich>
                  <a:bodyPr/>
                  <a:lstStyle/>
                  <a:p>
                    <a:fld id="{E19DFC6C-1A5E-465F-AE80-D085DB5A21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8E1E-4B38-AF90-B4E5227CA934}"/>
                </c:ext>
              </c:extLst>
            </c:dLbl>
            <c:dLbl>
              <c:idx val="116"/>
              <c:tx>
                <c:rich>
                  <a:bodyPr/>
                  <a:lstStyle/>
                  <a:p>
                    <a:fld id="{19733F22-A92C-4507-BF22-9C8918E82B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8E1E-4B38-AF90-B4E5227CA934}"/>
                </c:ext>
              </c:extLst>
            </c:dLbl>
            <c:dLbl>
              <c:idx val="117"/>
              <c:tx>
                <c:rich>
                  <a:bodyPr/>
                  <a:lstStyle/>
                  <a:p>
                    <a:fld id="{A7CEE631-0623-4912-B5C2-5DAF848804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8E1E-4B38-AF90-B4E5227CA934}"/>
                </c:ext>
              </c:extLst>
            </c:dLbl>
            <c:dLbl>
              <c:idx val="118"/>
              <c:tx>
                <c:rich>
                  <a:bodyPr/>
                  <a:lstStyle/>
                  <a:p>
                    <a:fld id="{EA59B4BC-DBFC-4302-A8CB-56C0C17780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8E1E-4B38-AF90-B4E5227CA934}"/>
                </c:ext>
              </c:extLst>
            </c:dLbl>
            <c:dLbl>
              <c:idx val="119"/>
              <c:tx>
                <c:rich>
                  <a:bodyPr/>
                  <a:lstStyle/>
                  <a:p>
                    <a:fld id="{4FC693AD-EBD9-4128-B844-80E2116010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8E1E-4B38-AF90-B4E5227CA934}"/>
                </c:ext>
              </c:extLst>
            </c:dLbl>
            <c:dLbl>
              <c:idx val="120"/>
              <c:tx>
                <c:rich>
                  <a:bodyPr/>
                  <a:lstStyle/>
                  <a:p>
                    <a:fld id="{E1FC19F2-E8B0-45B2-B04F-2C0640EEAA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8E1E-4B38-AF90-B4E5227CA934}"/>
                </c:ext>
              </c:extLst>
            </c:dLbl>
            <c:dLbl>
              <c:idx val="121"/>
              <c:tx>
                <c:rich>
                  <a:bodyPr/>
                  <a:lstStyle/>
                  <a:p>
                    <a:fld id="{95ABFA5C-FBAF-4D37-8E00-8F17A2A183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8E1E-4B38-AF90-B4E5227CA934}"/>
                </c:ext>
              </c:extLst>
            </c:dLbl>
            <c:dLbl>
              <c:idx val="122"/>
              <c:tx>
                <c:rich>
                  <a:bodyPr/>
                  <a:lstStyle/>
                  <a:p>
                    <a:fld id="{B0921503-B8F3-4137-B308-E928BE8CC6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8E1E-4B38-AF90-B4E5227CA934}"/>
                </c:ext>
              </c:extLst>
            </c:dLbl>
            <c:dLbl>
              <c:idx val="123"/>
              <c:tx>
                <c:rich>
                  <a:bodyPr/>
                  <a:lstStyle/>
                  <a:p>
                    <a:fld id="{734E86B9-B85E-4F1E-BEAB-0F8530A9BC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8E1E-4B38-AF90-B4E5227CA934}"/>
                </c:ext>
              </c:extLst>
            </c:dLbl>
            <c:dLbl>
              <c:idx val="124"/>
              <c:tx>
                <c:rich>
                  <a:bodyPr/>
                  <a:lstStyle/>
                  <a:p>
                    <a:fld id="{729420D1-9E2F-4085-B282-D82E2D26FA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8E1E-4B38-AF90-B4E5227CA934}"/>
                </c:ext>
              </c:extLst>
            </c:dLbl>
            <c:dLbl>
              <c:idx val="125"/>
              <c:tx>
                <c:rich>
                  <a:bodyPr/>
                  <a:lstStyle/>
                  <a:p>
                    <a:fld id="{DEA5196A-2F9E-4DAC-927B-93CDF1C901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8E1E-4B38-AF90-B4E5227CA934}"/>
                </c:ext>
              </c:extLst>
            </c:dLbl>
            <c:dLbl>
              <c:idx val="126"/>
              <c:tx>
                <c:rich>
                  <a:bodyPr/>
                  <a:lstStyle/>
                  <a:p>
                    <a:fld id="{B5082478-D0CC-47FC-AB40-357FF0C936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8E1E-4B38-AF90-B4E5227CA934}"/>
                </c:ext>
              </c:extLst>
            </c:dLbl>
            <c:dLbl>
              <c:idx val="127"/>
              <c:tx>
                <c:rich>
                  <a:bodyPr/>
                  <a:lstStyle/>
                  <a:p>
                    <a:fld id="{19D4E283-7F60-4DAE-94FE-DC29BD16D0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8E1E-4B38-AF90-B4E5227CA934}"/>
                </c:ext>
              </c:extLst>
            </c:dLbl>
            <c:dLbl>
              <c:idx val="128"/>
              <c:tx>
                <c:rich>
                  <a:bodyPr/>
                  <a:lstStyle/>
                  <a:p>
                    <a:fld id="{821B96AF-0598-4F26-83F0-4EDEF444CB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8E1E-4B38-AF90-B4E5227CA934}"/>
                </c:ext>
              </c:extLst>
            </c:dLbl>
            <c:dLbl>
              <c:idx val="129"/>
              <c:tx>
                <c:rich>
                  <a:bodyPr/>
                  <a:lstStyle/>
                  <a:p>
                    <a:fld id="{12CD879A-485F-40FB-A16E-6649C76EC2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8E1E-4B38-AF90-B4E5227CA934}"/>
                </c:ext>
              </c:extLst>
            </c:dLbl>
            <c:dLbl>
              <c:idx val="130"/>
              <c:tx>
                <c:rich>
                  <a:bodyPr/>
                  <a:lstStyle/>
                  <a:p>
                    <a:fld id="{59EBD23E-DFB1-4387-A006-29CBB43522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8E1E-4B38-AF90-B4E5227CA934}"/>
                </c:ext>
              </c:extLst>
            </c:dLbl>
            <c:dLbl>
              <c:idx val="131"/>
              <c:tx>
                <c:rich>
                  <a:bodyPr/>
                  <a:lstStyle/>
                  <a:p>
                    <a:fld id="{45F1B95A-7DD2-477E-99D0-1838F989ED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8E1E-4B38-AF90-B4E5227CA934}"/>
                </c:ext>
              </c:extLst>
            </c:dLbl>
            <c:dLbl>
              <c:idx val="132"/>
              <c:tx>
                <c:rich>
                  <a:bodyPr/>
                  <a:lstStyle/>
                  <a:p>
                    <a:fld id="{4F73B4A6-54FA-43F3-8522-26D77CF91D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8E1E-4B38-AF90-B4E5227CA934}"/>
                </c:ext>
              </c:extLst>
            </c:dLbl>
            <c:dLbl>
              <c:idx val="133"/>
              <c:tx>
                <c:rich>
                  <a:bodyPr/>
                  <a:lstStyle/>
                  <a:p>
                    <a:fld id="{5C1E8122-4958-4080-9EC2-321C10A575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8E1E-4B38-AF90-B4E5227CA934}"/>
                </c:ext>
              </c:extLst>
            </c:dLbl>
            <c:dLbl>
              <c:idx val="134"/>
              <c:tx>
                <c:rich>
                  <a:bodyPr/>
                  <a:lstStyle/>
                  <a:p>
                    <a:fld id="{CD4D2042-F4FE-4582-89DD-32AD5E0F99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8E1E-4B38-AF90-B4E5227CA934}"/>
                </c:ext>
              </c:extLst>
            </c:dLbl>
            <c:dLbl>
              <c:idx val="135"/>
              <c:tx>
                <c:rich>
                  <a:bodyPr/>
                  <a:lstStyle/>
                  <a:p>
                    <a:fld id="{E30C3374-0F2E-4749-A76E-EE9E72BBCD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8E1E-4B38-AF90-B4E5227CA934}"/>
                </c:ext>
              </c:extLst>
            </c:dLbl>
            <c:dLbl>
              <c:idx val="136"/>
              <c:tx>
                <c:rich>
                  <a:bodyPr/>
                  <a:lstStyle/>
                  <a:p>
                    <a:fld id="{82E00390-C3C6-499E-9383-1B9CEE3659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8E1E-4B38-AF90-B4E5227CA934}"/>
                </c:ext>
              </c:extLst>
            </c:dLbl>
            <c:dLbl>
              <c:idx val="137"/>
              <c:tx>
                <c:rich>
                  <a:bodyPr/>
                  <a:lstStyle/>
                  <a:p>
                    <a:fld id="{9D938BC8-8019-4158-903A-3CDF11D2F1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8E1E-4B38-AF90-B4E5227CA934}"/>
                </c:ext>
              </c:extLst>
            </c:dLbl>
            <c:dLbl>
              <c:idx val="138"/>
              <c:tx>
                <c:rich>
                  <a:bodyPr/>
                  <a:lstStyle/>
                  <a:p>
                    <a:fld id="{BD5F7BCE-7E9A-4230-999A-688CF75C84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8E1E-4B38-AF90-B4E5227CA934}"/>
                </c:ext>
              </c:extLst>
            </c:dLbl>
            <c:dLbl>
              <c:idx val="139"/>
              <c:tx>
                <c:rich>
                  <a:bodyPr/>
                  <a:lstStyle/>
                  <a:p>
                    <a:fld id="{D5CAB73E-20E4-4D82-95A1-7DB71B36A1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8E1E-4B38-AF90-B4E5227CA934}"/>
                </c:ext>
              </c:extLst>
            </c:dLbl>
            <c:dLbl>
              <c:idx val="140"/>
              <c:tx>
                <c:rich>
                  <a:bodyPr/>
                  <a:lstStyle/>
                  <a:p>
                    <a:fld id="{C37094B4-41BE-4496-912E-7AE03B62E6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8E1E-4B38-AF90-B4E5227CA934}"/>
                </c:ext>
              </c:extLst>
            </c:dLbl>
            <c:dLbl>
              <c:idx val="141"/>
              <c:tx>
                <c:rich>
                  <a:bodyPr/>
                  <a:lstStyle/>
                  <a:p>
                    <a:fld id="{7ABCD10F-80D6-4922-9B72-1D7D5FCE75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8E1E-4B38-AF90-B4E5227CA934}"/>
                </c:ext>
              </c:extLst>
            </c:dLbl>
            <c:dLbl>
              <c:idx val="142"/>
              <c:tx>
                <c:rich>
                  <a:bodyPr/>
                  <a:lstStyle/>
                  <a:p>
                    <a:fld id="{1AE96FE9-B5B8-4FFE-AC2E-0F51103326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8E1E-4B38-AF90-B4E5227CA934}"/>
                </c:ext>
              </c:extLst>
            </c:dLbl>
            <c:dLbl>
              <c:idx val="143"/>
              <c:tx>
                <c:rich>
                  <a:bodyPr/>
                  <a:lstStyle/>
                  <a:p>
                    <a:fld id="{F6532B0E-FA9C-40E7-863B-DBD1F11DCD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8E1E-4B38-AF90-B4E5227CA934}"/>
                </c:ext>
              </c:extLst>
            </c:dLbl>
            <c:dLbl>
              <c:idx val="144"/>
              <c:tx>
                <c:rich>
                  <a:bodyPr/>
                  <a:lstStyle/>
                  <a:p>
                    <a:fld id="{86D744AE-B41E-4D3D-A806-C4F8B3E6E0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8E1E-4B38-AF90-B4E5227CA934}"/>
                </c:ext>
              </c:extLst>
            </c:dLbl>
            <c:dLbl>
              <c:idx val="145"/>
              <c:tx>
                <c:rich>
                  <a:bodyPr/>
                  <a:lstStyle/>
                  <a:p>
                    <a:fld id="{C0A4788E-4DDB-48DE-889E-5579C38F63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8E1E-4B38-AF90-B4E5227CA934}"/>
                </c:ext>
              </c:extLst>
            </c:dLbl>
            <c:dLbl>
              <c:idx val="146"/>
              <c:tx>
                <c:rich>
                  <a:bodyPr/>
                  <a:lstStyle/>
                  <a:p>
                    <a:fld id="{C0577C12-C5D1-46F3-98F5-1A0C78B163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8E1E-4B38-AF90-B4E5227CA934}"/>
                </c:ext>
              </c:extLst>
            </c:dLbl>
            <c:dLbl>
              <c:idx val="147"/>
              <c:tx>
                <c:rich>
                  <a:bodyPr/>
                  <a:lstStyle/>
                  <a:p>
                    <a:fld id="{9F22944D-D88B-4A88-97A6-77A804FEFB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8E1E-4B38-AF90-B4E5227CA934}"/>
                </c:ext>
              </c:extLst>
            </c:dLbl>
            <c:dLbl>
              <c:idx val="148"/>
              <c:tx>
                <c:rich>
                  <a:bodyPr/>
                  <a:lstStyle/>
                  <a:p>
                    <a:fld id="{1A41B94C-8DDD-4FF3-AB0D-55D7FC05CF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8E1E-4B38-AF90-B4E5227CA934}"/>
                </c:ext>
              </c:extLst>
            </c:dLbl>
            <c:dLbl>
              <c:idx val="149"/>
              <c:tx>
                <c:rich>
                  <a:bodyPr/>
                  <a:lstStyle/>
                  <a:p>
                    <a:fld id="{CF9ABB02-201C-45DF-AA31-7C18F5A731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8E1E-4B38-AF90-B4E5227CA934}"/>
                </c:ext>
              </c:extLst>
            </c:dLbl>
            <c:dLbl>
              <c:idx val="150"/>
              <c:tx>
                <c:rich>
                  <a:bodyPr/>
                  <a:lstStyle/>
                  <a:p>
                    <a:fld id="{40E3FAD3-7979-4B03-AE45-8B8BB76062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8E1E-4B38-AF90-B4E5227CA934}"/>
                </c:ext>
              </c:extLst>
            </c:dLbl>
            <c:dLbl>
              <c:idx val="151"/>
              <c:tx>
                <c:rich>
                  <a:bodyPr/>
                  <a:lstStyle/>
                  <a:p>
                    <a:fld id="{14471E85-3F11-4D46-BA6D-F885770A0E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8E1E-4B38-AF90-B4E5227CA934}"/>
                </c:ext>
              </c:extLst>
            </c:dLbl>
            <c:dLbl>
              <c:idx val="152"/>
              <c:tx>
                <c:rich>
                  <a:bodyPr/>
                  <a:lstStyle/>
                  <a:p>
                    <a:fld id="{7DED09B0-9E9A-40F9-9747-7EA93BE569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8E1E-4B38-AF90-B4E5227CA934}"/>
                </c:ext>
              </c:extLst>
            </c:dLbl>
            <c:dLbl>
              <c:idx val="153"/>
              <c:tx>
                <c:rich>
                  <a:bodyPr/>
                  <a:lstStyle/>
                  <a:p>
                    <a:fld id="{20F9308E-DACB-48AE-ABCB-35EDCAFB95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8E1E-4B38-AF90-B4E5227CA934}"/>
                </c:ext>
              </c:extLst>
            </c:dLbl>
            <c:dLbl>
              <c:idx val="154"/>
              <c:tx>
                <c:rich>
                  <a:bodyPr/>
                  <a:lstStyle/>
                  <a:p>
                    <a:fld id="{DABDAAB2-3564-472F-AA5A-0E4081F855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8E1E-4B38-AF90-B4E5227CA934}"/>
                </c:ext>
              </c:extLst>
            </c:dLbl>
            <c:dLbl>
              <c:idx val="155"/>
              <c:tx>
                <c:rich>
                  <a:bodyPr/>
                  <a:lstStyle/>
                  <a:p>
                    <a:fld id="{8AA54BE6-4C9A-4EBE-B1C7-ECD18CBFB0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8E1E-4B38-AF90-B4E5227CA934}"/>
                </c:ext>
              </c:extLst>
            </c:dLbl>
            <c:dLbl>
              <c:idx val="156"/>
              <c:tx>
                <c:rich>
                  <a:bodyPr/>
                  <a:lstStyle/>
                  <a:p>
                    <a:fld id="{EC616706-1D4F-4EAD-8912-E747481B81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8E1E-4B38-AF90-B4E5227CA934}"/>
                </c:ext>
              </c:extLst>
            </c:dLbl>
            <c:dLbl>
              <c:idx val="157"/>
              <c:tx>
                <c:rich>
                  <a:bodyPr/>
                  <a:lstStyle/>
                  <a:p>
                    <a:fld id="{4381DE43-0717-4500-A25E-08C720D1C5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8E1E-4B38-AF90-B4E5227CA934}"/>
                </c:ext>
              </c:extLst>
            </c:dLbl>
            <c:dLbl>
              <c:idx val="158"/>
              <c:tx>
                <c:rich>
                  <a:bodyPr/>
                  <a:lstStyle/>
                  <a:p>
                    <a:fld id="{3F27D0BA-D9E5-4F9E-A319-18A569AED3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8E1E-4B38-AF90-B4E5227CA934}"/>
                </c:ext>
              </c:extLst>
            </c:dLbl>
            <c:dLbl>
              <c:idx val="159"/>
              <c:tx>
                <c:rich>
                  <a:bodyPr/>
                  <a:lstStyle/>
                  <a:p>
                    <a:fld id="{B5190220-F407-48DC-9422-F7C7BD81A8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8E1E-4B38-AF90-B4E5227CA934}"/>
                </c:ext>
              </c:extLst>
            </c:dLbl>
            <c:dLbl>
              <c:idx val="160"/>
              <c:tx>
                <c:rich>
                  <a:bodyPr/>
                  <a:lstStyle/>
                  <a:p>
                    <a:fld id="{22CFB8BA-10BD-4872-A491-3443AE9D98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8E1E-4B38-AF90-B4E5227CA934}"/>
                </c:ext>
              </c:extLst>
            </c:dLbl>
            <c:dLbl>
              <c:idx val="161"/>
              <c:tx>
                <c:rich>
                  <a:bodyPr/>
                  <a:lstStyle/>
                  <a:p>
                    <a:fld id="{0CA115C7-2C63-43CC-9795-C5F69F911E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8E1E-4B38-AF90-B4E5227CA934}"/>
                </c:ext>
              </c:extLst>
            </c:dLbl>
            <c:dLbl>
              <c:idx val="162"/>
              <c:tx>
                <c:rich>
                  <a:bodyPr/>
                  <a:lstStyle/>
                  <a:p>
                    <a:fld id="{3E37050E-721B-414E-977A-36EAA509AD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8E1E-4B38-AF90-B4E5227CA934}"/>
                </c:ext>
              </c:extLst>
            </c:dLbl>
            <c:dLbl>
              <c:idx val="163"/>
              <c:tx>
                <c:rich>
                  <a:bodyPr/>
                  <a:lstStyle/>
                  <a:p>
                    <a:fld id="{7BA52ABD-28F5-4198-9ECE-9B84AB4667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8E1E-4B38-AF90-B4E5227CA934}"/>
                </c:ext>
              </c:extLst>
            </c:dLbl>
            <c:dLbl>
              <c:idx val="164"/>
              <c:tx>
                <c:rich>
                  <a:bodyPr/>
                  <a:lstStyle/>
                  <a:p>
                    <a:fld id="{BAE6F1A7-E6B0-4232-9110-FC6A86ADF6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8E1E-4B38-AF90-B4E5227CA934}"/>
                </c:ext>
              </c:extLst>
            </c:dLbl>
            <c:dLbl>
              <c:idx val="165"/>
              <c:tx>
                <c:rich>
                  <a:bodyPr/>
                  <a:lstStyle/>
                  <a:p>
                    <a:fld id="{0C0E9DBD-E41C-4184-A238-36CD2BBA8C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8E1E-4B38-AF90-B4E5227CA934}"/>
                </c:ext>
              </c:extLst>
            </c:dLbl>
            <c:dLbl>
              <c:idx val="166"/>
              <c:tx>
                <c:rich>
                  <a:bodyPr/>
                  <a:lstStyle/>
                  <a:p>
                    <a:fld id="{0043198F-F8F9-4C30-870B-8A8A140CBF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8E1E-4B38-AF90-B4E5227CA934}"/>
                </c:ext>
              </c:extLst>
            </c:dLbl>
            <c:dLbl>
              <c:idx val="167"/>
              <c:tx>
                <c:rich>
                  <a:bodyPr/>
                  <a:lstStyle/>
                  <a:p>
                    <a:fld id="{64C0C58B-0AC0-4334-AB3A-F2643B864C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8E1E-4B38-AF90-B4E5227CA934}"/>
                </c:ext>
              </c:extLst>
            </c:dLbl>
            <c:dLbl>
              <c:idx val="168"/>
              <c:tx>
                <c:rich>
                  <a:bodyPr/>
                  <a:lstStyle/>
                  <a:p>
                    <a:fld id="{A0CDBD23-4524-4CD2-8313-DA8BC6DA5E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8E1E-4B38-AF90-B4E5227CA934}"/>
                </c:ext>
              </c:extLst>
            </c:dLbl>
            <c:dLbl>
              <c:idx val="169"/>
              <c:tx>
                <c:rich>
                  <a:bodyPr/>
                  <a:lstStyle/>
                  <a:p>
                    <a:fld id="{A6C62891-00C7-4EE4-B4A0-8618AA96CE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8E1E-4B38-AF90-B4E5227CA934}"/>
                </c:ext>
              </c:extLst>
            </c:dLbl>
            <c:dLbl>
              <c:idx val="170"/>
              <c:tx>
                <c:rich>
                  <a:bodyPr/>
                  <a:lstStyle/>
                  <a:p>
                    <a:fld id="{A748F57C-025D-4335-9CE0-829B62BEFB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8E1E-4B38-AF90-B4E5227CA934}"/>
                </c:ext>
              </c:extLst>
            </c:dLbl>
            <c:dLbl>
              <c:idx val="171"/>
              <c:tx>
                <c:rich>
                  <a:bodyPr/>
                  <a:lstStyle/>
                  <a:p>
                    <a:fld id="{DC5E555E-1550-4998-BEE4-3887F93102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8E1E-4B38-AF90-B4E5227CA934}"/>
                </c:ext>
              </c:extLst>
            </c:dLbl>
            <c:dLbl>
              <c:idx val="172"/>
              <c:tx>
                <c:rich>
                  <a:bodyPr/>
                  <a:lstStyle/>
                  <a:p>
                    <a:fld id="{D9491073-8C53-4E42-AEC5-33CAE7BE62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8E1E-4B38-AF90-B4E5227CA934}"/>
                </c:ext>
              </c:extLst>
            </c:dLbl>
            <c:dLbl>
              <c:idx val="173"/>
              <c:tx>
                <c:rich>
                  <a:bodyPr/>
                  <a:lstStyle/>
                  <a:p>
                    <a:fld id="{BDFC9B18-2267-4491-8F95-3F5CDCFC5B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8E1E-4B38-AF90-B4E5227CA934}"/>
                </c:ext>
              </c:extLst>
            </c:dLbl>
            <c:dLbl>
              <c:idx val="174"/>
              <c:tx>
                <c:rich>
                  <a:bodyPr/>
                  <a:lstStyle/>
                  <a:p>
                    <a:fld id="{AE135E26-C1FB-43D7-84D1-C4468E274E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8E1E-4B38-AF90-B4E5227CA934}"/>
                </c:ext>
              </c:extLst>
            </c:dLbl>
            <c:dLbl>
              <c:idx val="175"/>
              <c:tx>
                <c:rich>
                  <a:bodyPr/>
                  <a:lstStyle/>
                  <a:p>
                    <a:fld id="{FD827D6D-54CE-4C5E-A5D3-8CE8675426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8E1E-4B38-AF90-B4E5227CA934}"/>
                </c:ext>
              </c:extLst>
            </c:dLbl>
            <c:dLbl>
              <c:idx val="176"/>
              <c:tx>
                <c:rich>
                  <a:bodyPr/>
                  <a:lstStyle/>
                  <a:p>
                    <a:fld id="{0DE0F72C-D180-488E-81AB-A5A44C3C98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8E1E-4B38-AF90-B4E5227CA934}"/>
                </c:ext>
              </c:extLst>
            </c:dLbl>
            <c:dLbl>
              <c:idx val="177"/>
              <c:tx>
                <c:rich>
                  <a:bodyPr/>
                  <a:lstStyle/>
                  <a:p>
                    <a:fld id="{688AB09C-B828-4329-92C2-7CF459783B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8E1E-4B38-AF90-B4E5227CA934}"/>
                </c:ext>
              </c:extLst>
            </c:dLbl>
            <c:dLbl>
              <c:idx val="178"/>
              <c:tx>
                <c:rich>
                  <a:bodyPr/>
                  <a:lstStyle/>
                  <a:p>
                    <a:fld id="{746FA265-BAC1-446A-BAF8-B477DC5A2B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8E1E-4B38-AF90-B4E5227CA934}"/>
                </c:ext>
              </c:extLst>
            </c:dLbl>
            <c:dLbl>
              <c:idx val="179"/>
              <c:tx>
                <c:rich>
                  <a:bodyPr/>
                  <a:lstStyle/>
                  <a:p>
                    <a:fld id="{2405DB36-5B08-4C7E-A35E-28FFF3AE81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8E1E-4B38-AF90-B4E5227CA934}"/>
                </c:ext>
              </c:extLst>
            </c:dLbl>
            <c:dLbl>
              <c:idx val="180"/>
              <c:tx>
                <c:rich>
                  <a:bodyPr/>
                  <a:lstStyle/>
                  <a:p>
                    <a:fld id="{68C3FDC3-6861-40E4-A6F0-0031CF38B3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8E1E-4B38-AF90-B4E5227CA934}"/>
                </c:ext>
              </c:extLst>
            </c:dLbl>
            <c:dLbl>
              <c:idx val="181"/>
              <c:tx>
                <c:rich>
                  <a:bodyPr/>
                  <a:lstStyle/>
                  <a:p>
                    <a:fld id="{CDD33AE8-2153-4DB0-8B41-EBCBDC8CBA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8E1E-4B38-AF90-B4E5227CA934}"/>
                </c:ext>
              </c:extLst>
            </c:dLbl>
            <c:dLbl>
              <c:idx val="182"/>
              <c:tx>
                <c:rich>
                  <a:bodyPr/>
                  <a:lstStyle/>
                  <a:p>
                    <a:fld id="{5F186201-72B6-406A-B05E-8999F77E73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8E1E-4B38-AF90-B4E5227CA934}"/>
                </c:ext>
              </c:extLst>
            </c:dLbl>
            <c:dLbl>
              <c:idx val="183"/>
              <c:tx>
                <c:rich>
                  <a:bodyPr/>
                  <a:lstStyle/>
                  <a:p>
                    <a:fld id="{F7984D0E-EF91-4DE2-8394-6AEEB53B53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8E1E-4B38-AF90-B4E5227CA934}"/>
                </c:ext>
              </c:extLst>
            </c:dLbl>
            <c:dLbl>
              <c:idx val="184"/>
              <c:tx>
                <c:rich>
                  <a:bodyPr/>
                  <a:lstStyle/>
                  <a:p>
                    <a:fld id="{9B6243D1-6356-49DA-B4BB-AE3BF0361D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8E1E-4B38-AF90-B4E5227CA934}"/>
                </c:ext>
              </c:extLst>
            </c:dLbl>
            <c:dLbl>
              <c:idx val="185"/>
              <c:tx>
                <c:rich>
                  <a:bodyPr/>
                  <a:lstStyle/>
                  <a:p>
                    <a:fld id="{8FC50A56-4A18-49D1-8C2F-C389174CE1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8E1E-4B38-AF90-B4E5227CA934}"/>
                </c:ext>
              </c:extLst>
            </c:dLbl>
            <c:dLbl>
              <c:idx val="186"/>
              <c:tx>
                <c:rich>
                  <a:bodyPr/>
                  <a:lstStyle/>
                  <a:p>
                    <a:fld id="{A15EE9D8-E5D6-4356-8EA5-70DC9A030E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8E1E-4B38-AF90-B4E5227CA934}"/>
                </c:ext>
              </c:extLst>
            </c:dLbl>
            <c:dLbl>
              <c:idx val="187"/>
              <c:tx>
                <c:rich>
                  <a:bodyPr/>
                  <a:lstStyle/>
                  <a:p>
                    <a:fld id="{06EA824D-9DC0-4A0B-A7F0-590EF5F264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8E1E-4B38-AF90-B4E5227CA934}"/>
                </c:ext>
              </c:extLst>
            </c:dLbl>
            <c:dLbl>
              <c:idx val="188"/>
              <c:tx>
                <c:rich>
                  <a:bodyPr/>
                  <a:lstStyle/>
                  <a:p>
                    <a:fld id="{7B9CB61B-E746-41DB-BB37-09E73D4876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8E1E-4B38-AF90-B4E5227CA934}"/>
                </c:ext>
              </c:extLst>
            </c:dLbl>
            <c:dLbl>
              <c:idx val="189"/>
              <c:tx>
                <c:rich>
                  <a:bodyPr/>
                  <a:lstStyle/>
                  <a:p>
                    <a:fld id="{575E6755-D695-4812-B6CB-154F507DCF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8E1E-4B38-AF90-B4E5227CA934}"/>
                </c:ext>
              </c:extLst>
            </c:dLbl>
            <c:dLbl>
              <c:idx val="190"/>
              <c:tx>
                <c:rich>
                  <a:bodyPr/>
                  <a:lstStyle/>
                  <a:p>
                    <a:fld id="{F3A950C6-7EFC-4673-826C-554ADACFD3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8E1E-4B38-AF90-B4E5227CA934}"/>
                </c:ext>
              </c:extLst>
            </c:dLbl>
            <c:dLbl>
              <c:idx val="191"/>
              <c:tx>
                <c:rich>
                  <a:bodyPr/>
                  <a:lstStyle/>
                  <a:p>
                    <a:fld id="{8A420816-DB43-4D77-BAD5-5D6C7E540A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8E1E-4B38-AF90-B4E5227CA934}"/>
                </c:ext>
              </c:extLst>
            </c:dLbl>
            <c:dLbl>
              <c:idx val="192"/>
              <c:tx>
                <c:rich>
                  <a:bodyPr/>
                  <a:lstStyle/>
                  <a:p>
                    <a:fld id="{0653D2AE-5175-4FDA-888F-FB34D4CE4A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8E1E-4B38-AF90-B4E5227CA934}"/>
                </c:ext>
              </c:extLst>
            </c:dLbl>
            <c:dLbl>
              <c:idx val="193"/>
              <c:tx>
                <c:rich>
                  <a:bodyPr/>
                  <a:lstStyle/>
                  <a:p>
                    <a:fld id="{4AD3AA8D-F56D-41EC-920E-B546177191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8E1E-4B38-AF90-B4E5227CA934}"/>
                </c:ext>
              </c:extLst>
            </c:dLbl>
            <c:dLbl>
              <c:idx val="194"/>
              <c:tx>
                <c:rich>
                  <a:bodyPr/>
                  <a:lstStyle/>
                  <a:p>
                    <a:fld id="{CE8D2CA3-55F5-441F-95F3-25C360EA0D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8E1E-4B38-AF90-B4E5227CA934}"/>
                </c:ext>
              </c:extLst>
            </c:dLbl>
            <c:dLbl>
              <c:idx val="195"/>
              <c:tx>
                <c:rich>
                  <a:bodyPr/>
                  <a:lstStyle/>
                  <a:p>
                    <a:fld id="{06B4B72C-01BE-45A2-ADBC-E923B31B1A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8E1E-4B38-AF90-B4E5227CA934}"/>
                </c:ext>
              </c:extLst>
            </c:dLbl>
            <c:dLbl>
              <c:idx val="196"/>
              <c:tx>
                <c:rich>
                  <a:bodyPr/>
                  <a:lstStyle/>
                  <a:p>
                    <a:fld id="{C4D5A9CD-7EAE-4083-921A-F1E6DBC67A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8E1E-4B38-AF90-B4E5227CA934}"/>
                </c:ext>
              </c:extLst>
            </c:dLbl>
            <c:dLbl>
              <c:idx val="197"/>
              <c:tx>
                <c:rich>
                  <a:bodyPr/>
                  <a:lstStyle/>
                  <a:p>
                    <a:fld id="{63DB4BC3-7EA0-492C-8377-C873AAC174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8E1E-4B38-AF90-B4E5227CA934}"/>
                </c:ext>
              </c:extLst>
            </c:dLbl>
            <c:dLbl>
              <c:idx val="198"/>
              <c:tx>
                <c:rich>
                  <a:bodyPr/>
                  <a:lstStyle/>
                  <a:p>
                    <a:fld id="{91E0AFDF-DAF8-43A4-BBD5-96A339CFF9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8E1E-4B38-AF90-B4E5227CA934}"/>
                </c:ext>
              </c:extLst>
            </c:dLbl>
            <c:dLbl>
              <c:idx val="199"/>
              <c:tx>
                <c:rich>
                  <a:bodyPr/>
                  <a:lstStyle/>
                  <a:p>
                    <a:fld id="{2B69047F-8725-4BBF-84CB-98AB1EE0E5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8E1E-4B38-AF90-B4E5227CA934}"/>
                </c:ext>
              </c:extLst>
            </c:dLbl>
            <c:dLbl>
              <c:idx val="200"/>
              <c:tx>
                <c:rich>
                  <a:bodyPr/>
                  <a:lstStyle/>
                  <a:p>
                    <a:fld id="{05CE32EE-09BD-4BD0-94EA-918EBB63AF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8E1E-4B38-AF90-B4E5227CA934}"/>
                </c:ext>
              </c:extLst>
            </c:dLbl>
            <c:dLbl>
              <c:idx val="201"/>
              <c:tx>
                <c:rich>
                  <a:bodyPr/>
                  <a:lstStyle/>
                  <a:p>
                    <a:fld id="{E025D439-64B0-4093-8A9B-F05C2ECDB8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8E1E-4B38-AF90-B4E5227CA934}"/>
                </c:ext>
              </c:extLst>
            </c:dLbl>
            <c:dLbl>
              <c:idx val="202"/>
              <c:tx>
                <c:rich>
                  <a:bodyPr/>
                  <a:lstStyle/>
                  <a:p>
                    <a:fld id="{9D408583-0E25-43E3-A2CC-606B8EFACF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8E1E-4B38-AF90-B4E5227CA934}"/>
                </c:ext>
              </c:extLst>
            </c:dLbl>
            <c:dLbl>
              <c:idx val="203"/>
              <c:tx>
                <c:rich>
                  <a:bodyPr/>
                  <a:lstStyle/>
                  <a:p>
                    <a:fld id="{12483A67-A079-4F6A-B5B9-B827BE1E8D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8E1E-4B38-AF90-B4E5227CA934}"/>
                </c:ext>
              </c:extLst>
            </c:dLbl>
            <c:dLbl>
              <c:idx val="204"/>
              <c:tx>
                <c:rich>
                  <a:bodyPr/>
                  <a:lstStyle/>
                  <a:p>
                    <a:fld id="{BED66116-E28A-4DE4-A3B6-1A681A75A9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8E1E-4B38-AF90-B4E5227CA934}"/>
                </c:ext>
              </c:extLst>
            </c:dLbl>
            <c:dLbl>
              <c:idx val="205"/>
              <c:tx>
                <c:rich>
                  <a:bodyPr/>
                  <a:lstStyle/>
                  <a:p>
                    <a:fld id="{EA03F8A3-2FE9-4802-A0A2-77399C0971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8E1E-4B38-AF90-B4E5227CA934}"/>
                </c:ext>
              </c:extLst>
            </c:dLbl>
            <c:dLbl>
              <c:idx val="206"/>
              <c:tx>
                <c:rich>
                  <a:bodyPr/>
                  <a:lstStyle/>
                  <a:p>
                    <a:fld id="{BCDD6D18-AFB9-478C-9029-4340643A35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8E1E-4B38-AF90-B4E5227CA934}"/>
                </c:ext>
              </c:extLst>
            </c:dLbl>
            <c:dLbl>
              <c:idx val="207"/>
              <c:tx>
                <c:rich>
                  <a:bodyPr/>
                  <a:lstStyle/>
                  <a:p>
                    <a:fld id="{5957EFF5-E954-4B14-B232-747282CEF4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8E1E-4B38-AF90-B4E5227CA934}"/>
                </c:ext>
              </c:extLst>
            </c:dLbl>
            <c:dLbl>
              <c:idx val="208"/>
              <c:tx>
                <c:rich>
                  <a:bodyPr/>
                  <a:lstStyle/>
                  <a:p>
                    <a:fld id="{F1100C64-B72A-45F2-A0D0-21C4B6FAE8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8E1E-4B38-AF90-B4E5227CA934}"/>
                </c:ext>
              </c:extLst>
            </c:dLbl>
            <c:dLbl>
              <c:idx val="209"/>
              <c:tx>
                <c:rich>
                  <a:bodyPr/>
                  <a:lstStyle/>
                  <a:p>
                    <a:fld id="{1255C021-15D6-4B1A-A71C-EC852C8B31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8E1E-4B38-AF90-B4E5227CA934}"/>
                </c:ext>
              </c:extLst>
            </c:dLbl>
            <c:dLbl>
              <c:idx val="210"/>
              <c:tx>
                <c:rich>
                  <a:bodyPr/>
                  <a:lstStyle/>
                  <a:p>
                    <a:fld id="{D70C63BE-5DE3-451C-B5B9-FFAF25FE7B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8E1E-4B38-AF90-B4E5227CA934}"/>
                </c:ext>
              </c:extLst>
            </c:dLbl>
            <c:dLbl>
              <c:idx val="211"/>
              <c:tx>
                <c:rich>
                  <a:bodyPr/>
                  <a:lstStyle/>
                  <a:p>
                    <a:fld id="{1899F58F-7C60-488C-B1F1-5576D2F12D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8E1E-4B38-AF90-B4E5227CA934}"/>
                </c:ext>
              </c:extLst>
            </c:dLbl>
            <c:dLbl>
              <c:idx val="212"/>
              <c:tx>
                <c:rich>
                  <a:bodyPr/>
                  <a:lstStyle/>
                  <a:p>
                    <a:fld id="{309453CA-75BA-4D4D-9E8C-09693C12BF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8E1E-4B38-AF90-B4E5227CA934}"/>
                </c:ext>
              </c:extLst>
            </c:dLbl>
            <c:dLbl>
              <c:idx val="213"/>
              <c:tx>
                <c:rich>
                  <a:bodyPr/>
                  <a:lstStyle/>
                  <a:p>
                    <a:fld id="{C20D0394-2203-4A16-84E2-FCB2935578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8E1E-4B38-AF90-B4E5227CA934}"/>
                </c:ext>
              </c:extLst>
            </c:dLbl>
            <c:dLbl>
              <c:idx val="214"/>
              <c:tx>
                <c:rich>
                  <a:bodyPr/>
                  <a:lstStyle/>
                  <a:p>
                    <a:fld id="{10DF2DAE-348B-4BFD-A8D3-F11DE39115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8E1E-4B38-AF90-B4E5227CA934}"/>
                </c:ext>
              </c:extLst>
            </c:dLbl>
            <c:dLbl>
              <c:idx val="215"/>
              <c:tx>
                <c:rich>
                  <a:bodyPr/>
                  <a:lstStyle/>
                  <a:p>
                    <a:fld id="{917B0AA6-C58E-4D56-928C-079A378DC9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8E1E-4B38-AF90-B4E5227CA934}"/>
                </c:ext>
              </c:extLst>
            </c:dLbl>
            <c:dLbl>
              <c:idx val="216"/>
              <c:tx>
                <c:rich>
                  <a:bodyPr/>
                  <a:lstStyle/>
                  <a:p>
                    <a:fld id="{60619FC0-FBF6-448F-A32E-D402E20F66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8E1E-4B38-AF90-B4E5227CA934}"/>
                </c:ext>
              </c:extLst>
            </c:dLbl>
            <c:dLbl>
              <c:idx val="217"/>
              <c:tx>
                <c:rich>
                  <a:bodyPr/>
                  <a:lstStyle/>
                  <a:p>
                    <a:fld id="{5CAD97E5-3647-45D1-BCBB-B210D2D234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8E1E-4B38-AF90-B4E5227CA934}"/>
                </c:ext>
              </c:extLst>
            </c:dLbl>
            <c:dLbl>
              <c:idx val="218"/>
              <c:tx>
                <c:rich>
                  <a:bodyPr/>
                  <a:lstStyle/>
                  <a:p>
                    <a:fld id="{ECFB13B4-801D-46EB-98F8-558FDBEDEF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8E1E-4B38-AF90-B4E5227CA934}"/>
                </c:ext>
              </c:extLst>
            </c:dLbl>
            <c:dLbl>
              <c:idx val="219"/>
              <c:tx>
                <c:rich>
                  <a:bodyPr/>
                  <a:lstStyle/>
                  <a:p>
                    <a:fld id="{192910D7-7F44-4B59-9206-4D5F8D8CA2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8E1E-4B38-AF90-B4E5227CA934}"/>
                </c:ext>
              </c:extLst>
            </c:dLbl>
            <c:dLbl>
              <c:idx val="220"/>
              <c:tx>
                <c:rich>
                  <a:bodyPr/>
                  <a:lstStyle/>
                  <a:p>
                    <a:fld id="{C571C560-BA4D-40AF-AC51-D1C546C283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8E1E-4B38-AF90-B4E5227CA934}"/>
                </c:ext>
              </c:extLst>
            </c:dLbl>
            <c:dLbl>
              <c:idx val="221"/>
              <c:tx>
                <c:rich>
                  <a:bodyPr/>
                  <a:lstStyle/>
                  <a:p>
                    <a:fld id="{DF6C1EE5-891D-4B6B-8CBD-1CEB463536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8E1E-4B38-AF90-B4E5227CA934}"/>
                </c:ext>
              </c:extLst>
            </c:dLbl>
            <c:dLbl>
              <c:idx val="222"/>
              <c:tx>
                <c:rich>
                  <a:bodyPr/>
                  <a:lstStyle/>
                  <a:p>
                    <a:fld id="{0015AD4C-9507-41DD-BD71-C54805926F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8E1E-4B38-AF90-B4E5227CA934}"/>
                </c:ext>
              </c:extLst>
            </c:dLbl>
            <c:dLbl>
              <c:idx val="223"/>
              <c:tx>
                <c:rich>
                  <a:bodyPr/>
                  <a:lstStyle/>
                  <a:p>
                    <a:fld id="{51192A65-800E-455F-9B9A-993A19A2CA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8E1E-4B38-AF90-B4E5227CA934}"/>
                </c:ext>
              </c:extLst>
            </c:dLbl>
            <c:dLbl>
              <c:idx val="224"/>
              <c:tx>
                <c:rich>
                  <a:bodyPr/>
                  <a:lstStyle/>
                  <a:p>
                    <a:fld id="{FE03AC60-6D63-47B4-9CA7-CCE26A1501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8E1E-4B38-AF90-B4E5227CA934}"/>
                </c:ext>
              </c:extLst>
            </c:dLbl>
            <c:dLbl>
              <c:idx val="225"/>
              <c:tx>
                <c:rich>
                  <a:bodyPr/>
                  <a:lstStyle/>
                  <a:p>
                    <a:fld id="{4070BFCA-70BA-4771-8687-2B80DA464E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8E1E-4B38-AF90-B4E5227CA934}"/>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8E1E-4B38-AF90-B4E5227CA934}"/>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8E1E-4B38-AF90-B4E5227CA934}"/>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8E1E-4B38-AF90-B4E5227CA934}"/>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8E1E-4B38-AF90-B4E5227CA934}"/>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8E1E-4B38-AF90-B4E5227CA934}"/>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8E1E-4B38-AF90-B4E5227CA934}"/>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8E1E-4B38-AF90-B4E5227CA934}"/>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8E1E-4B38-AF90-B4E5227CA934}"/>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8E1E-4B38-AF90-B4E5227CA934}"/>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8E1E-4B38-AF90-B4E5227CA934}"/>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8E1E-4B38-AF90-B4E5227CA934}"/>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8E1E-4B38-AF90-B4E5227CA934}"/>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8E1E-4B38-AF90-B4E5227CA934}"/>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8E1E-4B38-AF90-B4E5227CA934}"/>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8E1E-4B38-AF90-B4E5227CA934}"/>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8E1E-4B38-AF90-B4E5227CA934}"/>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8E1E-4B38-AF90-B4E5227CA934}"/>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8E1E-4B38-AF90-B4E5227CA934}"/>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8E1E-4B38-AF90-B4E5227CA934}"/>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8E1E-4B38-AF90-B4E5227CA934}"/>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8E1E-4B38-AF90-B4E5227CA934}"/>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8E1E-4B38-AF90-B4E5227CA934}"/>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8E1E-4B38-AF90-B4E5227CA934}"/>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8E1E-4B38-AF90-B4E5227CA934}"/>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8E1E-4B38-AF90-B4E5227CA934}"/>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8E1E-4B38-AF90-B4E5227CA934}"/>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8E1E-4B38-AF90-B4E5227CA934}"/>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8E1E-4B38-AF90-B4E5227CA934}"/>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8E1E-4B38-AF90-B4E5227CA934}"/>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8E1E-4B38-AF90-B4E5227CA934}"/>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8E1E-4B38-AF90-B4E5227CA934}"/>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8E1E-4B38-AF90-B4E5227CA934}"/>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8E1E-4B38-AF90-B4E5227CA934}"/>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8E1E-4B38-AF90-B4E5227CA934}"/>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8E1E-4B38-AF90-B4E5227CA934}"/>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8E1E-4B38-AF90-B4E5227CA934}"/>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8E1E-4B38-AF90-B4E5227CA934}"/>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8E1E-4B38-AF90-B4E5227CA934}"/>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8E1E-4B38-AF90-B4E5227CA934}"/>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8E1E-4B38-AF90-B4E5227CA934}"/>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8E1E-4B38-AF90-B4E5227CA934}"/>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8E1E-4B38-AF90-B4E5227CA934}"/>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8E1E-4B38-AF90-B4E5227CA934}"/>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8E1E-4B38-AF90-B4E5227CA934}"/>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8E1E-4B38-AF90-B4E5227CA934}"/>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8E1E-4B38-AF90-B4E5227CA934}"/>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8E1E-4B38-AF90-B4E5227CA934}"/>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8E1E-4B38-AF90-B4E5227CA934}"/>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8E1E-4B38-AF90-B4E5227CA934}"/>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8E1E-4B38-AF90-B4E5227CA934}"/>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8E1E-4B38-AF90-B4E5227CA934}"/>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8E1E-4B38-AF90-B4E5227CA934}"/>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8E1E-4B38-AF90-B4E5227CA934}"/>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8E1E-4B38-AF90-B4E5227CA934}"/>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8E1E-4B38-AF90-B4E5227CA934}"/>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8E1E-4B38-AF90-B4E5227CA934}"/>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8E1E-4B38-AF90-B4E5227CA934}"/>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8E1E-4B38-AF90-B4E5227CA934}"/>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8E1E-4B38-AF90-B4E5227CA934}"/>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8E1E-4B38-AF90-B4E5227CA934}"/>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8E1E-4B38-AF90-B4E5227CA934}"/>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8E1E-4B38-AF90-B4E5227CA934}"/>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8E1E-4B38-AF90-B4E5227CA934}"/>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8E1E-4B38-AF90-B4E5227CA934}"/>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8E1E-4B38-AF90-B4E5227CA934}"/>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8E1E-4B38-AF90-B4E5227CA934}"/>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8E1E-4B38-AF90-B4E5227CA934}"/>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8E1E-4B38-AF90-B4E5227CA934}"/>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8E1E-4B38-AF90-B4E5227CA934}"/>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8E1E-4B38-AF90-B4E5227CA934}"/>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8E1E-4B38-AF90-B4E5227CA934}"/>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8E1E-4B38-AF90-B4E5227CA934}"/>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8E1E-4B38-AF90-B4E5227CA934}"/>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NormalisedUVVisData!$I$2:$I$300</c:f>
              <c:numCache>
                <c:formatCode>General</c:formatCode>
                <c:ptCount val="299"/>
                <c:pt idx="0">
                  <c:v>54.164005279541016</c:v>
                </c:pt>
                <c:pt idx="1">
                  <c:v>53.949668884277344</c:v>
                </c:pt>
                <c:pt idx="2">
                  <c:v>52.864204406738281</c:v>
                </c:pt>
                <c:pt idx="3">
                  <c:v>51.233280181884766</c:v>
                </c:pt>
                <c:pt idx="4">
                  <c:v>49.16363525390625</c:v>
                </c:pt>
                <c:pt idx="5">
                  <c:v>46.565719604492188</c:v>
                </c:pt>
                <c:pt idx="6">
                  <c:v>43.290908813476563</c:v>
                </c:pt>
                <c:pt idx="7">
                  <c:v>39.948677062988281</c:v>
                </c:pt>
                <c:pt idx="8">
                  <c:v>37.099700927734375</c:v>
                </c:pt>
                <c:pt idx="9">
                  <c:v>34.9962158203125</c:v>
                </c:pt>
                <c:pt idx="10">
                  <c:v>33.717365264892578</c:v>
                </c:pt>
                <c:pt idx="11">
                  <c:v>32.946029663085938</c:v>
                </c:pt>
                <c:pt idx="12">
                  <c:v>32.36846923828125</c:v>
                </c:pt>
                <c:pt idx="13">
                  <c:v>31.760971069335938</c:v>
                </c:pt>
                <c:pt idx="14">
                  <c:v>30.98682975769043</c:v>
                </c:pt>
                <c:pt idx="15">
                  <c:v>30.010280609130859</c:v>
                </c:pt>
                <c:pt idx="16">
                  <c:v>28.954708099365234</c:v>
                </c:pt>
                <c:pt idx="17">
                  <c:v>27.87205696105957</c:v>
                </c:pt>
                <c:pt idx="18">
                  <c:v>26.810188293457031</c:v>
                </c:pt>
                <c:pt idx="19">
                  <c:v>25.891267776489258</c:v>
                </c:pt>
                <c:pt idx="20">
                  <c:v>25.344776153564453</c:v>
                </c:pt>
                <c:pt idx="21">
                  <c:v>25.254352569580078</c:v>
                </c:pt>
                <c:pt idx="22">
                  <c:v>25.741758346557617</c:v>
                </c:pt>
                <c:pt idx="23">
                  <c:v>26.817569732666016</c:v>
                </c:pt>
                <c:pt idx="24">
                  <c:v>28.549182891845703</c:v>
                </c:pt>
                <c:pt idx="25">
                  <c:v>30.855724334716797</c:v>
                </c:pt>
                <c:pt idx="26">
                  <c:v>33.820491790771484</c:v>
                </c:pt>
                <c:pt idx="27">
                  <c:v>37.243244171142578</c:v>
                </c:pt>
                <c:pt idx="28">
                  <c:v>41.241611480712891</c:v>
                </c:pt>
                <c:pt idx="29">
                  <c:v>45.498077392578125</c:v>
                </c:pt>
                <c:pt idx="30">
                  <c:v>50.174705505371094</c:v>
                </c:pt>
                <c:pt idx="31">
                  <c:v>54.941329956054688</c:v>
                </c:pt>
                <c:pt idx="32">
                  <c:v>60.015174865722656</c:v>
                </c:pt>
                <c:pt idx="33">
                  <c:v>65.149581909179688</c:v>
                </c:pt>
                <c:pt idx="34">
                  <c:v>70.139739990234375</c:v>
                </c:pt>
                <c:pt idx="35">
                  <c:v>75.176078796386719</c:v>
                </c:pt>
                <c:pt idx="36">
                  <c:v>80.034400939941406</c:v>
                </c:pt>
                <c:pt idx="37">
                  <c:v>84.621856689453125</c:v>
                </c:pt>
                <c:pt idx="38">
                  <c:v>88.722236633300781</c:v>
                </c:pt>
                <c:pt idx="39">
                  <c:v>92.483711242675781</c:v>
                </c:pt>
                <c:pt idx="40">
                  <c:v>95.61865234375</c:v>
                </c:pt>
                <c:pt idx="41">
                  <c:v>97.987922668457031</c:v>
                </c:pt>
                <c:pt idx="42">
                  <c:v>99.473175048828125</c:v>
                </c:pt>
                <c:pt idx="43">
                  <c:v>99.999992370605469</c:v>
                </c:pt>
                <c:pt idx="44">
                  <c:v>99.503463745117188</c:v>
                </c:pt>
                <c:pt idx="45">
                  <c:v>98.032730102539063</c:v>
                </c:pt>
                <c:pt idx="46">
                  <c:v>95.651832580566406</c:v>
                </c:pt>
                <c:pt idx="47">
                  <c:v>92.373428344726563</c:v>
                </c:pt>
                <c:pt idx="48">
                  <c:v>88.252113342285156</c:v>
                </c:pt>
                <c:pt idx="49">
                  <c:v>83.416946411132813</c:v>
                </c:pt>
                <c:pt idx="50">
                  <c:v>77.971595764160156</c:v>
                </c:pt>
                <c:pt idx="51">
                  <c:v>72.061119079589844</c:v>
                </c:pt>
                <c:pt idx="52">
                  <c:v>65.793121337890625</c:v>
                </c:pt>
                <c:pt idx="53">
                  <c:v>59.364280700683594</c:v>
                </c:pt>
                <c:pt idx="54">
                  <c:v>52.700260162353516</c:v>
                </c:pt>
                <c:pt idx="55">
                  <c:v>46.263179779052734</c:v>
                </c:pt>
                <c:pt idx="56">
                  <c:v>40.11279296875</c:v>
                </c:pt>
                <c:pt idx="57">
                  <c:v>34.315505981445313</c:v>
                </c:pt>
                <c:pt idx="58">
                  <c:v>28.845478057861328</c:v>
                </c:pt>
                <c:pt idx="59">
                  <c:v>24.051870346069336</c:v>
                </c:pt>
                <c:pt idx="60">
                  <c:v>19.892852783203125</c:v>
                </c:pt>
                <c:pt idx="61">
                  <c:v>16.245519638061523</c:v>
                </c:pt>
                <c:pt idx="62">
                  <c:v>13.263455390930176</c:v>
                </c:pt>
                <c:pt idx="63">
                  <c:v>10.813292503356934</c:v>
                </c:pt>
                <c:pt idx="64">
                  <c:v>8.9083471298217773</c:v>
                </c:pt>
                <c:pt idx="65">
                  <c:v>7.3913211822509766</c:v>
                </c:pt>
                <c:pt idx="66">
                  <c:v>6.3024849891662598</c:v>
                </c:pt>
                <c:pt idx="67">
                  <c:v>5.4438619613647461</c:v>
                </c:pt>
                <c:pt idx="68">
                  <c:v>4.8650102615356445</c:v>
                </c:pt>
                <c:pt idx="69">
                  <c:v>4.4629788398742676</c:v>
                </c:pt>
                <c:pt idx="70">
                  <c:v>4.1496071815490723</c:v>
                </c:pt>
                <c:pt idx="71">
                  <c:v>3.8975455760955811</c:v>
                </c:pt>
                <c:pt idx="72">
                  <c:v>3.7614214420318604</c:v>
                </c:pt>
                <c:pt idx="73">
                  <c:v>3.7014164924621582</c:v>
                </c:pt>
                <c:pt idx="74">
                  <c:v>3.5970320701599121</c:v>
                </c:pt>
                <c:pt idx="75">
                  <c:v>3.5111398696899414</c:v>
                </c:pt>
                <c:pt idx="76">
                  <c:v>3.4823429584503174</c:v>
                </c:pt>
                <c:pt idx="77">
                  <c:v>3.4174683094024658</c:v>
                </c:pt>
                <c:pt idx="78">
                  <c:v>3.3806784152984619</c:v>
                </c:pt>
                <c:pt idx="79">
                  <c:v>3.3742659091949463</c:v>
                </c:pt>
                <c:pt idx="80">
                  <c:v>3.3405942916870117</c:v>
                </c:pt>
                <c:pt idx="81">
                  <c:v>3.3087360858917236</c:v>
                </c:pt>
                <c:pt idx="82">
                  <c:v>3.3132641315460205</c:v>
                </c:pt>
                <c:pt idx="83">
                  <c:v>3.2857820987701416</c:v>
                </c:pt>
                <c:pt idx="84">
                  <c:v>3.2456979751586914</c:v>
                </c:pt>
                <c:pt idx="85">
                  <c:v>3.2667155265808105</c:v>
                </c:pt>
                <c:pt idx="86">
                  <c:v>3.2308559417724609</c:v>
                </c:pt>
                <c:pt idx="87">
                  <c:v>3.1708462238311768</c:v>
                </c:pt>
                <c:pt idx="88">
                  <c:v>3.1510770320892334</c:v>
                </c:pt>
                <c:pt idx="89">
                  <c:v>3.1898226737976074</c:v>
                </c:pt>
                <c:pt idx="90">
                  <c:v>3.1943268775939941</c:v>
                </c:pt>
                <c:pt idx="91">
                  <c:v>3.1674666404724121</c:v>
                </c:pt>
                <c:pt idx="92">
                  <c:v>3.2134125232696533</c:v>
                </c:pt>
                <c:pt idx="93">
                  <c:v>3.2506628036499023</c:v>
                </c:pt>
                <c:pt idx="94">
                  <c:v>3.2068102359771729</c:v>
                </c:pt>
                <c:pt idx="95">
                  <c:v>3.2023484706878662</c:v>
                </c:pt>
                <c:pt idx="96">
                  <c:v>3.1998898983001709</c:v>
                </c:pt>
                <c:pt idx="97">
                  <c:v>3.1863908767700195</c:v>
                </c:pt>
                <c:pt idx="98">
                  <c:v>3.1960024833679199</c:v>
                </c:pt>
                <c:pt idx="99">
                  <c:v>3.1828453540802002</c:v>
                </c:pt>
                <c:pt idx="100">
                  <c:v>3.166365385055542</c:v>
                </c:pt>
                <c:pt idx="101">
                  <c:v>3.1759533882141113</c:v>
                </c:pt>
                <c:pt idx="102">
                  <c:v>3.2083384990692139</c:v>
                </c:pt>
                <c:pt idx="103">
                  <c:v>3.2266883850097656</c:v>
                </c:pt>
                <c:pt idx="104">
                  <c:v>3.2235841751098633</c:v>
                </c:pt>
                <c:pt idx="105">
                  <c:v>3.2022774219512939</c:v>
                </c:pt>
                <c:pt idx="106">
                  <c:v>3.2065205574035645</c:v>
                </c:pt>
                <c:pt idx="107">
                  <c:v>3.226337194442749</c:v>
                </c:pt>
                <c:pt idx="108">
                  <c:v>3.2625954151153564</c:v>
                </c:pt>
                <c:pt idx="109">
                  <c:v>3.271594762802124</c:v>
                </c:pt>
                <c:pt idx="110">
                  <c:v>3.2504825592041016</c:v>
                </c:pt>
                <c:pt idx="111">
                  <c:v>3.278501033782959</c:v>
                </c:pt>
                <c:pt idx="112">
                  <c:v>3.3015687465667725</c:v>
                </c:pt>
                <c:pt idx="113">
                  <c:v>3.3224248886108398</c:v>
                </c:pt>
                <c:pt idx="114">
                  <c:v>3.3101077079772949</c:v>
                </c:pt>
                <c:pt idx="115">
                  <c:v>3.2656426429748535</c:v>
                </c:pt>
                <c:pt idx="116">
                  <c:v>3.2906138896942139</c:v>
                </c:pt>
                <c:pt idx="117">
                  <c:v>3.3383824825286865</c:v>
                </c:pt>
                <c:pt idx="118">
                  <c:v>3.3294875621795654</c:v>
                </c:pt>
                <c:pt idx="119">
                  <c:v>3.2976956367492676</c:v>
                </c:pt>
                <c:pt idx="120">
                  <c:v>3.2541420459747314</c:v>
                </c:pt>
                <c:pt idx="121">
                  <c:v>3.2370309829711914</c:v>
                </c:pt>
                <c:pt idx="122">
                  <c:v>3.2676410675048828</c:v>
                </c:pt>
                <c:pt idx="123">
                  <c:v>3.2802712917327881</c:v>
                </c:pt>
                <c:pt idx="124">
                  <c:v>3.2749505043029785</c:v>
                </c:pt>
                <c:pt idx="125">
                  <c:v>3.215287446975708</c:v>
                </c:pt>
                <c:pt idx="126">
                  <c:v>3.1989548206329346</c:v>
                </c:pt>
                <c:pt idx="127">
                  <c:v>3.2258388996124268</c:v>
                </c:pt>
                <c:pt idx="128">
                  <c:v>3.2417917251586914</c:v>
                </c:pt>
                <c:pt idx="129">
                  <c:v>3.2425179481506348</c:v>
                </c:pt>
                <c:pt idx="130">
                  <c:v>3.204674243927002</c:v>
                </c:pt>
                <c:pt idx="131">
                  <c:v>3.2113051414489746</c:v>
                </c:pt>
                <c:pt idx="132">
                  <c:v>3.217670202255249</c:v>
                </c:pt>
                <c:pt idx="133">
                  <c:v>3.1987981796264648</c:v>
                </c:pt>
                <c:pt idx="134">
                  <c:v>3.2090599536895752</c:v>
                </c:pt>
                <c:pt idx="135">
                  <c:v>3.1303586959838867</c:v>
                </c:pt>
                <c:pt idx="136">
                  <c:v>2.3984191417694092</c:v>
                </c:pt>
                <c:pt idx="137">
                  <c:v>2</c:v>
                </c:pt>
                <c:pt idx="138">
                  <c:v>2.6009368896484375</c:v>
                </c:pt>
                <c:pt idx="139">
                  <c:v>3.054861307144165</c:v>
                </c:pt>
                <c:pt idx="140">
                  <c:v>3.0270516872406006</c:v>
                </c:pt>
                <c:pt idx="141">
                  <c:v>2.9647257328033447</c:v>
                </c:pt>
                <c:pt idx="142">
                  <c:v>2.9914627075195313</c:v>
                </c:pt>
                <c:pt idx="143">
                  <c:v>2.9447953701019287</c:v>
                </c:pt>
                <c:pt idx="144">
                  <c:v>2.8919196128845215</c:v>
                </c:pt>
                <c:pt idx="145">
                  <c:v>2.9365410804748535</c:v>
                </c:pt>
                <c:pt idx="146">
                  <c:v>3.0025172233581543</c:v>
                </c:pt>
                <c:pt idx="147">
                  <c:v>2.9195961952209473</c:v>
                </c:pt>
                <c:pt idx="148">
                  <c:v>2.8580629825592041</c:v>
                </c:pt>
                <c:pt idx="149">
                  <c:v>2.8682537078857422</c:v>
                </c:pt>
                <c:pt idx="150">
                  <c:v>2.9096286296844482</c:v>
                </c:pt>
                <c:pt idx="151">
                  <c:v>2.9201231002807617</c:v>
                </c:pt>
                <c:pt idx="152">
                  <c:v>2.8486080169677734</c:v>
                </c:pt>
                <c:pt idx="153">
                  <c:v>2.8138589859008789</c:v>
                </c:pt>
                <c:pt idx="154">
                  <c:v>2.8368415832519531</c:v>
                </c:pt>
                <c:pt idx="155">
                  <c:v>2.8205230236053467</c:v>
                </c:pt>
                <c:pt idx="156">
                  <c:v>2.8181402683258057</c:v>
                </c:pt>
                <c:pt idx="157">
                  <c:v>2.8458406925201416</c:v>
                </c:pt>
                <c:pt idx="158">
                  <c:v>2.81884765625</c:v>
                </c:pt>
                <c:pt idx="159">
                  <c:v>2.7856745719909668</c:v>
                </c:pt>
                <c:pt idx="160">
                  <c:v>2.8138210773468018</c:v>
                </c:pt>
                <c:pt idx="161">
                  <c:v>2.8847522735595703</c:v>
                </c:pt>
                <c:pt idx="162">
                  <c:v>2.8527278900146484</c:v>
                </c:pt>
                <c:pt idx="163">
                  <c:v>2.8077075481414795</c:v>
                </c:pt>
                <c:pt idx="164">
                  <c:v>2.7719762325286865</c:v>
                </c:pt>
                <c:pt idx="165">
                  <c:v>2.790050745010376</c:v>
                </c:pt>
                <c:pt idx="166">
                  <c:v>2.7866427898406982</c:v>
                </c:pt>
                <c:pt idx="167">
                  <c:v>2.8113718032836914</c:v>
                </c:pt>
                <c:pt idx="168">
                  <c:v>2.870816707611084</c:v>
                </c:pt>
                <c:pt idx="169">
                  <c:v>2.7490365505218506</c:v>
                </c:pt>
                <c:pt idx="170">
                  <c:v>2.7575278282165527</c:v>
                </c:pt>
                <c:pt idx="171">
                  <c:v>2.8696396350860596</c:v>
                </c:pt>
                <c:pt idx="172">
                  <c:v>2.8767404556274414</c:v>
                </c:pt>
                <c:pt idx="173">
                  <c:v>2.821230411529541</c:v>
                </c:pt>
                <c:pt idx="174">
                  <c:v>2.7232441902160645</c:v>
                </c:pt>
                <c:pt idx="175">
                  <c:v>2.7292294502258301</c:v>
                </c:pt>
                <c:pt idx="176">
                  <c:v>2.767338752746582</c:v>
                </c:pt>
                <c:pt idx="177">
                  <c:v>2.7655067443847656</c:v>
                </c:pt>
                <c:pt idx="178">
                  <c:v>2.7545993328094482</c:v>
                </c:pt>
                <c:pt idx="179">
                  <c:v>2.7312371730804443</c:v>
                </c:pt>
                <c:pt idx="180">
                  <c:v>2.7324855327606201</c:v>
                </c:pt>
                <c:pt idx="181">
                  <c:v>2.7106375694274902</c:v>
                </c:pt>
                <c:pt idx="182">
                  <c:v>2.6916515827178955</c:v>
                </c:pt>
                <c:pt idx="183">
                  <c:v>2.6920406818389893</c:v>
                </c:pt>
                <c:pt idx="184">
                  <c:v>2.6634955406188965</c:v>
                </c:pt>
                <c:pt idx="185">
                  <c:v>2.6697561740875244</c:v>
                </c:pt>
                <c:pt idx="186">
                  <c:v>2.7498624324798584</c:v>
                </c:pt>
                <c:pt idx="187">
                  <c:v>2.7625827789306641</c:v>
                </c:pt>
                <c:pt idx="188">
                  <c:v>2.7003564834594727</c:v>
                </c:pt>
                <c:pt idx="189">
                  <c:v>2.7631571292877197</c:v>
                </c:pt>
                <c:pt idx="190">
                  <c:v>2.8276143074035645</c:v>
                </c:pt>
                <c:pt idx="191">
                  <c:v>2.8413887023925781</c:v>
                </c:pt>
                <c:pt idx="192">
                  <c:v>2.8146231174468994</c:v>
                </c:pt>
                <c:pt idx="193">
                  <c:v>2.8135316371917725</c:v>
                </c:pt>
                <c:pt idx="194">
                  <c:v>2.8076744079589844</c:v>
                </c:pt>
                <c:pt idx="195">
                  <c:v>2.7830734252929688</c:v>
                </c:pt>
                <c:pt idx="196">
                  <c:v>2.8579680919647217</c:v>
                </c:pt>
                <c:pt idx="197">
                  <c:v>2.8403110504150391</c:v>
                </c:pt>
                <c:pt idx="198">
                  <c:v>2.8049118518829346</c:v>
                </c:pt>
                <c:pt idx="199">
                  <c:v>2.8222177028656006</c:v>
                </c:pt>
                <c:pt idx="200">
                  <c:v>2.8574221134185791</c:v>
                </c:pt>
                <c:pt idx="201">
                  <c:v>2.8462395668029785</c:v>
                </c:pt>
                <c:pt idx="202">
                  <c:v>2.80607008934021</c:v>
                </c:pt>
                <c:pt idx="203">
                  <c:v>2.8001084327697754</c:v>
                </c:pt>
                <c:pt idx="204">
                  <c:v>2.7899131774902344</c:v>
                </c:pt>
                <c:pt idx="205">
                  <c:v>2.85479736328125</c:v>
                </c:pt>
                <c:pt idx="206">
                  <c:v>2.8204994201660156</c:v>
                </c:pt>
                <c:pt idx="207">
                  <c:v>2.8412034511566162</c:v>
                </c:pt>
                <c:pt idx="208">
                  <c:v>2.8242728710174561</c:v>
                </c:pt>
                <c:pt idx="209">
                  <c:v>2.7965772151947021</c:v>
                </c:pt>
                <c:pt idx="210">
                  <c:v>2.8137879371643066</c:v>
                </c:pt>
                <c:pt idx="211">
                  <c:v>2.8607685565948486</c:v>
                </c:pt>
                <c:pt idx="212">
                  <c:v>2.9061875343322754</c:v>
                </c:pt>
                <c:pt idx="213">
                  <c:v>2.8740823268890381</c:v>
                </c:pt>
                <c:pt idx="214">
                  <c:v>2.8738212585449219</c:v>
                </c:pt>
                <c:pt idx="215">
                  <c:v>2.80413818359375</c:v>
                </c:pt>
                <c:pt idx="216">
                  <c:v>2.8538527488708496</c:v>
                </c:pt>
                <c:pt idx="217">
                  <c:v>2.8873913288116455</c:v>
                </c:pt>
                <c:pt idx="218">
                  <c:v>2.8988113403320313</c:v>
                </c:pt>
                <c:pt idx="219">
                  <c:v>3.063946008682251</c:v>
                </c:pt>
                <c:pt idx="220">
                  <c:v>2.9601976871490479</c:v>
                </c:pt>
                <c:pt idx="221">
                  <c:v>2.94248366355896</c:v>
                </c:pt>
                <c:pt idx="222">
                  <c:v>3.0297713279724121</c:v>
                </c:pt>
                <c:pt idx="223">
                  <c:v>2.9079437255859375</c:v>
                </c:pt>
                <c:pt idx="224">
                  <c:v>2.8642427921295166</c:v>
                </c:pt>
                <c:pt idx="225">
                  <c:v>2.9067049026489258</c:v>
                </c:pt>
              </c:numCache>
            </c:numRef>
          </c:yVal>
          <c:smooth val="1"/>
          <c:extLst>
            <c:ext xmlns:c15="http://schemas.microsoft.com/office/drawing/2012/chart" uri="{02D57815-91ED-43cb-92C2-25804820EDAC}">
              <c15:datalabelsRange>
                <c15:f>PeakLabels!$I$2:$I$300</c15:f>
                <c15:dlblRangeCache>
                  <c:ptCount val="299"/>
                  <c:pt idx="43">
                    <c:v>276</c:v>
                  </c:pt>
                </c15:dlblRangeCache>
              </c15:datalabelsRange>
            </c:ext>
            <c:ext xmlns:c16="http://schemas.microsoft.com/office/drawing/2014/chart" uri="{C3380CC4-5D6E-409C-BE32-E72D297353CC}">
              <c16:uniqueId val="{00000000-9771-4271-BB9C-73DAD03ECF59}"/>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4F4027D1-C47B-45E4-9B1F-210418D7A2AA}"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771-4271-BB9C-73DAD03ECF59}"/>
                </c:ext>
              </c:extLst>
            </c:dLbl>
            <c:dLbl>
              <c:idx val="1"/>
              <c:tx>
                <c:rich>
                  <a:bodyPr/>
                  <a:lstStyle/>
                  <a:p>
                    <a:fld id="{E272B9D1-4C30-4A86-AC78-CFFF4FFE65DA}"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9771-4271-BB9C-73DAD03ECF59}"/>
                </c:ext>
              </c:extLst>
            </c:dLbl>
            <c:dLbl>
              <c:idx val="2"/>
              <c:tx>
                <c:rich>
                  <a:bodyPr/>
                  <a:lstStyle/>
                  <a:p>
                    <a:fld id="{D441F668-0096-4381-A0B3-EE56C5059A3D}"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9771-4271-BB9C-73DAD03ECF59}"/>
                </c:ext>
              </c:extLst>
            </c:dLbl>
            <c:dLbl>
              <c:idx val="3"/>
              <c:tx>
                <c:rich>
                  <a:bodyPr/>
                  <a:lstStyle/>
                  <a:p>
                    <a:fld id="{D28288E0-7179-48A4-A334-CCCB3769D9B4}"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9771-4271-BB9C-73DAD03ECF59}"/>
                </c:ext>
              </c:extLst>
            </c:dLbl>
            <c:dLbl>
              <c:idx val="4"/>
              <c:tx>
                <c:rich>
                  <a:bodyPr/>
                  <a:lstStyle/>
                  <a:p>
                    <a:fld id="{FEF3ED5B-7860-4734-88D7-BDE3B015F5F2}"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9771-4271-BB9C-73DAD03ECF59}"/>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9771-4271-BB9C-73DAD03ECF59}"/>
            </c:ext>
          </c:extLst>
        </c:ser>
        <c:dLbls>
          <c:showLegendKey val="0"/>
          <c:showVal val="0"/>
          <c:showCatName val="0"/>
          <c:showSerName val="0"/>
          <c:showPercent val="0"/>
          <c:showBubbleSize val="0"/>
        </c:dLbls>
        <c:axId val="1767899744"/>
        <c:axId val="1767906272"/>
      </c:scatterChart>
      <c:valAx>
        <c:axId val="1767899744"/>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6272"/>
        <c:crossesAt val="0"/>
        <c:crossBetween val="midCat"/>
        <c:majorUnit val="100"/>
      </c:valAx>
      <c:valAx>
        <c:axId val="1767906272"/>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899744"/>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F438E143-E17C-40A4-97F2-130B3A51A0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ACE-4026-976F-A1807EB66903}"/>
                </c:ext>
              </c:extLst>
            </c:dLbl>
            <c:dLbl>
              <c:idx val="1"/>
              <c:tx>
                <c:rich>
                  <a:bodyPr/>
                  <a:lstStyle/>
                  <a:p>
                    <a:fld id="{FEAA6A7A-36D1-4B07-9ABF-157DAEDDFF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ACE-4026-976F-A1807EB66903}"/>
                </c:ext>
              </c:extLst>
            </c:dLbl>
            <c:dLbl>
              <c:idx val="2"/>
              <c:tx>
                <c:rich>
                  <a:bodyPr/>
                  <a:lstStyle/>
                  <a:p>
                    <a:fld id="{F05EE0D6-E895-47F8-8A6F-F759628993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ACE-4026-976F-A1807EB66903}"/>
                </c:ext>
              </c:extLst>
            </c:dLbl>
            <c:dLbl>
              <c:idx val="3"/>
              <c:tx>
                <c:rich>
                  <a:bodyPr/>
                  <a:lstStyle/>
                  <a:p>
                    <a:fld id="{DC9F0CA9-CDB5-4785-B843-04508A3236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ACE-4026-976F-A1807EB66903}"/>
                </c:ext>
              </c:extLst>
            </c:dLbl>
            <c:dLbl>
              <c:idx val="4"/>
              <c:tx>
                <c:rich>
                  <a:bodyPr/>
                  <a:lstStyle/>
                  <a:p>
                    <a:fld id="{553EA6C8-0521-4C2D-AE5F-6E23F76CB4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ACE-4026-976F-A1807EB66903}"/>
                </c:ext>
              </c:extLst>
            </c:dLbl>
            <c:dLbl>
              <c:idx val="5"/>
              <c:tx>
                <c:rich>
                  <a:bodyPr/>
                  <a:lstStyle/>
                  <a:p>
                    <a:fld id="{ABDB725E-AE1C-4CB5-8DA6-B60F98D0D8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ACE-4026-976F-A1807EB66903}"/>
                </c:ext>
              </c:extLst>
            </c:dLbl>
            <c:dLbl>
              <c:idx val="6"/>
              <c:tx>
                <c:rich>
                  <a:bodyPr/>
                  <a:lstStyle/>
                  <a:p>
                    <a:fld id="{F3F3A313-1E7D-410E-A669-28C1121331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ACE-4026-976F-A1807EB66903}"/>
                </c:ext>
              </c:extLst>
            </c:dLbl>
            <c:dLbl>
              <c:idx val="7"/>
              <c:tx>
                <c:rich>
                  <a:bodyPr/>
                  <a:lstStyle/>
                  <a:p>
                    <a:fld id="{36E02364-91FD-4A9D-BD47-CC0BE4E5F4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ACE-4026-976F-A1807EB66903}"/>
                </c:ext>
              </c:extLst>
            </c:dLbl>
            <c:dLbl>
              <c:idx val="8"/>
              <c:tx>
                <c:rich>
                  <a:bodyPr/>
                  <a:lstStyle/>
                  <a:p>
                    <a:fld id="{D74D78CE-03C9-4464-B2C9-9C71C4EED6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ACE-4026-976F-A1807EB66903}"/>
                </c:ext>
              </c:extLst>
            </c:dLbl>
            <c:dLbl>
              <c:idx val="9"/>
              <c:tx>
                <c:rich>
                  <a:bodyPr/>
                  <a:lstStyle/>
                  <a:p>
                    <a:fld id="{182F24F7-1FDB-48DD-9C89-6315C9D470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ACE-4026-976F-A1807EB66903}"/>
                </c:ext>
              </c:extLst>
            </c:dLbl>
            <c:dLbl>
              <c:idx val="10"/>
              <c:tx>
                <c:rich>
                  <a:bodyPr/>
                  <a:lstStyle/>
                  <a:p>
                    <a:fld id="{50720A05-8262-4C86-8AB8-65D82A3113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ACE-4026-976F-A1807EB66903}"/>
                </c:ext>
              </c:extLst>
            </c:dLbl>
            <c:dLbl>
              <c:idx val="11"/>
              <c:tx>
                <c:rich>
                  <a:bodyPr/>
                  <a:lstStyle/>
                  <a:p>
                    <a:fld id="{F570EA3B-1C47-42F2-8D44-C5B012AD68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ACE-4026-976F-A1807EB66903}"/>
                </c:ext>
              </c:extLst>
            </c:dLbl>
            <c:dLbl>
              <c:idx val="12"/>
              <c:tx>
                <c:rich>
                  <a:bodyPr/>
                  <a:lstStyle/>
                  <a:p>
                    <a:fld id="{213564C6-DCFE-4AAC-B943-A61AE35B86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ACE-4026-976F-A1807EB66903}"/>
                </c:ext>
              </c:extLst>
            </c:dLbl>
            <c:dLbl>
              <c:idx val="13"/>
              <c:tx>
                <c:rich>
                  <a:bodyPr/>
                  <a:lstStyle/>
                  <a:p>
                    <a:fld id="{451358C0-169D-4636-96FE-02A9E17F80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ACE-4026-976F-A1807EB66903}"/>
                </c:ext>
              </c:extLst>
            </c:dLbl>
            <c:dLbl>
              <c:idx val="14"/>
              <c:tx>
                <c:rich>
                  <a:bodyPr/>
                  <a:lstStyle/>
                  <a:p>
                    <a:fld id="{21319B98-D6AE-4F83-A217-C238A5B6C3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ACE-4026-976F-A1807EB66903}"/>
                </c:ext>
              </c:extLst>
            </c:dLbl>
            <c:dLbl>
              <c:idx val="15"/>
              <c:tx>
                <c:rich>
                  <a:bodyPr/>
                  <a:lstStyle/>
                  <a:p>
                    <a:fld id="{1478E247-8756-4E80-B59B-7912ECC949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AACE-4026-976F-A1807EB66903}"/>
                </c:ext>
              </c:extLst>
            </c:dLbl>
            <c:dLbl>
              <c:idx val="16"/>
              <c:tx>
                <c:rich>
                  <a:bodyPr/>
                  <a:lstStyle/>
                  <a:p>
                    <a:fld id="{B30F0DE9-F210-4937-B008-73A38D068F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AACE-4026-976F-A1807EB66903}"/>
                </c:ext>
              </c:extLst>
            </c:dLbl>
            <c:dLbl>
              <c:idx val="17"/>
              <c:tx>
                <c:rich>
                  <a:bodyPr/>
                  <a:lstStyle/>
                  <a:p>
                    <a:fld id="{5A2FF20A-7AEA-4FE6-8E04-7D92A5311A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AACE-4026-976F-A1807EB66903}"/>
                </c:ext>
              </c:extLst>
            </c:dLbl>
            <c:dLbl>
              <c:idx val="18"/>
              <c:tx>
                <c:rich>
                  <a:bodyPr/>
                  <a:lstStyle/>
                  <a:p>
                    <a:fld id="{6DE0366B-9B42-40EB-98C3-D3581C2FE1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AACE-4026-976F-A1807EB66903}"/>
                </c:ext>
              </c:extLst>
            </c:dLbl>
            <c:dLbl>
              <c:idx val="19"/>
              <c:tx>
                <c:rich>
                  <a:bodyPr/>
                  <a:lstStyle/>
                  <a:p>
                    <a:fld id="{C270A397-153F-4DD9-9327-5FBBE3D72B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AACE-4026-976F-A1807EB66903}"/>
                </c:ext>
              </c:extLst>
            </c:dLbl>
            <c:dLbl>
              <c:idx val="20"/>
              <c:tx>
                <c:rich>
                  <a:bodyPr/>
                  <a:lstStyle/>
                  <a:p>
                    <a:fld id="{E318D123-3E25-4B6C-9FE3-4C847614C6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AACE-4026-976F-A1807EB66903}"/>
                </c:ext>
              </c:extLst>
            </c:dLbl>
            <c:dLbl>
              <c:idx val="21"/>
              <c:tx>
                <c:rich>
                  <a:bodyPr/>
                  <a:lstStyle/>
                  <a:p>
                    <a:fld id="{274DF53A-74BE-4EC1-AFA5-C58F60AF23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AACE-4026-976F-A1807EB66903}"/>
                </c:ext>
              </c:extLst>
            </c:dLbl>
            <c:dLbl>
              <c:idx val="22"/>
              <c:tx>
                <c:rich>
                  <a:bodyPr/>
                  <a:lstStyle/>
                  <a:p>
                    <a:fld id="{2B2A73D7-963C-4A6E-8AD6-6D07892A2D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AACE-4026-976F-A1807EB66903}"/>
                </c:ext>
              </c:extLst>
            </c:dLbl>
            <c:dLbl>
              <c:idx val="23"/>
              <c:tx>
                <c:rich>
                  <a:bodyPr/>
                  <a:lstStyle/>
                  <a:p>
                    <a:fld id="{41378E52-32C9-4568-8112-3ACF909179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AACE-4026-976F-A1807EB66903}"/>
                </c:ext>
              </c:extLst>
            </c:dLbl>
            <c:dLbl>
              <c:idx val="24"/>
              <c:tx>
                <c:rich>
                  <a:bodyPr/>
                  <a:lstStyle/>
                  <a:p>
                    <a:fld id="{74FE9946-471B-4C3A-9028-599B75A71F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AACE-4026-976F-A1807EB66903}"/>
                </c:ext>
              </c:extLst>
            </c:dLbl>
            <c:dLbl>
              <c:idx val="25"/>
              <c:tx>
                <c:rich>
                  <a:bodyPr/>
                  <a:lstStyle/>
                  <a:p>
                    <a:fld id="{AF07B6C8-0AAF-45DB-806A-8CF526F644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AACE-4026-976F-A1807EB66903}"/>
                </c:ext>
              </c:extLst>
            </c:dLbl>
            <c:dLbl>
              <c:idx val="26"/>
              <c:tx>
                <c:rich>
                  <a:bodyPr/>
                  <a:lstStyle/>
                  <a:p>
                    <a:fld id="{28DCECF2-B750-4E95-A0AE-2A0EFF8D75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AACE-4026-976F-A1807EB66903}"/>
                </c:ext>
              </c:extLst>
            </c:dLbl>
            <c:dLbl>
              <c:idx val="27"/>
              <c:tx>
                <c:rich>
                  <a:bodyPr/>
                  <a:lstStyle/>
                  <a:p>
                    <a:fld id="{685FA89D-0A21-4868-A469-C7ED84AD22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AACE-4026-976F-A1807EB66903}"/>
                </c:ext>
              </c:extLst>
            </c:dLbl>
            <c:dLbl>
              <c:idx val="28"/>
              <c:tx>
                <c:rich>
                  <a:bodyPr/>
                  <a:lstStyle/>
                  <a:p>
                    <a:fld id="{D39F3E8E-1A65-4BE4-91B1-9047BD77AD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AACE-4026-976F-A1807EB66903}"/>
                </c:ext>
              </c:extLst>
            </c:dLbl>
            <c:dLbl>
              <c:idx val="29"/>
              <c:tx>
                <c:rich>
                  <a:bodyPr/>
                  <a:lstStyle/>
                  <a:p>
                    <a:fld id="{BDBBCE83-755B-4F16-BF53-ADE3404995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AACE-4026-976F-A1807EB66903}"/>
                </c:ext>
              </c:extLst>
            </c:dLbl>
            <c:dLbl>
              <c:idx val="30"/>
              <c:tx>
                <c:rich>
                  <a:bodyPr/>
                  <a:lstStyle/>
                  <a:p>
                    <a:fld id="{EF0A09E9-053F-476F-9027-810FBB7E81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AACE-4026-976F-A1807EB66903}"/>
                </c:ext>
              </c:extLst>
            </c:dLbl>
            <c:dLbl>
              <c:idx val="31"/>
              <c:tx>
                <c:rich>
                  <a:bodyPr/>
                  <a:lstStyle/>
                  <a:p>
                    <a:fld id="{EF9B454F-C426-4605-B87A-10730508E0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AACE-4026-976F-A1807EB66903}"/>
                </c:ext>
              </c:extLst>
            </c:dLbl>
            <c:dLbl>
              <c:idx val="32"/>
              <c:tx>
                <c:rich>
                  <a:bodyPr/>
                  <a:lstStyle/>
                  <a:p>
                    <a:fld id="{8C136B25-6005-47F4-A9E7-527818D60C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AACE-4026-976F-A1807EB66903}"/>
                </c:ext>
              </c:extLst>
            </c:dLbl>
            <c:dLbl>
              <c:idx val="33"/>
              <c:tx>
                <c:rich>
                  <a:bodyPr/>
                  <a:lstStyle/>
                  <a:p>
                    <a:fld id="{646E66B2-52E0-48E8-9F22-FD4F4E2411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AACE-4026-976F-A1807EB66903}"/>
                </c:ext>
              </c:extLst>
            </c:dLbl>
            <c:dLbl>
              <c:idx val="34"/>
              <c:tx>
                <c:rich>
                  <a:bodyPr/>
                  <a:lstStyle/>
                  <a:p>
                    <a:fld id="{83392FB0-9F16-48DB-A1FF-337DCFFE26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AACE-4026-976F-A1807EB66903}"/>
                </c:ext>
              </c:extLst>
            </c:dLbl>
            <c:dLbl>
              <c:idx val="35"/>
              <c:tx>
                <c:rich>
                  <a:bodyPr/>
                  <a:lstStyle/>
                  <a:p>
                    <a:fld id="{EAFF096D-DCE1-4D34-9F0C-0A946C37DA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AACE-4026-976F-A1807EB66903}"/>
                </c:ext>
              </c:extLst>
            </c:dLbl>
            <c:dLbl>
              <c:idx val="36"/>
              <c:tx>
                <c:rich>
                  <a:bodyPr/>
                  <a:lstStyle/>
                  <a:p>
                    <a:fld id="{2FD5BFBF-B6BE-40FC-AD0C-FB7EB23DA4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AACE-4026-976F-A1807EB66903}"/>
                </c:ext>
              </c:extLst>
            </c:dLbl>
            <c:dLbl>
              <c:idx val="37"/>
              <c:tx>
                <c:rich>
                  <a:bodyPr/>
                  <a:lstStyle/>
                  <a:p>
                    <a:fld id="{2965089C-D634-43CB-9520-94FAA584D0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AACE-4026-976F-A1807EB66903}"/>
                </c:ext>
              </c:extLst>
            </c:dLbl>
            <c:dLbl>
              <c:idx val="38"/>
              <c:tx>
                <c:rich>
                  <a:bodyPr/>
                  <a:lstStyle/>
                  <a:p>
                    <a:fld id="{525735FE-1992-4458-AECC-827BEB8BE3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AACE-4026-976F-A1807EB66903}"/>
                </c:ext>
              </c:extLst>
            </c:dLbl>
            <c:dLbl>
              <c:idx val="39"/>
              <c:tx>
                <c:rich>
                  <a:bodyPr/>
                  <a:lstStyle/>
                  <a:p>
                    <a:fld id="{E8E97EC1-53AE-47FD-B4AA-5B9C54C568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AACE-4026-976F-A1807EB66903}"/>
                </c:ext>
              </c:extLst>
            </c:dLbl>
            <c:dLbl>
              <c:idx val="40"/>
              <c:tx>
                <c:rich>
                  <a:bodyPr/>
                  <a:lstStyle/>
                  <a:p>
                    <a:fld id="{E0BEF32B-8717-49DE-9E08-23430CF7AF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AACE-4026-976F-A1807EB66903}"/>
                </c:ext>
              </c:extLst>
            </c:dLbl>
            <c:dLbl>
              <c:idx val="41"/>
              <c:tx>
                <c:rich>
                  <a:bodyPr/>
                  <a:lstStyle/>
                  <a:p>
                    <a:fld id="{126B4D71-A49F-4A8D-889D-5865A83463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AACE-4026-976F-A1807EB66903}"/>
                </c:ext>
              </c:extLst>
            </c:dLbl>
            <c:dLbl>
              <c:idx val="42"/>
              <c:tx>
                <c:rich>
                  <a:bodyPr/>
                  <a:lstStyle/>
                  <a:p>
                    <a:fld id="{735FDA36-0627-4EDD-A4D5-799061B9BD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AACE-4026-976F-A1807EB66903}"/>
                </c:ext>
              </c:extLst>
            </c:dLbl>
            <c:dLbl>
              <c:idx val="43"/>
              <c:tx>
                <c:rich>
                  <a:bodyPr/>
                  <a:lstStyle/>
                  <a:p>
                    <a:fld id="{995587B1-F458-4669-A10C-720E7DF185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AACE-4026-976F-A1807EB66903}"/>
                </c:ext>
              </c:extLst>
            </c:dLbl>
            <c:dLbl>
              <c:idx val="44"/>
              <c:tx>
                <c:rich>
                  <a:bodyPr/>
                  <a:lstStyle/>
                  <a:p>
                    <a:fld id="{152BB1D4-BB5C-48F2-BB09-AC7C1D25BD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AACE-4026-976F-A1807EB66903}"/>
                </c:ext>
              </c:extLst>
            </c:dLbl>
            <c:dLbl>
              <c:idx val="45"/>
              <c:tx>
                <c:rich>
                  <a:bodyPr/>
                  <a:lstStyle/>
                  <a:p>
                    <a:fld id="{6FF9B48E-9A32-4E7D-92DC-8679D4B8FC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AACE-4026-976F-A1807EB66903}"/>
                </c:ext>
              </c:extLst>
            </c:dLbl>
            <c:dLbl>
              <c:idx val="46"/>
              <c:tx>
                <c:rich>
                  <a:bodyPr/>
                  <a:lstStyle/>
                  <a:p>
                    <a:fld id="{5D6FE61E-6A97-4F19-A504-3A29586146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AACE-4026-976F-A1807EB66903}"/>
                </c:ext>
              </c:extLst>
            </c:dLbl>
            <c:dLbl>
              <c:idx val="47"/>
              <c:tx>
                <c:rich>
                  <a:bodyPr/>
                  <a:lstStyle/>
                  <a:p>
                    <a:fld id="{F1B92C34-FA49-4D3E-9094-572BC5D02D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AACE-4026-976F-A1807EB66903}"/>
                </c:ext>
              </c:extLst>
            </c:dLbl>
            <c:dLbl>
              <c:idx val="48"/>
              <c:tx>
                <c:rich>
                  <a:bodyPr/>
                  <a:lstStyle/>
                  <a:p>
                    <a:fld id="{A90B2A1D-8D56-4598-AAE6-5241D46D42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AACE-4026-976F-A1807EB66903}"/>
                </c:ext>
              </c:extLst>
            </c:dLbl>
            <c:dLbl>
              <c:idx val="49"/>
              <c:tx>
                <c:rich>
                  <a:bodyPr/>
                  <a:lstStyle/>
                  <a:p>
                    <a:fld id="{962B7361-B9F2-458F-B8CD-B24C9CEC5D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AACE-4026-976F-A1807EB66903}"/>
                </c:ext>
              </c:extLst>
            </c:dLbl>
            <c:dLbl>
              <c:idx val="50"/>
              <c:tx>
                <c:rich>
                  <a:bodyPr/>
                  <a:lstStyle/>
                  <a:p>
                    <a:fld id="{AD2CC960-6D1F-4AF2-9CD4-39276B913A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AACE-4026-976F-A1807EB66903}"/>
                </c:ext>
              </c:extLst>
            </c:dLbl>
            <c:dLbl>
              <c:idx val="51"/>
              <c:tx>
                <c:rich>
                  <a:bodyPr/>
                  <a:lstStyle/>
                  <a:p>
                    <a:fld id="{00BC340A-2B78-48BE-A5C7-4C3D938995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AACE-4026-976F-A1807EB66903}"/>
                </c:ext>
              </c:extLst>
            </c:dLbl>
            <c:dLbl>
              <c:idx val="52"/>
              <c:tx>
                <c:rich>
                  <a:bodyPr/>
                  <a:lstStyle/>
                  <a:p>
                    <a:fld id="{DA65365B-2E77-4C42-BC45-1C782BBBB8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AACE-4026-976F-A1807EB66903}"/>
                </c:ext>
              </c:extLst>
            </c:dLbl>
            <c:dLbl>
              <c:idx val="53"/>
              <c:tx>
                <c:rich>
                  <a:bodyPr/>
                  <a:lstStyle/>
                  <a:p>
                    <a:fld id="{B8B36B61-BEBC-48C9-AD44-EB8E608EEB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AACE-4026-976F-A1807EB66903}"/>
                </c:ext>
              </c:extLst>
            </c:dLbl>
            <c:dLbl>
              <c:idx val="54"/>
              <c:tx>
                <c:rich>
                  <a:bodyPr/>
                  <a:lstStyle/>
                  <a:p>
                    <a:fld id="{2ACF941B-AF53-4769-8901-40E9727A62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AACE-4026-976F-A1807EB66903}"/>
                </c:ext>
              </c:extLst>
            </c:dLbl>
            <c:dLbl>
              <c:idx val="55"/>
              <c:tx>
                <c:rich>
                  <a:bodyPr/>
                  <a:lstStyle/>
                  <a:p>
                    <a:fld id="{C374E702-2063-445E-BCE9-B9D10227E5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AACE-4026-976F-A1807EB66903}"/>
                </c:ext>
              </c:extLst>
            </c:dLbl>
            <c:dLbl>
              <c:idx val="56"/>
              <c:tx>
                <c:rich>
                  <a:bodyPr/>
                  <a:lstStyle/>
                  <a:p>
                    <a:fld id="{F0B61884-2F48-4C8D-8B4D-4934D7F69A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AACE-4026-976F-A1807EB66903}"/>
                </c:ext>
              </c:extLst>
            </c:dLbl>
            <c:dLbl>
              <c:idx val="57"/>
              <c:tx>
                <c:rich>
                  <a:bodyPr/>
                  <a:lstStyle/>
                  <a:p>
                    <a:fld id="{171D7F34-C713-4579-BEDF-6A9AC4AE0D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AACE-4026-976F-A1807EB66903}"/>
                </c:ext>
              </c:extLst>
            </c:dLbl>
            <c:dLbl>
              <c:idx val="58"/>
              <c:tx>
                <c:rich>
                  <a:bodyPr/>
                  <a:lstStyle/>
                  <a:p>
                    <a:fld id="{653017E9-DF7F-4A71-9C45-3117116A3F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AACE-4026-976F-A1807EB66903}"/>
                </c:ext>
              </c:extLst>
            </c:dLbl>
            <c:dLbl>
              <c:idx val="59"/>
              <c:tx>
                <c:rich>
                  <a:bodyPr/>
                  <a:lstStyle/>
                  <a:p>
                    <a:fld id="{4B088C8A-4651-4F4D-8DE6-C3F50C807D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AACE-4026-976F-A1807EB66903}"/>
                </c:ext>
              </c:extLst>
            </c:dLbl>
            <c:dLbl>
              <c:idx val="60"/>
              <c:tx>
                <c:rich>
                  <a:bodyPr/>
                  <a:lstStyle/>
                  <a:p>
                    <a:fld id="{E61B5948-3F78-4A81-925F-4537C64363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AACE-4026-976F-A1807EB66903}"/>
                </c:ext>
              </c:extLst>
            </c:dLbl>
            <c:dLbl>
              <c:idx val="61"/>
              <c:tx>
                <c:rich>
                  <a:bodyPr/>
                  <a:lstStyle/>
                  <a:p>
                    <a:fld id="{02E92788-C11D-4EC9-A6C4-C20DED0CAB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AACE-4026-976F-A1807EB66903}"/>
                </c:ext>
              </c:extLst>
            </c:dLbl>
            <c:dLbl>
              <c:idx val="62"/>
              <c:tx>
                <c:rich>
                  <a:bodyPr/>
                  <a:lstStyle/>
                  <a:p>
                    <a:fld id="{596DBE0A-51CD-47C9-973F-2B14107D8F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AACE-4026-976F-A1807EB66903}"/>
                </c:ext>
              </c:extLst>
            </c:dLbl>
            <c:dLbl>
              <c:idx val="63"/>
              <c:tx>
                <c:rich>
                  <a:bodyPr/>
                  <a:lstStyle/>
                  <a:p>
                    <a:fld id="{09031675-AFB1-435E-9603-F52D570439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AACE-4026-976F-A1807EB66903}"/>
                </c:ext>
              </c:extLst>
            </c:dLbl>
            <c:dLbl>
              <c:idx val="64"/>
              <c:tx>
                <c:rich>
                  <a:bodyPr/>
                  <a:lstStyle/>
                  <a:p>
                    <a:fld id="{4B000A1A-A40B-47BD-AAD3-8618CDC5FB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AACE-4026-976F-A1807EB66903}"/>
                </c:ext>
              </c:extLst>
            </c:dLbl>
            <c:dLbl>
              <c:idx val="65"/>
              <c:tx>
                <c:rich>
                  <a:bodyPr/>
                  <a:lstStyle/>
                  <a:p>
                    <a:fld id="{B58AC090-4E57-440C-A0C9-E47472D70C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AACE-4026-976F-A1807EB66903}"/>
                </c:ext>
              </c:extLst>
            </c:dLbl>
            <c:dLbl>
              <c:idx val="66"/>
              <c:tx>
                <c:rich>
                  <a:bodyPr/>
                  <a:lstStyle/>
                  <a:p>
                    <a:fld id="{7616D075-05BB-46CD-AB24-423A453E60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AACE-4026-976F-A1807EB66903}"/>
                </c:ext>
              </c:extLst>
            </c:dLbl>
            <c:dLbl>
              <c:idx val="67"/>
              <c:tx>
                <c:rich>
                  <a:bodyPr/>
                  <a:lstStyle/>
                  <a:p>
                    <a:fld id="{2EA2CE69-3589-4052-94C9-FEB919D171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AACE-4026-976F-A1807EB66903}"/>
                </c:ext>
              </c:extLst>
            </c:dLbl>
            <c:dLbl>
              <c:idx val="68"/>
              <c:tx>
                <c:rich>
                  <a:bodyPr/>
                  <a:lstStyle/>
                  <a:p>
                    <a:fld id="{57D064E1-B6FF-49FF-B599-3FBE654C24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AACE-4026-976F-A1807EB66903}"/>
                </c:ext>
              </c:extLst>
            </c:dLbl>
            <c:dLbl>
              <c:idx val="69"/>
              <c:tx>
                <c:rich>
                  <a:bodyPr/>
                  <a:lstStyle/>
                  <a:p>
                    <a:fld id="{C3A81D58-1B6B-4480-920A-A4181B05DE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AACE-4026-976F-A1807EB66903}"/>
                </c:ext>
              </c:extLst>
            </c:dLbl>
            <c:dLbl>
              <c:idx val="70"/>
              <c:tx>
                <c:rich>
                  <a:bodyPr/>
                  <a:lstStyle/>
                  <a:p>
                    <a:fld id="{5B1B0A0E-9A3B-4D93-9E46-664D126328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AACE-4026-976F-A1807EB66903}"/>
                </c:ext>
              </c:extLst>
            </c:dLbl>
            <c:dLbl>
              <c:idx val="71"/>
              <c:tx>
                <c:rich>
                  <a:bodyPr/>
                  <a:lstStyle/>
                  <a:p>
                    <a:fld id="{E781F028-0F87-4D2E-BA90-4C64DF3FE2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AACE-4026-976F-A1807EB66903}"/>
                </c:ext>
              </c:extLst>
            </c:dLbl>
            <c:dLbl>
              <c:idx val="72"/>
              <c:tx>
                <c:rich>
                  <a:bodyPr/>
                  <a:lstStyle/>
                  <a:p>
                    <a:fld id="{96B70DAD-1B39-4087-BBE6-0DB3BC32E9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AACE-4026-976F-A1807EB66903}"/>
                </c:ext>
              </c:extLst>
            </c:dLbl>
            <c:dLbl>
              <c:idx val="73"/>
              <c:tx>
                <c:rich>
                  <a:bodyPr/>
                  <a:lstStyle/>
                  <a:p>
                    <a:fld id="{A0068477-A757-48FD-A842-0674A592A9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AACE-4026-976F-A1807EB66903}"/>
                </c:ext>
              </c:extLst>
            </c:dLbl>
            <c:dLbl>
              <c:idx val="74"/>
              <c:tx>
                <c:rich>
                  <a:bodyPr/>
                  <a:lstStyle/>
                  <a:p>
                    <a:fld id="{EEF17AEB-304E-49D8-BBC4-C000392BD3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AACE-4026-976F-A1807EB66903}"/>
                </c:ext>
              </c:extLst>
            </c:dLbl>
            <c:dLbl>
              <c:idx val="75"/>
              <c:tx>
                <c:rich>
                  <a:bodyPr/>
                  <a:lstStyle/>
                  <a:p>
                    <a:fld id="{84A7A704-AB04-40C1-AA1C-6F8DC42EFB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AACE-4026-976F-A1807EB66903}"/>
                </c:ext>
              </c:extLst>
            </c:dLbl>
            <c:dLbl>
              <c:idx val="76"/>
              <c:tx>
                <c:rich>
                  <a:bodyPr/>
                  <a:lstStyle/>
                  <a:p>
                    <a:fld id="{A90BAC3E-1B7B-4C12-843B-7462925E3B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AACE-4026-976F-A1807EB66903}"/>
                </c:ext>
              </c:extLst>
            </c:dLbl>
            <c:dLbl>
              <c:idx val="77"/>
              <c:tx>
                <c:rich>
                  <a:bodyPr/>
                  <a:lstStyle/>
                  <a:p>
                    <a:fld id="{BB59816D-471E-46D8-A558-A5AAC3B443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AACE-4026-976F-A1807EB66903}"/>
                </c:ext>
              </c:extLst>
            </c:dLbl>
            <c:dLbl>
              <c:idx val="78"/>
              <c:tx>
                <c:rich>
                  <a:bodyPr/>
                  <a:lstStyle/>
                  <a:p>
                    <a:fld id="{82DB8185-89E9-409B-9464-4B87C7FA2B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AACE-4026-976F-A1807EB66903}"/>
                </c:ext>
              </c:extLst>
            </c:dLbl>
            <c:dLbl>
              <c:idx val="79"/>
              <c:tx>
                <c:rich>
                  <a:bodyPr/>
                  <a:lstStyle/>
                  <a:p>
                    <a:fld id="{0A596918-AFFA-4E42-9D7D-BE21503C85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AACE-4026-976F-A1807EB66903}"/>
                </c:ext>
              </c:extLst>
            </c:dLbl>
            <c:dLbl>
              <c:idx val="80"/>
              <c:tx>
                <c:rich>
                  <a:bodyPr/>
                  <a:lstStyle/>
                  <a:p>
                    <a:fld id="{B56B1B31-7D35-45DB-BD10-B545658082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AACE-4026-976F-A1807EB66903}"/>
                </c:ext>
              </c:extLst>
            </c:dLbl>
            <c:dLbl>
              <c:idx val="81"/>
              <c:tx>
                <c:rich>
                  <a:bodyPr/>
                  <a:lstStyle/>
                  <a:p>
                    <a:fld id="{0D981A48-4019-47DE-8857-5C62E73ECC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AACE-4026-976F-A1807EB66903}"/>
                </c:ext>
              </c:extLst>
            </c:dLbl>
            <c:dLbl>
              <c:idx val="82"/>
              <c:tx>
                <c:rich>
                  <a:bodyPr/>
                  <a:lstStyle/>
                  <a:p>
                    <a:fld id="{3DD5518F-313F-4DC1-9769-133A95080E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AACE-4026-976F-A1807EB66903}"/>
                </c:ext>
              </c:extLst>
            </c:dLbl>
            <c:dLbl>
              <c:idx val="83"/>
              <c:tx>
                <c:rich>
                  <a:bodyPr/>
                  <a:lstStyle/>
                  <a:p>
                    <a:fld id="{4A2E6F3F-D8C9-4506-9C91-E65C84021D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AACE-4026-976F-A1807EB66903}"/>
                </c:ext>
              </c:extLst>
            </c:dLbl>
            <c:dLbl>
              <c:idx val="84"/>
              <c:tx>
                <c:rich>
                  <a:bodyPr/>
                  <a:lstStyle/>
                  <a:p>
                    <a:fld id="{A7BB8665-C3C7-4313-BB89-61EE680C78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AACE-4026-976F-A1807EB66903}"/>
                </c:ext>
              </c:extLst>
            </c:dLbl>
            <c:dLbl>
              <c:idx val="85"/>
              <c:tx>
                <c:rich>
                  <a:bodyPr/>
                  <a:lstStyle/>
                  <a:p>
                    <a:fld id="{71A37BD4-B30D-4933-8DFF-6E0C5E696E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AACE-4026-976F-A1807EB66903}"/>
                </c:ext>
              </c:extLst>
            </c:dLbl>
            <c:dLbl>
              <c:idx val="86"/>
              <c:tx>
                <c:rich>
                  <a:bodyPr/>
                  <a:lstStyle/>
                  <a:p>
                    <a:fld id="{D7494B51-6085-4EEC-956B-E9A65079A7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AACE-4026-976F-A1807EB66903}"/>
                </c:ext>
              </c:extLst>
            </c:dLbl>
            <c:dLbl>
              <c:idx val="87"/>
              <c:tx>
                <c:rich>
                  <a:bodyPr/>
                  <a:lstStyle/>
                  <a:p>
                    <a:fld id="{876D1609-2BD6-45C8-8A01-CA4B2D9306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AACE-4026-976F-A1807EB66903}"/>
                </c:ext>
              </c:extLst>
            </c:dLbl>
            <c:dLbl>
              <c:idx val="88"/>
              <c:tx>
                <c:rich>
                  <a:bodyPr/>
                  <a:lstStyle/>
                  <a:p>
                    <a:fld id="{350FBE86-AE7D-44E2-A9AE-B436ACBD03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AACE-4026-976F-A1807EB66903}"/>
                </c:ext>
              </c:extLst>
            </c:dLbl>
            <c:dLbl>
              <c:idx val="89"/>
              <c:tx>
                <c:rich>
                  <a:bodyPr/>
                  <a:lstStyle/>
                  <a:p>
                    <a:fld id="{6ED5099A-C508-405C-8BB3-70CE9502AA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AACE-4026-976F-A1807EB66903}"/>
                </c:ext>
              </c:extLst>
            </c:dLbl>
            <c:dLbl>
              <c:idx val="90"/>
              <c:tx>
                <c:rich>
                  <a:bodyPr/>
                  <a:lstStyle/>
                  <a:p>
                    <a:fld id="{60187AE8-A6E6-49EF-84A5-17277CD667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AACE-4026-976F-A1807EB66903}"/>
                </c:ext>
              </c:extLst>
            </c:dLbl>
            <c:dLbl>
              <c:idx val="91"/>
              <c:tx>
                <c:rich>
                  <a:bodyPr/>
                  <a:lstStyle/>
                  <a:p>
                    <a:fld id="{C61CEE27-40FF-4AA7-99C8-866211E22D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AACE-4026-976F-A1807EB66903}"/>
                </c:ext>
              </c:extLst>
            </c:dLbl>
            <c:dLbl>
              <c:idx val="92"/>
              <c:tx>
                <c:rich>
                  <a:bodyPr/>
                  <a:lstStyle/>
                  <a:p>
                    <a:fld id="{DEF2B2B3-0D5F-452A-B3DF-F6D1C1B531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AACE-4026-976F-A1807EB66903}"/>
                </c:ext>
              </c:extLst>
            </c:dLbl>
            <c:dLbl>
              <c:idx val="93"/>
              <c:tx>
                <c:rich>
                  <a:bodyPr/>
                  <a:lstStyle/>
                  <a:p>
                    <a:fld id="{631773D0-C986-48A2-9BF6-94A4E34705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AACE-4026-976F-A1807EB66903}"/>
                </c:ext>
              </c:extLst>
            </c:dLbl>
            <c:dLbl>
              <c:idx val="94"/>
              <c:tx>
                <c:rich>
                  <a:bodyPr/>
                  <a:lstStyle/>
                  <a:p>
                    <a:fld id="{BB1996D4-E299-4CC9-9705-374FF295A6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AACE-4026-976F-A1807EB66903}"/>
                </c:ext>
              </c:extLst>
            </c:dLbl>
            <c:dLbl>
              <c:idx val="95"/>
              <c:tx>
                <c:rich>
                  <a:bodyPr/>
                  <a:lstStyle/>
                  <a:p>
                    <a:fld id="{5522F6CD-04FB-44BE-A551-C63C05D6F6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AACE-4026-976F-A1807EB66903}"/>
                </c:ext>
              </c:extLst>
            </c:dLbl>
            <c:dLbl>
              <c:idx val="96"/>
              <c:tx>
                <c:rich>
                  <a:bodyPr/>
                  <a:lstStyle/>
                  <a:p>
                    <a:fld id="{3FB71789-9712-45FC-9FA1-96AC13E451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AACE-4026-976F-A1807EB66903}"/>
                </c:ext>
              </c:extLst>
            </c:dLbl>
            <c:dLbl>
              <c:idx val="97"/>
              <c:tx>
                <c:rich>
                  <a:bodyPr/>
                  <a:lstStyle/>
                  <a:p>
                    <a:fld id="{9D300F9B-28A3-4518-89AB-040402D249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AACE-4026-976F-A1807EB66903}"/>
                </c:ext>
              </c:extLst>
            </c:dLbl>
            <c:dLbl>
              <c:idx val="98"/>
              <c:tx>
                <c:rich>
                  <a:bodyPr/>
                  <a:lstStyle/>
                  <a:p>
                    <a:fld id="{C5A14FF6-D93A-42B6-B23C-F9A56698D6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AACE-4026-976F-A1807EB66903}"/>
                </c:ext>
              </c:extLst>
            </c:dLbl>
            <c:dLbl>
              <c:idx val="99"/>
              <c:tx>
                <c:rich>
                  <a:bodyPr/>
                  <a:lstStyle/>
                  <a:p>
                    <a:fld id="{DE54FC44-5815-4A9C-8B90-57D5ED3977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AACE-4026-976F-A1807EB66903}"/>
                </c:ext>
              </c:extLst>
            </c:dLbl>
            <c:dLbl>
              <c:idx val="100"/>
              <c:tx>
                <c:rich>
                  <a:bodyPr/>
                  <a:lstStyle/>
                  <a:p>
                    <a:fld id="{FFDAC75B-5391-4BA7-98EA-58243F952F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AACE-4026-976F-A1807EB66903}"/>
                </c:ext>
              </c:extLst>
            </c:dLbl>
            <c:dLbl>
              <c:idx val="101"/>
              <c:tx>
                <c:rich>
                  <a:bodyPr/>
                  <a:lstStyle/>
                  <a:p>
                    <a:fld id="{69103399-DD69-46B9-BEE2-E04FCD4307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AACE-4026-976F-A1807EB66903}"/>
                </c:ext>
              </c:extLst>
            </c:dLbl>
            <c:dLbl>
              <c:idx val="102"/>
              <c:tx>
                <c:rich>
                  <a:bodyPr/>
                  <a:lstStyle/>
                  <a:p>
                    <a:fld id="{BD1A640D-AD53-49BC-B34E-48A65C9310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AACE-4026-976F-A1807EB66903}"/>
                </c:ext>
              </c:extLst>
            </c:dLbl>
            <c:dLbl>
              <c:idx val="103"/>
              <c:tx>
                <c:rich>
                  <a:bodyPr/>
                  <a:lstStyle/>
                  <a:p>
                    <a:fld id="{C268B71A-A911-4EC2-97ED-F7194DC1D6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AACE-4026-976F-A1807EB66903}"/>
                </c:ext>
              </c:extLst>
            </c:dLbl>
            <c:dLbl>
              <c:idx val="104"/>
              <c:tx>
                <c:rich>
                  <a:bodyPr/>
                  <a:lstStyle/>
                  <a:p>
                    <a:fld id="{C590693B-0384-4B92-8EFC-8CC362B04F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AACE-4026-976F-A1807EB66903}"/>
                </c:ext>
              </c:extLst>
            </c:dLbl>
            <c:dLbl>
              <c:idx val="105"/>
              <c:tx>
                <c:rich>
                  <a:bodyPr/>
                  <a:lstStyle/>
                  <a:p>
                    <a:fld id="{7633838C-D542-4866-A994-CE06E0AA96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AACE-4026-976F-A1807EB66903}"/>
                </c:ext>
              </c:extLst>
            </c:dLbl>
            <c:dLbl>
              <c:idx val="106"/>
              <c:tx>
                <c:rich>
                  <a:bodyPr/>
                  <a:lstStyle/>
                  <a:p>
                    <a:fld id="{17211024-139A-422A-B5DE-EBAE67DCEB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AACE-4026-976F-A1807EB66903}"/>
                </c:ext>
              </c:extLst>
            </c:dLbl>
            <c:dLbl>
              <c:idx val="107"/>
              <c:tx>
                <c:rich>
                  <a:bodyPr/>
                  <a:lstStyle/>
                  <a:p>
                    <a:fld id="{32BA872F-DEA8-483A-BA57-5D621294EA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AACE-4026-976F-A1807EB66903}"/>
                </c:ext>
              </c:extLst>
            </c:dLbl>
            <c:dLbl>
              <c:idx val="108"/>
              <c:tx>
                <c:rich>
                  <a:bodyPr/>
                  <a:lstStyle/>
                  <a:p>
                    <a:fld id="{A7D8137D-F2CC-4893-A6A6-EED661C077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AACE-4026-976F-A1807EB66903}"/>
                </c:ext>
              </c:extLst>
            </c:dLbl>
            <c:dLbl>
              <c:idx val="109"/>
              <c:tx>
                <c:rich>
                  <a:bodyPr/>
                  <a:lstStyle/>
                  <a:p>
                    <a:fld id="{48822305-6BD2-4181-9A71-8F81059869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AACE-4026-976F-A1807EB66903}"/>
                </c:ext>
              </c:extLst>
            </c:dLbl>
            <c:dLbl>
              <c:idx val="110"/>
              <c:tx>
                <c:rich>
                  <a:bodyPr/>
                  <a:lstStyle/>
                  <a:p>
                    <a:fld id="{28D2C5C3-B8A2-45B5-9C19-EC18AF2EFF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AACE-4026-976F-A1807EB66903}"/>
                </c:ext>
              </c:extLst>
            </c:dLbl>
            <c:dLbl>
              <c:idx val="111"/>
              <c:tx>
                <c:rich>
                  <a:bodyPr/>
                  <a:lstStyle/>
                  <a:p>
                    <a:fld id="{67D7C5E4-AFD7-426A-8D74-DC0AE740A9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AACE-4026-976F-A1807EB66903}"/>
                </c:ext>
              </c:extLst>
            </c:dLbl>
            <c:dLbl>
              <c:idx val="112"/>
              <c:tx>
                <c:rich>
                  <a:bodyPr/>
                  <a:lstStyle/>
                  <a:p>
                    <a:fld id="{4A467A30-9F09-4FB6-B324-453332F415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AACE-4026-976F-A1807EB66903}"/>
                </c:ext>
              </c:extLst>
            </c:dLbl>
            <c:dLbl>
              <c:idx val="113"/>
              <c:tx>
                <c:rich>
                  <a:bodyPr/>
                  <a:lstStyle/>
                  <a:p>
                    <a:fld id="{75BC23B5-B654-4E16-B423-48491F6AFE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AACE-4026-976F-A1807EB66903}"/>
                </c:ext>
              </c:extLst>
            </c:dLbl>
            <c:dLbl>
              <c:idx val="114"/>
              <c:tx>
                <c:rich>
                  <a:bodyPr/>
                  <a:lstStyle/>
                  <a:p>
                    <a:fld id="{99864751-059B-4CDC-BBDD-0936CC5273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AACE-4026-976F-A1807EB66903}"/>
                </c:ext>
              </c:extLst>
            </c:dLbl>
            <c:dLbl>
              <c:idx val="115"/>
              <c:tx>
                <c:rich>
                  <a:bodyPr/>
                  <a:lstStyle/>
                  <a:p>
                    <a:fld id="{C4606635-2203-4F45-A9B5-84FD449E89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AACE-4026-976F-A1807EB66903}"/>
                </c:ext>
              </c:extLst>
            </c:dLbl>
            <c:dLbl>
              <c:idx val="116"/>
              <c:tx>
                <c:rich>
                  <a:bodyPr/>
                  <a:lstStyle/>
                  <a:p>
                    <a:fld id="{A5E0C1F1-F45F-45B7-9580-2A9EE3FC3C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AACE-4026-976F-A1807EB66903}"/>
                </c:ext>
              </c:extLst>
            </c:dLbl>
            <c:dLbl>
              <c:idx val="117"/>
              <c:tx>
                <c:rich>
                  <a:bodyPr/>
                  <a:lstStyle/>
                  <a:p>
                    <a:fld id="{1A6701DE-548F-4F5E-AC3E-A56E9665E3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AACE-4026-976F-A1807EB66903}"/>
                </c:ext>
              </c:extLst>
            </c:dLbl>
            <c:dLbl>
              <c:idx val="118"/>
              <c:tx>
                <c:rich>
                  <a:bodyPr/>
                  <a:lstStyle/>
                  <a:p>
                    <a:fld id="{ABAD6F16-3794-4B12-8A27-C626F0CE71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AACE-4026-976F-A1807EB66903}"/>
                </c:ext>
              </c:extLst>
            </c:dLbl>
            <c:dLbl>
              <c:idx val="119"/>
              <c:tx>
                <c:rich>
                  <a:bodyPr/>
                  <a:lstStyle/>
                  <a:p>
                    <a:fld id="{191452AF-E48C-4B7B-8AC2-8B343E25B0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AACE-4026-976F-A1807EB66903}"/>
                </c:ext>
              </c:extLst>
            </c:dLbl>
            <c:dLbl>
              <c:idx val="120"/>
              <c:tx>
                <c:rich>
                  <a:bodyPr/>
                  <a:lstStyle/>
                  <a:p>
                    <a:fld id="{F50AD145-3F07-4C88-A346-C31432AA36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AACE-4026-976F-A1807EB66903}"/>
                </c:ext>
              </c:extLst>
            </c:dLbl>
            <c:dLbl>
              <c:idx val="121"/>
              <c:tx>
                <c:rich>
                  <a:bodyPr/>
                  <a:lstStyle/>
                  <a:p>
                    <a:fld id="{D437E65E-64B2-4B96-8E23-3BDA090699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AACE-4026-976F-A1807EB66903}"/>
                </c:ext>
              </c:extLst>
            </c:dLbl>
            <c:dLbl>
              <c:idx val="122"/>
              <c:tx>
                <c:rich>
                  <a:bodyPr/>
                  <a:lstStyle/>
                  <a:p>
                    <a:fld id="{F391DD78-C5D9-4BFC-BD56-7576C8449E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AACE-4026-976F-A1807EB66903}"/>
                </c:ext>
              </c:extLst>
            </c:dLbl>
            <c:dLbl>
              <c:idx val="123"/>
              <c:tx>
                <c:rich>
                  <a:bodyPr/>
                  <a:lstStyle/>
                  <a:p>
                    <a:fld id="{D4E207BB-B8D6-498B-ADA5-5F9992AD02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AACE-4026-976F-A1807EB66903}"/>
                </c:ext>
              </c:extLst>
            </c:dLbl>
            <c:dLbl>
              <c:idx val="124"/>
              <c:tx>
                <c:rich>
                  <a:bodyPr/>
                  <a:lstStyle/>
                  <a:p>
                    <a:fld id="{1C92D6FF-C15B-4126-B1D1-506C9A4498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AACE-4026-976F-A1807EB66903}"/>
                </c:ext>
              </c:extLst>
            </c:dLbl>
            <c:dLbl>
              <c:idx val="125"/>
              <c:tx>
                <c:rich>
                  <a:bodyPr/>
                  <a:lstStyle/>
                  <a:p>
                    <a:fld id="{80AC77FA-9590-4D70-9FEF-3EC771681A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AACE-4026-976F-A1807EB66903}"/>
                </c:ext>
              </c:extLst>
            </c:dLbl>
            <c:dLbl>
              <c:idx val="126"/>
              <c:tx>
                <c:rich>
                  <a:bodyPr/>
                  <a:lstStyle/>
                  <a:p>
                    <a:fld id="{8A9B9220-C781-472E-AA0E-C938BFADC7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AACE-4026-976F-A1807EB66903}"/>
                </c:ext>
              </c:extLst>
            </c:dLbl>
            <c:dLbl>
              <c:idx val="127"/>
              <c:tx>
                <c:rich>
                  <a:bodyPr/>
                  <a:lstStyle/>
                  <a:p>
                    <a:fld id="{30E91FE2-75BE-40BD-AB55-97D07FB75D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AACE-4026-976F-A1807EB66903}"/>
                </c:ext>
              </c:extLst>
            </c:dLbl>
            <c:dLbl>
              <c:idx val="128"/>
              <c:tx>
                <c:rich>
                  <a:bodyPr/>
                  <a:lstStyle/>
                  <a:p>
                    <a:fld id="{1A3F15C8-0AF5-415A-AC7C-FB7FE77ACC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AACE-4026-976F-A1807EB66903}"/>
                </c:ext>
              </c:extLst>
            </c:dLbl>
            <c:dLbl>
              <c:idx val="129"/>
              <c:tx>
                <c:rich>
                  <a:bodyPr/>
                  <a:lstStyle/>
                  <a:p>
                    <a:fld id="{600BEA6A-FE15-4DC7-B217-304CCDB6C2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AACE-4026-976F-A1807EB66903}"/>
                </c:ext>
              </c:extLst>
            </c:dLbl>
            <c:dLbl>
              <c:idx val="130"/>
              <c:tx>
                <c:rich>
                  <a:bodyPr/>
                  <a:lstStyle/>
                  <a:p>
                    <a:fld id="{9B1B991F-23E9-47CB-80D9-F3F1F4389D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AACE-4026-976F-A1807EB66903}"/>
                </c:ext>
              </c:extLst>
            </c:dLbl>
            <c:dLbl>
              <c:idx val="131"/>
              <c:tx>
                <c:rich>
                  <a:bodyPr/>
                  <a:lstStyle/>
                  <a:p>
                    <a:fld id="{21D08D13-85DF-4B5A-BF8C-6FD9C7870E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AACE-4026-976F-A1807EB66903}"/>
                </c:ext>
              </c:extLst>
            </c:dLbl>
            <c:dLbl>
              <c:idx val="132"/>
              <c:tx>
                <c:rich>
                  <a:bodyPr/>
                  <a:lstStyle/>
                  <a:p>
                    <a:fld id="{84ADDE7B-F12D-4FA7-BEDF-450BD28799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AACE-4026-976F-A1807EB66903}"/>
                </c:ext>
              </c:extLst>
            </c:dLbl>
            <c:dLbl>
              <c:idx val="133"/>
              <c:tx>
                <c:rich>
                  <a:bodyPr/>
                  <a:lstStyle/>
                  <a:p>
                    <a:fld id="{95FA47D3-9E4A-46E9-951E-F676987590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AACE-4026-976F-A1807EB66903}"/>
                </c:ext>
              </c:extLst>
            </c:dLbl>
            <c:dLbl>
              <c:idx val="134"/>
              <c:tx>
                <c:rich>
                  <a:bodyPr/>
                  <a:lstStyle/>
                  <a:p>
                    <a:fld id="{3A5C030F-7699-4ED1-97CF-7CC3ED83E2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AACE-4026-976F-A1807EB66903}"/>
                </c:ext>
              </c:extLst>
            </c:dLbl>
            <c:dLbl>
              <c:idx val="135"/>
              <c:tx>
                <c:rich>
                  <a:bodyPr/>
                  <a:lstStyle/>
                  <a:p>
                    <a:fld id="{75A89597-BF4B-4426-AE74-4CE0B85E5A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AACE-4026-976F-A1807EB66903}"/>
                </c:ext>
              </c:extLst>
            </c:dLbl>
            <c:dLbl>
              <c:idx val="136"/>
              <c:tx>
                <c:rich>
                  <a:bodyPr/>
                  <a:lstStyle/>
                  <a:p>
                    <a:fld id="{8F9FB37A-4C34-4B0C-931A-495621DB75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AACE-4026-976F-A1807EB66903}"/>
                </c:ext>
              </c:extLst>
            </c:dLbl>
            <c:dLbl>
              <c:idx val="137"/>
              <c:tx>
                <c:rich>
                  <a:bodyPr/>
                  <a:lstStyle/>
                  <a:p>
                    <a:fld id="{A4596788-67F8-44DD-B9A7-31ACDAC0DF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AACE-4026-976F-A1807EB66903}"/>
                </c:ext>
              </c:extLst>
            </c:dLbl>
            <c:dLbl>
              <c:idx val="138"/>
              <c:tx>
                <c:rich>
                  <a:bodyPr/>
                  <a:lstStyle/>
                  <a:p>
                    <a:fld id="{91CD6142-2017-4A75-990F-A019732D00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AACE-4026-976F-A1807EB66903}"/>
                </c:ext>
              </c:extLst>
            </c:dLbl>
            <c:dLbl>
              <c:idx val="139"/>
              <c:tx>
                <c:rich>
                  <a:bodyPr/>
                  <a:lstStyle/>
                  <a:p>
                    <a:fld id="{EAC5CDB4-F095-4340-A934-C61990418E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AACE-4026-976F-A1807EB66903}"/>
                </c:ext>
              </c:extLst>
            </c:dLbl>
            <c:dLbl>
              <c:idx val="140"/>
              <c:tx>
                <c:rich>
                  <a:bodyPr/>
                  <a:lstStyle/>
                  <a:p>
                    <a:fld id="{3B4F9595-9053-4D96-8AAD-A2AFE0F761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AACE-4026-976F-A1807EB66903}"/>
                </c:ext>
              </c:extLst>
            </c:dLbl>
            <c:dLbl>
              <c:idx val="141"/>
              <c:tx>
                <c:rich>
                  <a:bodyPr/>
                  <a:lstStyle/>
                  <a:p>
                    <a:fld id="{72FB8804-B5E5-4C74-91C5-3A68208C13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AACE-4026-976F-A1807EB66903}"/>
                </c:ext>
              </c:extLst>
            </c:dLbl>
            <c:dLbl>
              <c:idx val="142"/>
              <c:tx>
                <c:rich>
                  <a:bodyPr/>
                  <a:lstStyle/>
                  <a:p>
                    <a:fld id="{8C4072A7-94F8-4EAA-995E-12365393BE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AACE-4026-976F-A1807EB66903}"/>
                </c:ext>
              </c:extLst>
            </c:dLbl>
            <c:dLbl>
              <c:idx val="143"/>
              <c:tx>
                <c:rich>
                  <a:bodyPr/>
                  <a:lstStyle/>
                  <a:p>
                    <a:fld id="{EC895D63-06B2-4148-B8E2-9B5A7C4C1C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AACE-4026-976F-A1807EB66903}"/>
                </c:ext>
              </c:extLst>
            </c:dLbl>
            <c:dLbl>
              <c:idx val="144"/>
              <c:tx>
                <c:rich>
                  <a:bodyPr/>
                  <a:lstStyle/>
                  <a:p>
                    <a:fld id="{7966EE3A-9BEF-4538-A8B4-312F7BF4B7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AACE-4026-976F-A1807EB66903}"/>
                </c:ext>
              </c:extLst>
            </c:dLbl>
            <c:dLbl>
              <c:idx val="145"/>
              <c:tx>
                <c:rich>
                  <a:bodyPr/>
                  <a:lstStyle/>
                  <a:p>
                    <a:fld id="{D4D57702-45CC-47FC-A29B-E2FB70F76B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AACE-4026-976F-A1807EB66903}"/>
                </c:ext>
              </c:extLst>
            </c:dLbl>
            <c:dLbl>
              <c:idx val="146"/>
              <c:tx>
                <c:rich>
                  <a:bodyPr/>
                  <a:lstStyle/>
                  <a:p>
                    <a:fld id="{6D3EFF76-8C20-45E0-9C86-65E5EB2328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AACE-4026-976F-A1807EB66903}"/>
                </c:ext>
              </c:extLst>
            </c:dLbl>
            <c:dLbl>
              <c:idx val="147"/>
              <c:tx>
                <c:rich>
                  <a:bodyPr/>
                  <a:lstStyle/>
                  <a:p>
                    <a:fld id="{0EC4352C-BEC2-422D-A90F-C75700E975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AACE-4026-976F-A1807EB66903}"/>
                </c:ext>
              </c:extLst>
            </c:dLbl>
            <c:dLbl>
              <c:idx val="148"/>
              <c:tx>
                <c:rich>
                  <a:bodyPr/>
                  <a:lstStyle/>
                  <a:p>
                    <a:fld id="{EF49C7C3-979D-4A19-9072-CFC619118A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AACE-4026-976F-A1807EB66903}"/>
                </c:ext>
              </c:extLst>
            </c:dLbl>
            <c:dLbl>
              <c:idx val="149"/>
              <c:tx>
                <c:rich>
                  <a:bodyPr/>
                  <a:lstStyle/>
                  <a:p>
                    <a:fld id="{98404EDA-192D-4497-BFEA-F6679252B3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AACE-4026-976F-A1807EB66903}"/>
                </c:ext>
              </c:extLst>
            </c:dLbl>
            <c:dLbl>
              <c:idx val="150"/>
              <c:tx>
                <c:rich>
                  <a:bodyPr/>
                  <a:lstStyle/>
                  <a:p>
                    <a:fld id="{FEB19B5B-4560-4E5D-9A88-DAF45EB211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AACE-4026-976F-A1807EB66903}"/>
                </c:ext>
              </c:extLst>
            </c:dLbl>
            <c:dLbl>
              <c:idx val="151"/>
              <c:tx>
                <c:rich>
                  <a:bodyPr/>
                  <a:lstStyle/>
                  <a:p>
                    <a:fld id="{E51C479A-1540-4FE0-8FDF-C644F33547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AACE-4026-976F-A1807EB66903}"/>
                </c:ext>
              </c:extLst>
            </c:dLbl>
            <c:dLbl>
              <c:idx val="152"/>
              <c:tx>
                <c:rich>
                  <a:bodyPr/>
                  <a:lstStyle/>
                  <a:p>
                    <a:fld id="{007787C0-A297-46DE-B3FC-BAF1896683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AACE-4026-976F-A1807EB66903}"/>
                </c:ext>
              </c:extLst>
            </c:dLbl>
            <c:dLbl>
              <c:idx val="153"/>
              <c:tx>
                <c:rich>
                  <a:bodyPr/>
                  <a:lstStyle/>
                  <a:p>
                    <a:fld id="{5C0EE11E-B9E4-4E88-AD09-6336D441A1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AACE-4026-976F-A1807EB66903}"/>
                </c:ext>
              </c:extLst>
            </c:dLbl>
            <c:dLbl>
              <c:idx val="154"/>
              <c:tx>
                <c:rich>
                  <a:bodyPr/>
                  <a:lstStyle/>
                  <a:p>
                    <a:fld id="{262E2505-8107-467F-8FD9-EB424C864A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AACE-4026-976F-A1807EB66903}"/>
                </c:ext>
              </c:extLst>
            </c:dLbl>
            <c:dLbl>
              <c:idx val="155"/>
              <c:tx>
                <c:rich>
                  <a:bodyPr/>
                  <a:lstStyle/>
                  <a:p>
                    <a:fld id="{96A75779-91A8-4174-B4CE-77860E2A20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AACE-4026-976F-A1807EB66903}"/>
                </c:ext>
              </c:extLst>
            </c:dLbl>
            <c:dLbl>
              <c:idx val="156"/>
              <c:tx>
                <c:rich>
                  <a:bodyPr/>
                  <a:lstStyle/>
                  <a:p>
                    <a:fld id="{90A61BF9-8AF9-465F-88DC-A7770E1CA4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AACE-4026-976F-A1807EB66903}"/>
                </c:ext>
              </c:extLst>
            </c:dLbl>
            <c:dLbl>
              <c:idx val="157"/>
              <c:tx>
                <c:rich>
                  <a:bodyPr/>
                  <a:lstStyle/>
                  <a:p>
                    <a:fld id="{AB8333A7-BB3B-4D1D-B920-F63976A1DD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AACE-4026-976F-A1807EB66903}"/>
                </c:ext>
              </c:extLst>
            </c:dLbl>
            <c:dLbl>
              <c:idx val="158"/>
              <c:tx>
                <c:rich>
                  <a:bodyPr/>
                  <a:lstStyle/>
                  <a:p>
                    <a:fld id="{58ED3856-E1EF-4506-83D2-2562C920D1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AACE-4026-976F-A1807EB66903}"/>
                </c:ext>
              </c:extLst>
            </c:dLbl>
            <c:dLbl>
              <c:idx val="159"/>
              <c:tx>
                <c:rich>
                  <a:bodyPr/>
                  <a:lstStyle/>
                  <a:p>
                    <a:fld id="{E4BB2DCB-5335-47D0-B00D-2C23383FA7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AACE-4026-976F-A1807EB66903}"/>
                </c:ext>
              </c:extLst>
            </c:dLbl>
            <c:dLbl>
              <c:idx val="160"/>
              <c:tx>
                <c:rich>
                  <a:bodyPr/>
                  <a:lstStyle/>
                  <a:p>
                    <a:fld id="{4ACBCF3A-6AA9-426C-A013-15591B6FF2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AACE-4026-976F-A1807EB66903}"/>
                </c:ext>
              </c:extLst>
            </c:dLbl>
            <c:dLbl>
              <c:idx val="161"/>
              <c:tx>
                <c:rich>
                  <a:bodyPr/>
                  <a:lstStyle/>
                  <a:p>
                    <a:fld id="{5CEAE7D0-CC44-4CC1-B0F2-A8E9987E9E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AACE-4026-976F-A1807EB66903}"/>
                </c:ext>
              </c:extLst>
            </c:dLbl>
            <c:dLbl>
              <c:idx val="162"/>
              <c:tx>
                <c:rich>
                  <a:bodyPr/>
                  <a:lstStyle/>
                  <a:p>
                    <a:fld id="{3B798F08-81EC-4C8A-92C8-FDCAEAA6B0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AACE-4026-976F-A1807EB66903}"/>
                </c:ext>
              </c:extLst>
            </c:dLbl>
            <c:dLbl>
              <c:idx val="163"/>
              <c:tx>
                <c:rich>
                  <a:bodyPr/>
                  <a:lstStyle/>
                  <a:p>
                    <a:fld id="{AA9FBCB1-DA94-4F90-A9F0-2B6E3721FF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AACE-4026-976F-A1807EB66903}"/>
                </c:ext>
              </c:extLst>
            </c:dLbl>
            <c:dLbl>
              <c:idx val="164"/>
              <c:tx>
                <c:rich>
                  <a:bodyPr/>
                  <a:lstStyle/>
                  <a:p>
                    <a:fld id="{7876BEE1-492C-4EEE-ACBD-5CD7A93626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AACE-4026-976F-A1807EB66903}"/>
                </c:ext>
              </c:extLst>
            </c:dLbl>
            <c:dLbl>
              <c:idx val="165"/>
              <c:tx>
                <c:rich>
                  <a:bodyPr/>
                  <a:lstStyle/>
                  <a:p>
                    <a:fld id="{EB0BBDCD-3EA9-4715-BAAA-CF632545AB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AACE-4026-976F-A1807EB66903}"/>
                </c:ext>
              </c:extLst>
            </c:dLbl>
            <c:dLbl>
              <c:idx val="166"/>
              <c:tx>
                <c:rich>
                  <a:bodyPr/>
                  <a:lstStyle/>
                  <a:p>
                    <a:fld id="{3DD1C3E0-4E33-4730-8E14-F622792DA4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AACE-4026-976F-A1807EB66903}"/>
                </c:ext>
              </c:extLst>
            </c:dLbl>
            <c:dLbl>
              <c:idx val="167"/>
              <c:tx>
                <c:rich>
                  <a:bodyPr/>
                  <a:lstStyle/>
                  <a:p>
                    <a:fld id="{EFCBAA30-F594-47CA-9B39-754267B6E4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AACE-4026-976F-A1807EB66903}"/>
                </c:ext>
              </c:extLst>
            </c:dLbl>
            <c:dLbl>
              <c:idx val="168"/>
              <c:tx>
                <c:rich>
                  <a:bodyPr/>
                  <a:lstStyle/>
                  <a:p>
                    <a:fld id="{B618B65D-458A-40B2-8976-D85A96383B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AACE-4026-976F-A1807EB66903}"/>
                </c:ext>
              </c:extLst>
            </c:dLbl>
            <c:dLbl>
              <c:idx val="169"/>
              <c:tx>
                <c:rich>
                  <a:bodyPr/>
                  <a:lstStyle/>
                  <a:p>
                    <a:fld id="{A39B4625-E5B7-40DF-B308-1EC7A1C102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AACE-4026-976F-A1807EB66903}"/>
                </c:ext>
              </c:extLst>
            </c:dLbl>
            <c:dLbl>
              <c:idx val="170"/>
              <c:tx>
                <c:rich>
                  <a:bodyPr/>
                  <a:lstStyle/>
                  <a:p>
                    <a:fld id="{CBE84F29-2F0E-4CC8-B7A7-4A4BA38427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AACE-4026-976F-A1807EB66903}"/>
                </c:ext>
              </c:extLst>
            </c:dLbl>
            <c:dLbl>
              <c:idx val="171"/>
              <c:tx>
                <c:rich>
                  <a:bodyPr/>
                  <a:lstStyle/>
                  <a:p>
                    <a:fld id="{9DA7933F-58E5-4E39-9DC6-7F0183FB72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AACE-4026-976F-A1807EB66903}"/>
                </c:ext>
              </c:extLst>
            </c:dLbl>
            <c:dLbl>
              <c:idx val="172"/>
              <c:tx>
                <c:rich>
                  <a:bodyPr/>
                  <a:lstStyle/>
                  <a:p>
                    <a:fld id="{D31B3ED6-D8E9-4EE9-96DD-15A7754651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AACE-4026-976F-A1807EB66903}"/>
                </c:ext>
              </c:extLst>
            </c:dLbl>
            <c:dLbl>
              <c:idx val="173"/>
              <c:tx>
                <c:rich>
                  <a:bodyPr/>
                  <a:lstStyle/>
                  <a:p>
                    <a:fld id="{34B43C46-1511-41A3-93DC-7C2110E44D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AACE-4026-976F-A1807EB66903}"/>
                </c:ext>
              </c:extLst>
            </c:dLbl>
            <c:dLbl>
              <c:idx val="174"/>
              <c:tx>
                <c:rich>
                  <a:bodyPr/>
                  <a:lstStyle/>
                  <a:p>
                    <a:fld id="{44330931-45D6-4ADB-84DE-EA435FFA57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AACE-4026-976F-A1807EB66903}"/>
                </c:ext>
              </c:extLst>
            </c:dLbl>
            <c:dLbl>
              <c:idx val="175"/>
              <c:tx>
                <c:rich>
                  <a:bodyPr/>
                  <a:lstStyle/>
                  <a:p>
                    <a:fld id="{2B2E65B9-6476-49C5-BE5B-90FB74F4CC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AACE-4026-976F-A1807EB66903}"/>
                </c:ext>
              </c:extLst>
            </c:dLbl>
            <c:dLbl>
              <c:idx val="176"/>
              <c:tx>
                <c:rich>
                  <a:bodyPr/>
                  <a:lstStyle/>
                  <a:p>
                    <a:fld id="{9CE4B6E8-A22E-4613-8767-CB7068A8F4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AACE-4026-976F-A1807EB66903}"/>
                </c:ext>
              </c:extLst>
            </c:dLbl>
            <c:dLbl>
              <c:idx val="177"/>
              <c:tx>
                <c:rich>
                  <a:bodyPr/>
                  <a:lstStyle/>
                  <a:p>
                    <a:fld id="{586E9CEA-F179-42E1-9BB1-7A3922A13E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AACE-4026-976F-A1807EB66903}"/>
                </c:ext>
              </c:extLst>
            </c:dLbl>
            <c:dLbl>
              <c:idx val="178"/>
              <c:tx>
                <c:rich>
                  <a:bodyPr/>
                  <a:lstStyle/>
                  <a:p>
                    <a:fld id="{AEF14375-F402-44B8-9918-D6D9B4CCA1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AACE-4026-976F-A1807EB66903}"/>
                </c:ext>
              </c:extLst>
            </c:dLbl>
            <c:dLbl>
              <c:idx val="179"/>
              <c:tx>
                <c:rich>
                  <a:bodyPr/>
                  <a:lstStyle/>
                  <a:p>
                    <a:fld id="{FBC06A45-A16F-467F-9636-37E23800B7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AACE-4026-976F-A1807EB66903}"/>
                </c:ext>
              </c:extLst>
            </c:dLbl>
            <c:dLbl>
              <c:idx val="180"/>
              <c:tx>
                <c:rich>
                  <a:bodyPr/>
                  <a:lstStyle/>
                  <a:p>
                    <a:fld id="{FF740101-1A01-4B25-B00F-7A21013E83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AACE-4026-976F-A1807EB66903}"/>
                </c:ext>
              </c:extLst>
            </c:dLbl>
            <c:dLbl>
              <c:idx val="181"/>
              <c:tx>
                <c:rich>
                  <a:bodyPr/>
                  <a:lstStyle/>
                  <a:p>
                    <a:fld id="{61AE5CB4-8989-4BA9-A7FF-DB5D060E39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AACE-4026-976F-A1807EB66903}"/>
                </c:ext>
              </c:extLst>
            </c:dLbl>
            <c:dLbl>
              <c:idx val="182"/>
              <c:tx>
                <c:rich>
                  <a:bodyPr/>
                  <a:lstStyle/>
                  <a:p>
                    <a:fld id="{AEA629D6-7364-43E9-B789-AA1B91F6A8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AACE-4026-976F-A1807EB66903}"/>
                </c:ext>
              </c:extLst>
            </c:dLbl>
            <c:dLbl>
              <c:idx val="183"/>
              <c:tx>
                <c:rich>
                  <a:bodyPr/>
                  <a:lstStyle/>
                  <a:p>
                    <a:fld id="{B4FC83AF-846B-4381-8746-A43146B54C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AACE-4026-976F-A1807EB66903}"/>
                </c:ext>
              </c:extLst>
            </c:dLbl>
            <c:dLbl>
              <c:idx val="184"/>
              <c:tx>
                <c:rich>
                  <a:bodyPr/>
                  <a:lstStyle/>
                  <a:p>
                    <a:fld id="{0FCEE37C-C922-4B9D-AD25-D497F6607F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AACE-4026-976F-A1807EB66903}"/>
                </c:ext>
              </c:extLst>
            </c:dLbl>
            <c:dLbl>
              <c:idx val="185"/>
              <c:tx>
                <c:rich>
                  <a:bodyPr/>
                  <a:lstStyle/>
                  <a:p>
                    <a:fld id="{B89436E9-1C9F-425B-A8EB-093944705A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AACE-4026-976F-A1807EB66903}"/>
                </c:ext>
              </c:extLst>
            </c:dLbl>
            <c:dLbl>
              <c:idx val="186"/>
              <c:tx>
                <c:rich>
                  <a:bodyPr/>
                  <a:lstStyle/>
                  <a:p>
                    <a:fld id="{26DED977-7F7F-4EBA-88BE-F747662146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AACE-4026-976F-A1807EB66903}"/>
                </c:ext>
              </c:extLst>
            </c:dLbl>
            <c:dLbl>
              <c:idx val="187"/>
              <c:tx>
                <c:rich>
                  <a:bodyPr/>
                  <a:lstStyle/>
                  <a:p>
                    <a:fld id="{DC9E3ADA-87FC-4348-8842-07FF627382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AACE-4026-976F-A1807EB66903}"/>
                </c:ext>
              </c:extLst>
            </c:dLbl>
            <c:dLbl>
              <c:idx val="188"/>
              <c:tx>
                <c:rich>
                  <a:bodyPr/>
                  <a:lstStyle/>
                  <a:p>
                    <a:fld id="{8DAC91AB-4625-495C-8DE0-8F50EFD5AE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AACE-4026-976F-A1807EB66903}"/>
                </c:ext>
              </c:extLst>
            </c:dLbl>
            <c:dLbl>
              <c:idx val="189"/>
              <c:tx>
                <c:rich>
                  <a:bodyPr/>
                  <a:lstStyle/>
                  <a:p>
                    <a:fld id="{8552174E-39A9-4257-8C2A-FFE5DE2B24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AACE-4026-976F-A1807EB66903}"/>
                </c:ext>
              </c:extLst>
            </c:dLbl>
            <c:dLbl>
              <c:idx val="190"/>
              <c:tx>
                <c:rich>
                  <a:bodyPr/>
                  <a:lstStyle/>
                  <a:p>
                    <a:fld id="{C0253702-C145-4E2E-91E5-29B8A7A070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AACE-4026-976F-A1807EB66903}"/>
                </c:ext>
              </c:extLst>
            </c:dLbl>
            <c:dLbl>
              <c:idx val="191"/>
              <c:tx>
                <c:rich>
                  <a:bodyPr/>
                  <a:lstStyle/>
                  <a:p>
                    <a:fld id="{891D466F-142C-478B-AD22-C1C7DB9C94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AACE-4026-976F-A1807EB66903}"/>
                </c:ext>
              </c:extLst>
            </c:dLbl>
            <c:dLbl>
              <c:idx val="192"/>
              <c:tx>
                <c:rich>
                  <a:bodyPr/>
                  <a:lstStyle/>
                  <a:p>
                    <a:fld id="{3B482183-EF27-4946-8DAC-4C38D676BF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AACE-4026-976F-A1807EB66903}"/>
                </c:ext>
              </c:extLst>
            </c:dLbl>
            <c:dLbl>
              <c:idx val="193"/>
              <c:tx>
                <c:rich>
                  <a:bodyPr/>
                  <a:lstStyle/>
                  <a:p>
                    <a:fld id="{5FF96BE1-A70F-4485-945D-43852A93D4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AACE-4026-976F-A1807EB66903}"/>
                </c:ext>
              </c:extLst>
            </c:dLbl>
            <c:dLbl>
              <c:idx val="194"/>
              <c:tx>
                <c:rich>
                  <a:bodyPr/>
                  <a:lstStyle/>
                  <a:p>
                    <a:fld id="{1E72D2C0-F79F-45AE-B423-B705137076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AACE-4026-976F-A1807EB66903}"/>
                </c:ext>
              </c:extLst>
            </c:dLbl>
            <c:dLbl>
              <c:idx val="195"/>
              <c:tx>
                <c:rich>
                  <a:bodyPr/>
                  <a:lstStyle/>
                  <a:p>
                    <a:fld id="{141F43F9-47CF-4649-8BB5-34C916BA80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AACE-4026-976F-A1807EB66903}"/>
                </c:ext>
              </c:extLst>
            </c:dLbl>
            <c:dLbl>
              <c:idx val="196"/>
              <c:tx>
                <c:rich>
                  <a:bodyPr/>
                  <a:lstStyle/>
                  <a:p>
                    <a:fld id="{C3A72609-C960-4EA5-A5B8-DFA313224F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AACE-4026-976F-A1807EB66903}"/>
                </c:ext>
              </c:extLst>
            </c:dLbl>
            <c:dLbl>
              <c:idx val="197"/>
              <c:tx>
                <c:rich>
                  <a:bodyPr/>
                  <a:lstStyle/>
                  <a:p>
                    <a:fld id="{F22E867C-2B2D-46A0-9523-B8A213DDB8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AACE-4026-976F-A1807EB66903}"/>
                </c:ext>
              </c:extLst>
            </c:dLbl>
            <c:dLbl>
              <c:idx val="198"/>
              <c:tx>
                <c:rich>
                  <a:bodyPr/>
                  <a:lstStyle/>
                  <a:p>
                    <a:fld id="{2EBB167D-C440-418B-9366-E39B1CCCD8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AACE-4026-976F-A1807EB66903}"/>
                </c:ext>
              </c:extLst>
            </c:dLbl>
            <c:dLbl>
              <c:idx val="199"/>
              <c:tx>
                <c:rich>
                  <a:bodyPr/>
                  <a:lstStyle/>
                  <a:p>
                    <a:fld id="{E825898A-7297-4605-BE82-0518A0A3C1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AACE-4026-976F-A1807EB66903}"/>
                </c:ext>
              </c:extLst>
            </c:dLbl>
            <c:dLbl>
              <c:idx val="200"/>
              <c:tx>
                <c:rich>
                  <a:bodyPr/>
                  <a:lstStyle/>
                  <a:p>
                    <a:fld id="{E1FC21FE-0DC9-4E4C-A718-32A382D2D7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AACE-4026-976F-A1807EB66903}"/>
                </c:ext>
              </c:extLst>
            </c:dLbl>
            <c:dLbl>
              <c:idx val="201"/>
              <c:tx>
                <c:rich>
                  <a:bodyPr/>
                  <a:lstStyle/>
                  <a:p>
                    <a:fld id="{EE3B188E-1498-4953-A366-983FC8C3F7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AACE-4026-976F-A1807EB66903}"/>
                </c:ext>
              </c:extLst>
            </c:dLbl>
            <c:dLbl>
              <c:idx val="202"/>
              <c:tx>
                <c:rich>
                  <a:bodyPr/>
                  <a:lstStyle/>
                  <a:p>
                    <a:fld id="{4C58B9D9-19B8-432B-BC1E-4B4616B4E9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AACE-4026-976F-A1807EB66903}"/>
                </c:ext>
              </c:extLst>
            </c:dLbl>
            <c:dLbl>
              <c:idx val="203"/>
              <c:tx>
                <c:rich>
                  <a:bodyPr/>
                  <a:lstStyle/>
                  <a:p>
                    <a:fld id="{462F7EC6-C17E-4C52-B31B-532703AC61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AACE-4026-976F-A1807EB66903}"/>
                </c:ext>
              </c:extLst>
            </c:dLbl>
            <c:dLbl>
              <c:idx val="204"/>
              <c:tx>
                <c:rich>
                  <a:bodyPr/>
                  <a:lstStyle/>
                  <a:p>
                    <a:fld id="{1390C839-6316-4F41-A02F-1ECC8D9E7E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AACE-4026-976F-A1807EB66903}"/>
                </c:ext>
              </c:extLst>
            </c:dLbl>
            <c:dLbl>
              <c:idx val="205"/>
              <c:tx>
                <c:rich>
                  <a:bodyPr/>
                  <a:lstStyle/>
                  <a:p>
                    <a:fld id="{B94DB710-ED86-4AD4-BD73-01C9647289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AACE-4026-976F-A1807EB66903}"/>
                </c:ext>
              </c:extLst>
            </c:dLbl>
            <c:dLbl>
              <c:idx val="206"/>
              <c:tx>
                <c:rich>
                  <a:bodyPr/>
                  <a:lstStyle/>
                  <a:p>
                    <a:fld id="{505B27C9-4B48-4140-B9A7-263DECA810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AACE-4026-976F-A1807EB66903}"/>
                </c:ext>
              </c:extLst>
            </c:dLbl>
            <c:dLbl>
              <c:idx val="207"/>
              <c:tx>
                <c:rich>
                  <a:bodyPr/>
                  <a:lstStyle/>
                  <a:p>
                    <a:fld id="{4A637DB0-08E2-446B-B3DC-75A38D4E02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AACE-4026-976F-A1807EB66903}"/>
                </c:ext>
              </c:extLst>
            </c:dLbl>
            <c:dLbl>
              <c:idx val="208"/>
              <c:tx>
                <c:rich>
                  <a:bodyPr/>
                  <a:lstStyle/>
                  <a:p>
                    <a:fld id="{7956E2FD-D34C-4383-9F17-DDD6B5E9A8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AACE-4026-976F-A1807EB66903}"/>
                </c:ext>
              </c:extLst>
            </c:dLbl>
            <c:dLbl>
              <c:idx val="209"/>
              <c:tx>
                <c:rich>
                  <a:bodyPr/>
                  <a:lstStyle/>
                  <a:p>
                    <a:fld id="{B753D528-B0AC-4B43-879A-29E02BC9E0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AACE-4026-976F-A1807EB66903}"/>
                </c:ext>
              </c:extLst>
            </c:dLbl>
            <c:dLbl>
              <c:idx val="210"/>
              <c:tx>
                <c:rich>
                  <a:bodyPr/>
                  <a:lstStyle/>
                  <a:p>
                    <a:fld id="{549C9822-5015-4885-B6F2-F21B0206E5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AACE-4026-976F-A1807EB66903}"/>
                </c:ext>
              </c:extLst>
            </c:dLbl>
            <c:dLbl>
              <c:idx val="211"/>
              <c:tx>
                <c:rich>
                  <a:bodyPr/>
                  <a:lstStyle/>
                  <a:p>
                    <a:fld id="{0E6B607A-26A8-4321-85CE-1D5AA7EF0D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AACE-4026-976F-A1807EB66903}"/>
                </c:ext>
              </c:extLst>
            </c:dLbl>
            <c:dLbl>
              <c:idx val="212"/>
              <c:tx>
                <c:rich>
                  <a:bodyPr/>
                  <a:lstStyle/>
                  <a:p>
                    <a:fld id="{81FC5C61-C447-4A37-979A-6A1E15B5CC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AACE-4026-976F-A1807EB66903}"/>
                </c:ext>
              </c:extLst>
            </c:dLbl>
            <c:dLbl>
              <c:idx val="213"/>
              <c:tx>
                <c:rich>
                  <a:bodyPr/>
                  <a:lstStyle/>
                  <a:p>
                    <a:fld id="{6FCD7A23-85A8-4360-AB27-27882FFE41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AACE-4026-976F-A1807EB66903}"/>
                </c:ext>
              </c:extLst>
            </c:dLbl>
            <c:dLbl>
              <c:idx val="214"/>
              <c:tx>
                <c:rich>
                  <a:bodyPr/>
                  <a:lstStyle/>
                  <a:p>
                    <a:fld id="{C7108758-13CB-4F58-B8A4-9367DC3DAD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AACE-4026-976F-A1807EB66903}"/>
                </c:ext>
              </c:extLst>
            </c:dLbl>
            <c:dLbl>
              <c:idx val="215"/>
              <c:tx>
                <c:rich>
                  <a:bodyPr/>
                  <a:lstStyle/>
                  <a:p>
                    <a:fld id="{7C666B0F-8B4D-462F-A5E2-BF25A41F3A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AACE-4026-976F-A1807EB66903}"/>
                </c:ext>
              </c:extLst>
            </c:dLbl>
            <c:dLbl>
              <c:idx val="216"/>
              <c:tx>
                <c:rich>
                  <a:bodyPr/>
                  <a:lstStyle/>
                  <a:p>
                    <a:fld id="{B8E96320-3487-4427-A998-E6BDE3F34B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AACE-4026-976F-A1807EB66903}"/>
                </c:ext>
              </c:extLst>
            </c:dLbl>
            <c:dLbl>
              <c:idx val="217"/>
              <c:tx>
                <c:rich>
                  <a:bodyPr/>
                  <a:lstStyle/>
                  <a:p>
                    <a:fld id="{B0925CB8-D1C4-4741-9145-C7C0908337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AACE-4026-976F-A1807EB66903}"/>
                </c:ext>
              </c:extLst>
            </c:dLbl>
            <c:dLbl>
              <c:idx val="218"/>
              <c:tx>
                <c:rich>
                  <a:bodyPr/>
                  <a:lstStyle/>
                  <a:p>
                    <a:fld id="{16182AF4-3DE3-490C-B23F-14E288B8BF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AACE-4026-976F-A1807EB66903}"/>
                </c:ext>
              </c:extLst>
            </c:dLbl>
            <c:dLbl>
              <c:idx val="219"/>
              <c:tx>
                <c:rich>
                  <a:bodyPr/>
                  <a:lstStyle/>
                  <a:p>
                    <a:fld id="{06AD53E6-4DD3-4E29-8186-C1C13AEEFD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AACE-4026-976F-A1807EB66903}"/>
                </c:ext>
              </c:extLst>
            </c:dLbl>
            <c:dLbl>
              <c:idx val="220"/>
              <c:tx>
                <c:rich>
                  <a:bodyPr/>
                  <a:lstStyle/>
                  <a:p>
                    <a:fld id="{FF9A6DC1-3DC5-405A-92A1-FA682DA402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AACE-4026-976F-A1807EB66903}"/>
                </c:ext>
              </c:extLst>
            </c:dLbl>
            <c:dLbl>
              <c:idx val="221"/>
              <c:tx>
                <c:rich>
                  <a:bodyPr/>
                  <a:lstStyle/>
                  <a:p>
                    <a:fld id="{3CF68D4F-1335-4CC8-8AC3-C1D9C757A1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AACE-4026-976F-A1807EB66903}"/>
                </c:ext>
              </c:extLst>
            </c:dLbl>
            <c:dLbl>
              <c:idx val="222"/>
              <c:tx>
                <c:rich>
                  <a:bodyPr/>
                  <a:lstStyle/>
                  <a:p>
                    <a:fld id="{E942612F-0E4F-4A83-B7D8-E5DE88CBD6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AACE-4026-976F-A1807EB66903}"/>
                </c:ext>
              </c:extLst>
            </c:dLbl>
            <c:dLbl>
              <c:idx val="223"/>
              <c:tx>
                <c:rich>
                  <a:bodyPr/>
                  <a:lstStyle/>
                  <a:p>
                    <a:fld id="{A2A6EF47-4C5B-4EFC-8212-E85D64E26D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AACE-4026-976F-A1807EB66903}"/>
                </c:ext>
              </c:extLst>
            </c:dLbl>
            <c:dLbl>
              <c:idx val="224"/>
              <c:tx>
                <c:rich>
                  <a:bodyPr/>
                  <a:lstStyle/>
                  <a:p>
                    <a:fld id="{99A95517-1B90-4094-ADBB-48BBE081F8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AACE-4026-976F-A1807EB66903}"/>
                </c:ext>
              </c:extLst>
            </c:dLbl>
            <c:dLbl>
              <c:idx val="225"/>
              <c:tx>
                <c:rich>
                  <a:bodyPr/>
                  <a:lstStyle/>
                  <a:p>
                    <a:fld id="{1ACC9FAA-F1F2-40CA-A583-75DECBE29E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AACE-4026-976F-A1807EB66903}"/>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AACE-4026-976F-A1807EB66903}"/>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AACE-4026-976F-A1807EB66903}"/>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AACE-4026-976F-A1807EB66903}"/>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AACE-4026-976F-A1807EB66903}"/>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AACE-4026-976F-A1807EB66903}"/>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AACE-4026-976F-A1807EB66903}"/>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AACE-4026-976F-A1807EB66903}"/>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AACE-4026-976F-A1807EB66903}"/>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AACE-4026-976F-A1807EB66903}"/>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AACE-4026-976F-A1807EB66903}"/>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AACE-4026-976F-A1807EB66903}"/>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AACE-4026-976F-A1807EB66903}"/>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AACE-4026-976F-A1807EB66903}"/>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AACE-4026-976F-A1807EB66903}"/>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AACE-4026-976F-A1807EB66903}"/>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AACE-4026-976F-A1807EB66903}"/>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AACE-4026-976F-A1807EB66903}"/>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AACE-4026-976F-A1807EB66903}"/>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AACE-4026-976F-A1807EB66903}"/>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AACE-4026-976F-A1807EB66903}"/>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AACE-4026-976F-A1807EB66903}"/>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AACE-4026-976F-A1807EB66903}"/>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AACE-4026-976F-A1807EB66903}"/>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AACE-4026-976F-A1807EB66903}"/>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AACE-4026-976F-A1807EB66903}"/>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AACE-4026-976F-A1807EB66903}"/>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AACE-4026-976F-A1807EB66903}"/>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AACE-4026-976F-A1807EB66903}"/>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AACE-4026-976F-A1807EB66903}"/>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AACE-4026-976F-A1807EB66903}"/>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AACE-4026-976F-A1807EB66903}"/>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AACE-4026-976F-A1807EB66903}"/>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AACE-4026-976F-A1807EB66903}"/>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AACE-4026-976F-A1807EB66903}"/>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AACE-4026-976F-A1807EB66903}"/>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AACE-4026-976F-A1807EB66903}"/>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AACE-4026-976F-A1807EB66903}"/>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AACE-4026-976F-A1807EB66903}"/>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AACE-4026-976F-A1807EB66903}"/>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AACE-4026-976F-A1807EB66903}"/>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AACE-4026-976F-A1807EB66903}"/>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AACE-4026-976F-A1807EB66903}"/>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AACE-4026-976F-A1807EB66903}"/>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AACE-4026-976F-A1807EB66903}"/>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AACE-4026-976F-A1807EB66903}"/>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AACE-4026-976F-A1807EB66903}"/>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AACE-4026-976F-A1807EB66903}"/>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AACE-4026-976F-A1807EB66903}"/>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AACE-4026-976F-A1807EB66903}"/>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AACE-4026-976F-A1807EB66903}"/>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AACE-4026-976F-A1807EB66903}"/>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AACE-4026-976F-A1807EB66903}"/>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AACE-4026-976F-A1807EB66903}"/>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AACE-4026-976F-A1807EB66903}"/>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AACE-4026-976F-A1807EB66903}"/>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AACE-4026-976F-A1807EB66903}"/>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AACE-4026-976F-A1807EB66903}"/>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AACE-4026-976F-A1807EB66903}"/>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AACE-4026-976F-A1807EB66903}"/>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AACE-4026-976F-A1807EB66903}"/>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AACE-4026-976F-A1807EB66903}"/>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AACE-4026-976F-A1807EB66903}"/>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AACE-4026-976F-A1807EB66903}"/>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AACE-4026-976F-A1807EB66903}"/>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AACE-4026-976F-A1807EB66903}"/>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AACE-4026-976F-A1807EB66903}"/>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AACE-4026-976F-A1807EB66903}"/>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AACE-4026-976F-A1807EB66903}"/>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AACE-4026-976F-A1807EB66903}"/>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AACE-4026-976F-A1807EB66903}"/>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AACE-4026-976F-A1807EB66903}"/>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AACE-4026-976F-A1807EB66903}"/>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AACE-4026-976F-A1807EB66903}"/>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NormalisedUVVisData!$J$2:$J$300</c:f>
              <c:numCache>
                <c:formatCode>General</c:formatCode>
                <c:ptCount val="299"/>
                <c:pt idx="0">
                  <c:v>85.706321716308594</c:v>
                </c:pt>
                <c:pt idx="1">
                  <c:v>82.322235107421875</c:v>
                </c:pt>
                <c:pt idx="2">
                  <c:v>83.28570556640625</c:v>
                </c:pt>
                <c:pt idx="3">
                  <c:v>85.857162475585938</c:v>
                </c:pt>
                <c:pt idx="4">
                  <c:v>88.922981262207031</c:v>
                </c:pt>
                <c:pt idx="5">
                  <c:v>91.148361206054688</c:v>
                </c:pt>
                <c:pt idx="6">
                  <c:v>93.065414428710938</c:v>
                </c:pt>
                <c:pt idx="7">
                  <c:v>95.316642761230469</c:v>
                </c:pt>
                <c:pt idx="8">
                  <c:v>97.875717163085938</c:v>
                </c:pt>
                <c:pt idx="9">
                  <c:v>99.769630432128906</c:v>
                </c:pt>
                <c:pt idx="10">
                  <c:v>99.999992370605469</c:v>
                </c:pt>
                <c:pt idx="11">
                  <c:v>99.462799072265625</c:v>
                </c:pt>
                <c:pt idx="12">
                  <c:v>97.926139831542969</c:v>
                </c:pt>
                <c:pt idx="13">
                  <c:v>94.762535095214844</c:v>
                </c:pt>
                <c:pt idx="14">
                  <c:v>90.137451171875</c:v>
                </c:pt>
                <c:pt idx="15">
                  <c:v>85.135696411132813</c:v>
                </c:pt>
                <c:pt idx="16">
                  <c:v>80.506759643554688</c:v>
                </c:pt>
                <c:pt idx="17">
                  <c:v>75.618690490722656</c:v>
                </c:pt>
                <c:pt idx="18">
                  <c:v>71.046127319335938</c:v>
                </c:pt>
                <c:pt idx="19">
                  <c:v>66.003562927246094</c:v>
                </c:pt>
                <c:pt idx="20">
                  <c:v>60.251853942871094</c:v>
                </c:pt>
                <c:pt idx="21">
                  <c:v>54.003753662109375</c:v>
                </c:pt>
                <c:pt idx="22">
                  <c:v>47.595542907714844</c:v>
                </c:pt>
                <c:pt idx="23">
                  <c:v>41.832935333251953</c:v>
                </c:pt>
                <c:pt idx="24">
                  <c:v>37.20758056640625</c:v>
                </c:pt>
                <c:pt idx="25">
                  <c:v>34.155704498291016</c:v>
                </c:pt>
                <c:pt idx="26">
                  <c:v>32.442481994628906</c:v>
                </c:pt>
                <c:pt idx="27">
                  <c:v>31.391443252563477</c:v>
                </c:pt>
                <c:pt idx="28">
                  <c:v>31.142202377319336</c:v>
                </c:pt>
                <c:pt idx="29">
                  <c:v>31.143421173095703</c:v>
                </c:pt>
                <c:pt idx="30">
                  <c:v>31.164939880371094</c:v>
                </c:pt>
                <c:pt idx="31">
                  <c:v>31.645490646362305</c:v>
                </c:pt>
                <c:pt idx="32">
                  <c:v>32.846424102783203</c:v>
                </c:pt>
                <c:pt idx="33">
                  <c:v>34.149345397949219</c:v>
                </c:pt>
                <c:pt idx="34">
                  <c:v>35.668956756591797</c:v>
                </c:pt>
                <c:pt idx="35">
                  <c:v>37.481254577636719</c:v>
                </c:pt>
                <c:pt idx="36">
                  <c:v>39.019271850585938</c:v>
                </c:pt>
                <c:pt idx="37">
                  <c:v>40.868789672851563</c:v>
                </c:pt>
                <c:pt idx="38">
                  <c:v>42.722572326660156</c:v>
                </c:pt>
                <c:pt idx="39">
                  <c:v>44.729228973388672</c:v>
                </c:pt>
                <c:pt idx="40">
                  <c:v>46.511478424072266</c:v>
                </c:pt>
                <c:pt idx="41">
                  <c:v>48.246292114257813</c:v>
                </c:pt>
                <c:pt idx="42">
                  <c:v>49.475513458251953</c:v>
                </c:pt>
                <c:pt idx="43">
                  <c:v>50.647483825683594</c:v>
                </c:pt>
                <c:pt idx="44">
                  <c:v>51.672264099121094</c:v>
                </c:pt>
                <c:pt idx="45">
                  <c:v>51.029705047607422</c:v>
                </c:pt>
                <c:pt idx="46">
                  <c:v>49.900775909423828</c:v>
                </c:pt>
                <c:pt idx="47">
                  <c:v>49.076580047607422</c:v>
                </c:pt>
                <c:pt idx="48">
                  <c:v>48.138893127441406</c:v>
                </c:pt>
                <c:pt idx="49">
                  <c:v>46.245048522949219</c:v>
                </c:pt>
                <c:pt idx="50">
                  <c:v>44.210170745849609</c:v>
                </c:pt>
                <c:pt idx="51">
                  <c:v>42.207847595214844</c:v>
                </c:pt>
                <c:pt idx="52">
                  <c:v>39.399188995361328</c:v>
                </c:pt>
                <c:pt idx="53">
                  <c:v>36.651779174804688</c:v>
                </c:pt>
                <c:pt idx="54">
                  <c:v>34.029293060302734</c:v>
                </c:pt>
                <c:pt idx="55">
                  <c:v>31.588644027709961</c:v>
                </c:pt>
                <c:pt idx="56">
                  <c:v>29.542263031005859</c:v>
                </c:pt>
                <c:pt idx="57">
                  <c:v>27.250972747802734</c:v>
                </c:pt>
                <c:pt idx="58">
                  <c:v>24.952844619750977</c:v>
                </c:pt>
                <c:pt idx="59">
                  <c:v>22.835880279541016</c:v>
                </c:pt>
                <c:pt idx="60">
                  <c:v>20.357538223266602</c:v>
                </c:pt>
                <c:pt idx="61">
                  <c:v>17.890499114990234</c:v>
                </c:pt>
                <c:pt idx="62">
                  <c:v>16.241767883300781</c:v>
                </c:pt>
                <c:pt idx="63">
                  <c:v>15.700716972351074</c:v>
                </c:pt>
                <c:pt idx="64">
                  <c:v>14.97214412689209</c:v>
                </c:pt>
                <c:pt idx="65">
                  <c:v>13.028017044067383</c:v>
                </c:pt>
                <c:pt idx="66">
                  <c:v>11.553342819213867</c:v>
                </c:pt>
                <c:pt idx="67">
                  <c:v>10.068449020385742</c:v>
                </c:pt>
                <c:pt idx="68">
                  <c:v>8.8612203598022461</c:v>
                </c:pt>
                <c:pt idx="69">
                  <c:v>8.0632810592651367</c:v>
                </c:pt>
                <c:pt idx="70">
                  <c:v>7.1092190742492676</c:v>
                </c:pt>
                <c:pt idx="71">
                  <c:v>6.7197580337524414</c:v>
                </c:pt>
                <c:pt idx="72">
                  <c:v>6.5203237533569336</c:v>
                </c:pt>
                <c:pt idx="73">
                  <c:v>6.688018798828125</c:v>
                </c:pt>
                <c:pt idx="74">
                  <c:v>6.7697687149047852</c:v>
                </c:pt>
                <c:pt idx="75">
                  <c:v>6.7050728797912598</c:v>
                </c:pt>
                <c:pt idx="76">
                  <c:v>6.3543205261230469</c:v>
                </c:pt>
                <c:pt idx="77">
                  <c:v>5.8431820869445801</c:v>
                </c:pt>
                <c:pt idx="78">
                  <c:v>6.1096806526184082</c:v>
                </c:pt>
                <c:pt idx="79">
                  <c:v>6.535888671875</c:v>
                </c:pt>
                <c:pt idx="80">
                  <c:v>6.6290073394775391</c:v>
                </c:pt>
                <c:pt idx="81">
                  <c:v>7.3694238662719727</c:v>
                </c:pt>
                <c:pt idx="82">
                  <c:v>7.1794643402099609</c:v>
                </c:pt>
                <c:pt idx="83">
                  <c:v>6.738368034362793</c:v>
                </c:pt>
                <c:pt idx="84">
                  <c:v>6.8486762046813965</c:v>
                </c:pt>
                <c:pt idx="85">
                  <c:v>7.0895938873291016</c:v>
                </c:pt>
                <c:pt idx="86">
                  <c:v>7.0083856582641602</c:v>
                </c:pt>
                <c:pt idx="87">
                  <c:v>6.6476178169250488</c:v>
                </c:pt>
                <c:pt idx="88">
                  <c:v>7.3287525177001953</c:v>
                </c:pt>
                <c:pt idx="89">
                  <c:v>7.9279341697692871</c:v>
                </c:pt>
                <c:pt idx="90">
                  <c:v>8.0335721969604492</c:v>
                </c:pt>
                <c:pt idx="91">
                  <c:v>7.8070693016052246</c:v>
                </c:pt>
                <c:pt idx="92">
                  <c:v>7.0409364700317383</c:v>
                </c:pt>
                <c:pt idx="93">
                  <c:v>6.9501862525939941</c:v>
                </c:pt>
                <c:pt idx="94">
                  <c:v>6.8389987945556641</c:v>
                </c:pt>
                <c:pt idx="95">
                  <c:v>6.8567290306091309</c:v>
                </c:pt>
                <c:pt idx="96">
                  <c:v>7.3555512428283691</c:v>
                </c:pt>
                <c:pt idx="97">
                  <c:v>6.9068074226379395</c:v>
                </c:pt>
                <c:pt idx="98">
                  <c:v>6.0512104034423828</c:v>
                </c:pt>
                <c:pt idx="99">
                  <c:v>6.1848659515380859</c:v>
                </c:pt>
                <c:pt idx="100">
                  <c:v>6.7351198196411133</c:v>
                </c:pt>
                <c:pt idx="101">
                  <c:v>6.3677201271057129</c:v>
                </c:pt>
                <c:pt idx="102">
                  <c:v>5.5029191970825195</c:v>
                </c:pt>
                <c:pt idx="103">
                  <c:v>6.2809624671936035</c:v>
                </c:pt>
                <c:pt idx="104">
                  <c:v>6.6131043434143066</c:v>
                </c:pt>
                <c:pt idx="105">
                  <c:v>6.1664586067199707</c:v>
                </c:pt>
                <c:pt idx="106">
                  <c:v>6.2932791709899902</c:v>
                </c:pt>
                <c:pt idx="107">
                  <c:v>6.0081024169921875</c:v>
                </c:pt>
                <c:pt idx="108">
                  <c:v>5.8297824859619141</c:v>
                </c:pt>
                <c:pt idx="109">
                  <c:v>6.0042452812194824</c:v>
                </c:pt>
                <c:pt idx="110">
                  <c:v>5.806300163269043</c:v>
                </c:pt>
                <c:pt idx="111">
                  <c:v>6.1929192543029785</c:v>
                </c:pt>
                <c:pt idx="112">
                  <c:v>6.4212498664855957</c:v>
                </c:pt>
                <c:pt idx="113">
                  <c:v>5.989018440246582</c:v>
                </c:pt>
                <c:pt idx="114">
                  <c:v>5.918705940246582</c:v>
                </c:pt>
                <c:pt idx="115">
                  <c:v>6.1489310264587402</c:v>
                </c:pt>
                <c:pt idx="116">
                  <c:v>6.0616321563720703</c:v>
                </c:pt>
                <c:pt idx="117">
                  <c:v>6.1400661468505859</c:v>
                </c:pt>
                <c:pt idx="118">
                  <c:v>6.8954381942749023</c:v>
                </c:pt>
                <c:pt idx="119">
                  <c:v>6.7537298202514648</c:v>
                </c:pt>
                <c:pt idx="120">
                  <c:v>6.3060693740844727</c:v>
                </c:pt>
                <c:pt idx="121">
                  <c:v>6.4437174797058105</c:v>
                </c:pt>
                <c:pt idx="122">
                  <c:v>7.1538839340209961</c:v>
                </c:pt>
                <c:pt idx="123">
                  <c:v>7.187720775604248</c:v>
                </c:pt>
                <c:pt idx="124">
                  <c:v>6.4008798599243164</c:v>
                </c:pt>
                <c:pt idx="125">
                  <c:v>6.3009262084960938</c:v>
                </c:pt>
                <c:pt idx="126">
                  <c:v>6.7016215324401855</c:v>
                </c:pt>
                <c:pt idx="127">
                  <c:v>7.1019105911254883</c:v>
                </c:pt>
                <c:pt idx="128">
                  <c:v>7.1313486099243164</c:v>
                </c:pt>
                <c:pt idx="129">
                  <c:v>6.5624842643737793</c:v>
                </c:pt>
                <c:pt idx="130">
                  <c:v>6.7232093811035156</c:v>
                </c:pt>
                <c:pt idx="131">
                  <c:v>7.2341446876525879</c:v>
                </c:pt>
                <c:pt idx="132">
                  <c:v>7.1766219139099121</c:v>
                </c:pt>
                <c:pt idx="133">
                  <c:v>6.5894861221313477</c:v>
                </c:pt>
                <c:pt idx="134">
                  <c:v>6.7158327102661133</c:v>
                </c:pt>
                <c:pt idx="135">
                  <c:v>7.2208127975463867</c:v>
                </c:pt>
                <c:pt idx="136">
                  <c:v>5.8565139770507813</c:v>
                </c:pt>
                <c:pt idx="137">
                  <c:v>5.4091916084289551</c:v>
                </c:pt>
                <c:pt idx="138">
                  <c:v>6.3713741302490234</c:v>
                </c:pt>
                <c:pt idx="139">
                  <c:v>6.8369007110595703</c:v>
                </c:pt>
                <c:pt idx="140">
                  <c:v>6.7237505912780762</c:v>
                </c:pt>
                <c:pt idx="141">
                  <c:v>7.3535885810852051</c:v>
                </c:pt>
                <c:pt idx="142">
                  <c:v>7.2886896133422852</c:v>
                </c:pt>
                <c:pt idx="143">
                  <c:v>6.9318466186523438</c:v>
                </c:pt>
                <c:pt idx="144">
                  <c:v>6.3723893165588379</c:v>
                </c:pt>
                <c:pt idx="145">
                  <c:v>6.1699099540710449</c:v>
                </c:pt>
                <c:pt idx="146">
                  <c:v>6.0658283233642578</c:v>
                </c:pt>
                <c:pt idx="147">
                  <c:v>7.1601095199584961</c:v>
                </c:pt>
                <c:pt idx="148">
                  <c:v>8.6108283996582031</c:v>
                </c:pt>
                <c:pt idx="149">
                  <c:v>8.1891536712646484</c:v>
                </c:pt>
                <c:pt idx="150">
                  <c:v>6.7716636657714844</c:v>
                </c:pt>
                <c:pt idx="151">
                  <c:v>6.116447925567627</c:v>
                </c:pt>
                <c:pt idx="152">
                  <c:v>5.6696672439575195</c:v>
                </c:pt>
                <c:pt idx="153">
                  <c:v>6.1952877044677734</c:v>
                </c:pt>
                <c:pt idx="154">
                  <c:v>6.2221541404724121</c:v>
                </c:pt>
                <c:pt idx="155">
                  <c:v>5.7763204574584961</c:v>
                </c:pt>
                <c:pt idx="156">
                  <c:v>5.9928760528564453</c:v>
                </c:pt>
                <c:pt idx="157">
                  <c:v>5.9767694473266602</c:v>
                </c:pt>
                <c:pt idx="158">
                  <c:v>6.4126553535461426</c:v>
                </c:pt>
                <c:pt idx="159">
                  <c:v>5.7564244270324707</c:v>
                </c:pt>
                <c:pt idx="160">
                  <c:v>5.2968535423278809</c:v>
                </c:pt>
                <c:pt idx="161">
                  <c:v>6.2814359664916992</c:v>
                </c:pt>
                <c:pt idx="162">
                  <c:v>6.0705652236938477</c:v>
                </c:pt>
                <c:pt idx="163">
                  <c:v>5.875056266784668</c:v>
                </c:pt>
                <c:pt idx="164">
                  <c:v>5.3315019607543945</c:v>
                </c:pt>
                <c:pt idx="165">
                  <c:v>3.8614969253540039</c:v>
                </c:pt>
                <c:pt idx="166">
                  <c:v>4.0601863861083984</c:v>
                </c:pt>
                <c:pt idx="167">
                  <c:v>3.0514442920684814</c:v>
                </c:pt>
                <c:pt idx="168">
                  <c:v>2</c:v>
                </c:pt>
                <c:pt idx="169">
                  <c:v>3.5818018913269043</c:v>
                </c:pt>
                <c:pt idx="170">
                  <c:v>4.1332740783691406</c:v>
                </c:pt>
                <c:pt idx="171">
                  <c:v>4.428736686706543</c:v>
                </c:pt>
                <c:pt idx="172">
                  <c:v>4.2402658462524414</c:v>
                </c:pt>
                <c:pt idx="173">
                  <c:v>3.8483681678771973</c:v>
                </c:pt>
                <c:pt idx="174">
                  <c:v>5.0049095153808594</c:v>
                </c:pt>
                <c:pt idx="175">
                  <c:v>5.4108834266662598</c:v>
                </c:pt>
                <c:pt idx="176">
                  <c:v>3.5662369728088379</c:v>
                </c:pt>
                <c:pt idx="177">
                  <c:v>4.3604540824890137</c:v>
                </c:pt>
                <c:pt idx="178">
                  <c:v>5.4945278167724609</c:v>
                </c:pt>
                <c:pt idx="179">
                  <c:v>3.7552492618560791</c:v>
                </c:pt>
                <c:pt idx="180">
                  <c:v>3.7597157955169678</c:v>
                </c:pt>
                <c:pt idx="181">
                  <c:v>3.742729663848877</c:v>
                </c:pt>
                <c:pt idx="182">
                  <c:v>4.1775999069213867</c:v>
                </c:pt>
                <c:pt idx="183">
                  <c:v>5.2493462562561035</c:v>
                </c:pt>
                <c:pt idx="184">
                  <c:v>3.651911735534668</c:v>
                </c:pt>
                <c:pt idx="185">
                  <c:v>3.1978898048400879</c:v>
                </c:pt>
                <c:pt idx="186">
                  <c:v>4.4225783348083496</c:v>
                </c:pt>
                <c:pt idx="187">
                  <c:v>4.2525148391723633</c:v>
                </c:pt>
                <c:pt idx="188">
                  <c:v>4.528961181640625</c:v>
                </c:pt>
                <c:pt idx="189">
                  <c:v>4.0584945678710938</c:v>
                </c:pt>
                <c:pt idx="190">
                  <c:v>4.0448923110961914</c:v>
                </c:pt>
                <c:pt idx="191">
                  <c:v>4.7106647491455078</c:v>
                </c:pt>
                <c:pt idx="192">
                  <c:v>4.3714170455932617</c:v>
                </c:pt>
                <c:pt idx="193">
                  <c:v>4.507779598236084</c:v>
                </c:pt>
                <c:pt idx="194">
                  <c:v>4.3779816627502441</c:v>
                </c:pt>
                <c:pt idx="195">
                  <c:v>4.5694975852966309</c:v>
                </c:pt>
                <c:pt idx="196">
                  <c:v>5.375760555267334</c:v>
                </c:pt>
                <c:pt idx="197">
                  <c:v>4.8534560203552246</c:v>
                </c:pt>
                <c:pt idx="198">
                  <c:v>5.2257962226867676</c:v>
                </c:pt>
                <c:pt idx="199">
                  <c:v>5.0594544410705566</c:v>
                </c:pt>
                <c:pt idx="200">
                  <c:v>5.5413579940795898</c:v>
                </c:pt>
                <c:pt idx="201">
                  <c:v>5.0576949119567871</c:v>
                </c:pt>
                <c:pt idx="202">
                  <c:v>4.5167121887207031</c:v>
                </c:pt>
                <c:pt idx="203">
                  <c:v>5.0618906021118164</c:v>
                </c:pt>
                <c:pt idx="204">
                  <c:v>5.6444249153137207</c:v>
                </c:pt>
                <c:pt idx="205">
                  <c:v>5.7273249626159668</c:v>
                </c:pt>
                <c:pt idx="206">
                  <c:v>5.8199024200439453</c:v>
                </c:pt>
                <c:pt idx="207">
                  <c:v>6.3953309059143066</c:v>
                </c:pt>
                <c:pt idx="208">
                  <c:v>5.7116246223449707</c:v>
                </c:pt>
                <c:pt idx="209">
                  <c:v>5.7566275596618652</c:v>
                </c:pt>
                <c:pt idx="210">
                  <c:v>5.5622692108154297</c:v>
                </c:pt>
                <c:pt idx="211">
                  <c:v>6.6168937683105469</c:v>
                </c:pt>
                <c:pt idx="212">
                  <c:v>6.8704667091369629</c:v>
                </c:pt>
                <c:pt idx="213">
                  <c:v>6.2935495376586914</c:v>
                </c:pt>
                <c:pt idx="214">
                  <c:v>6.0049896240234375</c:v>
                </c:pt>
                <c:pt idx="215">
                  <c:v>4.8544712066650391</c:v>
                </c:pt>
                <c:pt idx="216">
                  <c:v>4.7191915512084961</c:v>
                </c:pt>
                <c:pt idx="217">
                  <c:v>4.7014613151550293</c:v>
                </c:pt>
                <c:pt idx="218">
                  <c:v>5.7931036949157715</c:v>
                </c:pt>
                <c:pt idx="219">
                  <c:v>8.7874565124511719</c:v>
                </c:pt>
                <c:pt idx="220">
                  <c:v>8.0481224060058594</c:v>
                </c:pt>
                <c:pt idx="221">
                  <c:v>8.0601005554199219</c:v>
                </c:pt>
                <c:pt idx="222">
                  <c:v>6.7901382446289063</c:v>
                </c:pt>
                <c:pt idx="223">
                  <c:v>5.1322712898254395</c:v>
                </c:pt>
                <c:pt idx="224">
                  <c:v>5.564908504486084</c:v>
                </c:pt>
                <c:pt idx="225">
                  <c:v>4.7432160377502441</c:v>
                </c:pt>
              </c:numCache>
            </c:numRef>
          </c:yVal>
          <c:smooth val="1"/>
          <c:extLst>
            <c:ext xmlns:c15="http://schemas.microsoft.com/office/drawing/2012/chart" uri="{02D57815-91ED-43cb-92C2-25804820EDAC}">
              <c15:datalabelsRange>
                <c15:f>PeakLabels!$J$2:$J$300</c15:f>
                <c15:dlblRangeCache>
                  <c:ptCount val="299"/>
                  <c:pt idx="10">
                    <c:v>210</c:v>
                  </c:pt>
                  <c:pt idx="44">
                    <c:v>278</c:v>
                  </c:pt>
                </c15:dlblRangeCache>
              </c15:datalabelsRange>
            </c:ext>
            <c:ext xmlns:c16="http://schemas.microsoft.com/office/drawing/2014/chart" uri="{C3380CC4-5D6E-409C-BE32-E72D297353CC}">
              <c16:uniqueId val="{00000000-E36F-4B31-B42D-D6EAF3D3B578}"/>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7C49453A-FCAB-46AF-A142-60722D2FC47C}"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36F-4B31-B42D-D6EAF3D3B578}"/>
                </c:ext>
              </c:extLst>
            </c:dLbl>
            <c:dLbl>
              <c:idx val="1"/>
              <c:tx>
                <c:rich>
                  <a:bodyPr/>
                  <a:lstStyle/>
                  <a:p>
                    <a:fld id="{8792EFDF-93E5-4355-BB4D-31CF5918840C}"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36F-4B31-B42D-D6EAF3D3B578}"/>
                </c:ext>
              </c:extLst>
            </c:dLbl>
            <c:dLbl>
              <c:idx val="2"/>
              <c:tx>
                <c:rich>
                  <a:bodyPr/>
                  <a:lstStyle/>
                  <a:p>
                    <a:fld id="{8895605A-B5F1-4BB3-B31E-5DA5D995F312}"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E36F-4B31-B42D-D6EAF3D3B578}"/>
                </c:ext>
              </c:extLst>
            </c:dLbl>
            <c:dLbl>
              <c:idx val="3"/>
              <c:tx>
                <c:rich>
                  <a:bodyPr/>
                  <a:lstStyle/>
                  <a:p>
                    <a:fld id="{A9F2949A-BEEB-4EA1-9354-9A4CD97D59C1}"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E36F-4B31-B42D-D6EAF3D3B578}"/>
                </c:ext>
              </c:extLst>
            </c:dLbl>
            <c:dLbl>
              <c:idx val="4"/>
              <c:tx>
                <c:rich>
                  <a:bodyPr/>
                  <a:lstStyle/>
                  <a:p>
                    <a:fld id="{9ABF5554-76EF-4107-AD43-6EACE5215CEC}"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E36F-4B31-B42D-D6EAF3D3B578}"/>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E36F-4B31-B42D-D6EAF3D3B578}"/>
            </c:ext>
          </c:extLst>
        </c:ser>
        <c:dLbls>
          <c:showLegendKey val="0"/>
          <c:showVal val="0"/>
          <c:showCatName val="0"/>
          <c:showSerName val="0"/>
          <c:showPercent val="0"/>
          <c:showBubbleSize val="0"/>
        </c:dLbls>
        <c:axId val="1767900832"/>
        <c:axId val="1767910624"/>
      </c:scatterChart>
      <c:valAx>
        <c:axId val="1767900832"/>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10624"/>
        <c:crossesAt val="0"/>
        <c:crossBetween val="midCat"/>
        <c:majorUnit val="100"/>
      </c:valAx>
      <c:valAx>
        <c:axId val="1767910624"/>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900832"/>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C9EC78E1-008F-46F4-9FC0-A48E414DCA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24C6-4B9F-B6AA-B21B40164252}"/>
                </c:ext>
              </c:extLst>
            </c:dLbl>
            <c:dLbl>
              <c:idx val="1"/>
              <c:tx>
                <c:rich>
                  <a:bodyPr/>
                  <a:lstStyle/>
                  <a:p>
                    <a:fld id="{65421E21-6225-42FD-892B-1E9AD930CF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4C6-4B9F-B6AA-B21B40164252}"/>
                </c:ext>
              </c:extLst>
            </c:dLbl>
            <c:dLbl>
              <c:idx val="2"/>
              <c:tx>
                <c:rich>
                  <a:bodyPr/>
                  <a:lstStyle/>
                  <a:p>
                    <a:fld id="{91173144-143F-4D92-8ED4-47447094C8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4C6-4B9F-B6AA-B21B40164252}"/>
                </c:ext>
              </c:extLst>
            </c:dLbl>
            <c:dLbl>
              <c:idx val="3"/>
              <c:tx>
                <c:rich>
                  <a:bodyPr/>
                  <a:lstStyle/>
                  <a:p>
                    <a:fld id="{CD302DF8-D645-4A83-A979-ED4624ACB6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4C6-4B9F-B6AA-B21B40164252}"/>
                </c:ext>
              </c:extLst>
            </c:dLbl>
            <c:dLbl>
              <c:idx val="4"/>
              <c:tx>
                <c:rich>
                  <a:bodyPr/>
                  <a:lstStyle/>
                  <a:p>
                    <a:fld id="{7AE28B79-9988-48F0-8D00-E2852B4BC1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4C6-4B9F-B6AA-B21B40164252}"/>
                </c:ext>
              </c:extLst>
            </c:dLbl>
            <c:dLbl>
              <c:idx val="5"/>
              <c:tx>
                <c:rich>
                  <a:bodyPr/>
                  <a:lstStyle/>
                  <a:p>
                    <a:fld id="{8E9BF5EA-C373-48B2-8AD6-A20FA44275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4C6-4B9F-B6AA-B21B40164252}"/>
                </c:ext>
              </c:extLst>
            </c:dLbl>
            <c:dLbl>
              <c:idx val="6"/>
              <c:tx>
                <c:rich>
                  <a:bodyPr/>
                  <a:lstStyle/>
                  <a:p>
                    <a:fld id="{66A334E1-E5E8-454D-AF0A-757790A51D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4C6-4B9F-B6AA-B21B40164252}"/>
                </c:ext>
              </c:extLst>
            </c:dLbl>
            <c:dLbl>
              <c:idx val="7"/>
              <c:tx>
                <c:rich>
                  <a:bodyPr/>
                  <a:lstStyle/>
                  <a:p>
                    <a:fld id="{23543616-2032-4191-8A71-7E73CDD262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4C6-4B9F-B6AA-B21B40164252}"/>
                </c:ext>
              </c:extLst>
            </c:dLbl>
            <c:dLbl>
              <c:idx val="8"/>
              <c:tx>
                <c:rich>
                  <a:bodyPr/>
                  <a:lstStyle/>
                  <a:p>
                    <a:fld id="{660F5834-7D99-45A3-85E0-949A100D51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4C6-4B9F-B6AA-B21B40164252}"/>
                </c:ext>
              </c:extLst>
            </c:dLbl>
            <c:dLbl>
              <c:idx val="9"/>
              <c:tx>
                <c:rich>
                  <a:bodyPr/>
                  <a:lstStyle/>
                  <a:p>
                    <a:fld id="{4DF31943-71CC-444E-898E-5CF1C02903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4C6-4B9F-B6AA-B21B40164252}"/>
                </c:ext>
              </c:extLst>
            </c:dLbl>
            <c:dLbl>
              <c:idx val="10"/>
              <c:tx>
                <c:rich>
                  <a:bodyPr/>
                  <a:lstStyle/>
                  <a:p>
                    <a:fld id="{0E670DA2-708F-4216-8AB2-9C63978D64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4C6-4B9F-B6AA-B21B40164252}"/>
                </c:ext>
              </c:extLst>
            </c:dLbl>
            <c:dLbl>
              <c:idx val="11"/>
              <c:tx>
                <c:rich>
                  <a:bodyPr/>
                  <a:lstStyle/>
                  <a:p>
                    <a:fld id="{66B972C3-5F9B-4749-AABC-21EC9E9E2C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4C6-4B9F-B6AA-B21B40164252}"/>
                </c:ext>
              </c:extLst>
            </c:dLbl>
            <c:dLbl>
              <c:idx val="12"/>
              <c:tx>
                <c:rich>
                  <a:bodyPr/>
                  <a:lstStyle/>
                  <a:p>
                    <a:fld id="{5CC37CC0-B970-454A-94F3-AF499F7894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4C6-4B9F-B6AA-B21B40164252}"/>
                </c:ext>
              </c:extLst>
            </c:dLbl>
            <c:dLbl>
              <c:idx val="13"/>
              <c:tx>
                <c:rich>
                  <a:bodyPr/>
                  <a:lstStyle/>
                  <a:p>
                    <a:fld id="{6745D6FE-20D0-4DC7-B74D-4368EDFE82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4C6-4B9F-B6AA-B21B40164252}"/>
                </c:ext>
              </c:extLst>
            </c:dLbl>
            <c:dLbl>
              <c:idx val="14"/>
              <c:tx>
                <c:rich>
                  <a:bodyPr/>
                  <a:lstStyle/>
                  <a:p>
                    <a:fld id="{1E936555-E59C-4252-B8BE-1EF46ED229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24C6-4B9F-B6AA-B21B40164252}"/>
                </c:ext>
              </c:extLst>
            </c:dLbl>
            <c:dLbl>
              <c:idx val="15"/>
              <c:tx>
                <c:rich>
                  <a:bodyPr/>
                  <a:lstStyle/>
                  <a:p>
                    <a:fld id="{856291A4-9590-4083-9ABD-A0ADFF2F0C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4C6-4B9F-B6AA-B21B40164252}"/>
                </c:ext>
              </c:extLst>
            </c:dLbl>
            <c:dLbl>
              <c:idx val="16"/>
              <c:tx>
                <c:rich>
                  <a:bodyPr/>
                  <a:lstStyle/>
                  <a:p>
                    <a:fld id="{B048FCDC-5F32-4703-981D-23B6E28E6B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24C6-4B9F-B6AA-B21B40164252}"/>
                </c:ext>
              </c:extLst>
            </c:dLbl>
            <c:dLbl>
              <c:idx val="17"/>
              <c:tx>
                <c:rich>
                  <a:bodyPr/>
                  <a:lstStyle/>
                  <a:p>
                    <a:fld id="{24C1745D-0B7D-4D9E-8314-2E7140CE9B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4C6-4B9F-B6AA-B21B40164252}"/>
                </c:ext>
              </c:extLst>
            </c:dLbl>
            <c:dLbl>
              <c:idx val="18"/>
              <c:tx>
                <c:rich>
                  <a:bodyPr/>
                  <a:lstStyle/>
                  <a:p>
                    <a:fld id="{E1CD2E45-387F-45FA-9031-F49EDF4117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24C6-4B9F-B6AA-B21B40164252}"/>
                </c:ext>
              </c:extLst>
            </c:dLbl>
            <c:dLbl>
              <c:idx val="19"/>
              <c:tx>
                <c:rich>
                  <a:bodyPr/>
                  <a:lstStyle/>
                  <a:p>
                    <a:fld id="{81653583-25FE-407A-95D9-F443A1FB69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24C6-4B9F-B6AA-B21B40164252}"/>
                </c:ext>
              </c:extLst>
            </c:dLbl>
            <c:dLbl>
              <c:idx val="20"/>
              <c:tx>
                <c:rich>
                  <a:bodyPr/>
                  <a:lstStyle/>
                  <a:p>
                    <a:fld id="{3753C92E-8E4F-43BB-8179-3E11558672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24C6-4B9F-B6AA-B21B40164252}"/>
                </c:ext>
              </c:extLst>
            </c:dLbl>
            <c:dLbl>
              <c:idx val="21"/>
              <c:tx>
                <c:rich>
                  <a:bodyPr/>
                  <a:lstStyle/>
                  <a:p>
                    <a:fld id="{AAC31A80-93A0-4500-8F30-CE8526C663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24C6-4B9F-B6AA-B21B40164252}"/>
                </c:ext>
              </c:extLst>
            </c:dLbl>
            <c:dLbl>
              <c:idx val="22"/>
              <c:tx>
                <c:rich>
                  <a:bodyPr/>
                  <a:lstStyle/>
                  <a:p>
                    <a:fld id="{40968D3B-F5E4-49E4-8676-715A63B961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24C6-4B9F-B6AA-B21B40164252}"/>
                </c:ext>
              </c:extLst>
            </c:dLbl>
            <c:dLbl>
              <c:idx val="23"/>
              <c:tx>
                <c:rich>
                  <a:bodyPr/>
                  <a:lstStyle/>
                  <a:p>
                    <a:fld id="{E7A0B2E8-5BB0-4B50-BE36-4C8C52CEE9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24C6-4B9F-B6AA-B21B40164252}"/>
                </c:ext>
              </c:extLst>
            </c:dLbl>
            <c:dLbl>
              <c:idx val="24"/>
              <c:tx>
                <c:rich>
                  <a:bodyPr/>
                  <a:lstStyle/>
                  <a:p>
                    <a:fld id="{A19EAE90-B7BB-4940-897C-B036E95B4C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24C6-4B9F-B6AA-B21B40164252}"/>
                </c:ext>
              </c:extLst>
            </c:dLbl>
            <c:dLbl>
              <c:idx val="25"/>
              <c:tx>
                <c:rich>
                  <a:bodyPr/>
                  <a:lstStyle/>
                  <a:p>
                    <a:fld id="{FE705B22-8352-458A-A47F-40F9399DF8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24C6-4B9F-B6AA-B21B40164252}"/>
                </c:ext>
              </c:extLst>
            </c:dLbl>
            <c:dLbl>
              <c:idx val="26"/>
              <c:tx>
                <c:rich>
                  <a:bodyPr/>
                  <a:lstStyle/>
                  <a:p>
                    <a:fld id="{D8A4B7D6-0A53-4138-8C75-1A806A96DB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24C6-4B9F-B6AA-B21B40164252}"/>
                </c:ext>
              </c:extLst>
            </c:dLbl>
            <c:dLbl>
              <c:idx val="27"/>
              <c:tx>
                <c:rich>
                  <a:bodyPr/>
                  <a:lstStyle/>
                  <a:p>
                    <a:fld id="{B82351B1-54B0-404E-BC8A-4E26E060A1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24C6-4B9F-B6AA-B21B40164252}"/>
                </c:ext>
              </c:extLst>
            </c:dLbl>
            <c:dLbl>
              <c:idx val="28"/>
              <c:tx>
                <c:rich>
                  <a:bodyPr/>
                  <a:lstStyle/>
                  <a:p>
                    <a:fld id="{A2E104DE-5311-48F0-A234-9C42CD3117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24C6-4B9F-B6AA-B21B40164252}"/>
                </c:ext>
              </c:extLst>
            </c:dLbl>
            <c:dLbl>
              <c:idx val="29"/>
              <c:tx>
                <c:rich>
                  <a:bodyPr/>
                  <a:lstStyle/>
                  <a:p>
                    <a:fld id="{8E29B1C6-451A-4B63-BBDB-17F9C3B278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24C6-4B9F-B6AA-B21B40164252}"/>
                </c:ext>
              </c:extLst>
            </c:dLbl>
            <c:dLbl>
              <c:idx val="30"/>
              <c:tx>
                <c:rich>
                  <a:bodyPr/>
                  <a:lstStyle/>
                  <a:p>
                    <a:fld id="{B8363CAF-A063-4A28-AA75-B48D733E60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24C6-4B9F-B6AA-B21B40164252}"/>
                </c:ext>
              </c:extLst>
            </c:dLbl>
            <c:dLbl>
              <c:idx val="31"/>
              <c:tx>
                <c:rich>
                  <a:bodyPr/>
                  <a:lstStyle/>
                  <a:p>
                    <a:fld id="{694DA911-6005-41D0-86C4-9D12E3CD57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24C6-4B9F-B6AA-B21B40164252}"/>
                </c:ext>
              </c:extLst>
            </c:dLbl>
            <c:dLbl>
              <c:idx val="32"/>
              <c:tx>
                <c:rich>
                  <a:bodyPr/>
                  <a:lstStyle/>
                  <a:p>
                    <a:fld id="{3612D255-9D05-4B4F-A049-CB3B872BDB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24C6-4B9F-B6AA-B21B40164252}"/>
                </c:ext>
              </c:extLst>
            </c:dLbl>
            <c:dLbl>
              <c:idx val="33"/>
              <c:tx>
                <c:rich>
                  <a:bodyPr/>
                  <a:lstStyle/>
                  <a:p>
                    <a:fld id="{6CFC0031-09D7-4A6E-AD98-61103BB539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24C6-4B9F-B6AA-B21B40164252}"/>
                </c:ext>
              </c:extLst>
            </c:dLbl>
            <c:dLbl>
              <c:idx val="34"/>
              <c:tx>
                <c:rich>
                  <a:bodyPr/>
                  <a:lstStyle/>
                  <a:p>
                    <a:fld id="{1C9BE64E-CE80-4663-ACE4-82DC380739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24C6-4B9F-B6AA-B21B40164252}"/>
                </c:ext>
              </c:extLst>
            </c:dLbl>
            <c:dLbl>
              <c:idx val="35"/>
              <c:tx>
                <c:rich>
                  <a:bodyPr/>
                  <a:lstStyle/>
                  <a:p>
                    <a:fld id="{27663521-64E5-4D65-9670-5A9AED5F8A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24C6-4B9F-B6AA-B21B40164252}"/>
                </c:ext>
              </c:extLst>
            </c:dLbl>
            <c:dLbl>
              <c:idx val="36"/>
              <c:tx>
                <c:rich>
                  <a:bodyPr/>
                  <a:lstStyle/>
                  <a:p>
                    <a:fld id="{D6095B76-A76C-40AD-85E9-FE565B0663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24C6-4B9F-B6AA-B21B40164252}"/>
                </c:ext>
              </c:extLst>
            </c:dLbl>
            <c:dLbl>
              <c:idx val="37"/>
              <c:tx>
                <c:rich>
                  <a:bodyPr/>
                  <a:lstStyle/>
                  <a:p>
                    <a:fld id="{28F070D4-FA88-4E43-B0A9-0F935E1461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24C6-4B9F-B6AA-B21B40164252}"/>
                </c:ext>
              </c:extLst>
            </c:dLbl>
            <c:dLbl>
              <c:idx val="38"/>
              <c:tx>
                <c:rich>
                  <a:bodyPr/>
                  <a:lstStyle/>
                  <a:p>
                    <a:fld id="{35482CA1-BB5F-4EFD-B21C-CE82B45F52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24C6-4B9F-B6AA-B21B40164252}"/>
                </c:ext>
              </c:extLst>
            </c:dLbl>
            <c:dLbl>
              <c:idx val="39"/>
              <c:tx>
                <c:rich>
                  <a:bodyPr/>
                  <a:lstStyle/>
                  <a:p>
                    <a:fld id="{614C1CFC-056D-460B-8BC9-53E99206F0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24C6-4B9F-B6AA-B21B40164252}"/>
                </c:ext>
              </c:extLst>
            </c:dLbl>
            <c:dLbl>
              <c:idx val="40"/>
              <c:tx>
                <c:rich>
                  <a:bodyPr/>
                  <a:lstStyle/>
                  <a:p>
                    <a:fld id="{7CDBE252-6FC1-4CF4-AFAD-22ABBF7299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24C6-4B9F-B6AA-B21B40164252}"/>
                </c:ext>
              </c:extLst>
            </c:dLbl>
            <c:dLbl>
              <c:idx val="41"/>
              <c:tx>
                <c:rich>
                  <a:bodyPr/>
                  <a:lstStyle/>
                  <a:p>
                    <a:fld id="{20969A70-CF81-4E3D-A56B-C327ED64F5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24C6-4B9F-B6AA-B21B40164252}"/>
                </c:ext>
              </c:extLst>
            </c:dLbl>
            <c:dLbl>
              <c:idx val="42"/>
              <c:tx>
                <c:rich>
                  <a:bodyPr/>
                  <a:lstStyle/>
                  <a:p>
                    <a:fld id="{E54A6BCD-FB42-4966-AAA3-1914A70596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24C6-4B9F-B6AA-B21B40164252}"/>
                </c:ext>
              </c:extLst>
            </c:dLbl>
            <c:dLbl>
              <c:idx val="43"/>
              <c:tx>
                <c:rich>
                  <a:bodyPr/>
                  <a:lstStyle/>
                  <a:p>
                    <a:fld id="{408C6FCA-66BA-4184-9BFA-96D1E1B225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24C6-4B9F-B6AA-B21B40164252}"/>
                </c:ext>
              </c:extLst>
            </c:dLbl>
            <c:dLbl>
              <c:idx val="44"/>
              <c:tx>
                <c:rich>
                  <a:bodyPr/>
                  <a:lstStyle/>
                  <a:p>
                    <a:fld id="{D6238023-7311-4FBB-8A1A-299E1B1CF2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24C6-4B9F-B6AA-B21B40164252}"/>
                </c:ext>
              </c:extLst>
            </c:dLbl>
            <c:dLbl>
              <c:idx val="45"/>
              <c:tx>
                <c:rich>
                  <a:bodyPr/>
                  <a:lstStyle/>
                  <a:p>
                    <a:fld id="{23FAB1F2-DB29-42DE-8258-7272B28B1E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24C6-4B9F-B6AA-B21B40164252}"/>
                </c:ext>
              </c:extLst>
            </c:dLbl>
            <c:dLbl>
              <c:idx val="46"/>
              <c:tx>
                <c:rich>
                  <a:bodyPr/>
                  <a:lstStyle/>
                  <a:p>
                    <a:fld id="{3DF5073B-CBBC-4B1D-ADF3-3CF0CE9895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24C6-4B9F-B6AA-B21B40164252}"/>
                </c:ext>
              </c:extLst>
            </c:dLbl>
            <c:dLbl>
              <c:idx val="47"/>
              <c:tx>
                <c:rich>
                  <a:bodyPr/>
                  <a:lstStyle/>
                  <a:p>
                    <a:fld id="{E964B694-0B74-42E5-92C3-36299BAE47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24C6-4B9F-B6AA-B21B40164252}"/>
                </c:ext>
              </c:extLst>
            </c:dLbl>
            <c:dLbl>
              <c:idx val="48"/>
              <c:tx>
                <c:rich>
                  <a:bodyPr/>
                  <a:lstStyle/>
                  <a:p>
                    <a:fld id="{5893B3DC-DD4D-49C5-A760-8CED7CD24B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24C6-4B9F-B6AA-B21B40164252}"/>
                </c:ext>
              </c:extLst>
            </c:dLbl>
            <c:dLbl>
              <c:idx val="49"/>
              <c:tx>
                <c:rich>
                  <a:bodyPr/>
                  <a:lstStyle/>
                  <a:p>
                    <a:fld id="{B71B1A72-0031-4D42-902C-EEF96320D6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24C6-4B9F-B6AA-B21B40164252}"/>
                </c:ext>
              </c:extLst>
            </c:dLbl>
            <c:dLbl>
              <c:idx val="50"/>
              <c:tx>
                <c:rich>
                  <a:bodyPr/>
                  <a:lstStyle/>
                  <a:p>
                    <a:fld id="{4E7A18A0-C53E-48FE-BC8E-8E15FAC600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24C6-4B9F-B6AA-B21B40164252}"/>
                </c:ext>
              </c:extLst>
            </c:dLbl>
            <c:dLbl>
              <c:idx val="51"/>
              <c:tx>
                <c:rich>
                  <a:bodyPr/>
                  <a:lstStyle/>
                  <a:p>
                    <a:fld id="{27537705-6ABA-45CE-8D23-68EA1C2DDD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24C6-4B9F-B6AA-B21B40164252}"/>
                </c:ext>
              </c:extLst>
            </c:dLbl>
            <c:dLbl>
              <c:idx val="52"/>
              <c:tx>
                <c:rich>
                  <a:bodyPr/>
                  <a:lstStyle/>
                  <a:p>
                    <a:fld id="{D5F7C52F-34AD-41C2-8CD4-34457DF66D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24C6-4B9F-B6AA-B21B40164252}"/>
                </c:ext>
              </c:extLst>
            </c:dLbl>
            <c:dLbl>
              <c:idx val="53"/>
              <c:tx>
                <c:rich>
                  <a:bodyPr/>
                  <a:lstStyle/>
                  <a:p>
                    <a:fld id="{96448C6A-49DD-46A7-A2C7-25221849F5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24C6-4B9F-B6AA-B21B40164252}"/>
                </c:ext>
              </c:extLst>
            </c:dLbl>
            <c:dLbl>
              <c:idx val="54"/>
              <c:tx>
                <c:rich>
                  <a:bodyPr/>
                  <a:lstStyle/>
                  <a:p>
                    <a:fld id="{5DE6DFDA-61B1-4969-8ED9-A687C5FAFB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24C6-4B9F-B6AA-B21B40164252}"/>
                </c:ext>
              </c:extLst>
            </c:dLbl>
            <c:dLbl>
              <c:idx val="55"/>
              <c:tx>
                <c:rich>
                  <a:bodyPr/>
                  <a:lstStyle/>
                  <a:p>
                    <a:fld id="{08A6C021-D0C6-45F2-AA57-A3612D6CBA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24C6-4B9F-B6AA-B21B40164252}"/>
                </c:ext>
              </c:extLst>
            </c:dLbl>
            <c:dLbl>
              <c:idx val="56"/>
              <c:tx>
                <c:rich>
                  <a:bodyPr/>
                  <a:lstStyle/>
                  <a:p>
                    <a:fld id="{1C544899-331E-4AE7-8F0C-0ED87CF98D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24C6-4B9F-B6AA-B21B40164252}"/>
                </c:ext>
              </c:extLst>
            </c:dLbl>
            <c:dLbl>
              <c:idx val="57"/>
              <c:tx>
                <c:rich>
                  <a:bodyPr/>
                  <a:lstStyle/>
                  <a:p>
                    <a:fld id="{FEDB4AC5-8221-4982-812C-9B6C1BA991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24C6-4B9F-B6AA-B21B40164252}"/>
                </c:ext>
              </c:extLst>
            </c:dLbl>
            <c:dLbl>
              <c:idx val="58"/>
              <c:tx>
                <c:rich>
                  <a:bodyPr/>
                  <a:lstStyle/>
                  <a:p>
                    <a:fld id="{8EE7B750-E2A4-4DA6-BE8D-965599914B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24C6-4B9F-B6AA-B21B40164252}"/>
                </c:ext>
              </c:extLst>
            </c:dLbl>
            <c:dLbl>
              <c:idx val="59"/>
              <c:tx>
                <c:rich>
                  <a:bodyPr/>
                  <a:lstStyle/>
                  <a:p>
                    <a:fld id="{7B6600AB-EF83-45B3-884A-4F6878997C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24C6-4B9F-B6AA-B21B40164252}"/>
                </c:ext>
              </c:extLst>
            </c:dLbl>
            <c:dLbl>
              <c:idx val="60"/>
              <c:tx>
                <c:rich>
                  <a:bodyPr/>
                  <a:lstStyle/>
                  <a:p>
                    <a:fld id="{0A6B93E2-543B-42F2-91BE-D9374D63A6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24C6-4B9F-B6AA-B21B40164252}"/>
                </c:ext>
              </c:extLst>
            </c:dLbl>
            <c:dLbl>
              <c:idx val="61"/>
              <c:tx>
                <c:rich>
                  <a:bodyPr/>
                  <a:lstStyle/>
                  <a:p>
                    <a:fld id="{638CDAB0-D846-48E1-A686-2A55EBD899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24C6-4B9F-B6AA-B21B40164252}"/>
                </c:ext>
              </c:extLst>
            </c:dLbl>
            <c:dLbl>
              <c:idx val="62"/>
              <c:tx>
                <c:rich>
                  <a:bodyPr/>
                  <a:lstStyle/>
                  <a:p>
                    <a:fld id="{E82DBAA0-5180-427E-8F0E-3FC25D85BB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24C6-4B9F-B6AA-B21B40164252}"/>
                </c:ext>
              </c:extLst>
            </c:dLbl>
            <c:dLbl>
              <c:idx val="63"/>
              <c:tx>
                <c:rich>
                  <a:bodyPr/>
                  <a:lstStyle/>
                  <a:p>
                    <a:fld id="{C657DF5B-2D2D-4CA1-B11D-0E0FC68356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24C6-4B9F-B6AA-B21B40164252}"/>
                </c:ext>
              </c:extLst>
            </c:dLbl>
            <c:dLbl>
              <c:idx val="64"/>
              <c:tx>
                <c:rich>
                  <a:bodyPr/>
                  <a:lstStyle/>
                  <a:p>
                    <a:fld id="{52A304A7-52D9-4A9D-87EA-7DC5DEA369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24C6-4B9F-B6AA-B21B40164252}"/>
                </c:ext>
              </c:extLst>
            </c:dLbl>
            <c:dLbl>
              <c:idx val="65"/>
              <c:tx>
                <c:rich>
                  <a:bodyPr/>
                  <a:lstStyle/>
                  <a:p>
                    <a:fld id="{3FBCCAF1-F5F9-4E65-8C35-8E02B82A3F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24C6-4B9F-B6AA-B21B40164252}"/>
                </c:ext>
              </c:extLst>
            </c:dLbl>
            <c:dLbl>
              <c:idx val="66"/>
              <c:tx>
                <c:rich>
                  <a:bodyPr/>
                  <a:lstStyle/>
                  <a:p>
                    <a:fld id="{083121D1-22DB-43A6-BA77-22AF5B36DD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24C6-4B9F-B6AA-B21B40164252}"/>
                </c:ext>
              </c:extLst>
            </c:dLbl>
            <c:dLbl>
              <c:idx val="67"/>
              <c:tx>
                <c:rich>
                  <a:bodyPr/>
                  <a:lstStyle/>
                  <a:p>
                    <a:fld id="{0F590278-9811-46C4-A099-38D41DB533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24C6-4B9F-B6AA-B21B40164252}"/>
                </c:ext>
              </c:extLst>
            </c:dLbl>
            <c:dLbl>
              <c:idx val="68"/>
              <c:tx>
                <c:rich>
                  <a:bodyPr/>
                  <a:lstStyle/>
                  <a:p>
                    <a:fld id="{1B444B62-1E3D-4AA8-87D0-1B2A5DD168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24C6-4B9F-B6AA-B21B40164252}"/>
                </c:ext>
              </c:extLst>
            </c:dLbl>
            <c:dLbl>
              <c:idx val="69"/>
              <c:tx>
                <c:rich>
                  <a:bodyPr/>
                  <a:lstStyle/>
                  <a:p>
                    <a:fld id="{3C3EB94B-7627-4232-B357-1EBF9827C0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24C6-4B9F-B6AA-B21B40164252}"/>
                </c:ext>
              </c:extLst>
            </c:dLbl>
            <c:dLbl>
              <c:idx val="70"/>
              <c:tx>
                <c:rich>
                  <a:bodyPr/>
                  <a:lstStyle/>
                  <a:p>
                    <a:fld id="{11B9C02F-0AA2-4528-BE47-8AF66C238C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24C6-4B9F-B6AA-B21B40164252}"/>
                </c:ext>
              </c:extLst>
            </c:dLbl>
            <c:dLbl>
              <c:idx val="71"/>
              <c:tx>
                <c:rich>
                  <a:bodyPr/>
                  <a:lstStyle/>
                  <a:p>
                    <a:fld id="{EDFB8C15-102B-499F-93E5-C1770C27A4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24C6-4B9F-B6AA-B21B40164252}"/>
                </c:ext>
              </c:extLst>
            </c:dLbl>
            <c:dLbl>
              <c:idx val="72"/>
              <c:tx>
                <c:rich>
                  <a:bodyPr/>
                  <a:lstStyle/>
                  <a:p>
                    <a:fld id="{C1BAE624-2595-48C1-9D58-DF807F6CEE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24C6-4B9F-B6AA-B21B40164252}"/>
                </c:ext>
              </c:extLst>
            </c:dLbl>
            <c:dLbl>
              <c:idx val="73"/>
              <c:tx>
                <c:rich>
                  <a:bodyPr/>
                  <a:lstStyle/>
                  <a:p>
                    <a:fld id="{99D1DBBD-78EA-4806-A0B5-DAD886A59A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24C6-4B9F-B6AA-B21B40164252}"/>
                </c:ext>
              </c:extLst>
            </c:dLbl>
            <c:dLbl>
              <c:idx val="74"/>
              <c:tx>
                <c:rich>
                  <a:bodyPr/>
                  <a:lstStyle/>
                  <a:p>
                    <a:fld id="{8FF9FFB0-00A6-4CD1-A864-A252E26A33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24C6-4B9F-B6AA-B21B40164252}"/>
                </c:ext>
              </c:extLst>
            </c:dLbl>
            <c:dLbl>
              <c:idx val="75"/>
              <c:tx>
                <c:rich>
                  <a:bodyPr/>
                  <a:lstStyle/>
                  <a:p>
                    <a:fld id="{B5A17198-5B2D-4AB4-B1F5-4EE6754A32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24C6-4B9F-B6AA-B21B40164252}"/>
                </c:ext>
              </c:extLst>
            </c:dLbl>
            <c:dLbl>
              <c:idx val="76"/>
              <c:tx>
                <c:rich>
                  <a:bodyPr/>
                  <a:lstStyle/>
                  <a:p>
                    <a:fld id="{38589427-5E85-46B5-9807-539D192046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24C6-4B9F-B6AA-B21B40164252}"/>
                </c:ext>
              </c:extLst>
            </c:dLbl>
            <c:dLbl>
              <c:idx val="77"/>
              <c:tx>
                <c:rich>
                  <a:bodyPr/>
                  <a:lstStyle/>
                  <a:p>
                    <a:fld id="{3E54E1A1-3ED2-4447-BEF6-6D31E913C3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24C6-4B9F-B6AA-B21B40164252}"/>
                </c:ext>
              </c:extLst>
            </c:dLbl>
            <c:dLbl>
              <c:idx val="78"/>
              <c:tx>
                <c:rich>
                  <a:bodyPr/>
                  <a:lstStyle/>
                  <a:p>
                    <a:fld id="{3198571A-7A84-45F3-9FB1-EF89DD7E64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24C6-4B9F-B6AA-B21B40164252}"/>
                </c:ext>
              </c:extLst>
            </c:dLbl>
            <c:dLbl>
              <c:idx val="79"/>
              <c:tx>
                <c:rich>
                  <a:bodyPr/>
                  <a:lstStyle/>
                  <a:p>
                    <a:fld id="{F1BFA0C0-0399-4406-8BEB-11379C2D95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24C6-4B9F-B6AA-B21B40164252}"/>
                </c:ext>
              </c:extLst>
            </c:dLbl>
            <c:dLbl>
              <c:idx val="80"/>
              <c:tx>
                <c:rich>
                  <a:bodyPr/>
                  <a:lstStyle/>
                  <a:p>
                    <a:fld id="{15294E6E-363E-4979-9DDB-4B43601257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24C6-4B9F-B6AA-B21B40164252}"/>
                </c:ext>
              </c:extLst>
            </c:dLbl>
            <c:dLbl>
              <c:idx val="81"/>
              <c:tx>
                <c:rich>
                  <a:bodyPr/>
                  <a:lstStyle/>
                  <a:p>
                    <a:fld id="{73D04004-2AC3-448B-A004-07E7610697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24C6-4B9F-B6AA-B21B40164252}"/>
                </c:ext>
              </c:extLst>
            </c:dLbl>
            <c:dLbl>
              <c:idx val="82"/>
              <c:tx>
                <c:rich>
                  <a:bodyPr/>
                  <a:lstStyle/>
                  <a:p>
                    <a:fld id="{AE157CD3-A5F9-494A-9FAF-2E73505DC8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24C6-4B9F-B6AA-B21B40164252}"/>
                </c:ext>
              </c:extLst>
            </c:dLbl>
            <c:dLbl>
              <c:idx val="83"/>
              <c:tx>
                <c:rich>
                  <a:bodyPr/>
                  <a:lstStyle/>
                  <a:p>
                    <a:fld id="{7332C11C-8CE8-40AA-A599-2D37761A99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24C6-4B9F-B6AA-B21B40164252}"/>
                </c:ext>
              </c:extLst>
            </c:dLbl>
            <c:dLbl>
              <c:idx val="84"/>
              <c:tx>
                <c:rich>
                  <a:bodyPr/>
                  <a:lstStyle/>
                  <a:p>
                    <a:fld id="{0DB90A7A-D24E-4272-B7DE-D43A511FF4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24C6-4B9F-B6AA-B21B40164252}"/>
                </c:ext>
              </c:extLst>
            </c:dLbl>
            <c:dLbl>
              <c:idx val="85"/>
              <c:tx>
                <c:rich>
                  <a:bodyPr/>
                  <a:lstStyle/>
                  <a:p>
                    <a:fld id="{111B5DC3-25F0-4E50-B775-B180627D9D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24C6-4B9F-B6AA-B21B40164252}"/>
                </c:ext>
              </c:extLst>
            </c:dLbl>
            <c:dLbl>
              <c:idx val="86"/>
              <c:tx>
                <c:rich>
                  <a:bodyPr/>
                  <a:lstStyle/>
                  <a:p>
                    <a:fld id="{0317C017-143B-4EA2-B0E0-27D03E5717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24C6-4B9F-B6AA-B21B40164252}"/>
                </c:ext>
              </c:extLst>
            </c:dLbl>
            <c:dLbl>
              <c:idx val="87"/>
              <c:tx>
                <c:rich>
                  <a:bodyPr/>
                  <a:lstStyle/>
                  <a:p>
                    <a:fld id="{CFF8E092-E4B3-4D9C-BD79-B4193E60FA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24C6-4B9F-B6AA-B21B40164252}"/>
                </c:ext>
              </c:extLst>
            </c:dLbl>
            <c:dLbl>
              <c:idx val="88"/>
              <c:tx>
                <c:rich>
                  <a:bodyPr/>
                  <a:lstStyle/>
                  <a:p>
                    <a:fld id="{7BA8C0EA-761F-4518-8707-168F5EEF9E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24C6-4B9F-B6AA-B21B40164252}"/>
                </c:ext>
              </c:extLst>
            </c:dLbl>
            <c:dLbl>
              <c:idx val="89"/>
              <c:tx>
                <c:rich>
                  <a:bodyPr/>
                  <a:lstStyle/>
                  <a:p>
                    <a:fld id="{2F358493-59BA-4E4C-8EA3-B61C356DAF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24C6-4B9F-B6AA-B21B40164252}"/>
                </c:ext>
              </c:extLst>
            </c:dLbl>
            <c:dLbl>
              <c:idx val="90"/>
              <c:tx>
                <c:rich>
                  <a:bodyPr/>
                  <a:lstStyle/>
                  <a:p>
                    <a:fld id="{2937F921-8EED-4355-A913-362BBC3BEF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24C6-4B9F-B6AA-B21B40164252}"/>
                </c:ext>
              </c:extLst>
            </c:dLbl>
            <c:dLbl>
              <c:idx val="91"/>
              <c:tx>
                <c:rich>
                  <a:bodyPr/>
                  <a:lstStyle/>
                  <a:p>
                    <a:fld id="{C391F65A-3E4E-4265-9D8B-C411047655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24C6-4B9F-B6AA-B21B40164252}"/>
                </c:ext>
              </c:extLst>
            </c:dLbl>
            <c:dLbl>
              <c:idx val="92"/>
              <c:tx>
                <c:rich>
                  <a:bodyPr/>
                  <a:lstStyle/>
                  <a:p>
                    <a:fld id="{697C3002-31DA-4C39-84F7-ED95562FF9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24C6-4B9F-B6AA-B21B40164252}"/>
                </c:ext>
              </c:extLst>
            </c:dLbl>
            <c:dLbl>
              <c:idx val="93"/>
              <c:tx>
                <c:rich>
                  <a:bodyPr/>
                  <a:lstStyle/>
                  <a:p>
                    <a:fld id="{6F296CB5-C9C0-42C4-9707-DD97133AB8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24C6-4B9F-B6AA-B21B40164252}"/>
                </c:ext>
              </c:extLst>
            </c:dLbl>
            <c:dLbl>
              <c:idx val="94"/>
              <c:tx>
                <c:rich>
                  <a:bodyPr/>
                  <a:lstStyle/>
                  <a:p>
                    <a:fld id="{2B577B2D-D115-4F8C-AA91-5C935D3110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24C6-4B9F-B6AA-B21B40164252}"/>
                </c:ext>
              </c:extLst>
            </c:dLbl>
            <c:dLbl>
              <c:idx val="95"/>
              <c:tx>
                <c:rich>
                  <a:bodyPr/>
                  <a:lstStyle/>
                  <a:p>
                    <a:fld id="{9766FFF4-4748-4959-9A90-5676A968DA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24C6-4B9F-B6AA-B21B40164252}"/>
                </c:ext>
              </c:extLst>
            </c:dLbl>
            <c:dLbl>
              <c:idx val="96"/>
              <c:tx>
                <c:rich>
                  <a:bodyPr/>
                  <a:lstStyle/>
                  <a:p>
                    <a:fld id="{426EDBFD-82D1-4280-87CB-32BB98F38E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24C6-4B9F-B6AA-B21B40164252}"/>
                </c:ext>
              </c:extLst>
            </c:dLbl>
            <c:dLbl>
              <c:idx val="97"/>
              <c:tx>
                <c:rich>
                  <a:bodyPr/>
                  <a:lstStyle/>
                  <a:p>
                    <a:fld id="{6CEACE40-BE08-4CCC-9CA1-BCEAA9F401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24C6-4B9F-B6AA-B21B40164252}"/>
                </c:ext>
              </c:extLst>
            </c:dLbl>
            <c:dLbl>
              <c:idx val="98"/>
              <c:tx>
                <c:rich>
                  <a:bodyPr/>
                  <a:lstStyle/>
                  <a:p>
                    <a:fld id="{69DB6EAF-6ECE-41B2-AE3A-4739AB37EE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24C6-4B9F-B6AA-B21B40164252}"/>
                </c:ext>
              </c:extLst>
            </c:dLbl>
            <c:dLbl>
              <c:idx val="99"/>
              <c:tx>
                <c:rich>
                  <a:bodyPr/>
                  <a:lstStyle/>
                  <a:p>
                    <a:fld id="{519D96DB-3278-414F-8213-105B2F748A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24C6-4B9F-B6AA-B21B40164252}"/>
                </c:ext>
              </c:extLst>
            </c:dLbl>
            <c:dLbl>
              <c:idx val="100"/>
              <c:tx>
                <c:rich>
                  <a:bodyPr/>
                  <a:lstStyle/>
                  <a:p>
                    <a:fld id="{D9DE3FE6-137C-4BCB-8D65-30420BC83F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24C6-4B9F-B6AA-B21B40164252}"/>
                </c:ext>
              </c:extLst>
            </c:dLbl>
            <c:dLbl>
              <c:idx val="101"/>
              <c:tx>
                <c:rich>
                  <a:bodyPr/>
                  <a:lstStyle/>
                  <a:p>
                    <a:fld id="{39421B32-040D-40D2-9420-EA78D3156E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24C6-4B9F-B6AA-B21B40164252}"/>
                </c:ext>
              </c:extLst>
            </c:dLbl>
            <c:dLbl>
              <c:idx val="102"/>
              <c:tx>
                <c:rich>
                  <a:bodyPr/>
                  <a:lstStyle/>
                  <a:p>
                    <a:fld id="{641875BF-BB79-43E1-87F9-F3A8860D14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24C6-4B9F-B6AA-B21B40164252}"/>
                </c:ext>
              </c:extLst>
            </c:dLbl>
            <c:dLbl>
              <c:idx val="103"/>
              <c:tx>
                <c:rich>
                  <a:bodyPr/>
                  <a:lstStyle/>
                  <a:p>
                    <a:fld id="{76A15E29-F512-4ACA-8536-53D1F85BE5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24C6-4B9F-B6AA-B21B40164252}"/>
                </c:ext>
              </c:extLst>
            </c:dLbl>
            <c:dLbl>
              <c:idx val="104"/>
              <c:tx>
                <c:rich>
                  <a:bodyPr/>
                  <a:lstStyle/>
                  <a:p>
                    <a:fld id="{B0E8E7B4-4FB9-4978-9CB4-D3B0CE58FC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24C6-4B9F-B6AA-B21B40164252}"/>
                </c:ext>
              </c:extLst>
            </c:dLbl>
            <c:dLbl>
              <c:idx val="105"/>
              <c:tx>
                <c:rich>
                  <a:bodyPr/>
                  <a:lstStyle/>
                  <a:p>
                    <a:fld id="{0D355A4D-88EA-49C7-A976-E3B1E27411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24C6-4B9F-B6AA-B21B40164252}"/>
                </c:ext>
              </c:extLst>
            </c:dLbl>
            <c:dLbl>
              <c:idx val="106"/>
              <c:tx>
                <c:rich>
                  <a:bodyPr/>
                  <a:lstStyle/>
                  <a:p>
                    <a:fld id="{CCFD1264-9978-4371-A0C7-715FA181D2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24C6-4B9F-B6AA-B21B40164252}"/>
                </c:ext>
              </c:extLst>
            </c:dLbl>
            <c:dLbl>
              <c:idx val="107"/>
              <c:tx>
                <c:rich>
                  <a:bodyPr/>
                  <a:lstStyle/>
                  <a:p>
                    <a:fld id="{A2DE56CB-8EB4-40EE-801B-2740417732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24C6-4B9F-B6AA-B21B40164252}"/>
                </c:ext>
              </c:extLst>
            </c:dLbl>
            <c:dLbl>
              <c:idx val="108"/>
              <c:tx>
                <c:rich>
                  <a:bodyPr/>
                  <a:lstStyle/>
                  <a:p>
                    <a:fld id="{BBCE553D-3995-4A53-9463-E34607C264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24C6-4B9F-B6AA-B21B40164252}"/>
                </c:ext>
              </c:extLst>
            </c:dLbl>
            <c:dLbl>
              <c:idx val="109"/>
              <c:tx>
                <c:rich>
                  <a:bodyPr/>
                  <a:lstStyle/>
                  <a:p>
                    <a:fld id="{3FE31BAB-BE44-439A-B9AA-5B13E46FEA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24C6-4B9F-B6AA-B21B40164252}"/>
                </c:ext>
              </c:extLst>
            </c:dLbl>
            <c:dLbl>
              <c:idx val="110"/>
              <c:tx>
                <c:rich>
                  <a:bodyPr/>
                  <a:lstStyle/>
                  <a:p>
                    <a:fld id="{7E3802AB-0E8E-439C-A3A6-B0D1E93F6E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24C6-4B9F-B6AA-B21B40164252}"/>
                </c:ext>
              </c:extLst>
            </c:dLbl>
            <c:dLbl>
              <c:idx val="111"/>
              <c:tx>
                <c:rich>
                  <a:bodyPr/>
                  <a:lstStyle/>
                  <a:p>
                    <a:fld id="{9C14DDAF-2E60-4B39-AD5D-1CCEBB9807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24C6-4B9F-B6AA-B21B40164252}"/>
                </c:ext>
              </c:extLst>
            </c:dLbl>
            <c:dLbl>
              <c:idx val="112"/>
              <c:tx>
                <c:rich>
                  <a:bodyPr/>
                  <a:lstStyle/>
                  <a:p>
                    <a:fld id="{73D72E8B-8233-4C0C-A52F-F462778D3F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24C6-4B9F-B6AA-B21B40164252}"/>
                </c:ext>
              </c:extLst>
            </c:dLbl>
            <c:dLbl>
              <c:idx val="113"/>
              <c:tx>
                <c:rich>
                  <a:bodyPr/>
                  <a:lstStyle/>
                  <a:p>
                    <a:fld id="{C2F17749-AFCE-4965-B449-F34067E7D2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24C6-4B9F-B6AA-B21B40164252}"/>
                </c:ext>
              </c:extLst>
            </c:dLbl>
            <c:dLbl>
              <c:idx val="114"/>
              <c:tx>
                <c:rich>
                  <a:bodyPr/>
                  <a:lstStyle/>
                  <a:p>
                    <a:fld id="{7242929E-CED8-41A9-B902-9B6AFF05C5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24C6-4B9F-B6AA-B21B40164252}"/>
                </c:ext>
              </c:extLst>
            </c:dLbl>
            <c:dLbl>
              <c:idx val="115"/>
              <c:tx>
                <c:rich>
                  <a:bodyPr/>
                  <a:lstStyle/>
                  <a:p>
                    <a:fld id="{A8DE33FF-32EE-4E0E-8AAE-5D3B0FEE45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24C6-4B9F-B6AA-B21B40164252}"/>
                </c:ext>
              </c:extLst>
            </c:dLbl>
            <c:dLbl>
              <c:idx val="116"/>
              <c:tx>
                <c:rich>
                  <a:bodyPr/>
                  <a:lstStyle/>
                  <a:p>
                    <a:fld id="{D4DF264C-E190-4BD6-9A27-D74737E5BF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24C6-4B9F-B6AA-B21B40164252}"/>
                </c:ext>
              </c:extLst>
            </c:dLbl>
            <c:dLbl>
              <c:idx val="117"/>
              <c:tx>
                <c:rich>
                  <a:bodyPr/>
                  <a:lstStyle/>
                  <a:p>
                    <a:fld id="{7464B0BC-0496-4D85-B276-CC1001BB54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24C6-4B9F-B6AA-B21B40164252}"/>
                </c:ext>
              </c:extLst>
            </c:dLbl>
            <c:dLbl>
              <c:idx val="118"/>
              <c:tx>
                <c:rich>
                  <a:bodyPr/>
                  <a:lstStyle/>
                  <a:p>
                    <a:fld id="{BD1CC97E-B01B-4EB3-9789-BB4555615E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24C6-4B9F-B6AA-B21B40164252}"/>
                </c:ext>
              </c:extLst>
            </c:dLbl>
            <c:dLbl>
              <c:idx val="119"/>
              <c:tx>
                <c:rich>
                  <a:bodyPr/>
                  <a:lstStyle/>
                  <a:p>
                    <a:fld id="{7CC98143-F7C7-4BB8-834A-E21BA7F2E7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24C6-4B9F-B6AA-B21B40164252}"/>
                </c:ext>
              </c:extLst>
            </c:dLbl>
            <c:dLbl>
              <c:idx val="120"/>
              <c:tx>
                <c:rich>
                  <a:bodyPr/>
                  <a:lstStyle/>
                  <a:p>
                    <a:fld id="{55144D5B-C3F3-4D7D-BCAD-5AF8A3AFAF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24C6-4B9F-B6AA-B21B40164252}"/>
                </c:ext>
              </c:extLst>
            </c:dLbl>
            <c:dLbl>
              <c:idx val="121"/>
              <c:tx>
                <c:rich>
                  <a:bodyPr/>
                  <a:lstStyle/>
                  <a:p>
                    <a:fld id="{86AE0FA7-B0FD-43B0-A7D9-280B26CE14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24C6-4B9F-B6AA-B21B40164252}"/>
                </c:ext>
              </c:extLst>
            </c:dLbl>
            <c:dLbl>
              <c:idx val="122"/>
              <c:tx>
                <c:rich>
                  <a:bodyPr/>
                  <a:lstStyle/>
                  <a:p>
                    <a:fld id="{EB205814-6126-4052-BDD2-31A3B02178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24C6-4B9F-B6AA-B21B40164252}"/>
                </c:ext>
              </c:extLst>
            </c:dLbl>
            <c:dLbl>
              <c:idx val="123"/>
              <c:tx>
                <c:rich>
                  <a:bodyPr/>
                  <a:lstStyle/>
                  <a:p>
                    <a:fld id="{9A37021F-1A88-42A7-B4E6-3F45D1088C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24C6-4B9F-B6AA-B21B40164252}"/>
                </c:ext>
              </c:extLst>
            </c:dLbl>
            <c:dLbl>
              <c:idx val="124"/>
              <c:tx>
                <c:rich>
                  <a:bodyPr/>
                  <a:lstStyle/>
                  <a:p>
                    <a:fld id="{6952167E-1897-4121-A5CA-D81E73FEAC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24C6-4B9F-B6AA-B21B40164252}"/>
                </c:ext>
              </c:extLst>
            </c:dLbl>
            <c:dLbl>
              <c:idx val="125"/>
              <c:tx>
                <c:rich>
                  <a:bodyPr/>
                  <a:lstStyle/>
                  <a:p>
                    <a:fld id="{D666B77D-8BF5-4437-B8A8-EEE0DA7775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24C6-4B9F-B6AA-B21B40164252}"/>
                </c:ext>
              </c:extLst>
            </c:dLbl>
            <c:dLbl>
              <c:idx val="126"/>
              <c:tx>
                <c:rich>
                  <a:bodyPr/>
                  <a:lstStyle/>
                  <a:p>
                    <a:fld id="{DF5E90D8-F872-4F07-8D87-55B051D6E0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24C6-4B9F-B6AA-B21B40164252}"/>
                </c:ext>
              </c:extLst>
            </c:dLbl>
            <c:dLbl>
              <c:idx val="127"/>
              <c:tx>
                <c:rich>
                  <a:bodyPr/>
                  <a:lstStyle/>
                  <a:p>
                    <a:fld id="{9E6F656A-DCC3-4BF8-B695-F104498780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24C6-4B9F-B6AA-B21B40164252}"/>
                </c:ext>
              </c:extLst>
            </c:dLbl>
            <c:dLbl>
              <c:idx val="128"/>
              <c:tx>
                <c:rich>
                  <a:bodyPr/>
                  <a:lstStyle/>
                  <a:p>
                    <a:fld id="{4117B8B5-1CE8-4069-A736-ED1C2A336D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24C6-4B9F-B6AA-B21B40164252}"/>
                </c:ext>
              </c:extLst>
            </c:dLbl>
            <c:dLbl>
              <c:idx val="129"/>
              <c:tx>
                <c:rich>
                  <a:bodyPr/>
                  <a:lstStyle/>
                  <a:p>
                    <a:fld id="{1ECA332E-679F-4B5F-BE58-F6B5BB4195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24C6-4B9F-B6AA-B21B40164252}"/>
                </c:ext>
              </c:extLst>
            </c:dLbl>
            <c:dLbl>
              <c:idx val="130"/>
              <c:tx>
                <c:rich>
                  <a:bodyPr/>
                  <a:lstStyle/>
                  <a:p>
                    <a:fld id="{B0C0C0A9-EAC6-4E40-B40C-063DA1D788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24C6-4B9F-B6AA-B21B40164252}"/>
                </c:ext>
              </c:extLst>
            </c:dLbl>
            <c:dLbl>
              <c:idx val="131"/>
              <c:tx>
                <c:rich>
                  <a:bodyPr/>
                  <a:lstStyle/>
                  <a:p>
                    <a:fld id="{BC0FE65B-32C4-4E6D-B0C1-B2EF5F7EAA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24C6-4B9F-B6AA-B21B40164252}"/>
                </c:ext>
              </c:extLst>
            </c:dLbl>
            <c:dLbl>
              <c:idx val="132"/>
              <c:tx>
                <c:rich>
                  <a:bodyPr/>
                  <a:lstStyle/>
                  <a:p>
                    <a:fld id="{9E04179D-DCE6-422D-8A15-9F2B1AF7F7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24C6-4B9F-B6AA-B21B40164252}"/>
                </c:ext>
              </c:extLst>
            </c:dLbl>
            <c:dLbl>
              <c:idx val="133"/>
              <c:tx>
                <c:rich>
                  <a:bodyPr/>
                  <a:lstStyle/>
                  <a:p>
                    <a:fld id="{3EB2E862-6C0C-47A6-B91A-9EC2A6064E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24C6-4B9F-B6AA-B21B40164252}"/>
                </c:ext>
              </c:extLst>
            </c:dLbl>
            <c:dLbl>
              <c:idx val="134"/>
              <c:tx>
                <c:rich>
                  <a:bodyPr/>
                  <a:lstStyle/>
                  <a:p>
                    <a:fld id="{E2E0AE1D-5664-42D7-9E38-ED26F9171F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24C6-4B9F-B6AA-B21B40164252}"/>
                </c:ext>
              </c:extLst>
            </c:dLbl>
            <c:dLbl>
              <c:idx val="135"/>
              <c:tx>
                <c:rich>
                  <a:bodyPr/>
                  <a:lstStyle/>
                  <a:p>
                    <a:fld id="{971E2791-D027-4B98-99E1-53512E3277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24C6-4B9F-B6AA-B21B40164252}"/>
                </c:ext>
              </c:extLst>
            </c:dLbl>
            <c:dLbl>
              <c:idx val="136"/>
              <c:tx>
                <c:rich>
                  <a:bodyPr/>
                  <a:lstStyle/>
                  <a:p>
                    <a:fld id="{E76D7726-99F7-4899-BC03-ADED4AF8EE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24C6-4B9F-B6AA-B21B40164252}"/>
                </c:ext>
              </c:extLst>
            </c:dLbl>
            <c:dLbl>
              <c:idx val="137"/>
              <c:tx>
                <c:rich>
                  <a:bodyPr/>
                  <a:lstStyle/>
                  <a:p>
                    <a:fld id="{1FE8A185-0249-4021-AF01-8BAD12172E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24C6-4B9F-B6AA-B21B40164252}"/>
                </c:ext>
              </c:extLst>
            </c:dLbl>
            <c:dLbl>
              <c:idx val="138"/>
              <c:tx>
                <c:rich>
                  <a:bodyPr/>
                  <a:lstStyle/>
                  <a:p>
                    <a:fld id="{AEC5AD88-5B41-4C27-96AA-EDAB428FED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24C6-4B9F-B6AA-B21B40164252}"/>
                </c:ext>
              </c:extLst>
            </c:dLbl>
            <c:dLbl>
              <c:idx val="139"/>
              <c:tx>
                <c:rich>
                  <a:bodyPr/>
                  <a:lstStyle/>
                  <a:p>
                    <a:fld id="{585C2FC6-9106-46B8-89DB-2EC532C288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24C6-4B9F-B6AA-B21B40164252}"/>
                </c:ext>
              </c:extLst>
            </c:dLbl>
            <c:dLbl>
              <c:idx val="140"/>
              <c:tx>
                <c:rich>
                  <a:bodyPr/>
                  <a:lstStyle/>
                  <a:p>
                    <a:fld id="{6CE2B268-79D0-43E8-B635-03C5ACACFB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24C6-4B9F-B6AA-B21B40164252}"/>
                </c:ext>
              </c:extLst>
            </c:dLbl>
            <c:dLbl>
              <c:idx val="141"/>
              <c:tx>
                <c:rich>
                  <a:bodyPr/>
                  <a:lstStyle/>
                  <a:p>
                    <a:fld id="{28CED88A-CCDD-4EE6-822A-6B12591A3F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24C6-4B9F-B6AA-B21B40164252}"/>
                </c:ext>
              </c:extLst>
            </c:dLbl>
            <c:dLbl>
              <c:idx val="142"/>
              <c:tx>
                <c:rich>
                  <a:bodyPr/>
                  <a:lstStyle/>
                  <a:p>
                    <a:fld id="{0D4256AC-2EED-49A5-B180-067E9F76BD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24C6-4B9F-B6AA-B21B40164252}"/>
                </c:ext>
              </c:extLst>
            </c:dLbl>
            <c:dLbl>
              <c:idx val="143"/>
              <c:tx>
                <c:rich>
                  <a:bodyPr/>
                  <a:lstStyle/>
                  <a:p>
                    <a:fld id="{10BE19F8-CB59-4299-8F68-DFBE2A0ABE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24C6-4B9F-B6AA-B21B40164252}"/>
                </c:ext>
              </c:extLst>
            </c:dLbl>
            <c:dLbl>
              <c:idx val="144"/>
              <c:tx>
                <c:rich>
                  <a:bodyPr/>
                  <a:lstStyle/>
                  <a:p>
                    <a:fld id="{892E4BBD-3A93-47AE-9136-D6BEDC3D0F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24C6-4B9F-B6AA-B21B40164252}"/>
                </c:ext>
              </c:extLst>
            </c:dLbl>
            <c:dLbl>
              <c:idx val="145"/>
              <c:tx>
                <c:rich>
                  <a:bodyPr/>
                  <a:lstStyle/>
                  <a:p>
                    <a:fld id="{F021B6FA-7CF9-4B7F-9E3B-C4DCC1F989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24C6-4B9F-B6AA-B21B40164252}"/>
                </c:ext>
              </c:extLst>
            </c:dLbl>
            <c:dLbl>
              <c:idx val="146"/>
              <c:tx>
                <c:rich>
                  <a:bodyPr/>
                  <a:lstStyle/>
                  <a:p>
                    <a:fld id="{A69C75D0-2978-41C1-A1D5-31A9CF1540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24C6-4B9F-B6AA-B21B40164252}"/>
                </c:ext>
              </c:extLst>
            </c:dLbl>
            <c:dLbl>
              <c:idx val="147"/>
              <c:tx>
                <c:rich>
                  <a:bodyPr/>
                  <a:lstStyle/>
                  <a:p>
                    <a:fld id="{F14FD2E9-D78B-4418-87C9-21677FCF0A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24C6-4B9F-B6AA-B21B40164252}"/>
                </c:ext>
              </c:extLst>
            </c:dLbl>
            <c:dLbl>
              <c:idx val="148"/>
              <c:tx>
                <c:rich>
                  <a:bodyPr/>
                  <a:lstStyle/>
                  <a:p>
                    <a:fld id="{CBAFB4EB-2FCE-46AB-866B-E209E64155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24C6-4B9F-B6AA-B21B40164252}"/>
                </c:ext>
              </c:extLst>
            </c:dLbl>
            <c:dLbl>
              <c:idx val="149"/>
              <c:tx>
                <c:rich>
                  <a:bodyPr/>
                  <a:lstStyle/>
                  <a:p>
                    <a:fld id="{0324674D-DD7B-4C45-B063-E92781D59E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24C6-4B9F-B6AA-B21B40164252}"/>
                </c:ext>
              </c:extLst>
            </c:dLbl>
            <c:dLbl>
              <c:idx val="150"/>
              <c:tx>
                <c:rich>
                  <a:bodyPr/>
                  <a:lstStyle/>
                  <a:p>
                    <a:fld id="{A8BFE96B-4169-4273-BC54-57C884A129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24C6-4B9F-B6AA-B21B40164252}"/>
                </c:ext>
              </c:extLst>
            </c:dLbl>
            <c:dLbl>
              <c:idx val="151"/>
              <c:tx>
                <c:rich>
                  <a:bodyPr/>
                  <a:lstStyle/>
                  <a:p>
                    <a:fld id="{73ABDE3C-5673-4D0D-A5F0-7FB08EE743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24C6-4B9F-B6AA-B21B40164252}"/>
                </c:ext>
              </c:extLst>
            </c:dLbl>
            <c:dLbl>
              <c:idx val="152"/>
              <c:tx>
                <c:rich>
                  <a:bodyPr/>
                  <a:lstStyle/>
                  <a:p>
                    <a:fld id="{F28AB145-8FF8-41B2-8019-5E19A6027A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24C6-4B9F-B6AA-B21B40164252}"/>
                </c:ext>
              </c:extLst>
            </c:dLbl>
            <c:dLbl>
              <c:idx val="153"/>
              <c:tx>
                <c:rich>
                  <a:bodyPr/>
                  <a:lstStyle/>
                  <a:p>
                    <a:fld id="{0121DD7D-5005-4D78-86B7-61020507F6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24C6-4B9F-B6AA-B21B40164252}"/>
                </c:ext>
              </c:extLst>
            </c:dLbl>
            <c:dLbl>
              <c:idx val="154"/>
              <c:tx>
                <c:rich>
                  <a:bodyPr/>
                  <a:lstStyle/>
                  <a:p>
                    <a:fld id="{9247CE67-99E0-4704-A108-0E450F3EE7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24C6-4B9F-B6AA-B21B40164252}"/>
                </c:ext>
              </c:extLst>
            </c:dLbl>
            <c:dLbl>
              <c:idx val="155"/>
              <c:tx>
                <c:rich>
                  <a:bodyPr/>
                  <a:lstStyle/>
                  <a:p>
                    <a:fld id="{E0A786FC-C3FD-4CDD-BC53-E0B668CD8B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24C6-4B9F-B6AA-B21B40164252}"/>
                </c:ext>
              </c:extLst>
            </c:dLbl>
            <c:dLbl>
              <c:idx val="156"/>
              <c:tx>
                <c:rich>
                  <a:bodyPr/>
                  <a:lstStyle/>
                  <a:p>
                    <a:fld id="{8837721A-8A0B-417F-9D46-A56C45A1DF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24C6-4B9F-B6AA-B21B40164252}"/>
                </c:ext>
              </c:extLst>
            </c:dLbl>
            <c:dLbl>
              <c:idx val="157"/>
              <c:tx>
                <c:rich>
                  <a:bodyPr/>
                  <a:lstStyle/>
                  <a:p>
                    <a:fld id="{27739122-02C5-456A-91FC-C6CDC6B93C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24C6-4B9F-B6AA-B21B40164252}"/>
                </c:ext>
              </c:extLst>
            </c:dLbl>
            <c:dLbl>
              <c:idx val="158"/>
              <c:tx>
                <c:rich>
                  <a:bodyPr/>
                  <a:lstStyle/>
                  <a:p>
                    <a:fld id="{3E3BBE81-D089-453A-A1E3-DC4194D0FD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24C6-4B9F-B6AA-B21B40164252}"/>
                </c:ext>
              </c:extLst>
            </c:dLbl>
            <c:dLbl>
              <c:idx val="159"/>
              <c:tx>
                <c:rich>
                  <a:bodyPr/>
                  <a:lstStyle/>
                  <a:p>
                    <a:fld id="{CFA7856F-FF68-463A-B757-8A64CD859D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24C6-4B9F-B6AA-B21B40164252}"/>
                </c:ext>
              </c:extLst>
            </c:dLbl>
            <c:dLbl>
              <c:idx val="160"/>
              <c:tx>
                <c:rich>
                  <a:bodyPr/>
                  <a:lstStyle/>
                  <a:p>
                    <a:fld id="{AAD98B7A-D3D0-4BB4-86DD-58E1D8D57B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24C6-4B9F-B6AA-B21B40164252}"/>
                </c:ext>
              </c:extLst>
            </c:dLbl>
            <c:dLbl>
              <c:idx val="161"/>
              <c:tx>
                <c:rich>
                  <a:bodyPr/>
                  <a:lstStyle/>
                  <a:p>
                    <a:fld id="{9C01276A-BCD5-4A6B-A197-CB2F8C95B6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24C6-4B9F-B6AA-B21B40164252}"/>
                </c:ext>
              </c:extLst>
            </c:dLbl>
            <c:dLbl>
              <c:idx val="162"/>
              <c:tx>
                <c:rich>
                  <a:bodyPr/>
                  <a:lstStyle/>
                  <a:p>
                    <a:fld id="{42E21753-3EE1-44F5-A887-7463F2F171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24C6-4B9F-B6AA-B21B40164252}"/>
                </c:ext>
              </c:extLst>
            </c:dLbl>
            <c:dLbl>
              <c:idx val="163"/>
              <c:tx>
                <c:rich>
                  <a:bodyPr/>
                  <a:lstStyle/>
                  <a:p>
                    <a:fld id="{7F00797D-7347-4498-BB5D-866C485D69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24C6-4B9F-B6AA-B21B40164252}"/>
                </c:ext>
              </c:extLst>
            </c:dLbl>
            <c:dLbl>
              <c:idx val="164"/>
              <c:tx>
                <c:rich>
                  <a:bodyPr/>
                  <a:lstStyle/>
                  <a:p>
                    <a:fld id="{10D1BF7C-7534-413C-93EB-FDEAC43E48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24C6-4B9F-B6AA-B21B40164252}"/>
                </c:ext>
              </c:extLst>
            </c:dLbl>
            <c:dLbl>
              <c:idx val="165"/>
              <c:tx>
                <c:rich>
                  <a:bodyPr/>
                  <a:lstStyle/>
                  <a:p>
                    <a:fld id="{105D632E-7F01-4F15-B752-FB628E13B4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24C6-4B9F-B6AA-B21B40164252}"/>
                </c:ext>
              </c:extLst>
            </c:dLbl>
            <c:dLbl>
              <c:idx val="166"/>
              <c:tx>
                <c:rich>
                  <a:bodyPr/>
                  <a:lstStyle/>
                  <a:p>
                    <a:fld id="{3CA1A680-0790-4B63-8BD5-ED2C288322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24C6-4B9F-B6AA-B21B40164252}"/>
                </c:ext>
              </c:extLst>
            </c:dLbl>
            <c:dLbl>
              <c:idx val="167"/>
              <c:tx>
                <c:rich>
                  <a:bodyPr/>
                  <a:lstStyle/>
                  <a:p>
                    <a:fld id="{6DB44CCD-EFF4-45FE-81DC-40566D76DD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24C6-4B9F-B6AA-B21B40164252}"/>
                </c:ext>
              </c:extLst>
            </c:dLbl>
            <c:dLbl>
              <c:idx val="168"/>
              <c:tx>
                <c:rich>
                  <a:bodyPr/>
                  <a:lstStyle/>
                  <a:p>
                    <a:fld id="{76EF764B-5ABA-4287-AFB4-C0D6CE334F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24C6-4B9F-B6AA-B21B40164252}"/>
                </c:ext>
              </c:extLst>
            </c:dLbl>
            <c:dLbl>
              <c:idx val="169"/>
              <c:tx>
                <c:rich>
                  <a:bodyPr/>
                  <a:lstStyle/>
                  <a:p>
                    <a:fld id="{C7BEC5DE-A2B8-4773-9301-15FB14F8DA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24C6-4B9F-B6AA-B21B40164252}"/>
                </c:ext>
              </c:extLst>
            </c:dLbl>
            <c:dLbl>
              <c:idx val="170"/>
              <c:tx>
                <c:rich>
                  <a:bodyPr/>
                  <a:lstStyle/>
                  <a:p>
                    <a:fld id="{A39084AD-7D6D-4EA8-9965-AC7407459B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24C6-4B9F-B6AA-B21B40164252}"/>
                </c:ext>
              </c:extLst>
            </c:dLbl>
            <c:dLbl>
              <c:idx val="171"/>
              <c:tx>
                <c:rich>
                  <a:bodyPr/>
                  <a:lstStyle/>
                  <a:p>
                    <a:fld id="{8B2AB468-A02C-41C3-BC21-77584D40C8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24C6-4B9F-B6AA-B21B40164252}"/>
                </c:ext>
              </c:extLst>
            </c:dLbl>
            <c:dLbl>
              <c:idx val="172"/>
              <c:tx>
                <c:rich>
                  <a:bodyPr/>
                  <a:lstStyle/>
                  <a:p>
                    <a:fld id="{67556323-7536-40C4-A7A2-A2FADEC97D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24C6-4B9F-B6AA-B21B40164252}"/>
                </c:ext>
              </c:extLst>
            </c:dLbl>
            <c:dLbl>
              <c:idx val="173"/>
              <c:tx>
                <c:rich>
                  <a:bodyPr/>
                  <a:lstStyle/>
                  <a:p>
                    <a:fld id="{4309E9EE-70D8-49E6-BC2F-3CB98D9F20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24C6-4B9F-B6AA-B21B40164252}"/>
                </c:ext>
              </c:extLst>
            </c:dLbl>
            <c:dLbl>
              <c:idx val="174"/>
              <c:tx>
                <c:rich>
                  <a:bodyPr/>
                  <a:lstStyle/>
                  <a:p>
                    <a:fld id="{B6292D15-9BB6-4F02-9BCA-58694CD760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24C6-4B9F-B6AA-B21B40164252}"/>
                </c:ext>
              </c:extLst>
            </c:dLbl>
            <c:dLbl>
              <c:idx val="175"/>
              <c:tx>
                <c:rich>
                  <a:bodyPr/>
                  <a:lstStyle/>
                  <a:p>
                    <a:fld id="{6F035901-1B25-444F-A808-D7365D45D0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24C6-4B9F-B6AA-B21B40164252}"/>
                </c:ext>
              </c:extLst>
            </c:dLbl>
            <c:dLbl>
              <c:idx val="176"/>
              <c:tx>
                <c:rich>
                  <a:bodyPr/>
                  <a:lstStyle/>
                  <a:p>
                    <a:fld id="{FE0CCC62-A0E4-437F-9B8C-8DBD7674CB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24C6-4B9F-B6AA-B21B40164252}"/>
                </c:ext>
              </c:extLst>
            </c:dLbl>
            <c:dLbl>
              <c:idx val="177"/>
              <c:tx>
                <c:rich>
                  <a:bodyPr/>
                  <a:lstStyle/>
                  <a:p>
                    <a:fld id="{33BAB034-53AF-48F3-B50B-C3106D9A55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24C6-4B9F-B6AA-B21B40164252}"/>
                </c:ext>
              </c:extLst>
            </c:dLbl>
            <c:dLbl>
              <c:idx val="178"/>
              <c:tx>
                <c:rich>
                  <a:bodyPr/>
                  <a:lstStyle/>
                  <a:p>
                    <a:fld id="{A21F15F7-442C-456A-B6E8-59992F24E4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24C6-4B9F-B6AA-B21B40164252}"/>
                </c:ext>
              </c:extLst>
            </c:dLbl>
            <c:dLbl>
              <c:idx val="179"/>
              <c:tx>
                <c:rich>
                  <a:bodyPr/>
                  <a:lstStyle/>
                  <a:p>
                    <a:fld id="{C40C4D88-48F6-4ED0-B6D2-3637126C3B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24C6-4B9F-B6AA-B21B40164252}"/>
                </c:ext>
              </c:extLst>
            </c:dLbl>
            <c:dLbl>
              <c:idx val="180"/>
              <c:tx>
                <c:rich>
                  <a:bodyPr/>
                  <a:lstStyle/>
                  <a:p>
                    <a:fld id="{C61F4940-7BF2-44B2-8EBD-8A14CA837E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24C6-4B9F-B6AA-B21B40164252}"/>
                </c:ext>
              </c:extLst>
            </c:dLbl>
            <c:dLbl>
              <c:idx val="181"/>
              <c:tx>
                <c:rich>
                  <a:bodyPr/>
                  <a:lstStyle/>
                  <a:p>
                    <a:fld id="{A68BA326-4813-4576-B363-9B94EF1767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24C6-4B9F-B6AA-B21B40164252}"/>
                </c:ext>
              </c:extLst>
            </c:dLbl>
            <c:dLbl>
              <c:idx val="182"/>
              <c:tx>
                <c:rich>
                  <a:bodyPr/>
                  <a:lstStyle/>
                  <a:p>
                    <a:fld id="{511B5A78-44D6-46C3-9D1E-AD6647AFFE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24C6-4B9F-B6AA-B21B40164252}"/>
                </c:ext>
              </c:extLst>
            </c:dLbl>
            <c:dLbl>
              <c:idx val="183"/>
              <c:tx>
                <c:rich>
                  <a:bodyPr/>
                  <a:lstStyle/>
                  <a:p>
                    <a:fld id="{F71293ED-51B7-4EAC-9C83-095324AAED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24C6-4B9F-B6AA-B21B40164252}"/>
                </c:ext>
              </c:extLst>
            </c:dLbl>
            <c:dLbl>
              <c:idx val="184"/>
              <c:tx>
                <c:rich>
                  <a:bodyPr/>
                  <a:lstStyle/>
                  <a:p>
                    <a:fld id="{1F0E3E6A-BA3F-4F12-B34D-01DF1AC6A3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24C6-4B9F-B6AA-B21B40164252}"/>
                </c:ext>
              </c:extLst>
            </c:dLbl>
            <c:dLbl>
              <c:idx val="185"/>
              <c:tx>
                <c:rich>
                  <a:bodyPr/>
                  <a:lstStyle/>
                  <a:p>
                    <a:fld id="{14EA10FE-DEA4-4593-B667-ABDEC02D4A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24C6-4B9F-B6AA-B21B40164252}"/>
                </c:ext>
              </c:extLst>
            </c:dLbl>
            <c:dLbl>
              <c:idx val="186"/>
              <c:tx>
                <c:rich>
                  <a:bodyPr/>
                  <a:lstStyle/>
                  <a:p>
                    <a:fld id="{CA8D2EC6-A6FC-4F28-998B-0C4A3D0645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24C6-4B9F-B6AA-B21B40164252}"/>
                </c:ext>
              </c:extLst>
            </c:dLbl>
            <c:dLbl>
              <c:idx val="187"/>
              <c:tx>
                <c:rich>
                  <a:bodyPr/>
                  <a:lstStyle/>
                  <a:p>
                    <a:fld id="{EAF2037B-E587-4E8D-BBA5-086E63FA30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24C6-4B9F-B6AA-B21B40164252}"/>
                </c:ext>
              </c:extLst>
            </c:dLbl>
            <c:dLbl>
              <c:idx val="188"/>
              <c:tx>
                <c:rich>
                  <a:bodyPr/>
                  <a:lstStyle/>
                  <a:p>
                    <a:fld id="{E0FE476F-B47F-479F-8FF2-D55D0D4F14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24C6-4B9F-B6AA-B21B40164252}"/>
                </c:ext>
              </c:extLst>
            </c:dLbl>
            <c:dLbl>
              <c:idx val="189"/>
              <c:tx>
                <c:rich>
                  <a:bodyPr/>
                  <a:lstStyle/>
                  <a:p>
                    <a:fld id="{2F1D1486-3593-4B42-9999-BBFC6A442D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24C6-4B9F-B6AA-B21B40164252}"/>
                </c:ext>
              </c:extLst>
            </c:dLbl>
            <c:dLbl>
              <c:idx val="190"/>
              <c:tx>
                <c:rich>
                  <a:bodyPr/>
                  <a:lstStyle/>
                  <a:p>
                    <a:fld id="{3A47285E-F540-4FF5-AE46-3FCCECEFB9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24C6-4B9F-B6AA-B21B40164252}"/>
                </c:ext>
              </c:extLst>
            </c:dLbl>
            <c:dLbl>
              <c:idx val="191"/>
              <c:tx>
                <c:rich>
                  <a:bodyPr/>
                  <a:lstStyle/>
                  <a:p>
                    <a:fld id="{AFBAA6C1-86BD-461E-B85A-ACC822C3AA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24C6-4B9F-B6AA-B21B40164252}"/>
                </c:ext>
              </c:extLst>
            </c:dLbl>
            <c:dLbl>
              <c:idx val="192"/>
              <c:tx>
                <c:rich>
                  <a:bodyPr/>
                  <a:lstStyle/>
                  <a:p>
                    <a:fld id="{F528E5A9-1347-4CF0-8FB9-63DC969829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24C6-4B9F-B6AA-B21B40164252}"/>
                </c:ext>
              </c:extLst>
            </c:dLbl>
            <c:dLbl>
              <c:idx val="193"/>
              <c:tx>
                <c:rich>
                  <a:bodyPr/>
                  <a:lstStyle/>
                  <a:p>
                    <a:fld id="{99ADC91E-F207-4EF2-9E7F-49F5700232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24C6-4B9F-B6AA-B21B40164252}"/>
                </c:ext>
              </c:extLst>
            </c:dLbl>
            <c:dLbl>
              <c:idx val="194"/>
              <c:tx>
                <c:rich>
                  <a:bodyPr/>
                  <a:lstStyle/>
                  <a:p>
                    <a:fld id="{9D06DDCE-1E34-461D-A228-D8E052B815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24C6-4B9F-B6AA-B21B40164252}"/>
                </c:ext>
              </c:extLst>
            </c:dLbl>
            <c:dLbl>
              <c:idx val="195"/>
              <c:tx>
                <c:rich>
                  <a:bodyPr/>
                  <a:lstStyle/>
                  <a:p>
                    <a:fld id="{89CE43B5-D88B-42A7-87F2-263A8C9121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24C6-4B9F-B6AA-B21B40164252}"/>
                </c:ext>
              </c:extLst>
            </c:dLbl>
            <c:dLbl>
              <c:idx val="196"/>
              <c:tx>
                <c:rich>
                  <a:bodyPr/>
                  <a:lstStyle/>
                  <a:p>
                    <a:fld id="{F6DE9DCF-0037-4C9C-B820-8F269E1D0F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24C6-4B9F-B6AA-B21B40164252}"/>
                </c:ext>
              </c:extLst>
            </c:dLbl>
            <c:dLbl>
              <c:idx val="197"/>
              <c:tx>
                <c:rich>
                  <a:bodyPr/>
                  <a:lstStyle/>
                  <a:p>
                    <a:fld id="{827BC6FF-474F-42B1-BD25-A61F33010B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24C6-4B9F-B6AA-B21B40164252}"/>
                </c:ext>
              </c:extLst>
            </c:dLbl>
            <c:dLbl>
              <c:idx val="198"/>
              <c:tx>
                <c:rich>
                  <a:bodyPr/>
                  <a:lstStyle/>
                  <a:p>
                    <a:fld id="{D886B14E-80E3-401C-808C-40F4E5A0DA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24C6-4B9F-B6AA-B21B40164252}"/>
                </c:ext>
              </c:extLst>
            </c:dLbl>
            <c:dLbl>
              <c:idx val="199"/>
              <c:tx>
                <c:rich>
                  <a:bodyPr/>
                  <a:lstStyle/>
                  <a:p>
                    <a:fld id="{81E4680A-254E-41DF-AED7-10DB98D80B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24C6-4B9F-B6AA-B21B40164252}"/>
                </c:ext>
              </c:extLst>
            </c:dLbl>
            <c:dLbl>
              <c:idx val="200"/>
              <c:tx>
                <c:rich>
                  <a:bodyPr/>
                  <a:lstStyle/>
                  <a:p>
                    <a:fld id="{5DB48494-2EB0-4A66-9739-AC9C3DB74E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24C6-4B9F-B6AA-B21B40164252}"/>
                </c:ext>
              </c:extLst>
            </c:dLbl>
            <c:dLbl>
              <c:idx val="201"/>
              <c:tx>
                <c:rich>
                  <a:bodyPr/>
                  <a:lstStyle/>
                  <a:p>
                    <a:fld id="{D95A6F00-2B4C-4EE9-BC7D-5E81F4D793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24C6-4B9F-B6AA-B21B40164252}"/>
                </c:ext>
              </c:extLst>
            </c:dLbl>
            <c:dLbl>
              <c:idx val="202"/>
              <c:tx>
                <c:rich>
                  <a:bodyPr/>
                  <a:lstStyle/>
                  <a:p>
                    <a:fld id="{8EED62C0-0146-4A36-9D23-BF79F2373E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24C6-4B9F-B6AA-B21B40164252}"/>
                </c:ext>
              </c:extLst>
            </c:dLbl>
            <c:dLbl>
              <c:idx val="203"/>
              <c:tx>
                <c:rich>
                  <a:bodyPr/>
                  <a:lstStyle/>
                  <a:p>
                    <a:fld id="{459B1773-863E-4802-BC85-A6AE786AE7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24C6-4B9F-B6AA-B21B40164252}"/>
                </c:ext>
              </c:extLst>
            </c:dLbl>
            <c:dLbl>
              <c:idx val="204"/>
              <c:tx>
                <c:rich>
                  <a:bodyPr/>
                  <a:lstStyle/>
                  <a:p>
                    <a:fld id="{DF30EE1B-1233-4904-B3C5-CE8C1D2DE0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24C6-4B9F-B6AA-B21B40164252}"/>
                </c:ext>
              </c:extLst>
            </c:dLbl>
            <c:dLbl>
              <c:idx val="205"/>
              <c:tx>
                <c:rich>
                  <a:bodyPr/>
                  <a:lstStyle/>
                  <a:p>
                    <a:fld id="{7B7841D8-8063-49EB-8D7F-AC812D49E6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24C6-4B9F-B6AA-B21B40164252}"/>
                </c:ext>
              </c:extLst>
            </c:dLbl>
            <c:dLbl>
              <c:idx val="206"/>
              <c:tx>
                <c:rich>
                  <a:bodyPr/>
                  <a:lstStyle/>
                  <a:p>
                    <a:fld id="{F58D334D-8A77-428F-AE7F-EC4B118DA3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24C6-4B9F-B6AA-B21B40164252}"/>
                </c:ext>
              </c:extLst>
            </c:dLbl>
            <c:dLbl>
              <c:idx val="207"/>
              <c:tx>
                <c:rich>
                  <a:bodyPr/>
                  <a:lstStyle/>
                  <a:p>
                    <a:fld id="{05B3667F-A45A-4435-B224-CF12C791B0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24C6-4B9F-B6AA-B21B40164252}"/>
                </c:ext>
              </c:extLst>
            </c:dLbl>
            <c:dLbl>
              <c:idx val="208"/>
              <c:tx>
                <c:rich>
                  <a:bodyPr/>
                  <a:lstStyle/>
                  <a:p>
                    <a:fld id="{85CB2869-0F34-42C3-83F4-B449EA526A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24C6-4B9F-B6AA-B21B40164252}"/>
                </c:ext>
              </c:extLst>
            </c:dLbl>
            <c:dLbl>
              <c:idx val="209"/>
              <c:tx>
                <c:rich>
                  <a:bodyPr/>
                  <a:lstStyle/>
                  <a:p>
                    <a:fld id="{7C1C3687-935C-44A3-B0E4-2AF17EBA52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24C6-4B9F-B6AA-B21B40164252}"/>
                </c:ext>
              </c:extLst>
            </c:dLbl>
            <c:dLbl>
              <c:idx val="210"/>
              <c:tx>
                <c:rich>
                  <a:bodyPr/>
                  <a:lstStyle/>
                  <a:p>
                    <a:fld id="{77DD084C-4409-4B4C-A4E6-095A3F6A08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24C6-4B9F-B6AA-B21B40164252}"/>
                </c:ext>
              </c:extLst>
            </c:dLbl>
            <c:dLbl>
              <c:idx val="211"/>
              <c:tx>
                <c:rich>
                  <a:bodyPr/>
                  <a:lstStyle/>
                  <a:p>
                    <a:fld id="{AB015496-6FDE-44EA-B5C3-18E1F9B01C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24C6-4B9F-B6AA-B21B40164252}"/>
                </c:ext>
              </c:extLst>
            </c:dLbl>
            <c:dLbl>
              <c:idx val="212"/>
              <c:tx>
                <c:rich>
                  <a:bodyPr/>
                  <a:lstStyle/>
                  <a:p>
                    <a:fld id="{F0797109-A04E-4F9C-AE0B-D564628383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24C6-4B9F-B6AA-B21B40164252}"/>
                </c:ext>
              </c:extLst>
            </c:dLbl>
            <c:dLbl>
              <c:idx val="213"/>
              <c:tx>
                <c:rich>
                  <a:bodyPr/>
                  <a:lstStyle/>
                  <a:p>
                    <a:fld id="{D0C0038B-0A65-460C-9D81-67AEAA91FA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24C6-4B9F-B6AA-B21B40164252}"/>
                </c:ext>
              </c:extLst>
            </c:dLbl>
            <c:dLbl>
              <c:idx val="214"/>
              <c:tx>
                <c:rich>
                  <a:bodyPr/>
                  <a:lstStyle/>
                  <a:p>
                    <a:fld id="{0382A5CF-11D3-47C2-AAB9-8848A37534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24C6-4B9F-B6AA-B21B40164252}"/>
                </c:ext>
              </c:extLst>
            </c:dLbl>
            <c:dLbl>
              <c:idx val="215"/>
              <c:tx>
                <c:rich>
                  <a:bodyPr/>
                  <a:lstStyle/>
                  <a:p>
                    <a:fld id="{38A266EF-CF4B-4FFD-9D92-BF220B9B89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24C6-4B9F-B6AA-B21B40164252}"/>
                </c:ext>
              </c:extLst>
            </c:dLbl>
            <c:dLbl>
              <c:idx val="216"/>
              <c:tx>
                <c:rich>
                  <a:bodyPr/>
                  <a:lstStyle/>
                  <a:p>
                    <a:fld id="{438C7418-248D-4134-839C-557C2C60E2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24C6-4B9F-B6AA-B21B40164252}"/>
                </c:ext>
              </c:extLst>
            </c:dLbl>
            <c:dLbl>
              <c:idx val="217"/>
              <c:tx>
                <c:rich>
                  <a:bodyPr/>
                  <a:lstStyle/>
                  <a:p>
                    <a:fld id="{234C2719-72DE-4E54-926B-0DBE9AD698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24C6-4B9F-B6AA-B21B40164252}"/>
                </c:ext>
              </c:extLst>
            </c:dLbl>
            <c:dLbl>
              <c:idx val="218"/>
              <c:tx>
                <c:rich>
                  <a:bodyPr/>
                  <a:lstStyle/>
                  <a:p>
                    <a:fld id="{29999822-AEDB-4589-AAEB-2311F06B65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24C6-4B9F-B6AA-B21B40164252}"/>
                </c:ext>
              </c:extLst>
            </c:dLbl>
            <c:dLbl>
              <c:idx val="219"/>
              <c:tx>
                <c:rich>
                  <a:bodyPr/>
                  <a:lstStyle/>
                  <a:p>
                    <a:fld id="{D646AE88-CB34-4723-ABA1-49EF1EB6B8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24C6-4B9F-B6AA-B21B40164252}"/>
                </c:ext>
              </c:extLst>
            </c:dLbl>
            <c:dLbl>
              <c:idx val="220"/>
              <c:tx>
                <c:rich>
                  <a:bodyPr/>
                  <a:lstStyle/>
                  <a:p>
                    <a:fld id="{A9E2496E-82C7-4628-BC53-36631B67B5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24C6-4B9F-B6AA-B21B40164252}"/>
                </c:ext>
              </c:extLst>
            </c:dLbl>
            <c:dLbl>
              <c:idx val="221"/>
              <c:tx>
                <c:rich>
                  <a:bodyPr/>
                  <a:lstStyle/>
                  <a:p>
                    <a:fld id="{0AB8D3D6-F7C9-4F0D-B6A2-12BCE15DA0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24C6-4B9F-B6AA-B21B40164252}"/>
                </c:ext>
              </c:extLst>
            </c:dLbl>
            <c:dLbl>
              <c:idx val="222"/>
              <c:tx>
                <c:rich>
                  <a:bodyPr/>
                  <a:lstStyle/>
                  <a:p>
                    <a:fld id="{F1401D17-8432-4A56-B76A-C23E0A6EBD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24C6-4B9F-B6AA-B21B40164252}"/>
                </c:ext>
              </c:extLst>
            </c:dLbl>
            <c:dLbl>
              <c:idx val="223"/>
              <c:tx>
                <c:rich>
                  <a:bodyPr/>
                  <a:lstStyle/>
                  <a:p>
                    <a:fld id="{5E98DE3E-53AE-494D-8137-D8C993B1B4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24C6-4B9F-B6AA-B21B40164252}"/>
                </c:ext>
              </c:extLst>
            </c:dLbl>
            <c:dLbl>
              <c:idx val="224"/>
              <c:tx>
                <c:rich>
                  <a:bodyPr/>
                  <a:lstStyle/>
                  <a:p>
                    <a:fld id="{C2E0EE4F-05CE-461C-A97B-980D98208C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24C6-4B9F-B6AA-B21B40164252}"/>
                </c:ext>
              </c:extLst>
            </c:dLbl>
            <c:dLbl>
              <c:idx val="225"/>
              <c:tx>
                <c:rich>
                  <a:bodyPr/>
                  <a:lstStyle/>
                  <a:p>
                    <a:fld id="{5C366298-E404-4B32-9C54-42660A8EC0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24C6-4B9F-B6AA-B21B40164252}"/>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24C6-4B9F-B6AA-B21B40164252}"/>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24C6-4B9F-B6AA-B21B40164252}"/>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24C6-4B9F-B6AA-B21B40164252}"/>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24C6-4B9F-B6AA-B21B40164252}"/>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24C6-4B9F-B6AA-B21B40164252}"/>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24C6-4B9F-B6AA-B21B40164252}"/>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24C6-4B9F-B6AA-B21B40164252}"/>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24C6-4B9F-B6AA-B21B40164252}"/>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24C6-4B9F-B6AA-B21B40164252}"/>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24C6-4B9F-B6AA-B21B40164252}"/>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24C6-4B9F-B6AA-B21B40164252}"/>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24C6-4B9F-B6AA-B21B40164252}"/>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24C6-4B9F-B6AA-B21B40164252}"/>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24C6-4B9F-B6AA-B21B40164252}"/>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24C6-4B9F-B6AA-B21B40164252}"/>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24C6-4B9F-B6AA-B21B40164252}"/>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24C6-4B9F-B6AA-B21B40164252}"/>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24C6-4B9F-B6AA-B21B40164252}"/>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24C6-4B9F-B6AA-B21B40164252}"/>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24C6-4B9F-B6AA-B21B40164252}"/>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24C6-4B9F-B6AA-B21B40164252}"/>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24C6-4B9F-B6AA-B21B40164252}"/>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24C6-4B9F-B6AA-B21B40164252}"/>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24C6-4B9F-B6AA-B21B40164252}"/>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24C6-4B9F-B6AA-B21B40164252}"/>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24C6-4B9F-B6AA-B21B40164252}"/>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24C6-4B9F-B6AA-B21B40164252}"/>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24C6-4B9F-B6AA-B21B40164252}"/>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24C6-4B9F-B6AA-B21B40164252}"/>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24C6-4B9F-B6AA-B21B40164252}"/>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24C6-4B9F-B6AA-B21B40164252}"/>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24C6-4B9F-B6AA-B21B40164252}"/>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24C6-4B9F-B6AA-B21B40164252}"/>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24C6-4B9F-B6AA-B21B40164252}"/>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24C6-4B9F-B6AA-B21B40164252}"/>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24C6-4B9F-B6AA-B21B40164252}"/>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24C6-4B9F-B6AA-B21B40164252}"/>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24C6-4B9F-B6AA-B21B40164252}"/>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24C6-4B9F-B6AA-B21B40164252}"/>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24C6-4B9F-B6AA-B21B40164252}"/>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24C6-4B9F-B6AA-B21B40164252}"/>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24C6-4B9F-B6AA-B21B40164252}"/>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24C6-4B9F-B6AA-B21B40164252}"/>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24C6-4B9F-B6AA-B21B40164252}"/>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24C6-4B9F-B6AA-B21B40164252}"/>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24C6-4B9F-B6AA-B21B40164252}"/>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24C6-4B9F-B6AA-B21B40164252}"/>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24C6-4B9F-B6AA-B21B40164252}"/>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24C6-4B9F-B6AA-B21B40164252}"/>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24C6-4B9F-B6AA-B21B40164252}"/>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24C6-4B9F-B6AA-B21B40164252}"/>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24C6-4B9F-B6AA-B21B40164252}"/>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24C6-4B9F-B6AA-B21B40164252}"/>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24C6-4B9F-B6AA-B21B40164252}"/>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24C6-4B9F-B6AA-B21B40164252}"/>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24C6-4B9F-B6AA-B21B40164252}"/>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24C6-4B9F-B6AA-B21B40164252}"/>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24C6-4B9F-B6AA-B21B40164252}"/>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24C6-4B9F-B6AA-B21B40164252}"/>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24C6-4B9F-B6AA-B21B40164252}"/>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24C6-4B9F-B6AA-B21B40164252}"/>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24C6-4B9F-B6AA-B21B40164252}"/>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24C6-4B9F-B6AA-B21B40164252}"/>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24C6-4B9F-B6AA-B21B40164252}"/>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24C6-4B9F-B6AA-B21B40164252}"/>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24C6-4B9F-B6AA-B21B40164252}"/>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24C6-4B9F-B6AA-B21B40164252}"/>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24C6-4B9F-B6AA-B21B40164252}"/>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24C6-4B9F-B6AA-B21B40164252}"/>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24C6-4B9F-B6AA-B21B40164252}"/>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24C6-4B9F-B6AA-B21B40164252}"/>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24C6-4B9F-B6AA-B21B40164252}"/>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24C6-4B9F-B6AA-B21B40164252}"/>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NormalisedUVVisData!$K$2:$K$300</c:f>
              <c:numCache>
                <c:formatCode>General</c:formatCode>
                <c:ptCount val="299"/>
                <c:pt idx="0">
                  <c:v>97.231666564941406</c:v>
                </c:pt>
                <c:pt idx="1">
                  <c:v>97.702461242675781</c:v>
                </c:pt>
                <c:pt idx="2">
                  <c:v>99.214935302734375</c:v>
                </c:pt>
                <c:pt idx="3">
                  <c:v>99.824020385742188</c:v>
                </c:pt>
                <c:pt idx="4">
                  <c:v>100</c:v>
                </c:pt>
                <c:pt idx="5">
                  <c:v>99.652313232421875</c:v>
                </c:pt>
                <c:pt idx="6">
                  <c:v>98.9683837890625</c:v>
                </c:pt>
                <c:pt idx="7">
                  <c:v>98.498405456542969</c:v>
                </c:pt>
                <c:pt idx="8">
                  <c:v>98.147186279296875</c:v>
                </c:pt>
                <c:pt idx="9">
                  <c:v>97.258232116699219</c:v>
                </c:pt>
                <c:pt idx="10">
                  <c:v>95.807289123535156</c:v>
                </c:pt>
                <c:pt idx="11">
                  <c:v>93.949874877929688</c:v>
                </c:pt>
                <c:pt idx="12">
                  <c:v>91.768722534179688</c:v>
                </c:pt>
                <c:pt idx="13">
                  <c:v>89.120590209960938</c:v>
                </c:pt>
                <c:pt idx="14">
                  <c:v>85.748291015625</c:v>
                </c:pt>
                <c:pt idx="15">
                  <c:v>81.723762512207031</c:v>
                </c:pt>
                <c:pt idx="16">
                  <c:v>76.905647277832031</c:v>
                </c:pt>
                <c:pt idx="17">
                  <c:v>71.357810974121094</c:v>
                </c:pt>
                <c:pt idx="18">
                  <c:v>65.578315734863281</c:v>
                </c:pt>
                <c:pt idx="19">
                  <c:v>60.135082244873047</c:v>
                </c:pt>
                <c:pt idx="20">
                  <c:v>55.504207611083984</c:v>
                </c:pt>
                <c:pt idx="21">
                  <c:v>51.397102355957031</c:v>
                </c:pt>
                <c:pt idx="22">
                  <c:v>47.146720886230469</c:v>
                </c:pt>
                <c:pt idx="23">
                  <c:v>42.575309753417969</c:v>
                </c:pt>
                <c:pt idx="24">
                  <c:v>37.582221984863281</c:v>
                </c:pt>
                <c:pt idx="25">
                  <c:v>32.808620452880859</c:v>
                </c:pt>
                <c:pt idx="26">
                  <c:v>28.587545394897461</c:v>
                </c:pt>
                <c:pt idx="27">
                  <c:v>25.615516662597656</c:v>
                </c:pt>
                <c:pt idx="28">
                  <c:v>23.879838943481445</c:v>
                </c:pt>
                <c:pt idx="29">
                  <c:v>23.204858779907227</c:v>
                </c:pt>
                <c:pt idx="30">
                  <c:v>23.225648880004883</c:v>
                </c:pt>
                <c:pt idx="31">
                  <c:v>23.510608673095703</c:v>
                </c:pt>
                <c:pt idx="32">
                  <c:v>23.856014251708984</c:v>
                </c:pt>
                <c:pt idx="33">
                  <c:v>24.337192535400391</c:v>
                </c:pt>
                <c:pt idx="34">
                  <c:v>24.892753601074219</c:v>
                </c:pt>
                <c:pt idx="35">
                  <c:v>25.785102844238281</c:v>
                </c:pt>
                <c:pt idx="36">
                  <c:v>26.789627075195313</c:v>
                </c:pt>
                <c:pt idx="37">
                  <c:v>27.775093078613281</c:v>
                </c:pt>
                <c:pt idx="38">
                  <c:v>28.960758209228516</c:v>
                </c:pt>
                <c:pt idx="39">
                  <c:v>30.224231719970703</c:v>
                </c:pt>
                <c:pt idx="40">
                  <c:v>31.290050506591797</c:v>
                </c:pt>
                <c:pt idx="41">
                  <c:v>32.472843170166016</c:v>
                </c:pt>
                <c:pt idx="42">
                  <c:v>33.637065887451172</c:v>
                </c:pt>
                <c:pt idx="43">
                  <c:v>34.506175994873047</c:v>
                </c:pt>
                <c:pt idx="44">
                  <c:v>35.017837524414063</c:v>
                </c:pt>
                <c:pt idx="45">
                  <c:v>35.357044219970703</c:v>
                </c:pt>
                <c:pt idx="46">
                  <c:v>35.226329803466797</c:v>
                </c:pt>
                <c:pt idx="47">
                  <c:v>34.560222625732422</c:v>
                </c:pt>
                <c:pt idx="48">
                  <c:v>33.566829681396484</c:v>
                </c:pt>
                <c:pt idx="49">
                  <c:v>32.086181640625</c:v>
                </c:pt>
                <c:pt idx="50">
                  <c:v>30.36065673828125</c:v>
                </c:pt>
                <c:pt idx="51">
                  <c:v>28.61890983581543</c:v>
                </c:pt>
                <c:pt idx="52">
                  <c:v>26.873800277709961</c:v>
                </c:pt>
                <c:pt idx="53">
                  <c:v>25.270437240600586</c:v>
                </c:pt>
                <c:pt idx="54">
                  <c:v>23.721807479858398</c:v>
                </c:pt>
                <c:pt idx="55">
                  <c:v>22.41779899597168</c:v>
                </c:pt>
                <c:pt idx="56">
                  <c:v>21.288400650024414</c:v>
                </c:pt>
                <c:pt idx="57">
                  <c:v>20.456888198852539</c:v>
                </c:pt>
                <c:pt idx="58">
                  <c:v>19.873813629150391</c:v>
                </c:pt>
                <c:pt idx="59">
                  <c:v>19.463459014892578</c:v>
                </c:pt>
                <c:pt idx="60">
                  <c:v>19.045696258544922</c:v>
                </c:pt>
                <c:pt idx="61">
                  <c:v>18.761030197143555</c:v>
                </c:pt>
                <c:pt idx="62">
                  <c:v>18.8035888671875</c:v>
                </c:pt>
                <c:pt idx="63">
                  <c:v>18.808191299438477</c:v>
                </c:pt>
                <c:pt idx="64">
                  <c:v>18.647026062011719</c:v>
                </c:pt>
                <c:pt idx="65">
                  <c:v>18.388763427734375</c:v>
                </c:pt>
                <c:pt idx="66">
                  <c:v>18.357038497924805</c:v>
                </c:pt>
                <c:pt idx="67">
                  <c:v>18.289022445678711</c:v>
                </c:pt>
                <c:pt idx="68">
                  <c:v>18.130435943603516</c:v>
                </c:pt>
                <c:pt idx="69">
                  <c:v>17.972795486450195</c:v>
                </c:pt>
                <c:pt idx="70">
                  <c:v>17.610809326171875</c:v>
                </c:pt>
                <c:pt idx="71">
                  <c:v>17.46632194519043</c:v>
                </c:pt>
                <c:pt idx="72">
                  <c:v>17.511623382568359</c:v>
                </c:pt>
                <c:pt idx="73">
                  <c:v>17.362043380737305</c:v>
                </c:pt>
                <c:pt idx="74">
                  <c:v>17.071338653564453</c:v>
                </c:pt>
                <c:pt idx="75">
                  <c:v>16.858737945556641</c:v>
                </c:pt>
                <c:pt idx="76">
                  <c:v>16.738956451416016</c:v>
                </c:pt>
                <c:pt idx="77">
                  <c:v>16.849664688110352</c:v>
                </c:pt>
                <c:pt idx="78">
                  <c:v>16.942485809326172</c:v>
                </c:pt>
                <c:pt idx="79">
                  <c:v>17.072254180908203</c:v>
                </c:pt>
                <c:pt idx="80">
                  <c:v>17.106718063354492</c:v>
                </c:pt>
                <c:pt idx="81">
                  <c:v>17.219058990478516</c:v>
                </c:pt>
                <c:pt idx="82">
                  <c:v>17.247747421264648</c:v>
                </c:pt>
                <c:pt idx="83">
                  <c:v>17.143436431884766</c:v>
                </c:pt>
                <c:pt idx="84">
                  <c:v>17.12907600402832</c:v>
                </c:pt>
                <c:pt idx="85">
                  <c:v>16.710136413574219</c:v>
                </c:pt>
                <c:pt idx="86">
                  <c:v>16.398740768432617</c:v>
                </c:pt>
                <c:pt idx="87">
                  <c:v>16.240968704223633</c:v>
                </c:pt>
                <c:pt idx="88">
                  <c:v>16.102716445922852</c:v>
                </c:pt>
                <c:pt idx="89">
                  <c:v>15.984012603759766</c:v>
                </c:pt>
                <c:pt idx="90">
                  <c:v>15.830516815185547</c:v>
                </c:pt>
                <c:pt idx="91">
                  <c:v>15.27730655670166</c:v>
                </c:pt>
                <c:pt idx="92">
                  <c:v>14.904093742370605</c:v>
                </c:pt>
                <c:pt idx="93">
                  <c:v>14.786467552185059</c:v>
                </c:pt>
                <c:pt idx="94">
                  <c:v>14.213968276977539</c:v>
                </c:pt>
                <c:pt idx="95">
                  <c:v>13.574724197387695</c:v>
                </c:pt>
                <c:pt idx="96">
                  <c:v>13.053140640258789</c:v>
                </c:pt>
                <c:pt idx="97">
                  <c:v>12.517848014831543</c:v>
                </c:pt>
                <c:pt idx="98">
                  <c:v>11.938136100769043</c:v>
                </c:pt>
                <c:pt idx="99">
                  <c:v>11.373307228088379</c:v>
                </c:pt>
                <c:pt idx="100">
                  <c:v>10.69218921661377</c:v>
                </c:pt>
                <c:pt idx="101">
                  <c:v>10.142210006713867</c:v>
                </c:pt>
                <c:pt idx="102">
                  <c:v>9.7845001220703125</c:v>
                </c:pt>
                <c:pt idx="103">
                  <c:v>9.2223796844482422</c:v>
                </c:pt>
                <c:pt idx="104">
                  <c:v>8.6328763961791992</c:v>
                </c:pt>
                <c:pt idx="105">
                  <c:v>8.3471651077270508</c:v>
                </c:pt>
                <c:pt idx="106">
                  <c:v>8.2401456832885742</c:v>
                </c:pt>
                <c:pt idx="107">
                  <c:v>7.9139313697814941</c:v>
                </c:pt>
                <c:pt idx="108">
                  <c:v>7.4252133369445801</c:v>
                </c:pt>
                <c:pt idx="109">
                  <c:v>7.0598335266113281</c:v>
                </c:pt>
                <c:pt idx="110">
                  <c:v>6.6328988075256348</c:v>
                </c:pt>
                <c:pt idx="111">
                  <c:v>6.2564873695373535</c:v>
                </c:pt>
                <c:pt idx="112">
                  <c:v>6.2353057861328125</c:v>
                </c:pt>
                <c:pt idx="113">
                  <c:v>6.2979702949523926</c:v>
                </c:pt>
                <c:pt idx="114">
                  <c:v>5.948615550994873</c:v>
                </c:pt>
                <c:pt idx="115">
                  <c:v>5.4371490478515625</c:v>
                </c:pt>
                <c:pt idx="116">
                  <c:v>5.2496776580810547</c:v>
                </c:pt>
                <c:pt idx="117">
                  <c:v>5.0568537712097168</c:v>
                </c:pt>
                <c:pt idx="118">
                  <c:v>4.808382511138916</c:v>
                </c:pt>
                <c:pt idx="119">
                  <c:v>4.4883036613464355</c:v>
                </c:pt>
                <c:pt idx="120">
                  <c:v>4.3023338317871094</c:v>
                </c:pt>
                <c:pt idx="121">
                  <c:v>4.4201235771179199</c:v>
                </c:pt>
                <c:pt idx="122">
                  <c:v>4.3619956970214844</c:v>
                </c:pt>
                <c:pt idx="123">
                  <c:v>4.3252453804016113</c:v>
                </c:pt>
                <c:pt idx="124">
                  <c:v>4.4388246536254883</c:v>
                </c:pt>
                <c:pt idx="125">
                  <c:v>4.101872444152832</c:v>
                </c:pt>
                <c:pt idx="126">
                  <c:v>3.6715109348297119</c:v>
                </c:pt>
                <c:pt idx="127">
                  <c:v>3.917860746383667</c:v>
                </c:pt>
                <c:pt idx="128">
                  <c:v>4.1043205261230469</c:v>
                </c:pt>
                <c:pt idx="129">
                  <c:v>3.7930212020874023</c:v>
                </c:pt>
                <c:pt idx="130">
                  <c:v>3.687340259552002</c:v>
                </c:pt>
                <c:pt idx="131">
                  <c:v>3.5194840431213379</c:v>
                </c:pt>
                <c:pt idx="132">
                  <c:v>3.333416223526001</c:v>
                </c:pt>
                <c:pt idx="133">
                  <c:v>3.5486295223236084</c:v>
                </c:pt>
                <c:pt idx="134">
                  <c:v>3.6051583290100098</c:v>
                </c:pt>
                <c:pt idx="135">
                  <c:v>3.5984022617340088</c:v>
                </c:pt>
                <c:pt idx="136">
                  <c:v>4.1617302894592285</c:v>
                </c:pt>
                <c:pt idx="137">
                  <c:v>4.1027536392211914</c:v>
                </c:pt>
                <c:pt idx="138">
                  <c:v>3.8185439109802246</c:v>
                </c:pt>
                <c:pt idx="139">
                  <c:v>3.9476916790008545</c:v>
                </c:pt>
                <c:pt idx="140">
                  <c:v>4.1719455718994141</c:v>
                </c:pt>
                <c:pt idx="141">
                  <c:v>3.7993528842926025</c:v>
                </c:pt>
                <c:pt idx="142">
                  <c:v>3.2564237117767334</c:v>
                </c:pt>
                <c:pt idx="143">
                  <c:v>3.7926621437072754</c:v>
                </c:pt>
                <c:pt idx="144">
                  <c:v>3.9826793670654297</c:v>
                </c:pt>
                <c:pt idx="145">
                  <c:v>3.6331288814544678</c:v>
                </c:pt>
                <c:pt idx="146">
                  <c:v>3.4542412757873535</c:v>
                </c:pt>
                <c:pt idx="147">
                  <c:v>3.5993814468383789</c:v>
                </c:pt>
                <c:pt idx="148">
                  <c:v>3.3593957424163818</c:v>
                </c:pt>
                <c:pt idx="149">
                  <c:v>3.0830192565917969</c:v>
                </c:pt>
                <c:pt idx="150">
                  <c:v>3.3406291007995605</c:v>
                </c:pt>
                <c:pt idx="151">
                  <c:v>3.1787784099578857</c:v>
                </c:pt>
                <c:pt idx="152">
                  <c:v>3.086348295211792</c:v>
                </c:pt>
                <c:pt idx="153">
                  <c:v>3.2509078979492188</c:v>
                </c:pt>
                <c:pt idx="154">
                  <c:v>3.174959659576416</c:v>
                </c:pt>
                <c:pt idx="155">
                  <c:v>3.1427788734436035</c:v>
                </c:pt>
                <c:pt idx="156">
                  <c:v>3.1988179683685303</c:v>
                </c:pt>
                <c:pt idx="157">
                  <c:v>2.7466542720794678</c:v>
                </c:pt>
                <c:pt idx="158">
                  <c:v>2.6136553287506104</c:v>
                </c:pt>
                <c:pt idx="159">
                  <c:v>2.9338645935058594</c:v>
                </c:pt>
                <c:pt idx="160">
                  <c:v>3.2337076663970947</c:v>
                </c:pt>
                <c:pt idx="161">
                  <c:v>3.5418083667755127</c:v>
                </c:pt>
                <c:pt idx="162">
                  <c:v>3.6252632141113281</c:v>
                </c:pt>
                <c:pt idx="163">
                  <c:v>3.502936840057373</c:v>
                </c:pt>
                <c:pt idx="164">
                  <c:v>3.5811042785644531</c:v>
                </c:pt>
                <c:pt idx="165">
                  <c:v>3.2467303276062012</c:v>
                </c:pt>
                <c:pt idx="166">
                  <c:v>2.9486167430877686</c:v>
                </c:pt>
                <c:pt idx="167">
                  <c:v>2.8564150333404541</c:v>
                </c:pt>
                <c:pt idx="168">
                  <c:v>2.8006699085235596</c:v>
                </c:pt>
                <c:pt idx="169">
                  <c:v>2.5803649425506592</c:v>
                </c:pt>
                <c:pt idx="170">
                  <c:v>2</c:v>
                </c:pt>
                <c:pt idx="171">
                  <c:v>2.463456392288208</c:v>
                </c:pt>
                <c:pt idx="172">
                  <c:v>3.1695091724395752</c:v>
                </c:pt>
                <c:pt idx="173">
                  <c:v>2.6614696979522705</c:v>
                </c:pt>
                <c:pt idx="174">
                  <c:v>2.3222653865814209</c:v>
                </c:pt>
                <c:pt idx="175">
                  <c:v>2.7849709987640381</c:v>
                </c:pt>
                <c:pt idx="176">
                  <c:v>2.5205070972442627</c:v>
                </c:pt>
                <c:pt idx="177">
                  <c:v>2.606703519821167</c:v>
                </c:pt>
                <c:pt idx="178">
                  <c:v>2.8529882431030273</c:v>
                </c:pt>
                <c:pt idx="179">
                  <c:v>2.5725970268249512</c:v>
                </c:pt>
                <c:pt idx="180">
                  <c:v>2.5561149120330811</c:v>
                </c:pt>
                <c:pt idx="181">
                  <c:v>2.4559171199798584</c:v>
                </c:pt>
                <c:pt idx="182">
                  <c:v>2.7225348949432373</c:v>
                </c:pt>
                <c:pt idx="183">
                  <c:v>3.0972819328308105</c:v>
                </c:pt>
                <c:pt idx="184">
                  <c:v>2.5455403327941895</c:v>
                </c:pt>
                <c:pt idx="185">
                  <c:v>2.6264820098876953</c:v>
                </c:pt>
                <c:pt idx="186">
                  <c:v>2.9829516410827637</c:v>
                </c:pt>
                <c:pt idx="187">
                  <c:v>2.2280726432800293</c:v>
                </c:pt>
                <c:pt idx="188">
                  <c:v>2.4169802665710449</c:v>
                </c:pt>
                <c:pt idx="189">
                  <c:v>3.0156874656677246</c:v>
                </c:pt>
                <c:pt idx="190">
                  <c:v>2.7931630611419678</c:v>
                </c:pt>
                <c:pt idx="191">
                  <c:v>3.0464649200439453</c:v>
                </c:pt>
                <c:pt idx="192">
                  <c:v>3.0317778587341309</c:v>
                </c:pt>
                <c:pt idx="193">
                  <c:v>2.7420849800109863</c:v>
                </c:pt>
                <c:pt idx="194">
                  <c:v>2.5857174396514893</c:v>
                </c:pt>
                <c:pt idx="195">
                  <c:v>2.3986704349517822</c:v>
                </c:pt>
                <c:pt idx="196">
                  <c:v>2.3572204113006592</c:v>
                </c:pt>
                <c:pt idx="197">
                  <c:v>2.5208334922790527</c:v>
                </c:pt>
                <c:pt idx="198">
                  <c:v>2.7708389759063721</c:v>
                </c:pt>
                <c:pt idx="199">
                  <c:v>2.760394811630249</c:v>
                </c:pt>
                <c:pt idx="200">
                  <c:v>2.6030480861663818</c:v>
                </c:pt>
                <c:pt idx="201">
                  <c:v>2.3898909091949463</c:v>
                </c:pt>
                <c:pt idx="202">
                  <c:v>2.6144061088562012</c:v>
                </c:pt>
                <c:pt idx="203">
                  <c:v>2.7558255195617676</c:v>
                </c:pt>
                <c:pt idx="204">
                  <c:v>2.5553643703460693</c:v>
                </c:pt>
                <c:pt idx="205">
                  <c:v>2.713559627532959</c:v>
                </c:pt>
                <c:pt idx="206">
                  <c:v>2.8396391868591309</c:v>
                </c:pt>
                <c:pt idx="207">
                  <c:v>2.8014857769012451</c:v>
                </c:pt>
                <c:pt idx="208">
                  <c:v>2.9529249668121338</c:v>
                </c:pt>
                <c:pt idx="209">
                  <c:v>2.9069383144378662</c:v>
                </c:pt>
                <c:pt idx="210">
                  <c:v>2.5465195178985596</c:v>
                </c:pt>
                <c:pt idx="211">
                  <c:v>2.7389190196990967</c:v>
                </c:pt>
                <c:pt idx="212">
                  <c:v>3.0371303558349609</c:v>
                </c:pt>
                <c:pt idx="213">
                  <c:v>2.7800099849700928</c:v>
                </c:pt>
                <c:pt idx="214">
                  <c:v>2.4499442577362061</c:v>
                </c:pt>
                <c:pt idx="215">
                  <c:v>2.676842212677002</c:v>
                </c:pt>
                <c:pt idx="216">
                  <c:v>2.8554685115814209</c:v>
                </c:pt>
                <c:pt idx="217">
                  <c:v>2.6787350177764893</c:v>
                </c:pt>
                <c:pt idx="218">
                  <c:v>2.5608475208282471</c:v>
                </c:pt>
                <c:pt idx="219">
                  <c:v>2.7011246681213379</c:v>
                </c:pt>
                <c:pt idx="220">
                  <c:v>2.8363754749298096</c:v>
                </c:pt>
                <c:pt idx="221">
                  <c:v>3.5270559787750244</c:v>
                </c:pt>
                <c:pt idx="222">
                  <c:v>2.7721443176269531</c:v>
                </c:pt>
                <c:pt idx="223">
                  <c:v>2.3537607192993164</c:v>
                </c:pt>
                <c:pt idx="224">
                  <c:v>2.3345046043395996</c:v>
                </c:pt>
                <c:pt idx="225">
                  <c:v>2.4427640438079834</c:v>
                </c:pt>
              </c:numCache>
            </c:numRef>
          </c:yVal>
          <c:smooth val="1"/>
          <c:extLst>
            <c:ext xmlns:c15="http://schemas.microsoft.com/office/drawing/2012/chart" uri="{02D57815-91ED-43cb-92C2-25804820EDAC}">
              <c15:datalabelsRange>
                <c15:f>PeakLabels!$K$2:$K$300</c15:f>
                <c15:dlblRangeCache>
                  <c:ptCount val="299"/>
                  <c:pt idx="4">
                    <c:v>198</c:v>
                  </c:pt>
                  <c:pt idx="45">
                    <c:v>280</c:v>
                  </c:pt>
                  <c:pt idx="63">
                    <c:v>316</c:v>
                  </c:pt>
                  <c:pt idx="72">
                    <c:v>334</c:v>
                  </c:pt>
                  <c:pt idx="82">
                    <c:v>354</c:v>
                  </c:pt>
                  <c:pt idx="88">
                    <c:v>368s</c:v>
                  </c:pt>
                  <c:pt idx="103">
                    <c:v>398s</c:v>
                  </c:pt>
                  <c:pt idx="113">
                    <c:v>416</c:v>
                  </c:pt>
                </c15:dlblRangeCache>
              </c15:datalabelsRange>
            </c:ext>
            <c:ext xmlns:c16="http://schemas.microsoft.com/office/drawing/2014/chart" uri="{C3380CC4-5D6E-409C-BE32-E72D297353CC}">
              <c16:uniqueId val="{00000000-8BC5-4749-BAA6-8AD47618D87D}"/>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CB2DB3C0-23C5-4230-91BD-04B5E48F6C62}"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8BC5-4749-BAA6-8AD47618D87D}"/>
                </c:ext>
              </c:extLst>
            </c:dLbl>
            <c:dLbl>
              <c:idx val="1"/>
              <c:tx>
                <c:rich>
                  <a:bodyPr/>
                  <a:lstStyle/>
                  <a:p>
                    <a:fld id="{91A851D8-7465-4D2B-8D33-1F0037294B59}"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8BC5-4749-BAA6-8AD47618D87D}"/>
                </c:ext>
              </c:extLst>
            </c:dLbl>
            <c:dLbl>
              <c:idx val="2"/>
              <c:tx>
                <c:rich>
                  <a:bodyPr/>
                  <a:lstStyle/>
                  <a:p>
                    <a:fld id="{4E56555A-16D2-4FF7-842A-B19426A1158C}"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8BC5-4749-BAA6-8AD47618D87D}"/>
                </c:ext>
              </c:extLst>
            </c:dLbl>
            <c:dLbl>
              <c:idx val="3"/>
              <c:tx>
                <c:rich>
                  <a:bodyPr/>
                  <a:lstStyle/>
                  <a:p>
                    <a:fld id="{B43838CA-37F4-4F55-8221-F920AE1F4CE3}"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8BC5-4749-BAA6-8AD47618D87D}"/>
                </c:ext>
              </c:extLst>
            </c:dLbl>
            <c:dLbl>
              <c:idx val="4"/>
              <c:tx>
                <c:rich>
                  <a:bodyPr/>
                  <a:lstStyle/>
                  <a:p>
                    <a:fld id="{4FB22952-8CB5-41EE-A285-9A4E32F0C99C}"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8BC5-4749-BAA6-8AD47618D87D}"/>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8BC5-4749-BAA6-8AD47618D87D}"/>
            </c:ext>
          </c:extLst>
        </c:ser>
        <c:dLbls>
          <c:showLegendKey val="0"/>
          <c:showVal val="0"/>
          <c:showCatName val="0"/>
          <c:showSerName val="0"/>
          <c:showPercent val="0"/>
          <c:showBubbleSize val="0"/>
        </c:dLbls>
        <c:axId val="1767899200"/>
        <c:axId val="1767896480"/>
      </c:scatterChart>
      <c:valAx>
        <c:axId val="1767899200"/>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896480"/>
        <c:crossesAt val="0"/>
        <c:crossBetween val="midCat"/>
        <c:majorUnit val="100"/>
      </c:valAx>
      <c:valAx>
        <c:axId val="1767896480"/>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899200"/>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6FA1EF79-51EF-4F44-8E9F-1956C6042C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D91-45CD-9B09-36D599D5F93B}"/>
                </c:ext>
              </c:extLst>
            </c:dLbl>
            <c:dLbl>
              <c:idx val="1"/>
              <c:tx>
                <c:rich>
                  <a:bodyPr/>
                  <a:lstStyle/>
                  <a:p>
                    <a:fld id="{E0E67C64-A3BC-4C5E-B892-68E1DFC318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D91-45CD-9B09-36D599D5F93B}"/>
                </c:ext>
              </c:extLst>
            </c:dLbl>
            <c:dLbl>
              <c:idx val="2"/>
              <c:tx>
                <c:rich>
                  <a:bodyPr/>
                  <a:lstStyle/>
                  <a:p>
                    <a:fld id="{DEE4B7EF-45D3-444F-93DF-F71ECF69F9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D91-45CD-9B09-36D599D5F93B}"/>
                </c:ext>
              </c:extLst>
            </c:dLbl>
            <c:dLbl>
              <c:idx val="3"/>
              <c:tx>
                <c:rich>
                  <a:bodyPr/>
                  <a:lstStyle/>
                  <a:p>
                    <a:fld id="{DE69A107-B6A0-435A-9D79-79CD6EAF8B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D91-45CD-9B09-36D599D5F93B}"/>
                </c:ext>
              </c:extLst>
            </c:dLbl>
            <c:dLbl>
              <c:idx val="4"/>
              <c:tx>
                <c:rich>
                  <a:bodyPr/>
                  <a:lstStyle/>
                  <a:p>
                    <a:fld id="{DAD57324-6AC1-4B75-9C5C-E170ABDD63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D91-45CD-9B09-36D599D5F93B}"/>
                </c:ext>
              </c:extLst>
            </c:dLbl>
            <c:dLbl>
              <c:idx val="5"/>
              <c:tx>
                <c:rich>
                  <a:bodyPr/>
                  <a:lstStyle/>
                  <a:p>
                    <a:fld id="{65976292-A8B4-4270-9D7F-F65D7B96D4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D91-45CD-9B09-36D599D5F93B}"/>
                </c:ext>
              </c:extLst>
            </c:dLbl>
            <c:dLbl>
              <c:idx val="6"/>
              <c:tx>
                <c:rich>
                  <a:bodyPr/>
                  <a:lstStyle/>
                  <a:p>
                    <a:fld id="{41A92118-8B97-45A5-B51C-2AE477AD2B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D91-45CD-9B09-36D599D5F93B}"/>
                </c:ext>
              </c:extLst>
            </c:dLbl>
            <c:dLbl>
              <c:idx val="7"/>
              <c:tx>
                <c:rich>
                  <a:bodyPr/>
                  <a:lstStyle/>
                  <a:p>
                    <a:fld id="{20BA1502-FCBF-4CE0-8E43-DE7592EB05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FD91-45CD-9B09-36D599D5F93B}"/>
                </c:ext>
              </c:extLst>
            </c:dLbl>
            <c:dLbl>
              <c:idx val="8"/>
              <c:tx>
                <c:rich>
                  <a:bodyPr/>
                  <a:lstStyle/>
                  <a:p>
                    <a:fld id="{ED64771B-A987-4090-96FC-67312C97F1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D91-45CD-9B09-36D599D5F93B}"/>
                </c:ext>
              </c:extLst>
            </c:dLbl>
            <c:dLbl>
              <c:idx val="9"/>
              <c:tx>
                <c:rich>
                  <a:bodyPr/>
                  <a:lstStyle/>
                  <a:p>
                    <a:fld id="{9A7D0E24-CB9F-423B-8DD6-896EEE7443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D91-45CD-9B09-36D599D5F93B}"/>
                </c:ext>
              </c:extLst>
            </c:dLbl>
            <c:dLbl>
              <c:idx val="10"/>
              <c:tx>
                <c:rich>
                  <a:bodyPr/>
                  <a:lstStyle/>
                  <a:p>
                    <a:fld id="{FF77187B-7D85-4AE2-BD54-E74C06D61D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D91-45CD-9B09-36D599D5F93B}"/>
                </c:ext>
              </c:extLst>
            </c:dLbl>
            <c:dLbl>
              <c:idx val="11"/>
              <c:tx>
                <c:rich>
                  <a:bodyPr/>
                  <a:lstStyle/>
                  <a:p>
                    <a:fld id="{C0AB3EE4-5988-4E41-817B-0346C1A6EC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D91-45CD-9B09-36D599D5F93B}"/>
                </c:ext>
              </c:extLst>
            </c:dLbl>
            <c:dLbl>
              <c:idx val="12"/>
              <c:tx>
                <c:rich>
                  <a:bodyPr/>
                  <a:lstStyle/>
                  <a:p>
                    <a:fld id="{3B8B1037-EA7D-418E-A5A7-A25613EBCE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FD91-45CD-9B09-36D599D5F93B}"/>
                </c:ext>
              </c:extLst>
            </c:dLbl>
            <c:dLbl>
              <c:idx val="13"/>
              <c:tx>
                <c:rich>
                  <a:bodyPr/>
                  <a:lstStyle/>
                  <a:p>
                    <a:fld id="{042C306F-C496-4B9B-8374-E9D298E647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FD91-45CD-9B09-36D599D5F93B}"/>
                </c:ext>
              </c:extLst>
            </c:dLbl>
            <c:dLbl>
              <c:idx val="14"/>
              <c:tx>
                <c:rich>
                  <a:bodyPr/>
                  <a:lstStyle/>
                  <a:p>
                    <a:fld id="{689674B3-0289-4A70-9A94-4B975F4C4B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FD91-45CD-9B09-36D599D5F93B}"/>
                </c:ext>
              </c:extLst>
            </c:dLbl>
            <c:dLbl>
              <c:idx val="15"/>
              <c:tx>
                <c:rich>
                  <a:bodyPr/>
                  <a:lstStyle/>
                  <a:p>
                    <a:fld id="{5B41A976-C8D1-47D9-BEF8-1AECB4EC08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FD91-45CD-9B09-36D599D5F93B}"/>
                </c:ext>
              </c:extLst>
            </c:dLbl>
            <c:dLbl>
              <c:idx val="16"/>
              <c:tx>
                <c:rich>
                  <a:bodyPr/>
                  <a:lstStyle/>
                  <a:p>
                    <a:fld id="{B168247E-083C-4EAC-8CB5-FBED1D9CA2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FD91-45CD-9B09-36D599D5F93B}"/>
                </c:ext>
              </c:extLst>
            </c:dLbl>
            <c:dLbl>
              <c:idx val="17"/>
              <c:tx>
                <c:rich>
                  <a:bodyPr/>
                  <a:lstStyle/>
                  <a:p>
                    <a:fld id="{0A79153A-4530-426A-8729-AAA42CA938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FD91-45CD-9B09-36D599D5F93B}"/>
                </c:ext>
              </c:extLst>
            </c:dLbl>
            <c:dLbl>
              <c:idx val="18"/>
              <c:tx>
                <c:rich>
                  <a:bodyPr/>
                  <a:lstStyle/>
                  <a:p>
                    <a:fld id="{17247204-3021-447B-B879-625B574876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FD91-45CD-9B09-36D599D5F93B}"/>
                </c:ext>
              </c:extLst>
            </c:dLbl>
            <c:dLbl>
              <c:idx val="19"/>
              <c:tx>
                <c:rich>
                  <a:bodyPr/>
                  <a:lstStyle/>
                  <a:p>
                    <a:fld id="{4127DC6F-6880-42EB-A567-F2BC10E41C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FD91-45CD-9B09-36D599D5F93B}"/>
                </c:ext>
              </c:extLst>
            </c:dLbl>
            <c:dLbl>
              <c:idx val="20"/>
              <c:tx>
                <c:rich>
                  <a:bodyPr/>
                  <a:lstStyle/>
                  <a:p>
                    <a:fld id="{2BB09F68-C3B7-4EDE-A325-52BC3F2E56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FD91-45CD-9B09-36D599D5F93B}"/>
                </c:ext>
              </c:extLst>
            </c:dLbl>
            <c:dLbl>
              <c:idx val="21"/>
              <c:tx>
                <c:rich>
                  <a:bodyPr/>
                  <a:lstStyle/>
                  <a:p>
                    <a:fld id="{32ED9B55-D252-4DC2-AC96-D4BE120E60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D91-45CD-9B09-36D599D5F93B}"/>
                </c:ext>
              </c:extLst>
            </c:dLbl>
            <c:dLbl>
              <c:idx val="22"/>
              <c:tx>
                <c:rich>
                  <a:bodyPr/>
                  <a:lstStyle/>
                  <a:p>
                    <a:fld id="{A5F1E9AE-1F59-4829-A4C5-E057EC2137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D91-45CD-9B09-36D599D5F93B}"/>
                </c:ext>
              </c:extLst>
            </c:dLbl>
            <c:dLbl>
              <c:idx val="23"/>
              <c:tx>
                <c:rich>
                  <a:bodyPr/>
                  <a:lstStyle/>
                  <a:p>
                    <a:fld id="{6B77B738-E086-4089-BA68-AE65473F9C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D91-45CD-9B09-36D599D5F93B}"/>
                </c:ext>
              </c:extLst>
            </c:dLbl>
            <c:dLbl>
              <c:idx val="24"/>
              <c:tx>
                <c:rich>
                  <a:bodyPr/>
                  <a:lstStyle/>
                  <a:p>
                    <a:fld id="{3D4968E9-E2AC-4603-82A5-53FBB007FD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D91-45CD-9B09-36D599D5F93B}"/>
                </c:ext>
              </c:extLst>
            </c:dLbl>
            <c:dLbl>
              <c:idx val="25"/>
              <c:tx>
                <c:rich>
                  <a:bodyPr/>
                  <a:lstStyle/>
                  <a:p>
                    <a:fld id="{728AB9B2-FBF1-47CE-ACB7-0A559F7C14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D91-45CD-9B09-36D599D5F93B}"/>
                </c:ext>
              </c:extLst>
            </c:dLbl>
            <c:dLbl>
              <c:idx val="26"/>
              <c:tx>
                <c:rich>
                  <a:bodyPr/>
                  <a:lstStyle/>
                  <a:p>
                    <a:fld id="{0471CA11-CE37-4F7A-B787-12092E4A30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D91-45CD-9B09-36D599D5F93B}"/>
                </c:ext>
              </c:extLst>
            </c:dLbl>
            <c:dLbl>
              <c:idx val="27"/>
              <c:tx>
                <c:rich>
                  <a:bodyPr/>
                  <a:lstStyle/>
                  <a:p>
                    <a:fld id="{5C8108C1-57AB-4901-9F62-88EC6D0093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D91-45CD-9B09-36D599D5F93B}"/>
                </c:ext>
              </c:extLst>
            </c:dLbl>
            <c:dLbl>
              <c:idx val="28"/>
              <c:tx>
                <c:rich>
                  <a:bodyPr/>
                  <a:lstStyle/>
                  <a:p>
                    <a:fld id="{585757FD-67AD-4206-86FD-724E70CE5F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D91-45CD-9B09-36D599D5F93B}"/>
                </c:ext>
              </c:extLst>
            </c:dLbl>
            <c:dLbl>
              <c:idx val="29"/>
              <c:tx>
                <c:rich>
                  <a:bodyPr/>
                  <a:lstStyle/>
                  <a:p>
                    <a:fld id="{2A766A75-0FAD-48E8-AE6D-C0A15E325B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D91-45CD-9B09-36D599D5F93B}"/>
                </c:ext>
              </c:extLst>
            </c:dLbl>
            <c:dLbl>
              <c:idx val="30"/>
              <c:tx>
                <c:rich>
                  <a:bodyPr/>
                  <a:lstStyle/>
                  <a:p>
                    <a:fld id="{084DF0D3-BECE-44CA-89FC-AB4552F2BB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D91-45CD-9B09-36D599D5F93B}"/>
                </c:ext>
              </c:extLst>
            </c:dLbl>
            <c:dLbl>
              <c:idx val="31"/>
              <c:tx>
                <c:rich>
                  <a:bodyPr/>
                  <a:lstStyle/>
                  <a:p>
                    <a:fld id="{CE9EE161-E700-48B8-92AB-566257C952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FD91-45CD-9B09-36D599D5F93B}"/>
                </c:ext>
              </c:extLst>
            </c:dLbl>
            <c:dLbl>
              <c:idx val="32"/>
              <c:tx>
                <c:rich>
                  <a:bodyPr/>
                  <a:lstStyle/>
                  <a:p>
                    <a:fld id="{DC831574-677B-44A0-B723-C8BF0A63BF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FD91-45CD-9B09-36D599D5F93B}"/>
                </c:ext>
              </c:extLst>
            </c:dLbl>
            <c:dLbl>
              <c:idx val="33"/>
              <c:tx>
                <c:rich>
                  <a:bodyPr/>
                  <a:lstStyle/>
                  <a:p>
                    <a:fld id="{AC231F98-8FD1-44AA-86BC-8BCAB76939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FD91-45CD-9B09-36D599D5F93B}"/>
                </c:ext>
              </c:extLst>
            </c:dLbl>
            <c:dLbl>
              <c:idx val="34"/>
              <c:tx>
                <c:rich>
                  <a:bodyPr/>
                  <a:lstStyle/>
                  <a:p>
                    <a:fld id="{BBFF87D6-E3EB-49C2-B79A-A713698374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FD91-45CD-9B09-36D599D5F93B}"/>
                </c:ext>
              </c:extLst>
            </c:dLbl>
            <c:dLbl>
              <c:idx val="35"/>
              <c:tx>
                <c:rich>
                  <a:bodyPr/>
                  <a:lstStyle/>
                  <a:p>
                    <a:fld id="{81DA696B-1379-47B6-A30E-AA8F42558B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FD91-45CD-9B09-36D599D5F93B}"/>
                </c:ext>
              </c:extLst>
            </c:dLbl>
            <c:dLbl>
              <c:idx val="36"/>
              <c:tx>
                <c:rich>
                  <a:bodyPr/>
                  <a:lstStyle/>
                  <a:p>
                    <a:fld id="{1EC08F87-6AF0-4466-AD38-813A42B657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FD91-45CD-9B09-36D599D5F93B}"/>
                </c:ext>
              </c:extLst>
            </c:dLbl>
            <c:dLbl>
              <c:idx val="37"/>
              <c:tx>
                <c:rich>
                  <a:bodyPr/>
                  <a:lstStyle/>
                  <a:p>
                    <a:fld id="{25C2BD75-CBCF-42BF-9EAE-7412801CF2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FD91-45CD-9B09-36D599D5F93B}"/>
                </c:ext>
              </c:extLst>
            </c:dLbl>
            <c:dLbl>
              <c:idx val="38"/>
              <c:tx>
                <c:rich>
                  <a:bodyPr/>
                  <a:lstStyle/>
                  <a:p>
                    <a:fld id="{AE3908C6-0937-42F2-B1BB-217E9D3D12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FD91-45CD-9B09-36D599D5F93B}"/>
                </c:ext>
              </c:extLst>
            </c:dLbl>
            <c:dLbl>
              <c:idx val="39"/>
              <c:tx>
                <c:rich>
                  <a:bodyPr/>
                  <a:lstStyle/>
                  <a:p>
                    <a:fld id="{4B58FFA2-67EA-4444-9CA2-29527575F6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FD91-45CD-9B09-36D599D5F93B}"/>
                </c:ext>
              </c:extLst>
            </c:dLbl>
            <c:dLbl>
              <c:idx val="40"/>
              <c:tx>
                <c:rich>
                  <a:bodyPr/>
                  <a:lstStyle/>
                  <a:p>
                    <a:fld id="{62CA4BEA-3D9F-4CC2-88AA-B85E18A299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FD91-45CD-9B09-36D599D5F93B}"/>
                </c:ext>
              </c:extLst>
            </c:dLbl>
            <c:dLbl>
              <c:idx val="41"/>
              <c:tx>
                <c:rich>
                  <a:bodyPr/>
                  <a:lstStyle/>
                  <a:p>
                    <a:fld id="{50D84C27-979B-495B-B4E0-6BDA5E1D29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FD91-45CD-9B09-36D599D5F93B}"/>
                </c:ext>
              </c:extLst>
            </c:dLbl>
            <c:dLbl>
              <c:idx val="42"/>
              <c:tx>
                <c:rich>
                  <a:bodyPr/>
                  <a:lstStyle/>
                  <a:p>
                    <a:fld id="{BDEC851B-6945-4C8A-AC48-F1BD9C8F5F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FD91-45CD-9B09-36D599D5F93B}"/>
                </c:ext>
              </c:extLst>
            </c:dLbl>
            <c:dLbl>
              <c:idx val="43"/>
              <c:tx>
                <c:rich>
                  <a:bodyPr/>
                  <a:lstStyle/>
                  <a:p>
                    <a:fld id="{97E0E7CB-13FB-4DEA-85DE-0B4235F8FB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FD91-45CD-9B09-36D599D5F93B}"/>
                </c:ext>
              </c:extLst>
            </c:dLbl>
            <c:dLbl>
              <c:idx val="44"/>
              <c:tx>
                <c:rich>
                  <a:bodyPr/>
                  <a:lstStyle/>
                  <a:p>
                    <a:fld id="{0E3F7E3C-4A92-473E-8EC0-C62A01AD7A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FD91-45CD-9B09-36D599D5F93B}"/>
                </c:ext>
              </c:extLst>
            </c:dLbl>
            <c:dLbl>
              <c:idx val="45"/>
              <c:tx>
                <c:rich>
                  <a:bodyPr/>
                  <a:lstStyle/>
                  <a:p>
                    <a:fld id="{0E381A27-DCF0-47AE-93A3-AD4CC760E4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FD91-45CD-9B09-36D599D5F93B}"/>
                </c:ext>
              </c:extLst>
            </c:dLbl>
            <c:dLbl>
              <c:idx val="46"/>
              <c:tx>
                <c:rich>
                  <a:bodyPr/>
                  <a:lstStyle/>
                  <a:p>
                    <a:fld id="{1B95598D-0FD9-4B56-8522-8E6173506D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FD91-45CD-9B09-36D599D5F93B}"/>
                </c:ext>
              </c:extLst>
            </c:dLbl>
            <c:dLbl>
              <c:idx val="47"/>
              <c:tx>
                <c:rich>
                  <a:bodyPr/>
                  <a:lstStyle/>
                  <a:p>
                    <a:fld id="{505EEFB7-67D9-4AB4-9F69-114DCF7A3D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FD91-45CD-9B09-36D599D5F93B}"/>
                </c:ext>
              </c:extLst>
            </c:dLbl>
            <c:dLbl>
              <c:idx val="48"/>
              <c:tx>
                <c:rich>
                  <a:bodyPr/>
                  <a:lstStyle/>
                  <a:p>
                    <a:fld id="{CD66CD4E-C06F-4FBD-A402-C8163172DB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FD91-45CD-9B09-36D599D5F93B}"/>
                </c:ext>
              </c:extLst>
            </c:dLbl>
            <c:dLbl>
              <c:idx val="49"/>
              <c:tx>
                <c:rich>
                  <a:bodyPr/>
                  <a:lstStyle/>
                  <a:p>
                    <a:fld id="{3D8749ED-80E9-4F64-8844-0C2E7671AD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FD91-45CD-9B09-36D599D5F93B}"/>
                </c:ext>
              </c:extLst>
            </c:dLbl>
            <c:dLbl>
              <c:idx val="50"/>
              <c:tx>
                <c:rich>
                  <a:bodyPr/>
                  <a:lstStyle/>
                  <a:p>
                    <a:fld id="{8F156836-788F-409A-9B75-7D16FCD8D7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FD91-45CD-9B09-36D599D5F93B}"/>
                </c:ext>
              </c:extLst>
            </c:dLbl>
            <c:dLbl>
              <c:idx val="51"/>
              <c:tx>
                <c:rich>
                  <a:bodyPr/>
                  <a:lstStyle/>
                  <a:p>
                    <a:fld id="{8592D25E-F78B-40D6-9DA2-637CA50FAE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FD91-45CD-9B09-36D599D5F93B}"/>
                </c:ext>
              </c:extLst>
            </c:dLbl>
            <c:dLbl>
              <c:idx val="52"/>
              <c:tx>
                <c:rich>
                  <a:bodyPr/>
                  <a:lstStyle/>
                  <a:p>
                    <a:fld id="{9E785A35-A322-4CA1-B74F-751551224B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FD91-45CD-9B09-36D599D5F93B}"/>
                </c:ext>
              </c:extLst>
            </c:dLbl>
            <c:dLbl>
              <c:idx val="53"/>
              <c:tx>
                <c:rich>
                  <a:bodyPr/>
                  <a:lstStyle/>
                  <a:p>
                    <a:fld id="{A379C579-3630-4820-B8F2-14EE2FE39B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FD91-45CD-9B09-36D599D5F93B}"/>
                </c:ext>
              </c:extLst>
            </c:dLbl>
            <c:dLbl>
              <c:idx val="54"/>
              <c:tx>
                <c:rich>
                  <a:bodyPr/>
                  <a:lstStyle/>
                  <a:p>
                    <a:fld id="{84F46F80-F7FB-4496-9FAB-822F762EE7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FD91-45CD-9B09-36D599D5F93B}"/>
                </c:ext>
              </c:extLst>
            </c:dLbl>
            <c:dLbl>
              <c:idx val="55"/>
              <c:tx>
                <c:rich>
                  <a:bodyPr/>
                  <a:lstStyle/>
                  <a:p>
                    <a:fld id="{1A07E423-C667-4432-9D37-BF1A9E9063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FD91-45CD-9B09-36D599D5F93B}"/>
                </c:ext>
              </c:extLst>
            </c:dLbl>
            <c:dLbl>
              <c:idx val="56"/>
              <c:tx>
                <c:rich>
                  <a:bodyPr/>
                  <a:lstStyle/>
                  <a:p>
                    <a:fld id="{6211B293-E452-4B70-9450-286E836D20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FD91-45CD-9B09-36D599D5F93B}"/>
                </c:ext>
              </c:extLst>
            </c:dLbl>
            <c:dLbl>
              <c:idx val="57"/>
              <c:tx>
                <c:rich>
                  <a:bodyPr/>
                  <a:lstStyle/>
                  <a:p>
                    <a:fld id="{2F3BEEFF-57F2-4CC1-AC1A-6E70B396F7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FD91-45CD-9B09-36D599D5F93B}"/>
                </c:ext>
              </c:extLst>
            </c:dLbl>
            <c:dLbl>
              <c:idx val="58"/>
              <c:tx>
                <c:rich>
                  <a:bodyPr/>
                  <a:lstStyle/>
                  <a:p>
                    <a:fld id="{952E980B-5DD0-482A-9A76-6749EEC8C7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FD91-45CD-9B09-36D599D5F93B}"/>
                </c:ext>
              </c:extLst>
            </c:dLbl>
            <c:dLbl>
              <c:idx val="59"/>
              <c:tx>
                <c:rich>
                  <a:bodyPr/>
                  <a:lstStyle/>
                  <a:p>
                    <a:fld id="{8BE60242-4543-42BA-9DBF-C3A6F26142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FD91-45CD-9B09-36D599D5F93B}"/>
                </c:ext>
              </c:extLst>
            </c:dLbl>
            <c:dLbl>
              <c:idx val="60"/>
              <c:tx>
                <c:rich>
                  <a:bodyPr/>
                  <a:lstStyle/>
                  <a:p>
                    <a:fld id="{0204B25D-A507-46C9-B50C-BF10926D3C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FD91-45CD-9B09-36D599D5F93B}"/>
                </c:ext>
              </c:extLst>
            </c:dLbl>
            <c:dLbl>
              <c:idx val="61"/>
              <c:tx>
                <c:rich>
                  <a:bodyPr/>
                  <a:lstStyle/>
                  <a:p>
                    <a:fld id="{26E6310B-694D-4C3B-BB3E-0459B349EE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FD91-45CD-9B09-36D599D5F93B}"/>
                </c:ext>
              </c:extLst>
            </c:dLbl>
            <c:dLbl>
              <c:idx val="62"/>
              <c:tx>
                <c:rich>
                  <a:bodyPr/>
                  <a:lstStyle/>
                  <a:p>
                    <a:fld id="{95DE48FD-AA9F-48E3-A25B-87EAA50A49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FD91-45CD-9B09-36D599D5F93B}"/>
                </c:ext>
              </c:extLst>
            </c:dLbl>
            <c:dLbl>
              <c:idx val="63"/>
              <c:tx>
                <c:rich>
                  <a:bodyPr/>
                  <a:lstStyle/>
                  <a:p>
                    <a:fld id="{044C4A99-77DE-4BBE-ACC6-5EC9348A3F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FD91-45CD-9B09-36D599D5F93B}"/>
                </c:ext>
              </c:extLst>
            </c:dLbl>
            <c:dLbl>
              <c:idx val="64"/>
              <c:tx>
                <c:rich>
                  <a:bodyPr/>
                  <a:lstStyle/>
                  <a:p>
                    <a:fld id="{D4FF96C5-F731-440E-9F18-C8A709F334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FD91-45CD-9B09-36D599D5F93B}"/>
                </c:ext>
              </c:extLst>
            </c:dLbl>
            <c:dLbl>
              <c:idx val="65"/>
              <c:tx>
                <c:rich>
                  <a:bodyPr/>
                  <a:lstStyle/>
                  <a:p>
                    <a:fld id="{9983B8CA-721C-4222-855F-EC1B9A68AF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FD91-45CD-9B09-36D599D5F93B}"/>
                </c:ext>
              </c:extLst>
            </c:dLbl>
            <c:dLbl>
              <c:idx val="66"/>
              <c:tx>
                <c:rich>
                  <a:bodyPr/>
                  <a:lstStyle/>
                  <a:p>
                    <a:fld id="{93D18A8C-C56C-43F9-AE16-A65C58E48B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FD91-45CD-9B09-36D599D5F93B}"/>
                </c:ext>
              </c:extLst>
            </c:dLbl>
            <c:dLbl>
              <c:idx val="67"/>
              <c:tx>
                <c:rich>
                  <a:bodyPr/>
                  <a:lstStyle/>
                  <a:p>
                    <a:fld id="{4AA4AC7C-486D-4AEC-8652-C95D284670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FD91-45CD-9B09-36D599D5F93B}"/>
                </c:ext>
              </c:extLst>
            </c:dLbl>
            <c:dLbl>
              <c:idx val="68"/>
              <c:tx>
                <c:rich>
                  <a:bodyPr/>
                  <a:lstStyle/>
                  <a:p>
                    <a:fld id="{3975C794-B55A-47FF-A6ED-1413785476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FD91-45CD-9B09-36D599D5F93B}"/>
                </c:ext>
              </c:extLst>
            </c:dLbl>
            <c:dLbl>
              <c:idx val="69"/>
              <c:tx>
                <c:rich>
                  <a:bodyPr/>
                  <a:lstStyle/>
                  <a:p>
                    <a:fld id="{92D0632B-46D1-414A-B37D-1DB93C146B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FD91-45CD-9B09-36D599D5F93B}"/>
                </c:ext>
              </c:extLst>
            </c:dLbl>
            <c:dLbl>
              <c:idx val="70"/>
              <c:tx>
                <c:rich>
                  <a:bodyPr/>
                  <a:lstStyle/>
                  <a:p>
                    <a:fld id="{3A0D36FD-A5B4-4063-B713-3EF2ED51F9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FD91-45CD-9B09-36D599D5F93B}"/>
                </c:ext>
              </c:extLst>
            </c:dLbl>
            <c:dLbl>
              <c:idx val="71"/>
              <c:tx>
                <c:rich>
                  <a:bodyPr/>
                  <a:lstStyle/>
                  <a:p>
                    <a:fld id="{772D4B6C-1EB4-4B5B-A358-1F2C1D0DB9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FD91-45CD-9B09-36D599D5F93B}"/>
                </c:ext>
              </c:extLst>
            </c:dLbl>
            <c:dLbl>
              <c:idx val="72"/>
              <c:tx>
                <c:rich>
                  <a:bodyPr/>
                  <a:lstStyle/>
                  <a:p>
                    <a:fld id="{C48830B9-5C9F-47CB-8C1C-6DEC5D0A86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FD91-45CD-9B09-36D599D5F93B}"/>
                </c:ext>
              </c:extLst>
            </c:dLbl>
            <c:dLbl>
              <c:idx val="73"/>
              <c:tx>
                <c:rich>
                  <a:bodyPr/>
                  <a:lstStyle/>
                  <a:p>
                    <a:fld id="{21EDF566-1C37-4A73-BC40-15672B3568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FD91-45CD-9B09-36D599D5F93B}"/>
                </c:ext>
              </c:extLst>
            </c:dLbl>
            <c:dLbl>
              <c:idx val="74"/>
              <c:tx>
                <c:rich>
                  <a:bodyPr/>
                  <a:lstStyle/>
                  <a:p>
                    <a:fld id="{13849183-BA2C-4412-B109-AD72DB7B07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FD91-45CD-9B09-36D599D5F93B}"/>
                </c:ext>
              </c:extLst>
            </c:dLbl>
            <c:dLbl>
              <c:idx val="75"/>
              <c:tx>
                <c:rich>
                  <a:bodyPr/>
                  <a:lstStyle/>
                  <a:p>
                    <a:fld id="{8B04686A-FB0E-4E29-9724-01E76BF059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FD91-45CD-9B09-36D599D5F93B}"/>
                </c:ext>
              </c:extLst>
            </c:dLbl>
            <c:dLbl>
              <c:idx val="76"/>
              <c:tx>
                <c:rich>
                  <a:bodyPr/>
                  <a:lstStyle/>
                  <a:p>
                    <a:fld id="{137BB6A6-C02C-479C-B474-5A9646C60C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FD91-45CD-9B09-36D599D5F93B}"/>
                </c:ext>
              </c:extLst>
            </c:dLbl>
            <c:dLbl>
              <c:idx val="77"/>
              <c:tx>
                <c:rich>
                  <a:bodyPr/>
                  <a:lstStyle/>
                  <a:p>
                    <a:fld id="{DE84213A-A9AB-4B83-963E-B4A89FF83F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FD91-45CD-9B09-36D599D5F93B}"/>
                </c:ext>
              </c:extLst>
            </c:dLbl>
            <c:dLbl>
              <c:idx val="78"/>
              <c:tx>
                <c:rich>
                  <a:bodyPr/>
                  <a:lstStyle/>
                  <a:p>
                    <a:fld id="{A2EDCDB2-4B77-4D16-9FA3-FF6898F4F0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FD91-45CD-9B09-36D599D5F93B}"/>
                </c:ext>
              </c:extLst>
            </c:dLbl>
            <c:dLbl>
              <c:idx val="79"/>
              <c:tx>
                <c:rich>
                  <a:bodyPr/>
                  <a:lstStyle/>
                  <a:p>
                    <a:fld id="{4AD07B4F-65F5-4811-A1DE-E6A67220A5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FD91-45CD-9B09-36D599D5F93B}"/>
                </c:ext>
              </c:extLst>
            </c:dLbl>
            <c:dLbl>
              <c:idx val="80"/>
              <c:tx>
                <c:rich>
                  <a:bodyPr/>
                  <a:lstStyle/>
                  <a:p>
                    <a:fld id="{0D6430CB-1C55-4D2A-B2E8-8BCD58A923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FD91-45CD-9B09-36D599D5F93B}"/>
                </c:ext>
              </c:extLst>
            </c:dLbl>
            <c:dLbl>
              <c:idx val="81"/>
              <c:tx>
                <c:rich>
                  <a:bodyPr/>
                  <a:lstStyle/>
                  <a:p>
                    <a:fld id="{72724AE7-D38C-471C-A16E-6B32929AF4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FD91-45CD-9B09-36D599D5F93B}"/>
                </c:ext>
              </c:extLst>
            </c:dLbl>
            <c:dLbl>
              <c:idx val="82"/>
              <c:tx>
                <c:rich>
                  <a:bodyPr/>
                  <a:lstStyle/>
                  <a:p>
                    <a:fld id="{D5CF531C-EB6F-4789-B897-8A2747A0CC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FD91-45CD-9B09-36D599D5F93B}"/>
                </c:ext>
              </c:extLst>
            </c:dLbl>
            <c:dLbl>
              <c:idx val="83"/>
              <c:tx>
                <c:rich>
                  <a:bodyPr/>
                  <a:lstStyle/>
                  <a:p>
                    <a:fld id="{2BC5F200-1D37-40B2-881C-99EE0D8659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FD91-45CD-9B09-36D599D5F93B}"/>
                </c:ext>
              </c:extLst>
            </c:dLbl>
            <c:dLbl>
              <c:idx val="84"/>
              <c:tx>
                <c:rich>
                  <a:bodyPr/>
                  <a:lstStyle/>
                  <a:p>
                    <a:fld id="{55D5800D-C6A4-4FBC-A4DB-DDD21B045D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FD91-45CD-9B09-36D599D5F93B}"/>
                </c:ext>
              </c:extLst>
            </c:dLbl>
            <c:dLbl>
              <c:idx val="85"/>
              <c:tx>
                <c:rich>
                  <a:bodyPr/>
                  <a:lstStyle/>
                  <a:p>
                    <a:fld id="{0433BB2B-37AB-42FE-BE3B-2CAA217DAD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FD91-45CD-9B09-36D599D5F93B}"/>
                </c:ext>
              </c:extLst>
            </c:dLbl>
            <c:dLbl>
              <c:idx val="86"/>
              <c:tx>
                <c:rich>
                  <a:bodyPr/>
                  <a:lstStyle/>
                  <a:p>
                    <a:fld id="{1B40EEA2-48FD-4C35-A12E-3FA3F2FA80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FD91-45CD-9B09-36D599D5F93B}"/>
                </c:ext>
              </c:extLst>
            </c:dLbl>
            <c:dLbl>
              <c:idx val="87"/>
              <c:tx>
                <c:rich>
                  <a:bodyPr/>
                  <a:lstStyle/>
                  <a:p>
                    <a:fld id="{E811A610-5A53-4B02-BE4E-E3EA822683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FD91-45CD-9B09-36D599D5F93B}"/>
                </c:ext>
              </c:extLst>
            </c:dLbl>
            <c:dLbl>
              <c:idx val="88"/>
              <c:tx>
                <c:rich>
                  <a:bodyPr/>
                  <a:lstStyle/>
                  <a:p>
                    <a:fld id="{2376E45B-42FE-4B7A-BCE4-B51FB1AB33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FD91-45CD-9B09-36D599D5F93B}"/>
                </c:ext>
              </c:extLst>
            </c:dLbl>
            <c:dLbl>
              <c:idx val="89"/>
              <c:tx>
                <c:rich>
                  <a:bodyPr/>
                  <a:lstStyle/>
                  <a:p>
                    <a:fld id="{0A2B99AA-128C-49E3-8D77-FC10D27F32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FD91-45CD-9B09-36D599D5F93B}"/>
                </c:ext>
              </c:extLst>
            </c:dLbl>
            <c:dLbl>
              <c:idx val="90"/>
              <c:tx>
                <c:rich>
                  <a:bodyPr/>
                  <a:lstStyle/>
                  <a:p>
                    <a:fld id="{CF7FDD04-C53F-4F06-8765-C5C3EC234B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FD91-45CD-9B09-36D599D5F93B}"/>
                </c:ext>
              </c:extLst>
            </c:dLbl>
            <c:dLbl>
              <c:idx val="91"/>
              <c:tx>
                <c:rich>
                  <a:bodyPr/>
                  <a:lstStyle/>
                  <a:p>
                    <a:fld id="{A82303D5-3B46-43B7-9D73-12B56ECCC7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FD91-45CD-9B09-36D599D5F93B}"/>
                </c:ext>
              </c:extLst>
            </c:dLbl>
            <c:dLbl>
              <c:idx val="92"/>
              <c:tx>
                <c:rich>
                  <a:bodyPr/>
                  <a:lstStyle/>
                  <a:p>
                    <a:fld id="{7B57AECB-0A00-49A0-A72F-12A0C78F29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FD91-45CD-9B09-36D599D5F93B}"/>
                </c:ext>
              </c:extLst>
            </c:dLbl>
            <c:dLbl>
              <c:idx val="93"/>
              <c:tx>
                <c:rich>
                  <a:bodyPr/>
                  <a:lstStyle/>
                  <a:p>
                    <a:fld id="{05A4E2A7-F704-402F-9B7B-AFC333B8D9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FD91-45CD-9B09-36D599D5F93B}"/>
                </c:ext>
              </c:extLst>
            </c:dLbl>
            <c:dLbl>
              <c:idx val="94"/>
              <c:tx>
                <c:rich>
                  <a:bodyPr/>
                  <a:lstStyle/>
                  <a:p>
                    <a:fld id="{01B595A7-9742-4AAC-805F-55E52B0DF0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FD91-45CD-9B09-36D599D5F93B}"/>
                </c:ext>
              </c:extLst>
            </c:dLbl>
            <c:dLbl>
              <c:idx val="95"/>
              <c:tx>
                <c:rich>
                  <a:bodyPr/>
                  <a:lstStyle/>
                  <a:p>
                    <a:fld id="{23A3206B-5822-4709-8AFA-E6067A9307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FD91-45CD-9B09-36D599D5F93B}"/>
                </c:ext>
              </c:extLst>
            </c:dLbl>
            <c:dLbl>
              <c:idx val="96"/>
              <c:tx>
                <c:rich>
                  <a:bodyPr/>
                  <a:lstStyle/>
                  <a:p>
                    <a:fld id="{69D14D79-F9A0-43FB-A5B1-9A9D8D38F0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FD91-45CD-9B09-36D599D5F93B}"/>
                </c:ext>
              </c:extLst>
            </c:dLbl>
            <c:dLbl>
              <c:idx val="97"/>
              <c:tx>
                <c:rich>
                  <a:bodyPr/>
                  <a:lstStyle/>
                  <a:p>
                    <a:fld id="{6F2E0691-FF83-4909-A193-C87DA88E7C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FD91-45CD-9B09-36D599D5F93B}"/>
                </c:ext>
              </c:extLst>
            </c:dLbl>
            <c:dLbl>
              <c:idx val="98"/>
              <c:tx>
                <c:rich>
                  <a:bodyPr/>
                  <a:lstStyle/>
                  <a:p>
                    <a:fld id="{2A4E9162-4C29-4779-AD8D-6264AFD6F7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FD91-45CD-9B09-36D599D5F93B}"/>
                </c:ext>
              </c:extLst>
            </c:dLbl>
            <c:dLbl>
              <c:idx val="99"/>
              <c:tx>
                <c:rich>
                  <a:bodyPr/>
                  <a:lstStyle/>
                  <a:p>
                    <a:fld id="{A9F4685B-4CE1-447F-852A-9A1C492CD6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FD91-45CD-9B09-36D599D5F93B}"/>
                </c:ext>
              </c:extLst>
            </c:dLbl>
            <c:dLbl>
              <c:idx val="100"/>
              <c:tx>
                <c:rich>
                  <a:bodyPr/>
                  <a:lstStyle/>
                  <a:p>
                    <a:fld id="{7221BD9E-F628-431B-9D50-56936D2C7C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FD91-45CD-9B09-36D599D5F93B}"/>
                </c:ext>
              </c:extLst>
            </c:dLbl>
            <c:dLbl>
              <c:idx val="101"/>
              <c:tx>
                <c:rich>
                  <a:bodyPr/>
                  <a:lstStyle/>
                  <a:p>
                    <a:fld id="{0337FF7F-1517-4739-A195-4B9741B044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FD91-45CD-9B09-36D599D5F93B}"/>
                </c:ext>
              </c:extLst>
            </c:dLbl>
            <c:dLbl>
              <c:idx val="102"/>
              <c:tx>
                <c:rich>
                  <a:bodyPr/>
                  <a:lstStyle/>
                  <a:p>
                    <a:fld id="{B89725F4-2122-4CE3-9A3C-3C8D1FFED3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FD91-45CD-9B09-36D599D5F93B}"/>
                </c:ext>
              </c:extLst>
            </c:dLbl>
            <c:dLbl>
              <c:idx val="103"/>
              <c:tx>
                <c:rich>
                  <a:bodyPr/>
                  <a:lstStyle/>
                  <a:p>
                    <a:fld id="{FCA040C1-177C-47FD-8E12-DC62D5926F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FD91-45CD-9B09-36D599D5F93B}"/>
                </c:ext>
              </c:extLst>
            </c:dLbl>
            <c:dLbl>
              <c:idx val="104"/>
              <c:tx>
                <c:rich>
                  <a:bodyPr/>
                  <a:lstStyle/>
                  <a:p>
                    <a:fld id="{73EF5501-8558-417E-81D4-0677334CFC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FD91-45CD-9B09-36D599D5F93B}"/>
                </c:ext>
              </c:extLst>
            </c:dLbl>
            <c:dLbl>
              <c:idx val="105"/>
              <c:tx>
                <c:rich>
                  <a:bodyPr/>
                  <a:lstStyle/>
                  <a:p>
                    <a:fld id="{01FA3B1B-217A-4A01-9F4F-2997392255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FD91-45CD-9B09-36D599D5F93B}"/>
                </c:ext>
              </c:extLst>
            </c:dLbl>
            <c:dLbl>
              <c:idx val="106"/>
              <c:tx>
                <c:rich>
                  <a:bodyPr/>
                  <a:lstStyle/>
                  <a:p>
                    <a:fld id="{731F8669-94F2-479B-9672-BAB8832ADA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FD91-45CD-9B09-36D599D5F93B}"/>
                </c:ext>
              </c:extLst>
            </c:dLbl>
            <c:dLbl>
              <c:idx val="107"/>
              <c:tx>
                <c:rich>
                  <a:bodyPr/>
                  <a:lstStyle/>
                  <a:p>
                    <a:fld id="{F1813D3C-E39E-4FAC-A1C6-84D132A8BE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FD91-45CD-9B09-36D599D5F93B}"/>
                </c:ext>
              </c:extLst>
            </c:dLbl>
            <c:dLbl>
              <c:idx val="108"/>
              <c:tx>
                <c:rich>
                  <a:bodyPr/>
                  <a:lstStyle/>
                  <a:p>
                    <a:fld id="{7CE2CA5A-0328-4AAB-9770-2E1423A9DB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FD91-45CD-9B09-36D599D5F93B}"/>
                </c:ext>
              </c:extLst>
            </c:dLbl>
            <c:dLbl>
              <c:idx val="109"/>
              <c:tx>
                <c:rich>
                  <a:bodyPr/>
                  <a:lstStyle/>
                  <a:p>
                    <a:fld id="{F7A47973-9629-47D4-8297-6709C53D14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FD91-45CD-9B09-36D599D5F93B}"/>
                </c:ext>
              </c:extLst>
            </c:dLbl>
            <c:dLbl>
              <c:idx val="110"/>
              <c:tx>
                <c:rich>
                  <a:bodyPr/>
                  <a:lstStyle/>
                  <a:p>
                    <a:fld id="{CDC8DD67-861A-4717-8E34-4F2E6241E7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FD91-45CD-9B09-36D599D5F93B}"/>
                </c:ext>
              </c:extLst>
            </c:dLbl>
            <c:dLbl>
              <c:idx val="111"/>
              <c:tx>
                <c:rich>
                  <a:bodyPr/>
                  <a:lstStyle/>
                  <a:p>
                    <a:fld id="{0A3A37E5-AE38-47D8-A2EA-3ACDA23E3D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FD91-45CD-9B09-36D599D5F93B}"/>
                </c:ext>
              </c:extLst>
            </c:dLbl>
            <c:dLbl>
              <c:idx val="112"/>
              <c:tx>
                <c:rich>
                  <a:bodyPr/>
                  <a:lstStyle/>
                  <a:p>
                    <a:fld id="{DE1B3BE9-485A-4226-8F6E-8FA4B93DF8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FD91-45CD-9B09-36D599D5F93B}"/>
                </c:ext>
              </c:extLst>
            </c:dLbl>
            <c:dLbl>
              <c:idx val="113"/>
              <c:tx>
                <c:rich>
                  <a:bodyPr/>
                  <a:lstStyle/>
                  <a:p>
                    <a:fld id="{F3A4251B-8541-412E-83B4-60547DE8C9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FD91-45CD-9B09-36D599D5F93B}"/>
                </c:ext>
              </c:extLst>
            </c:dLbl>
            <c:dLbl>
              <c:idx val="114"/>
              <c:tx>
                <c:rich>
                  <a:bodyPr/>
                  <a:lstStyle/>
                  <a:p>
                    <a:fld id="{4CF6C7AB-3FC8-4CA5-B38E-8A3F5458DB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FD91-45CD-9B09-36D599D5F93B}"/>
                </c:ext>
              </c:extLst>
            </c:dLbl>
            <c:dLbl>
              <c:idx val="115"/>
              <c:tx>
                <c:rich>
                  <a:bodyPr/>
                  <a:lstStyle/>
                  <a:p>
                    <a:fld id="{93AF9968-C2B1-4072-8CE7-A97993E3BC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FD91-45CD-9B09-36D599D5F93B}"/>
                </c:ext>
              </c:extLst>
            </c:dLbl>
            <c:dLbl>
              <c:idx val="116"/>
              <c:tx>
                <c:rich>
                  <a:bodyPr/>
                  <a:lstStyle/>
                  <a:p>
                    <a:fld id="{6A5CBDD8-040F-4FFC-9D5A-67C1A45926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FD91-45CD-9B09-36D599D5F93B}"/>
                </c:ext>
              </c:extLst>
            </c:dLbl>
            <c:dLbl>
              <c:idx val="117"/>
              <c:tx>
                <c:rich>
                  <a:bodyPr/>
                  <a:lstStyle/>
                  <a:p>
                    <a:fld id="{DA2C0AE2-56C6-4BA0-9A1E-29708BF63B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FD91-45CD-9B09-36D599D5F93B}"/>
                </c:ext>
              </c:extLst>
            </c:dLbl>
            <c:dLbl>
              <c:idx val="118"/>
              <c:tx>
                <c:rich>
                  <a:bodyPr/>
                  <a:lstStyle/>
                  <a:p>
                    <a:fld id="{71017A76-0B6E-4EE4-A161-44BFC3A079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FD91-45CD-9B09-36D599D5F93B}"/>
                </c:ext>
              </c:extLst>
            </c:dLbl>
            <c:dLbl>
              <c:idx val="119"/>
              <c:tx>
                <c:rich>
                  <a:bodyPr/>
                  <a:lstStyle/>
                  <a:p>
                    <a:fld id="{C767BA6A-5B43-4674-A106-A2FF4F987E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FD91-45CD-9B09-36D599D5F93B}"/>
                </c:ext>
              </c:extLst>
            </c:dLbl>
            <c:dLbl>
              <c:idx val="120"/>
              <c:tx>
                <c:rich>
                  <a:bodyPr/>
                  <a:lstStyle/>
                  <a:p>
                    <a:fld id="{DD29BFE4-EA51-463D-B999-22500E4440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FD91-45CD-9B09-36D599D5F93B}"/>
                </c:ext>
              </c:extLst>
            </c:dLbl>
            <c:dLbl>
              <c:idx val="121"/>
              <c:tx>
                <c:rich>
                  <a:bodyPr/>
                  <a:lstStyle/>
                  <a:p>
                    <a:fld id="{59B43C47-2658-40CE-92BD-348FA0B027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FD91-45CD-9B09-36D599D5F93B}"/>
                </c:ext>
              </c:extLst>
            </c:dLbl>
            <c:dLbl>
              <c:idx val="122"/>
              <c:tx>
                <c:rich>
                  <a:bodyPr/>
                  <a:lstStyle/>
                  <a:p>
                    <a:fld id="{69330473-7CD6-41AA-8347-B14B4ED1F3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FD91-45CD-9B09-36D599D5F93B}"/>
                </c:ext>
              </c:extLst>
            </c:dLbl>
            <c:dLbl>
              <c:idx val="123"/>
              <c:tx>
                <c:rich>
                  <a:bodyPr/>
                  <a:lstStyle/>
                  <a:p>
                    <a:fld id="{BABD7986-C8E8-4875-956A-6908D054F7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FD91-45CD-9B09-36D599D5F93B}"/>
                </c:ext>
              </c:extLst>
            </c:dLbl>
            <c:dLbl>
              <c:idx val="124"/>
              <c:tx>
                <c:rich>
                  <a:bodyPr/>
                  <a:lstStyle/>
                  <a:p>
                    <a:fld id="{8D7E96B3-B86E-4AEB-95C8-67A10EB423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FD91-45CD-9B09-36D599D5F93B}"/>
                </c:ext>
              </c:extLst>
            </c:dLbl>
            <c:dLbl>
              <c:idx val="125"/>
              <c:tx>
                <c:rich>
                  <a:bodyPr/>
                  <a:lstStyle/>
                  <a:p>
                    <a:fld id="{3CF5A9B6-903D-4ABC-8D93-8E9E7EB8AE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FD91-45CD-9B09-36D599D5F93B}"/>
                </c:ext>
              </c:extLst>
            </c:dLbl>
            <c:dLbl>
              <c:idx val="126"/>
              <c:tx>
                <c:rich>
                  <a:bodyPr/>
                  <a:lstStyle/>
                  <a:p>
                    <a:fld id="{FAE29FDD-424F-4D53-A580-EC7336D1C0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FD91-45CD-9B09-36D599D5F93B}"/>
                </c:ext>
              </c:extLst>
            </c:dLbl>
            <c:dLbl>
              <c:idx val="127"/>
              <c:tx>
                <c:rich>
                  <a:bodyPr/>
                  <a:lstStyle/>
                  <a:p>
                    <a:fld id="{57ADEA0B-9574-4944-BAD3-7B66CF57FC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FD91-45CD-9B09-36D599D5F93B}"/>
                </c:ext>
              </c:extLst>
            </c:dLbl>
            <c:dLbl>
              <c:idx val="128"/>
              <c:tx>
                <c:rich>
                  <a:bodyPr/>
                  <a:lstStyle/>
                  <a:p>
                    <a:fld id="{C1139371-8CC5-42E0-B58D-550C36D2C0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FD91-45CD-9B09-36D599D5F93B}"/>
                </c:ext>
              </c:extLst>
            </c:dLbl>
            <c:dLbl>
              <c:idx val="129"/>
              <c:tx>
                <c:rich>
                  <a:bodyPr/>
                  <a:lstStyle/>
                  <a:p>
                    <a:fld id="{FDEEB6A0-A6E9-4009-B9BA-3CCBC5803B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FD91-45CD-9B09-36D599D5F93B}"/>
                </c:ext>
              </c:extLst>
            </c:dLbl>
            <c:dLbl>
              <c:idx val="130"/>
              <c:tx>
                <c:rich>
                  <a:bodyPr/>
                  <a:lstStyle/>
                  <a:p>
                    <a:fld id="{6A7A49BA-2865-4F9F-B64A-D1671F94AF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FD91-45CD-9B09-36D599D5F93B}"/>
                </c:ext>
              </c:extLst>
            </c:dLbl>
            <c:dLbl>
              <c:idx val="131"/>
              <c:tx>
                <c:rich>
                  <a:bodyPr/>
                  <a:lstStyle/>
                  <a:p>
                    <a:fld id="{DB48019F-844E-42CF-9AFE-DE2A492FA4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FD91-45CD-9B09-36D599D5F93B}"/>
                </c:ext>
              </c:extLst>
            </c:dLbl>
            <c:dLbl>
              <c:idx val="132"/>
              <c:tx>
                <c:rich>
                  <a:bodyPr/>
                  <a:lstStyle/>
                  <a:p>
                    <a:fld id="{381124D2-5344-4A74-8992-71A7D44D45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FD91-45CD-9B09-36D599D5F93B}"/>
                </c:ext>
              </c:extLst>
            </c:dLbl>
            <c:dLbl>
              <c:idx val="133"/>
              <c:tx>
                <c:rich>
                  <a:bodyPr/>
                  <a:lstStyle/>
                  <a:p>
                    <a:fld id="{2470BC97-365A-4731-9739-2C40BA7830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FD91-45CD-9B09-36D599D5F93B}"/>
                </c:ext>
              </c:extLst>
            </c:dLbl>
            <c:dLbl>
              <c:idx val="134"/>
              <c:tx>
                <c:rich>
                  <a:bodyPr/>
                  <a:lstStyle/>
                  <a:p>
                    <a:fld id="{F5B7180E-F493-4C7B-87A0-1C71451DE4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FD91-45CD-9B09-36D599D5F93B}"/>
                </c:ext>
              </c:extLst>
            </c:dLbl>
            <c:dLbl>
              <c:idx val="135"/>
              <c:tx>
                <c:rich>
                  <a:bodyPr/>
                  <a:lstStyle/>
                  <a:p>
                    <a:fld id="{B708B5CD-7533-4AD4-AD8C-86CA743502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FD91-45CD-9B09-36D599D5F93B}"/>
                </c:ext>
              </c:extLst>
            </c:dLbl>
            <c:dLbl>
              <c:idx val="136"/>
              <c:tx>
                <c:rich>
                  <a:bodyPr/>
                  <a:lstStyle/>
                  <a:p>
                    <a:fld id="{E780AD06-38BA-4A35-B9CF-E480D611AA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FD91-45CD-9B09-36D599D5F93B}"/>
                </c:ext>
              </c:extLst>
            </c:dLbl>
            <c:dLbl>
              <c:idx val="137"/>
              <c:tx>
                <c:rich>
                  <a:bodyPr/>
                  <a:lstStyle/>
                  <a:p>
                    <a:fld id="{8CF7599A-074F-4B54-A395-F06B846F5C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FD91-45CD-9B09-36D599D5F93B}"/>
                </c:ext>
              </c:extLst>
            </c:dLbl>
            <c:dLbl>
              <c:idx val="138"/>
              <c:tx>
                <c:rich>
                  <a:bodyPr/>
                  <a:lstStyle/>
                  <a:p>
                    <a:fld id="{CE01F9BF-822E-4BBB-9505-409BF0549F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FD91-45CD-9B09-36D599D5F93B}"/>
                </c:ext>
              </c:extLst>
            </c:dLbl>
            <c:dLbl>
              <c:idx val="139"/>
              <c:tx>
                <c:rich>
                  <a:bodyPr/>
                  <a:lstStyle/>
                  <a:p>
                    <a:fld id="{00E77CC4-5A04-4234-BCEF-83E20101CE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FD91-45CD-9B09-36D599D5F93B}"/>
                </c:ext>
              </c:extLst>
            </c:dLbl>
            <c:dLbl>
              <c:idx val="140"/>
              <c:tx>
                <c:rich>
                  <a:bodyPr/>
                  <a:lstStyle/>
                  <a:p>
                    <a:fld id="{18B9917B-C06C-422A-8C73-BB08D0ADBC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FD91-45CD-9B09-36D599D5F93B}"/>
                </c:ext>
              </c:extLst>
            </c:dLbl>
            <c:dLbl>
              <c:idx val="141"/>
              <c:tx>
                <c:rich>
                  <a:bodyPr/>
                  <a:lstStyle/>
                  <a:p>
                    <a:fld id="{4F5B86B5-16D0-403B-9056-CD058E7EB5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FD91-45CD-9B09-36D599D5F93B}"/>
                </c:ext>
              </c:extLst>
            </c:dLbl>
            <c:dLbl>
              <c:idx val="142"/>
              <c:tx>
                <c:rich>
                  <a:bodyPr/>
                  <a:lstStyle/>
                  <a:p>
                    <a:fld id="{14F5E65B-F245-4F89-889D-56B4AE5567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FD91-45CD-9B09-36D599D5F93B}"/>
                </c:ext>
              </c:extLst>
            </c:dLbl>
            <c:dLbl>
              <c:idx val="143"/>
              <c:tx>
                <c:rich>
                  <a:bodyPr/>
                  <a:lstStyle/>
                  <a:p>
                    <a:fld id="{8B7F8167-1F88-45EA-B29B-8862CCECFF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FD91-45CD-9B09-36D599D5F93B}"/>
                </c:ext>
              </c:extLst>
            </c:dLbl>
            <c:dLbl>
              <c:idx val="144"/>
              <c:tx>
                <c:rich>
                  <a:bodyPr/>
                  <a:lstStyle/>
                  <a:p>
                    <a:fld id="{A13B71E8-DB7B-4874-A706-78EDB13B89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FD91-45CD-9B09-36D599D5F93B}"/>
                </c:ext>
              </c:extLst>
            </c:dLbl>
            <c:dLbl>
              <c:idx val="145"/>
              <c:tx>
                <c:rich>
                  <a:bodyPr/>
                  <a:lstStyle/>
                  <a:p>
                    <a:fld id="{F87CCEAC-3022-4145-86AD-FCCE1A9108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FD91-45CD-9B09-36D599D5F93B}"/>
                </c:ext>
              </c:extLst>
            </c:dLbl>
            <c:dLbl>
              <c:idx val="146"/>
              <c:tx>
                <c:rich>
                  <a:bodyPr/>
                  <a:lstStyle/>
                  <a:p>
                    <a:fld id="{3B3E96BE-F94A-421B-BFA3-BEF9CB34EA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FD91-45CD-9B09-36D599D5F93B}"/>
                </c:ext>
              </c:extLst>
            </c:dLbl>
            <c:dLbl>
              <c:idx val="147"/>
              <c:tx>
                <c:rich>
                  <a:bodyPr/>
                  <a:lstStyle/>
                  <a:p>
                    <a:fld id="{2DFDB262-765D-4469-928C-D8DD1C9159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FD91-45CD-9B09-36D599D5F93B}"/>
                </c:ext>
              </c:extLst>
            </c:dLbl>
            <c:dLbl>
              <c:idx val="148"/>
              <c:tx>
                <c:rich>
                  <a:bodyPr/>
                  <a:lstStyle/>
                  <a:p>
                    <a:fld id="{BA391D10-382C-421D-A252-F3C5099839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FD91-45CD-9B09-36D599D5F93B}"/>
                </c:ext>
              </c:extLst>
            </c:dLbl>
            <c:dLbl>
              <c:idx val="149"/>
              <c:tx>
                <c:rich>
                  <a:bodyPr/>
                  <a:lstStyle/>
                  <a:p>
                    <a:fld id="{3C2ACB4E-B0DE-47F6-B7DB-B77BCA43EC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FD91-45CD-9B09-36D599D5F93B}"/>
                </c:ext>
              </c:extLst>
            </c:dLbl>
            <c:dLbl>
              <c:idx val="150"/>
              <c:tx>
                <c:rich>
                  <a:bodyPr/>
                  <a:lstStyle/>
                  <a:p>
                    <a:fld id="{406DF044-FA1A-4CD3-AF44-8DA34933EE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FD91-45CD-9B09-36D599D5F93B}"/>
                </c:ext>
              </c:extLst>
            </c:dLbl>
            <c:dLbl>
              <c:idx val="151"/>
              <c:tx>
                <c:rich>
                  <a:bodyPr/>
                  <a:lstStyle/>
                  <a:p>
                    <a:fld id="{0C5521F6-8D45-45AC-8BC0-118F06637E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FD91-45CD-9B09-36D599D5F93B}"/>
                </c:ext>
              </c:extLst>
            </c:dLbl>
            <c:dLbl>
              <c:idx val="152"/>
              <c:tx>
                <c:rich>
                  <a:bodyPr/>
                  <a:lstStyle/>
                  <a:p>
                    <a:fld id="{A73681DD-8C48-4AD3-9549-528B538CD4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FD91-45CD-9B09-36D599D5F93B}"/>
                </c:ext>
              </c:extLst>
            </c:dLbl>
            <c:dLbl>
              <c:idx val="153"/>
              <c:tx>
                <c:rich>
                  <a:bodyPr/>
                  <a:lstStyle/>
                  <a:p>
                    <a:fld id="{45E28732-D200-427B-8556-1314017BDA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FD91-45CD-9B09-36D599D5F93B}"/>
                </c:ext>
              </c:extLst>
            </c:dLbl>
            <c:dLbl>
              <c:idx val="154"/>
              <c:tx>
                <c:rich>
                  <a:bodyPr/>
                  <a:lstStyle/>
                  <a:p>
                    <a:fld id="{BC2B52EA-5441-4BAE-918B-FA869AD934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FD91-45CD-9B09-36D599D5F93B}"/>
                </c:ext>
              </c:extLst>
            </c:dLbl>
            <c:dLbl>
              <c:idx val="155"/>
              <c:tx>
                <c:rich>
                  <a:bodyPr/>
                  <a:lstStyle/>
                  <a:p>
                    <a:fld id="{2F9ADF6C-8BE6-4F65-BD21-2E107772F2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FD91-45CD-9B09-36D599D5F93B}"/>
                </c:ext>
              </c:extLst>
            </c:dLbl>
            <c:dLbl>
              <c:idx val="156"/>
              <c:tx>
                <c:rich>
                  <a:bodyPr/>
                  <a:lstStyle/>
                  <a:p>
                    <a:fld id="{4DF97ACE-959B-4C89-BE1E-DDA73D04A0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FD91-45CD-9B09-36D599D5F93B}"/>
                </c:ext>
              </c:extLst>
            </c:dLbl>
            <c:dLbl>
              <c:idx val="157"/>
              <c:tx>
                <c:rich>
                  <a:bodyPr/>
                  <a:lstStyle/>
                  <a:p>
                    <a:fld id="{4DF46921-257F-4DF0-B55C-C6E7ACC146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FD91-45CD-9B09-36D599D5F93B}"/>
                </c:ext>
              </c:extLst>
            </c:dLbl>
            <c:dLbl>
              <c:idx val="158"/>
              <c:tx>
                <c:rich>
                  <a:bodyPr/>
                  <a:lstStyle/>
                  <a:p>
                    <a:fld id="{104E2F79-1313-4CFB-B42A-B38F2E7119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FD91-45CD-9B09-36D599D5F93B}"/>
                </c:ext>
              </c:extLst>
            </c:dLbl>
            <c:dLbl>
              <c:idx val="159"/>
              <c:tx>
                <c:rich>
                  <a:bodyPr/>
                  <a:lstStyle/>
                  <a:p>
                    <a:fld id="{F2CF35E3-5E1F-414F-95B7-54EE81BBEE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FD91-45CD-9B09-36D599D5F93B}"/>
                </c:ext>
              </c:extLst>
            </c:dLbl>
            <c:dLbl>
              <c:idx val="160"/>
              <c:tx>
                <c:rich>
                  <a:bodyPr/>
                  <a:lstStyle/>
                  <a:p>
                    <a:fld id="{EB02C7D2-DD52-42E5-AE23-080D266C48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FD91-45CD-9B09-36D599D5F93B}"/>
                </c:ext>
              </c:extLst>
            </c:dLbl>
            <c:dLbl>
              <c:idx val="161"/>
              <c:tx>
                <c:rich>
                  <a:bodyPr/>
                  <a:lstStyle/>
                  <a:p>
                    <a:fld id="{7F5A9B57-5453-46BF-A04A-493A61C58E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FD91-45CD-9B09-36D599D5F93B}"/>
                </c:ext>
              </c:extLst>
            </c:dLbl>
            <c:dLbl>
              <c:idx val="162"/>
              <c:tx>
                <c:rich>
                  <a:bodyPr/>
                  <a:lstStyle/>
                  <a:p>
                    <a:fld id="{0080E67A-0C3D-4BE5-B671-D41CF15461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FD91-45CD-9B09-36D599D5F93B}"/>
                </c:ext>
              </c:extLst>
            </c:dLbl>
            <c:dLbl>
              <c:idx val="163"/>
              <c:tx>
                <c:rich>
                  <a:bodyPr/>
                  <a:lstStyle/>
                  <a:p>
                    <a:fld id="{872C2CE1-07B6-4EC1-BC4C-54B0C70BD4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FD91-45CD-9B09-36D599D5F93B}"/>
                </c:ext>
              </c:extLst>
            </c:dLbl>
            <c:dLbl>
              <c:idx val="164"/>
              <c:tx>
                <c:rich>
                  <a:bodyPr/>
                  <a:lstStyle/>
                  <a:p>
                    <a:fld id="{27FC4E6A-38C1-4A7E-93AE-76B65D3949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FD91-45CD-9B09-36D599D5F93B}"/>
                </c:ext>
              </c:extLst>
            </c:dLbl>
            <c:dLbl>
              <c:idx val="165"/>
              <c:tx>
                <c:rich>
                  <a:bodyPr/>
                  <a:lstStyle/>
                  <a:p>
                    <a:fld id="{6E5F8583-82F4-4F6C-A59A-28E3FF2F5B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FD91-45CD-9B09-36D599D5F93B}"/>
                </c:ext>
              </c:extLst>
            </c:dLbl>
            <c:dLbl>
              <c:idx val="166"/>
              <c:tx>
                <c:rich>
                  <a:bodyPr/>
                  <a:lstStyle/>
                  <a:p>
                    <a:fld id="{44A456ED-1F23-4DD3-AA39-C67F776019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FD91-45CD-9B09-36D599D5F93B}"/>
                </c:ext>
              </c:extLst>
            </c:dLbl>
            <c:dLbl>
              <c:idx val="167"/>
              <c:tx>
                <c:rich>
                  <a:bodyPr/>
                  <a:lstStyle/>
                  <a:p>
                    <a:fld id="{B453A4A7-9A79-46AE-945F-19D68A9E50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FD91-45CD-9B09-36D599D5F93B}"/>
                </c:ext>
              </c:extLst>
            </c:dLbl>
            <c:dLbl>
              <c:idx val="168"/>
              <c:tx>
                <c:rich>
                  <a:bodyPr/>
                  <a:lstStyle/>
                  <a:p>
                    <a:fld id="{1CDD2C5A-C21D-4533-865F-F211719AE6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FD91-45CD-9B09-36D599D5F93B}"/>
                </c:ext>
              </c:extLst>
            </c:dLbl>
            <c:dLbl>
              <c:idx val="169"/>
              <c:tx>
                <c:rich>
                  <a:bodyPr/>
                  <a:lstStyle/>
                  <a:p>
                    <a:fld id="{245A4D49-63B1-4931-9321-25CBC6389E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FD91-45CD-9B09-36D599D5F93B}"/>
                </c:ext>
              </c:extLst>
            </c:dLbl>
            <c:dLbl>
              <c:idx val="170"/>
              <c:tx>
                <c:rich>
                  <a:bodyPr/>
                  <a:lstStyle/>
                  <a:p>
                    <a:fld id="{063E9123-2B20-48AB-BE2C-E58BAEAF73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FD91-45CD-9B09-36D599D5F93B}"/>
                </c:ext>
              </c:extLst>
            </c:dLbl>
            <c:dLbl>
              <c:idx val="171"/>
              <c:tx>
                <c:rich>
                  <a:bodyPr/>
                  <a:lstStyle/>
                  <a:p>
                    <a:fld id="{83F8DEF3-05BB-437C-8D3D-266EF45B8D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FD91-45CD-9B09-36D599D5F93B}"/>
                </c:ext>
              </c:extLst>
            </c:dLbl>
            <c:dLbl>
              <c:idx val="172"/>
              <c:tx>
                <c:rich>
                  <a:bodyPr/>
                  <a:lstStyle/>
                  <a:p>
                    <a:fld id="{8AD78D3A-DFC1-4533-92D3-1FBA018314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FD91-45CD-9B09-36D599D5F93B}"/>
                </c:ext>
              </c:extLst>
            </c:dLbl>
            <c:dLbl>
              <c:idx val="173"/>
              <c:tx>
                <c:rich>
                  <a:bodyPr/>
                  <a:lstStyle/>
                  <a:p>
                    <a:fld id="{E45BCCBD-7DB1-4427-994C-42761D167B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FD91-45CD-9B09-36D599D5F93B}"/>
                </c:ext>
              </c:extLst>
            </c:dLbl>
            <c:dLbl>
              <c:idx val="174"/>
              <c:tx>
                <c:rich>
                  <a:bodyPr/>
                  <a:lstStyle/>
                  <a:p>
                    <a:fld id="{E79DD54E-60BC-47BA-81D6-E004B03F32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FD91-45CD-9B09-36D599D5F93B}"/>
                </c:ext>
              </c:extLst>
            </c:dLbl>
            <c:dLbl>
              <c:idx val="175"/>
              <c:tx>
                <c:rich>
                  <a:bodyPr/>
                  <a:lstStyle/>
                  <a:p>
                    <a:fld id="{C75A281E-FDAA-45C6-B487-D00680ADD8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FD91-45CD-9B09-36D599D5F93B}"/>
                </c:ext>
              </c:extLst>
            </c:dLbl>
            <c:dLbl>
              <c:idx val="176"/>
              <c:tx>
                <c:rich>
                  <a:bodyPr/>
                  <a:lstStyle/>
                  <a:p>
                    <a:fld id="{39399094-76D0-4E6C-B7AF-CBC9BCE34A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FD91-45CD-9B09-36D599D5F93B}"/>
                </c:ext>
              </c:extLst>
            </c:dLbl>
            <c:dLbl>
              <c:idx val="177"/>
              <c:tx>
                <c:rich>
                  <a:bodyPr/>
                  <a:lstStyle/>
                  <a:p>
                    <a:fld id="{9F1167E1-CCC9-4A87-9A38-A5951F3422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FD91-45CD-9B09-36D599D5F93B}"/>
                </c:ext>
              </c:extLst>
            </c:dLbl>
            <c:dLbl>
              <c:idx val="178"/>
              <c:tx>
                <c:rich>
                  <a:bodyPr/>
                  <a:lstStyle/>
                  <a:p>
                    <a:fld id="{185D4024-077E-49FE-ABE2-31552F206B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FD91-45CD-9B09-36D599D5F93B}"/>
                </c:ext>
              </c:extLst>
            </c:dLbl>
            <c:dLbl>
              <c:idx val="179"/>
              <c:tx>
                <c:rich>
                  <a:bodyPr/>
                  <a:lstStyle/>
                  <a:p>
                    <a:fld id="{C8EA7CAF-1BB3-4376-8F1F-5C8C36008B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FD91-45CD-9B09-36D599D5F93B}"/>
                </c:ext>
              </c:extLst>
            </c:dLbl>
            <c:dLbl>
              <c:idx val="180"/>
              <c:tx>
                <c:rich>
                  <a:bodyPr/>
                  <a:lstStyle/>
                  <a:p>
                    <a:fld id="{0A181156-449D-4B01-A4C1-4B4F1D713B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FD91-45CD-9B09-36D599D5F93B}"/>
                </c:ext>
              </c:extLst>
            </c:dLbl>
            <c:dLbl>
              <c:idx val="181"/>
              <c:tx>
                <c:rich>
                  <a:bodyPr/>
                  <a:lstStyle/>
                  <a:p>
                    <a:fld id="{CF060EDF-7A5C-4080-B30A-502F71B9C0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FD91-45CD-9B09-36D599D5F93B}"/>
                </c:ext>
              </c:extLst>
            </c:dLbl>
            <c:dLbl>
              <c:idx val="182"/>
              <c:tx>
                <c:rich>
                  <a:bodyPr/>
                  <a:lstStyle/>
                  <a:p>
                    <a:fld id="{E9C23121-595E-4E7D-A3A3-35F8D36CD9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FD91-45CD-9B09-36D599D5F93B}"/>
                </c:ext>
              </c:extLst>
            </c:dLbl>
            <c:dLbl>
              <c:idx val="183"/>
              <c:tx>
                <c:rich>
                  <a:bodyPr/>
                  <a:lstStyle/>
                  <a:p>
                    <a:fld id="{FF4297CB-5765-4ED8-8E72-948B7B9119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FD91-45CD-9B09-36D599D5F93B}"/>
                </c:ext>
              </c:extLst>
            </c:dLbl>
            <c:dLbl>
              <c:idx val="184"/>
              <c:tx>
                <c:rich>
                  <a:bodyPr/>
                  <a:lstStyle/>
                  <a:p>
                    <a:fld id="{4DF5FABF-B9C9-4A7D-B294-BE359E1DD8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FD91-45CD-9B09-36D599D5F93B}"/>
                </c:ext>
              </c:extLst>
            </c:dLbl>
            <c:dLbl>
              <c:idx val="185"/>
              <c:tx>
                <c:rich>
                  <a:bodyPr/>
                  <a:lstStyle/>
                  <a:p>
                    <a:fld id="{A350E4A7-69CB-49B7-A104-E8DC8D316A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FD91-45CD-9B09-36D599D5F93B}"/>
                </c:ext>
              </c:extLst>
            </c:dLbl>
            <c:dLbl>
              <c:idx val="186"/>
              <c:tx>
                <c:rich>
                  <a:bodyPr/>
                  <a:lstStyle/>
                  <a:p>
                    <a:fld id="{36CAF3F8-A8FD-4D78-BEFD-6F5E497BE3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FD91-45CD-9B09-36D599D5F93B}"/>
                </c:ext>
              </c:extLst>
            </c:dLbl>
            <c:dLbl>
              <c:idx val="187"/>
              <c:tx>
                <c:rich>
                  <a:bodyPr/>
                  <a:lstStyle/>
                  <a:p>
                    <a:fld id="{AA83B254-D9C3-42BB-AE09-4B56DDF8AF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FD91-45CD-9B09-36D599D5F93B}"/>
                </c:ext>
              </c:extLst>
            </c:dLbl>
            <c:dLbl>
              <c:idx val="188"/>
              <c:tx>
                <c:rich>
                  <a:bodyPr/>
                  <a:lstStyle/>
                  <a:p>
                    <a:fld id="{287B895B-6F52-4602-8DFE-E5649B88BB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FD91-45CD-9B09-36D599D5F93B}"/>
                </c:ext>
              </c:extLst>
            </c:dLbl>
            <c:dLbl>
              <c:idx val="189"/>
              <c:tx>
                <c:rich>
                  <a:bodyPr/>
                  <a:lstStyle/>
                  <a:p>
                    <a:fld id="{973BEB72-C401-4F3D-952C-D073D7920A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FD91-45CD-9B09-36D599D5F93B}"/>
                </c:ext>
              </c:extLst>
            </c:dLbl>
            <c:dLbl>
              <c:idx val="190"/>
              <c:tx>
                <c:rich>
                  <a:bodyPr/>
                  <a:lstStyle/>
                  <a:p>
                    <a:fld id="{3DA92F88-C235-4140-8A29-35958FEE9E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FD91-45CD-9B09-36D599D5F93B}"/>
                </c:ext>
              </c:extLst>
            </c:dLbl>
            <c:dLbl>
              <c:idx val="191"/>
              <c:tx>
                <c:rich>
                  <a:bodyPr/>
                  <a:lstStyle/>
                  <a:p>
                    <a:fld id="{E1EB22D3-2114-41E4-A654-D5B6E8E163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FD91-45CD-9B09-36D599D5F93B}"/>
                </c:ext>
              </c:extLst>
            </c:dLbl>
            <c:dLbl>
              <c:idx val="192"/>
              <c:tx>
                <c:rich>
                  <a:bodyPr/>
                  <a:lstStyle/>
                  <a:p>
                    <a:fld id="{1D1296EE-03C1-4FE5-B1B1-113F009BD2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FD91-45CD-9B09-36D599D5F93B}"/>
                </c:ext>
              </c:extLst>
            </c:dLbl>
            <c:dLbl>
              <c:idx val="193"/>
              <c:tx>
                <c:rich>
                  <a:bodyPr/>
                  <a:lstStyle/>
                  <a:p>
                    <a:fld id="{076AC22E-9B71-4B81-AED8-F5F1A4937A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FD91-45CD-9B09-36D599D5F93B}"/>
                </c:ext>
              </c:extLst>
            </c:dLbl>
            <c:dLbl>
              <c:idx val="194"/>
              <c:tx>
                <c:rich>
                  <a:bodyPr/>
                  <a:lstStyle/>
                  <a:p>
                    <a:fld id="{E8B56289-FBAF-47E8-88DD-BD949742E7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FD91-45CD-9B09-36D599D5F93B}"/>
                </c:ext>
              </c:extLst>
            </c:dLbl>
            <c:dLbl>
              <c:idx val="195"/>
              <c:tx>
                <c:rich>
                  <a:bodyPr/>
                  <a:lstStyle/>
                  <a:p>
                    <a:fld id="{D7EF4095-744C-4B30-96E3-C4546AE17B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FD91-45CD-9B09-36D599D5F93B}"/>
                </c:ext>
              </c:extLst>
            </c:dLbl>
            <c:dLbl>
              <c:idx val="196"/>
              <c:tx>
                <c:rich>
                  <a:bodyPr/>
                  <a:lstStyle/>
                  <a:p>
                    <a:fld id="{FCD9791F-672B-4EC0-A9AF-7F784400BA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FD91-45CD-9B09-36D599D5F93B}"/>
                </c:ext>
              </c:extLst>
            </c:dLbl>
            <c:dLbl>
              <c:idx val="197"/>
              <c:tx>
                <c:rich>
                  <a:bodyPr/>
                  <a:lstStyle/>
                  <a:p>
                    <a:fld id="{79BCBFC4-D819-4BB2-91F1-06DAD7F00C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FD91-45CD-9B09-36D599D5F93B}"/>
                </c:ext>
              </c:extLst>
            </c:dLbl>
            <c:dLbl>
              <c:idx val="198"/>
              <c:tx>
                <c:rich>
                  <a:bodyPr/>
                  <a:lstStyle/>
                  <a:p>
                    <a:fld id="{7C8BB2FF-0E2E-419F-8092-A12AD65A6B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FD91-45CD-9B09-36D599D5F93B}"/>
                </c:ext>
              </c:extLst>
            </c:dLbl>
            <c:dLbl>
              <c:idx val="199"/>
              <c:tx>
                <c:rich>
                  <a:bodyPr/>
                  <a:lstStyle/>
                  <a:p>
                    <a:fld id="{738EB2E5-654C-45EB-9D45-6260F6D595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FD91-45CD-9B09-36D599D5F93B}"/>
                </c:ext>
              </c:extLst>
            </c:dLbl>
            <c:dLbl>
              <c:idx val="200"/>
              <c:tx>
                <c:rich>
                  <a:bodyPr/>
                  <a:lstStyle/>
                  <a:p>
                    <a:fld id="{7ACDBE8D-A0F5-468C-9D01-20C6A60174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FD91-45CD-9B09-36D599D5F93B}"/>
                </c:ext>
              </c:extLst>
            </c:dLbl>
            <c:dLbl>
              <c:idx val="201"/>
              <c:tx>
                <c:rich>
                  <a:bodyPr/>
                  <a:lstStyle/>
                  <a:p>
                    <a:fld id="{736D5C7D-0CB7-496C-A777-1BD8FDEB21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FD91-45CD-9B09-36D599D5F93B}"/>
                </c:ext>
              </c:extLst>
            </c:dLbl>
            <c:dLbl>
              <c:idx val="202"/>
              <c:tx>
                <c:rich>
                  <a:bodyPr/>
                  <a:lstStyle/>
                  <a:p>
                    <a:fld id="{131E44A9-15BF-4576-93FB-E4F7D9D1C4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FD91-45CD-9B09-36D599D5F93B}"/>
                </c:ext>
              </c:extLst>
            </c:dLbl>
            <c:dLbl>
              <c:idx val="203"/>
              <c:tx>
                <c:rich>
                  <a:bodyPr/>
                  <a:lstStyle/>
                  <a:p>
                    <a:fld id="{7CE19EEF-C45C-409C-BADD-D3FE190F5E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FD91-45CD-9B09-36D599D5F93B}"/>
                </c:ext>
              </c:extLst>
            </c:dLbl>
            <c:dLbl>
              <c:idx val="204"/>
              <c:tx>
                <c:rich>
                  <a:bodyPr/>
                  <a:lstStyle/>
                  <a:p>
                    <a:fld id="{E303C46D-9328-4F74-88AC-15ED22EA79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FD91-45CD-9B09-36D599D5F93B}"/>
                </c:ext>
              </c:extLst>
            </c:dLbl>
            <c:dLbl>
              <c:idx val="205"/>
              <c:tx>
                <c:rich>
                  <a:bodyPr/>
                  <a:lstStyle/>
                  <a:p>
                    <a:fld id="{945DAD98-6FF4-4C11-BA73-71A4E387F0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FD91-45CD-9B09-36D599D5F93B}"/>
                </c:ext>
              </c:extLst>
            </c:dLbl>
            <c:dLbl>
              <c:idx val="206"/>
              <c:tx>
                <c:rich>
                  <a:bodyPr/>
                  <a:lstStyle/>
                  <a:p>
                    <a:fld id="{F6572077-F1AB-41E2-8410-BD4B98EB28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FD91-45CD-9B09-36D599D5F93B}"/>
                </c:ext>
              </c:extLst>
            </c:dLbl>
            <c:dLbl>
              <c:idx val="207"/>
              <c:tx>
                <c:rich>
                  <a:bodyPr/>
                  <a:lstStyle/>
                  <a:p>
                    <a:fld id="{C6E392C3-3B47-4D91-9988-116140401A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FD91-45CD-9B09-36D599D5F93B}"/>
                </c:ext>
              </c:extLst>
            </c:dLbl>
            <c:dLbl>
              <c:idx val="208"/>
              <c:tx>
                <c:rich>
                  <a:bodyPr/>
                  <a:lstStyle/>
                  <a:p>
                    <a:fld id="{F5A42918-830C-41BF-9907-2FD0F886F6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FD91-45CD-9B09-36D599D5F93B}"/>
                </c:ext>
              </c:extLst>
            </c:dLbl>
            <c:dLbl>
              <c:idx val="209"/>
              <c:tx>
                <c:rich>
                  <a:bodyPr/>
                  <a:lstStyle/>
                  <a:p>
                    <a:fld id="{509F1157-4B56-4AF5-8343-7C80970569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FD91-45CD-9B09-36D599D5F93B}"/>
                </c:ext>
              </c:extLst>
            </c:dLbl>
            <c:dLbl>
              <c:idx val="210"/>
              <c:tx>
                <c:rich>
                  <a:bodyPr/>
                  <a:lstStyle/>
                  <a:p>
                    <a:fld id="{7E532945-73FE-4598-9981-D61B1F4D56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FD91-45CD-9B09-36D599D5F93B}"/>
                </c:ext>
              </c:extLst>
            </c:dLbl>
            <c:dLbl>
              <c:idx val="211"/>
              <c:tx>
                <c:rich>
                  <a:bodyPr/>
                  <a:lstStyle/>
                  <a:p>
                    <a:fld id="{665A1CEB-86DC-4150-A232-FCAF96B49A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FD91-45CD-9B09-36D599D5F93B}"/>
                </c:ext>
              </c:extLst>
            </c:dLbl>
            <c:dLbl>
              <c:idx val="212"/>
              <c:tx>
                <c:rich>
                  <a:bodyPr/>
                  <a:lstStyle/>
                  <a:p>
                    <a:fld id="{A20BDBD5-E4AF-4BFE-A591-8C82D997C8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FD91-45CD-9B09-36D599D5F93B}"/>
                </c:ext>
              </c:extLst>
            </c:dLbl>
            <c:dLbl>
              <c:idx val="213"/>
              <c:tx>
                <c:rich>
                  <a:bodyPr/>
                  <a:lstStyle/>
                  <a:p>
                    <a:fld id="{8B4E7667-1D37-491D-8038-222465434E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FD91-45CD-9B09-36D599D5F93B}"/>
                </c:ext>
              </c:extLst>
            </c:dLbl>
            <c:dLbl>
              <c:idx val="214"/>
              <c:tx>
                <c:rich>
                  <a:bodyPr/>
                  <a:lstStyle/>
                  <a:p>
                    <a:fld id="{7D45C7BB-9D9D-44A4-B4AD-D9A261070E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FD91-45CD-9B09-36D599D5F93B}"/>
                </c:ext>
              </c:extLst>
            </c:dLbl>
            <c:dLbl>
              <c:idx val="215"/>
              <c:tx>
                <c:rich>
                  <a:bodyPr/>
                  <a:lstStyle/>
                  <a:p>
                    <a:fld id="{949848E4-5E17-456E-A17A-FFA7260FBD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FD91-45CD-9B09-36D599D5F93B}"/>
                </c:ext>
              </c:extLst>
            </c:dLbl>
            <c:dLbl>
              <c:idx val="216"/>
              <c:tx>
                <c:rich>
                  <a:bodyPr/>
                  <a:lstStyle/>
                  <a:p>
                    <a:fld id="{0F887295-13CB-492D-9F01-8D3FE5BC84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FD91-45CD-9B09-36D599D5F93B}"/>
                </c:ext>
              </c:extLst>
            </c:dLbl>
            <c:dLbl>
              <c:idx val="217"/>
              <c:tx>
                <c:rich>
                  <a:bodyPr/>
                  <a:lstStyle/>
                  <a:p>
                    <a:fld id="{C9D986E4-9633-47F0-9F17-DB339A917F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FD91-45CD-9B09-36D599D5F93B}"/>
                </c:ext>
              </c:extLst>
            </c:dLbl>
            <c:dLbl>
              <c:idx val="218"/>
              <c:tx>
                <c:rich>
                  <a:bodyPr/>
                  <a:lstStyle/>
                  <a:p>
                    <a:fld id="{7A3174E4-6328-44AB-BD5B-4A48FE61D9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FD91-45CD-9B09-36D599D5F93B}"/>
                </c:ext>
              </c:extLst>
            </c:dLbl>
            <c:dLbl>
              <c:idx val="219"/>
              <c:tx>
                <c:rich>
                  <a:bodyPr/>
                  <a:lstStyle/>
                  <a:p>
                    <a:fld id="{4161BAEA-8EDF-478F-9AA2-4000C20D2F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FD91-45CD-9B09-36D599D5F93B}"/>
                </c:ext>
              </c:extLst>
            </c:dLbl>
            <c:dLbl>
              <c:idx val="220"/>
              <c:tx>
                <c:rich>
                  <a:bodyPr/>
                  <a:lstStyle/>
                  <a:p>
                    <a:fld id="{30C2E5EF-5E4A-413A-9F30-F6851B4156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FD91-45CD-9B09-36D599D5F93B}"/>
                </c:ext>
              </c:extLst>
            </c:dLbl>
            <c:dLbl>
              <c:idx val="221"/>
              <c:tx>
                <c:rich>
                  <a:bodyPr/>
                  <a:lstStyle/>
                  <a:p>
                    <a:fld id="{479A60E6-4BCC-4DF1-BA0D-28502B9125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FD91-45CD-9B09-36D599D5F93B}"/>
                </c:ext>
              </c:extLst>
            </c:dLbl>
            <c:dLbl>
              <c:idx val="222"/>
              <c:tx>
                <c:rich>
                  <a:bodyPr/>
                  <a:lstStyle/>
                  <a:p>
                    <a:fld id="{11450415-3E20-4221-9918-6D62B48EDC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FD91-45CD-9B09-36D599D5F93B}"/>
                </c:ext>
              </c:extLst>
            </c:dLbl>
            <c:dLbl>
              <c:idx val="223"/>
              <c:tx>
                <c:rich>
                  <a:bodyPr/>
                  <a:lstStyle/>
                  <a:p>
                    <a:fld id="{6EBC7A59-AD77-4A7F-A7EE-6E66025C4F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FD91-45CD-9B09-36D599D5F93B}"/>
                </c:ext>
              </c:extLst>
            </c:dLbl>
            <c:dLbl>
              <c:idx val="224"/>
              <c:tx>
                <c:rich>
                  <a:bodyPr/>
                  <a:lstStyle/>
                  <a:p>
                    <a:fld id="{C57F00C8-6ABD-4BD4-8E00-C00D0A46AA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FD91-45CD-9B09-36D599D5F93B}"/>
                </c:ext>
              </c:extLst>
            </c:dLbl>
            <c:dLbl>
              <c:idx val="225"/>
              <c:tx>
                <c:rich>
                  <a:bodyPr/>
                  <a:lstStyle/>
                  <a:p>
                    <a:fld id="{70064B18-57F0-4684-9F58-2D6A32FF6B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FD91-45CD-9B09-36D599D5F93B}"/>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FD91-45CD-9B09-36D599D5F93B}"/>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FD91-45CD-9B09-36D599D5F93B}"/>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FD91-45CD-9B09-36D599D5F93B}"/>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FD91-45CD-9B09-36D599D5F93B}"/>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FD91-45CD-9B09-36D599D5F93B}"/>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FD91-45CD-9B09-36D599D5F93B}"/>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FD91-45CD-9B09-36D599D5F93B}"/>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FD91-45CD-9B09-36D599D5F93B}"/>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FD91-45CD-9B09-36D599D5F93B}"/>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FD91-45CD-9B09-36D599D5F93B}"/>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FD91-45CD-9B09-36D599D5F93B}"/>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FD91-45CD-9B09-36D599D5F93B}"/>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FD91-45CD-9B09-36D599D5F93B}"/>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FD91-45CD-9B09-36D599D5F93B}"/>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FD91-45CD-9B09-36D599D5F93B}"/>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FD91-45CD-9B09-36D599D5F93B}"/>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FD91-45CD-9B09-36D599D5F93B}"/>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FD91-45CD-9B09-36D599D5F93B}"/>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FD91-45CD-9B09-36D599D5F93B}"/>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FD91-45CD-9B09-36D599D5F93B}"/>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FD91-45CD-9B09-36D599D5F93B}"/>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FD91-45CD-9B09-36D599D5F93B}"/>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FD91-45CD-9B09-36D599D5F93B}"/>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FD91-45CD-9B09-36D599D5F93B}"/>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FD91-45CD-9B09-36D599D5F93B}"/>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FD91-45CD-9B09-36D599D5F93B}"/>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FD91-45CD-9B09-36D599D5F93B}"/>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FD91-45CD-9B09-36D599D5F93B}"/>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FD91-45CD-9B09-36D599D5F93B}"/>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FD91-45CD-9B09-36D599D5F93B}"/>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FD91-45CD-9B09-36D599D5F93B}"/>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FD91-45CD-9B09-36D599D5F93B}"/>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FD91-45CD-9B09-36D599D5F93B}"/>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FD91-45CD-9B09-36D599D5F93B}"/>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FD91-45CD-9B09-36D599D5F93B}"/>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FD91-45CD-9B09-36D599D5F93B}"/>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FD91-45CD-9B09-36D599D5F93B}"/>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FD91-45CD-9B09-36D599D5F93B}"/>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FD91-45CD-9B09-36D599D5F93B}"/>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FD91-45CD-9B09-36D599D5F93B}"/>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FD91-45CD-9B09-36D599D5F93B}"/>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FD91-45CD-9B09-36D599D5F93B}"/>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FD91-45CD-9B09-36D599D5F93B}"/>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FD91-45CD-9B09-36D599D5F93B}"/>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FD91-45CD-9B09-36D599D5F93B}"/>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FD91-45CD-9B09-36D599D5F93B}"/>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FD91-45CD-9B09-36D599D5F93B}"/>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FD91-45CD-9B09-36D599D5F93B}"/>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FD91-45CD-9B09-36D599D5F93B}"/>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FD91-45CD-9B09-36D599D5F93B}"/>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FD91-45CD-9B09-36D599D5F93B}"/>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FD91-45CD-9B09-36D599D5F93B}"/>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FD91-45CD-9B09-36D599D5F93B}"/>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FD91-45CD-9B09-36D599D5F93B}"/>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FD91-45CD-9B09-36D599D5F93B}"/>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FD91-45CD-9B09-36D599D5F93B}"/>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FD91-45CD-9B09-36D599D5F93B}"/>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FD91-45CD-9B09-36D599D5F93B}"/>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FD91-45CD-9B09-36D599D5F93B}"/>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FD91-45CD-9B09-36D599D5F93B}"/>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FD91-45CD-9B09-36D599D5F93B}"/>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FD91-45CD-9B09-36D599D5F93B}"/>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FD91-45CD-9B09-36D599D5F93B}"/>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FD91-45CD-9B09-36D599D5F93B}"/>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FD91-45CD-9B09-36D599D5F93B}"/>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FD91-45CD-9B09-36D599D5F93B}"/>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FD91-45CD-9B09-36D599D5F93B}"/>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FD91-45CD-9B09-36D599D5F93B}"/>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FD91-45CD-9B09-36D599D5F93B}"/>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FD91-45CD-9B09-36D599D5F93B}"/>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FD91-45CD-9B09-36D599D5F93B}"/>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FD91-45CD-9B09-36D599D5F93B}"/>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FD91-45CD-9B09-36D599D5F93B}"/>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NormalisedUVVisData!$L$2:$L$300</c:f>
              <c:numCache>
                <c:formatCode>General</c:formatCode>
                <c:ptCount val="299"/>
                <c:pt idx="0">
                  <c:v>52.531784057617188</c:v>
                </c:pt>
                <c:pt idx="1">
                  <c:v>52.958042144775391</c:v>
                </c:pt>
                <c:pt idx="2">
                  <c:v>52.071174621582031</c:v>
                </c:pt>
                <c:pt idx="3">
                  <c:v>50.556400299072266</c:v>
                </c:pt>
                <c:pt idx="4">
                  <c:v>48.53857421875</c:v>
                </c:pt>
                <c:pt idx="5">
                  <c:v>45.942245483398438</c:v>
                </c:pt>
                <c:pt idx="6">
                  <c:v>42.592998504638672</c:v>
                </c:pt>
                <c:pt idx="7">
                  <c:v>39.09637451171875</c:v>
                </c:pt>
                <c:pt idx="8">
                  <c:v>36.137229919433594</c:v>
                </c:pt>
                <c:pt idx="9">
                  <c:v>33.921806335449219</c:v>
                </c:pt>
                <c:pt idx="10">
                  <c:v>32.528396606445313</c:v>
                </c:pt>
                <c:pt idx="11">
                  <c:v>31.609642028808594</c:v>
                </c:pt>
                <c:pt idx="12">
                  <c:v>30.864564895629883</c:v>
                </c:pt>
                <c:pt idx="13">
                  <c:v>30.075672149658203</c:v>
                </c:pt>
                <c:pt idx="14">
                  <c:v>29.124544143676758</c:v>
                </c:pt>
                <c:pt idx="15">
                  <c:v>28.004611968994141</c:v>
                </c:pt>
                <c:pt idx="16">
                  <c:v>26.875757217407227</c:v>
                </c:pt>
                <c:pt idx="17">
                  <c:v>25.812459945678711</c:v>
                </c:pt>
                <c:pt idx="18">
                  <c:v>24.908525466918945</c:v>
                </c:pt>
                <c:pt idx="19">
                  <c:v>24.278602600097656</c:v>
                </c:pt>
                <c:pt idx="20">
                  <c:v>24.034311294555664</c:v>
                </c:pt>
                <c:pt idx="21">
                  <c:v>24.248275756835938</c:v>
                </c:pt>
                <c:pt idx="22">
                  <c:v>25.020360946655273</c:v>
                </c:pt>
                <c:pt idx="23">
                  <c:v>26.341651916503906</c:v>
                </c:pt>
                <c:pt idx="24">
                  <c:v>28.37896728515625</c:v>
                </c:pt>
                <c:pt idx="25">
                  <c:v>31.020999908447266</c:v>
                </c:pt>
                <c:pt idx="26">
                  <c:v>34.361564636230469</c:v>
                </c:pt>
                <c:pt idx="27">
                  <c:v>38.150665283203125</c:v>
                </c:pt>
                <c:pt idx="28">
                  <c:v>42.489936828613281</c:v>
                </c:pt>
                <c:pt idx="29">
                  <c:v>47.058032989501953</c:v>
                </c:pt>
                <c:pt idx="30">
                  <c:v>52.013545989990234</c:v>
                </c:pt>
                <c:pt idx="31">
                  <c:v>57.027557373046875</c:v>
                </c:pt>
                <c:pt idx="32">
                  <c:v>62.276668548583984</c:v>
                </c:pt>
                <c:pt idx="33">
                  <c:v>67.57147216796875</c:v>
                </c:pt>
                <c:pt idx="34">
                  <c:v>72.654548645019531</c:v>
                </c:pt>
                <c:pt idx="35">
                  <c:v>77.709991455078125</c:v>
                </c:pt>
                <c:pt idx="36">
                  <c:v>82.522804260253906</c:v>
                </c:pt>
                <c:pt idx="37">
                  <c:v>87.012611389160156</c:v>
                </c:pt>
                <c:pt idx="38">
                  <c:v>90.965606689453125</c:v>
                </c:pt>
                <c:pt idx="39">
                  <c:v>94.438179016113281</c:v>
                </c:pt>
                <c:pt idx="40">
                  <c:v>97.165351867675781</c:v>
                </c:pt>
                <c:pt idx="41">
                  <c:v>99.05780029296875</c:v>
                </c:pt>
                <c:pt idx="42">
                  <c:v>100</c:v>
                </c:pt>
                <c:pt idx="43">
                  <c:v>99.881492614746094</c:v>
                </c:pt>
                <c:pt idx="44">
                  <c:v>98.713821411132813</c:v>
                </c:pt>
                <c:pt idx="45">
                  <c:v>96.549057006835938</c:v>
                </c:pt>
                <c:pt idx="46">
                  <c:v>93.426254272460938</c:v>
                </c:pt>
                <c:pt idx="47">
                  <c:v>89.423294067382813</c:v>
                </c:pt>
                <c:pt idx="48">
                  <c:v>84.664344787597656</c:v>
                </c:pt>
                <c:pt idx="49">
                  <c:v>79.251838684082031</c:v>
                </c:pt>
                <c:pt idx="50">
                  <c:v>73.302139282226563</c:v>
                </c:pt>
                <c:pt idx="51">
                  <c:v>66.963798522949219</c:v>
                </c:pt>
                <c:pt idx="52">
                  <c:v>60.387386322021484</c:v>
                </c:pt>
                <c:pt idx="53">
                  <c:v>53.736747741699219</c:v>
                </c:pt>
                <c:pt idx="54">
                  <c:v>46.966091156005859</c:v>
                </c:pt>
                <c:pt idx="55">
                  <c:v>40.597061157226563</c:v>
                </c:pt>
                <c:pt idx="56">
                  <c:v>34.578884124755859</c:v>
                </c:pt>
                <c:pt idx="57">
                  <c:v>29.016437530517578</c:v>
                </c:pt>
                <c:pt idx="58">
                  <c:v>23.88599967956543</c:v>
                </c:pt>
                <c:pt idx="59">
                  <c:v>19.505626678466797</c:v>
                </c:pt>
                <c:pt idx="60">
                  <c:v>15.737251281738281</c:v>
                </c:pt>
                <c:pt idx="61">
                  <c:v>12.481522560119629</c:v>
                </c:pt>
                <c:pt idx="62">
                  <c:v>9.9079465866088867</c:v>
                </c:pt>
                <c:pt idx="63">
                  <c:v>7.8379354476928711</c:v>
                </c:pt>
                <c:pt idx="64">
                  <c:v>6.2668619155883789</c:v>
                </c:pt>
                <c:pt idx="65">
                  <c:v>5.016913890838623</c:v>
                </c:pt>
                <c:pt idx="66">
                  <c:v>4.1270284652709961</c:v>
                </c:pt>
                <c:pt idx="67">
                  <c:v>3.4808735847473145</c:v>
                </c:pt>
                <c:pt idx="68">
                  <c:v>3.0223970413208008</c:v>
                </c:pt>
                <c:pt idx="69">
                  <c:v>2.6769640445709229</c:v>
                </c:pt>
                <c:pt idx="70">
                  <c:v>2.458946704864502</c:v>
                </c:pt>
                <c:pt idx="71">
                  <c:v>2.3236968517303467</c:v>
                </c:pt>
                <c:pt idx="72">
                  <c:v>2.1958327293395996</c:v>
                </c:pt>
                <c:pt idx="73">
                  <c:v>2.116408109664917</c:v>
                </c:pt>
                <c:pt idx="74">
                  <c:v>2.0837113857269287</c:v>
                </c:pt>
                <c:pt idx="75">
                  <c:v>2.0734219551086426</c:v>
                </c:pt>
                <c:pt idx="76">
                  <c:v>2.0825824737548828</c:v>
                </c:pt>
                <c:pt idx="77">
                  <c:v>2.1020543575286865</c:v>
                </c:pt>
                <c:pt idx="78">
                  <c:v>2.0880517959594727</c:v>
                </c:pt>
                <c:pt idx="79">
                  <c:v>2.0825071334838867</c:v>
                </c:pt>
                <c:pt idx="80">
                  <c:v>2.0716750621795654</c:v>
                </c:pt>
                <c:pt idx="81">
                  <c:v>2.0841693878173828</c:v>
                </c:pt>
                <c:pt idx="82">
                  <c:v>2.1286890506744385</c:v>
                </c:pt>
                <c:pt idx="83">
                  <c:v>2.1351902484893799</c:v>
                </c:pt>
                <c:pt idx="84">
                  <c:v>2.1428580284118652</c:v>
                </c:pt>
                <c:pt idx="85">
                  <c:v>2.1112337112426758</c:v>
                </c:pt>
                <c:pt idx="86">
                  <c:v>2.1147429943084717</c:v>
                </c:pt>
                <c:pt idx="87">
                  <c:v>2.1434569358825684</c:v>
                </c:pt>
                <c:pt idx="88">
                  <c:v>2.1279804706573486</c:v>
                </c:pt>
                <c:pt idx="89">
                  <c:v>2.1071159839630127</c:v>
                </c:pt>
                <c:pt idx="90">
                  <c:v>2.0701322555541992</c:v>
                </c:pt>
                <c:pt idx="91">
                  <c:v>2.0772228240966797</c:v>
                </c:pt>
                <c:pt idx="92">
                  <c:v>2.0915391445159912</c:v>
                </c:pt>
                <c:pt idx="93">
                  <c:v>2.0640263557434082</c:v>
                </c:pt>
                <c:pt idx="94">
                  <c:v>2.0384767055511475</c:v>
                </c:pt>
                <c:pt idx="95">
                  <c:v>2.0607740879058838</c:v>
                </c:pt>
                <c:pt idx="96">
                  <c:v>2.0832033157348633</c:v>
                </c:pt>
                <c:pt idx="97">
                  <c:v>2.0789854526519775</c:v>
                </c:pt>
                <c:pt idx="98">
                  <c:v>2.0677018165588379</c:v>
                </c:pt>
                <c:pt idx="99">
                  <c:v>2.0672721862792969</c:v>
                </c:pt>
                <c:pt idx="100">
                  <c:v>2.0852513313293457</c:v>
                </c:pt>
                <c:pt idx="101">
                  <c:v>2.0798509120941162</c:v>
                </c:pt>
                <c:pt idx="102">
                  <c:v>2.0530281066894531</c:v>
                </c:pt>
                <c:pt idx="103">
                  <c:v>2.0594789981842041</c:v>
                </c:pt>
                <c:pt idx="104">
                  <c:v>2.0811429023742676</c:v>
                </c:pt>
                <c:pt idx="105">
                  <c:v>2.0840282440185547</c:v>
                </c:pt>
                <c:pt idx="106">
                  <c:v>2.0567348003387451</c:v>
                </c:pt>
                <c:pt idx="107">
                  <c:v>2.0513942241668701</c:v>
                </c:pt>
                <c:pt idx="108">
                  <c:v>2.0926995277404785</c:v>
                </c:pt>
                <c:pt idx="109">
                  <c:v>2.0910749435424805</c:v>
                </c:pt>
                <c:pt idx="110">
                  <c:v>2.0664348602294922</c:v>
                </c:pt>
                <c:pt idx="111">
                  <c:v>2.0518770217895508</c:v>
                </c:pt>
                <c:pt idx="112">
                  <c:v>2.0399222373962402</c:v>
                </c:pt>
                <c:pt idx="113">
                  <c:v>2.0429046154022217</c:v>
                </c:pt>
                <c:pt idx="114">
                  <c:v>2.0551478862762451</c:v>
                </c:pt>
                <c:pt idx="115">
                  <c:v>2.0654687881469727</c:v>
                </c:pt>
                <c:pt idx="116">
                  <c:v>2.0749523639678955</c:v>
                </c:pt>
                <c:pt idx="117">
                  <c:v>2.0809578895568848</c:v>
                </c:pt>
                <c:pt idx="118">
                  <c:v>2.053746223449707</c:v>
                </c:pt>
                <c:pt idx="119">
                  <c:v>2.0347447395324707</c:v>
                </c:pt>
                <c:pt idx="120">
                  <c:v>2.0552701950073242</c:v>
                </c:pt>
                <c:pt idx="121">
                  <c:v>2.0675575733184814</c:v>
                </c:pt>
                <c:pt idx="122">
                  <c:v>2.0620975494384766</c:v>
                </c:pt>
                <c:pt idx="123">
                  <c:v>2.0515539646148682</c:v>
                </c:pt>
                <c:pt idx="124">
                  <c:v>2.0157525539398193</c:v>
                </c:pt>
                <c:pt idx="125">
                  <c:v>2.0286669731140137</c:v>
                </c:pt>
                <c:pt idx="126">
                  <c:v>2.0707342624664307</c:v>
                </c:pt>
                <c:pt idx="127">
                  <c:v>2.0515477657318115</c:v>
                </c:pt>
                <c:pt idx="128">
                  <c:v>2.0297205448150635</c:v>
                </c:pt>
                <c:pt idx="129">
                  <c:v>2.0386617183685303</c:v>
                </c:pt>
                <c:pt idx="130">
                  <c:v>2.0392606258392334</c:v>
                </c:pt>
                <c:pt idx="131">
                  <c:v>2.0119829177856445</c:v>
                </c:pt>
                <c:pt idx="132">
                  <c:v>2.0173549652099609</c:v>
                </c:pt>
                <c:pt idx="133">
                  <c:v>2.0470883846282959</c:v>
                </c:pt>
                <c:pt idx="134">
                  <c:v>2.0363597869873047</c:v>
                </c:pt>
                <c:pt idx="135">
                  <c:v>2.0283312797546387</c:v>
                </c:pt>
                <c:pt idx="136">
                  <c:v>2.09897780418396</c:v>
                </c:pt>
                <c:pt idx="137">
                  <c:v>2.1715312004089355</c:v>
                </c:pt>
                <c:pt idx="138">
                  <c:v>2.1147994995117188</c:v>
                </c:pt>
                <c:pt idx="139">
                  <c:v>2.0558755397796631</c:v>
                </c:pt>
                <c:pt idx="140">
                  <c:v>2.0417788028717041</c:v>
                </c:pt>
                <c:pt idx="141">
                  <c:v>2</c:v>
                </c:pt>
                <c:pt idx="142">
                  <c:v>2.0113964080810547</c:v>
                </c:pt>
                <c:pt idx="143">
                  <c:v>2.0665979385375977</c:v>
                </c:pt>
                <c:pt idx="144">
                  <c:v>2.0858783721923828</c:v>
                </c:pt>
                <c:pt idx="145">
                  <c:v>2.0395522117614746</c:v>
                </c:pt>
                <c:pt idx="146">
                  <c:v>2.0294039249420166</c:v>
                </c:pt>
                <c:pt idx="147">
                  <c:v>2.050898551940918</c:v>
                </c:pt>
                <c:pt idx="148">
                  <c:v>2.0479695796966553</c:v>
                </c:pt>
                <c:pt idx="149">
                  <c:v>2.0529747009277344</c:v>
                </c:pt>
                <c:pt idx="150">
                  <c:v>2.0730488300323486</c:v>
                </c:pt>
                <c:pt idx="151">
                  <c:v>2.0992443561553955</c:v>
                </c:pt>
                <c:pt idx="152">
                  <c:v>2.1036694049835205</c:v>
                </c:pt>
                <c:pt idx="153">
                  <c:v>2.1015682220458984</c:v>
                </c:pt>
                <c:pt idx="154">
                  <c:v>2.118330717086792</c:v>
                </c:pt>
                <c:pt idx="155">
                  <c:v>2.0954842567443848</c:v>
                </c:pt>
                <c:pt idx="156">
                  <c:v>2.1039831638336182</c:v>
                </c:pt>
                <c:pt idx="157">
                  <c:v>2.1285104751586914</c:v>
                </c:pt>
                <c:pt idx="158">
                  <c:v>2.0696618556976318</c:v>
                </c:pt>
                <c:pt idx="159">
                  <c:v>2.0894818305969238</c:v>
                </c:pt>
                <c:pt idx="160">
                  <c:v>2.1297709941864014</c:v>
                </c:pt>
                <c:pt idx="161">
                  <c:v>2.1062567234039307</c:v>
                </c:pt>
                <c:pt idx="162">
                  <c:v>2.1143760681152344</c:v>
                </c:pt>
                <c:pt idx="163">
                  <c:v>2.1282970905303955</c:v>
                </c:pt>
                <c:pt idx="164">
                  <c:v>2.1294825077056885</c:v>
                </c:pt>
                <c:pt idx="165">
                  <c:v>2.1280620098114014</c:v>
                </c:pt>
                <c:pt idx="166">
                  <c:v>2.1156930923461914</c:v>
                </c:pt>
                <c:pt idx="167">
                  <c:v>2.0311851501464844</c:v>
                </c:pt>
                <c:pt idx="168">
                  <c:v>2.0573494434356689</c:v>
                </c:pt>
                <c:pt idx="169">
                  <c:v>2.1677772998809814</c:v>
                </c:pt>
                <c:pt idx="170">
                  <c:v>2.13938307762146</c:v>
                </c:pt>
                <c:pt idx="171">
                  <c:v>2.1093206405639648</c:v>
                </c:pt>
                <c:pt idx="172">
                  <c:v>2.1492993831634521</c:v>
                </c:pt>
                <c:pt idx="173">
                  <c:v>2.1245620250701904</c:v>
                </c:pt>
                <c:pt idx="174">
                  <c:v>2.0606393814086914</c:v>
                </c:pt>
                <c:pt idx="175">
                  <c:v>2.0899615287780762</c:v>
                </c:pt>
                <c:pt idx="176">
                  <c:v>2.1332521438598633</c:v>
                </c:pt>
                <c:pt idx="177">
                  <c:v>2.1412177085876465</c:v>
                </c:pt>
                <c:pt idx="178">
                  <c:v>2.1025528907775879</c:v>
                </c:pt>
                <c:pt idx="179">
                  <c:v>2.0993447303771973</c:v>
                </c:pt>
                <c:pt idx="180">
                  <c:v>2.1359210014343262</c:v>
                </c:pt>
                <c:pt idx="181">
                  <c:v>2.1207611560821533</c:v>
                </c:pt>
                <c:pt idx="182">
                  <c:v>2.0908429622650146</c:v>
                </c:pt>
                <c:pt idx="183">
                  <c:v>2.0780508518218994</c:v>
                </c:pt>
                <c:pt idx="184">
                  <c:v>2.0549724102020264</c:v>
                </c:pt>
                <c:pt idx="185">
                  <c:v>2.0846960544586182</c:v>
                </c:pt>
                <c:pt idx="186">
                  <c:v>2.0865151882171631</c:v>
                </c:pt>
                <c:pt idx="187">
                  <c:v>2.0732338428497314</c:v>
                </c:pt>
                <c:pt idx="188">
                  <c:v>2.1259105205535889</c:v>
                </c:pt>
                <c:pt idx="189">
                  <c:v>2.1364383697509766</c:v>
                </c:pt>
                <c:pt idx="190">
                  <c:v>2.1223134994506836</c:v>
                </c:pt>
                <c:pt idx="191">
                  <c:v>2.1198172569274902</c:v>
                </c:pt>
                <c:pt idx="192">
                  <c:v>2.1069810390472412</c:v>
                </c:pt>
                <c:pt idx="193">
                  <c:v>2.1141595840454102</c:v>
                </c:pt>
                <c:pt idx="194">
                  <c:v>2.1293320655822754</c:v>
                </c:pt>
                <c:pt idx="195">
                  <c:v>2.1273186206817627</c:v>
                </c:pt>
                <c:pt idx="196">
                  <c:v>2.0993103981018066</c:v>
                </c:pt>
                <c:pt idx="197">
                  <c:v>2.0934896469116211</c:v>
                </c:pt>
                <c:pt idx="198">
                  <c:v>2.092947244644165</c:v>
                </c:pt>
                <c:pt idx="199">
                  <c:v>2.0912003517150879</c:v>
                </c:pt>
                <c:pt idx="200">
                  <c:v>2.1073513031005859</c:v>
                </c:pt>
                <c:pt idx="201">
                  <c:v>2.1403050422668457</c:v>
                </c:pt>
                <c:pt idx="202">
                  <c:v>2.1484370231628418</c:v>
                </c:pt>
                <c:pt idx="203">
                  <c:v>2.1226396560668945</c:v>
                </c:pt>
                <c:pt idx="204">
                  <c:v>2.0889360904693604</c:v>
                </c:pt>
                <c:pt idx="205">
                  <c:v>2.0764293670654297</c:v>
                </c:pt>
                <c:pt idx="206">
                  <c:v>2.1012389659881592</c:v>
                </c:pt>
                <c:pt idx="207">
                  <c:v>2.0689656734466553</c:v>
                </c:pt>
                <c:pt idx="208">
                  <c:v>2.0827329158782959</c:v>
                </c:pt>
                <c:pt idx="209">
                  <c:v>2.1064071655273438</c:v>
                </c:pt>
                <c:pt idx="210">
                  <c:v>2.1008470058441162</c:v>
                </c:pt>
                <c:pt idx="211">
                  <c:v>2.1051340103149414</c:v>
                </c:pt>
                <c:pt idx="212">
                  <c:v>2.0877444744110107</c:v>
                </c:pt>
                <c:pt idx="213">
                  <c:v>2.1130118370056152</c:v>
                </c:pt>
                <c:pt idx="214">
                  <c:v>2.1173458099365234</c:v>
                </c:pt>
                <c:pt idx="215">
                  <c:v>2.146702766418457</c:v>
                </c:pt>
                <c:pt idx="216">
                  <c:v>2.1576821804046631</c:v>
                </c:pt>
                <c:pt idx="217">
                  <c:v>2.0956223011016846</c:v>
                </c:pt>
                <c:pt idx="218">
                  <c:v>2.0135228633880615</c:v>
                </c:pt>
                <c:pt idx="219">
                  <c:v>2.0510115623474121</c:v>
                </c:pt>
                <c:pt idx="220">
                  <c:v>2.1399257183074951</c:v>
                </c:pt>
                <c:pt idx="221">
                  <c:v>2.1353030204772949</c:v>
                </c:pt>
                <c:pt idx="222">
                  <c:v>2.1721835136413574</c:v>
                </c:pt>
                <c:pt idx="223">
                  <c:v>2.1422808170318604</c:v>
                </c:pt>
                <c:pt idx="224">
                  <c:v>2.0854268074035645</c:v>
                </c:pt>
                <c:pt idx="225">
                  <c:v>2.0944807529449463</c:v>
                </c:pt>
              </c:numCache>
            </c:numRef>
          </c:yVal>
          <c:smooth val="1"/>
          <c:extLst>
            <c:ext xmlns:c15="http://schemas.microsoft.com/office/drawing/2012/chart" uri="{02D57815-91ED-43cb-92C2-25804820EDAC}">
              <c15:datalabelsRange>
                <c15:f>PeakLabels!$L$2:$L$300</c15:f>
                <c15:dlblRangeCache>
                  <c:ptCount val="299"/>
                  <c:pt idx="1">
                    <c:v>192</c:v>
                  </c:pt>
                  <c:pt idx="42">
                    <c:v>274</c:v>
                  </c:pt>
                </c15:dlblRangeCache>
              </c15:datalabelsRange>
            </c:ext>
            <c:ext xmlns:c16="http://schemas.microsoft.com/office/drawing/2014/chart" uri="{C3380CC4-5D6E-409C-BE32-E72D297353CC}">
              <c16:uniqueId val="{00000000-1BFE-4235-A663-E8BCAA18C325}"/>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14F6F71D-A971-437A-8C23-2B35F6AF4886}"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1BFE-4235-A663-E8BCAA18C325}"/>
                </c:ext>
              </c:extLst>
            </c:dLbl>
            <c:dLbl>
              <c:idx val="1"/>
              <c:tx>
                <c:rich>
                  <a:bodyPr/>
                  <a:lstStyle/>
                  <a:p>
                    <a:fld id="{C0899F86-EADF-4F76-94F2-ABCCD9F887E2}"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1BFE-4235-A663-E8BCAA18C325}"/>
                </c:ext>
              </c:extLst>
            </c:dLbl>
            <c:dLbl>
              <c:idx val="2"/>
              <c:tx>
                <c:rich>
                  <a:bodyPr/>
                  <a:lstStyle/>
                  <a:p>
                    <a:fld id="{3DDCC906-7402-4E16-9095-E04D2AAB32CA}"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1BFE-4235-A663-E8BCAA18C325}"/>
                </c:ext>
              </c:extLst>
            </c:dLbl>
            <c:dLbl>
              <c:idx val="3"/>
              <c:tx>
                <c:rich>
                  <a:bodyPr/>
                  <a:lstStyle/>
                  <a:p>
                    <a:fld id="{053D4DCA-ACD4-419A-A598-FDECBFCFF675}"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1BFE-4235-A663-E8BCAA18C325}"/>
                </c:ext>
              </c:extLst>
            </c:dLbl>
            <c:dLbl>
              <c:idx val="4"/>
              <c:tx>
                <c:rich>
                  <a:bodyPr/>
                  <a:lstStyle/>
                  <a:p>
                    <a:fld id="{97E096C2-C2D9-4F73-8801-61CBA05F7BE7}"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BFE-4235-A663-E8BCAA18C325}"/>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1BFE-4235-A663-E8BCAA18C325}"/>
            </c:ext>
          </c:extLst>
        </c:ser>
        <c:dLbls>
          <c:showLegendKey val="0"/>
          <c:showVal val="0"/>
          <c:showCatName val="0"/>
          <c:showSerName val="0"/>
          <c:showPercent val="0"/>
          <c:showBubbleSize val="0"/>
        </c:dLbls>
        <c:axId val="1767905728"/>
        <c:axId val="1767908992"/>
      </c:scatterChart>
      <c:valAx>
        <c:axId val="1767905728"/>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8992"/>
        <c:crossesAt val="0"/>
        <c:crossBetween val="midCat"/>
        <c:majorUnit val="100"/>
      </c:valAx>
      <c:valAx>
        <c:axId val="1767908992"/>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905728"/>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B3269489-8C1B-49AA-A162-937C080FE9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8546-4125-BBB8-9DB78A1ED48C}"/>
                </c:ext>
              </c:extLst>
            </c:dLbl>
            <c:dLbl>
              <c:idx val="1"/>
              <c:tx>
                <c:rich>
                  <a:bodyPr/>
                  <a:lstStyle/>
                  <a:p>
                    <a:fld id="{44A0AEFB-FA74-4510-A9C6-32605B22AB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546-4125-BBB8-9DB78A1ED48C}"/>
                </c:ext>
              </c:extLst>
            </c:dLbl>
            <c:dLbl>
              <c:idx val="2"/>
              <c:tx>
                <c:rich>
                  <a:bodyPr/>
                  <a:lstStyle/>
                  <a:p>
                    <a:fld id="{C4A1CABD-8AA8-404A-A5AE-253EEFA55E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546-4125-BBB8-9DB78A1ED48C}"/>
                </c:ext>
              </c:extLst>
            </c:dLbl>
            <c:dLbl>
              <c:idx val="3"/>
              <c:tx>
                <c:rich>
                  <a:bodyPr/>
                  <a:lstStyle/>
                  <a:p>
                    <a:fld id="{FB4C1C62-4F9B-4BB1-970D-266DD6A812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546-4125-BBB8-9DB78A1ED48C}"/>
                </c:ext>
              </c:extLst>
            </c:dLbl>
            <c:dLbl>
              <c:idx val="4"/>
              <c:tx>
                <c:rich>
                  <a:bodyPr/>
                  <a:lstStyle/>
                  <a:p>
                    <a:fld id="{AF9F4EC7-DAC5-4D51-8E49-56C2FFE793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546-4125-BBB8-9DB78A1ED48C}"/>
                </c:ext>
              </c:extLst>
            </c:dLbl>
            <c:dLbl>
              <c:idx val="5"/>
              <c:tx>
                <c:rich>
                  <a:bodyPr/>
                  <a:lstStyle/>
                  <a:p>
                    <a:fld id="{40AAC902-AB6C-4506-82F1-41B27CF91F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546-4125-BBB8-9DB78A1ED48C}"/>
                </c:ext>
              </c:extLst>
            </c:dLbl>
            <c:dLbl>
              <c:idx val="6"/>
              <c:tx>
                <c:rich>
                  <a:bodyPr/>
                  <a:lstStyle/>
                  <a:p>
                    <a:fld id="{E2489826-B4C8-46EC-8EEE-4C17136028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546-4125-BBB8-9DB78A1ED48C}"/>
                </c:ext>
              </c:extLst>
            </c:dLbl>
            <c:dLbl>
              <c:idx val="7"/>
              <c:tx>
                <c:rich>
                  <a:bodyPr/>
                  <a:lstStyle/>
                  <a:p>
                    <a:fld id="{33B31334-603C-46AC-9293-507298F248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546-4125-BBB8-9DB78A1ED48C}"/>
                </c:ext>
              </c:extLst>
            </c:dLbl>
            <c:dLbl>
              <c:idx val="8"/>
              <c:tx>
                <c:rich>
                  <a:bodyPr/>
                  <a:lstStyle/>
                  <a:p>
                    <a:fld id="{314E84D0-226E-4A75-AC2D-EBECE50E58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546-4125-BBB8-9DB78A1ED48C}"/>
                </c:ext>
              </c:extLst>
            </c:dLbl>
            <c:dLbl>
              <c:idx val="9"/>
              <c:tx>
                <c:rich>
                  <a:bodyPr/>
                  <a:lstStyle/>
                  <a:p>
                    <a:fld id="{CBA34157-1728-4E5C-9F0E-E6BEB54F4F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546-4125-BBB8-9DB78A1ED48C}"/>
                </c:ext>
              </c:extLst>
            </c:dLbl>
            <c:dLbl>
              <c:idx val="10"/>
              <c:tx>
                <c:rich>
                  <a:bodyPr/>
                  <a:lstStyle/>
                  <a:p>
                    <a:fld id="{CCB2DAFC-2C7C-42BB-8E97-A2A84FADD1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546-4125-BBB8-9DB78A1ED48C}"/>
                </c:ext>
              </c:extLst>
            </c:dLbl>
            <c:dLbl>
              <c:idx val="11"/>
              <c:tx>
                <c:rich>
                  <a:bodyPr/>
                  <a:lstStyle/>
                  <a:p>
                    <a:fld id="{3142E89B-015B-44CE-9356-98120F4968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546-4125-BBB8-9DB78A1ED48C}"/>
                </c:ext>
              </c:extLst>
            </c:dLbl>
            <c:dLbl>
              <c:idx val="12"/>
              <c:tx>
                <c:rich>
                  <a:bodyPr/>
                  <a:lstStyle/>
                  <a:p>
                    <a:fld id="{50B58507-B157-43B4-A071-3618448F66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546-4125-BBB8-9DB78A1ED48C}"/>
                </c:ext>
              </c:extLst>
            </c:dLbl>
            <c:dLbl>
              <c:idx val="13"/>
              <c:tx>
                <c:rich>
                  <a:bodyPr/>
                  <a:lstStyle/>
                  <a:p>
                    <a:fld id="{7CACBB01-9C3E-40F3-9AF5-D0C4EDC8C9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546-4125-BBB8-9DB78A1ED48C}"/>
                </c:ext>
              </c:extLst>
            </c:dLbl>
            <c:dLbl>
              <c:idx val="14"/>
              <c:tx>
                <c:rich>
                  <a:bodyPr/>
                  <a:lstStyle/>
                  <a:p>
                    <a:fld id="{A95ED32D-1059-4CD2-8E08-BD85F57994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8546-4125-BBB8-9DB78A1ED48C}"/>
                </c:ext>
              </c:extLst>
            </c:dLbl>
            <c:dLbl>
              <c:idx val="15"/>
              <c:tx>
                <c:rich>
                  <a:bodyPr/>
                  <a:lstStyle/>
                  <a:p>
                    <a:fld id="{EA5B840C-325A-47A9-8276-AEA5C0BFBF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546-4125-BBB8-9DB78A1ED48C}"/>
                </c:ext>
              </c:extLst>
            </c:dLbl>
            <c:dLbl>
              <c:idx val="16"/>
              <c:tx>
                <c:rich>
                  <a:bodyPr/>
                  <a:lstStyle/>
                  <a:p>
                    <a:fld id="{B4BA8ED6-0B5E-437D-9E11-241D24E370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8546-4125-BBB8-9DB78A1ED48C}"/>
                </c:ext>
              </c:extLst>
            </c:dLbl>
            <c:dLbl>
              <c:idx val="17"/>
              <c:tx>
                <c:rich>
                  <a:bodyPr/>
                  <a:lstStyle/>
                  <a:p>
                    <a:fld id="{26C8D45C-52DE-4BFF-A7FA-C8FE007B72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546-4125-BBB8-9DB78A1ED48C}"/>
                </c:ext>
              </c:extLst>
            </c:dLbl>
            <c:dLbl>
              <c:idx val="18"/>
              <c:tx>
                <c:rich>
                  <a:bodyPr/>
                  <a:lstStyle/>
                  <a:p>
                    <a:fld id="{CE026F60-7D4A-4804-947D-C44F8C2E9F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8546-4125-BBB8-9DB78A1ED48C}"/>
                </c:ext>
              </c:extLst>
            </c:dLbl>
            <c:dLbl>
              <c:idx val="19"/>
              <c:tx>
                <c:rich>
                  <a:bodyPr/>
                  <a:lstStyle/>
                  <a:p>
                    <a:fld id="{514A5D87-5B51-40F8-B582-195216788F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8546-4125-BBB8-9DB78A1ED48C}"/>
                </c:ext>
              </c:extLst>
            </c:dLbl>
            <c:dLbl>
              <c:idx val="20"/>
              <c:tx>
                <c:rich>
                  <a:bodyPr/>
                  <a:lstStyle/>
                  <a:p>
                    <a:fld id="{69BEA6C4-E9C9-4992-A27A-85E09DDB14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8546-4125-BBB8-9DB78A1ED48C}"/>
                </c:ext>
              </c:extLst>
            </c:dLbl>
            <c:dLbl>
              <c:idx val="21"/>
              <c:tx>
                <c:rich>
                  <a:bodyPr/>
                  <a:lstStyle/>
                  <a:p>
                    <a:fld id="{5FC439CE-CC1F-44A1-8137-ABD62E12E9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8546-4125-BBB8-9DB78A1ED48C}"/>
                </c:ext>
              </c:extLst>
            </c:dLbl>
            <c:dLbl>
              <c:idx val="22"/>
              <c:tx>
                <c:rich>
                  <a:bodyPr/>
                  <a:lstStyle/>
                  <a:p>
                    <a:fld id="{204D3F7E-26FC-4792-9403-76EA18A62B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8546-4125-BBB8-9DB78A1ED48C}"/>
                </c:ext>
              </c:extLst>
            </c:dLbl>
            <c:dLbl>
              <c:idx val="23"/>
              <c:tx>
                <c:rich>
                  <a:bodyPr/>
                  <a:lstStyle/>
                  <a:p>
                    <a:fld id="{089D5D4D-4DED-4718-B123-2B5359DFEC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8546-4125-BBB8-9DB78A1ED48C}"/>
                </c:ext>
              </c:extLst>
            </c:dLbl>
            <c:dLbl>
              <c:idx val="24"/>
              <c:tx>
                <c:rich>
                  <a:bodyPr/>
                  <a:lstStyle/>
                  <a:p>
                    <a:fld id="{2C4ABCFB-DE39-443B-8E69-6135B0B0FE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8546-4125-BBB8-9DB78A1ED48C}"/>
                </c:ext>
              </c:extLst>
            </c:dLbl>
            <c:dLbl>
              <c:idx val="25"/>
              <c:tx>
                <c:rich>
                  <a:bodyPr/>
                  <a:lstStyle/>
                  <a:p>
                    <a:fld id="{9751DA69-41A5-4DF6-892D-3F79AC77DB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8546-4125-BBB8-9DB78A1ED48C}"/>
                </c:ext>
              </c:extLst>
            </c:dLbl>
            <c:dLbl>
              <c:idx val="26"/>
              <c:tx>
                <c:rich>
                  <a:bodyPr/>
                  <a:lstStyle/>
                  <a:p>
                    <a:fld id="{72233198-7B04-4C23-9C27-00A176EB75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8546-4125-BBB8-9DB78A1ED48C}"/>
                </c:ext>
              </c:extLst>
            </c:dLbl>
            <c:dLbl>
              <c:idx val="27"/>
              <c:tx>
                <c:rich>
                  <a:bodyPr/>
                  <a:lstStyle/>
                  <a:p>
                    <a:fld id="{9A047B43-1650-4624-99F6-55C553E473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8546-4125-BBB8-9DB78A1ED48C}"/>
                </c:ext>
              </c:extLst>
            </c:dLbl>
            <c:dLbl>
              <c:idx val="28"/>
              <c:tx>
                <c:rich>
                  <a:bodyPr/>
                  <a:lstStyle/>
                  <a:p>
                    <a:fld id="{FFFE91EF-FD51-48CC-8DCF-A2B6F64970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8546-4125-BBB8-9DB78A1ED48C}"/>
                </c:ext>
              </c:extLst>
            </c:dLbl>
            <c:dLbl>
              <c:idx val="29"/>
              <c:tx>
                <c:rich>
                  <a:bodyPr/>
                  <a:lstStyle/>
                  <a:p>
                    <a:fld id="{043CAD89-A47B-4ADB-92EE-70668B2C22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8546-4125-BBB8-9DB78A1ED48C}"/>
                </c:ext>
              </c:extLst>
            </c:dLbl>
            <c:dLbl>
              <c:idx val="30"/>
              <c:tx>
                <c:rich>
                  <a:bodyPr/>
                  <a:lstStyle/>
                  <a:p>
                    <a:fld id="{32FB52A2-6ECB-45EB-A424-37B52D43C3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8546-4125-BBB8-9DB78A1ED48C}"/>
                </c:ext>
              </c:extLst>
            </c:dLbl>
            <c:dLbl>
              <c:idx val="31"/>
              <c:tx>
                <c:rich>
                  <a:bodyPr/>
                  <a:lstStyle/>
                  <a:p>
                    <a:fld id="{CE2AB184-C14E-4C84-9828-75730F27A9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8546-4125-BBB8-9DB78A1ED48C}"/>
                </c:ext>
              </c:extLst>
            </c:dLbl>
            <c:dLbl>
              <c:idx val="32"/>
              <c:tx>
                <c:rich>
                  <a:bodyPr/>
                  <a:lstStyle/>
                  <a:p>
                    <a:fld id="{1626BD78-2DCC-48A2-96CD-9A58598975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8546-4125-BBB8-9DB78A1ED48C}"/>
                </c:ext>
              </c:extLst>
            </c:dLbl>
            <c:dLbl>
              <c:idx val="33"/>
              <c:tx>
                <c:rich>
                  <a:bodyPr/>
                  <a:lstStyle/>
                  <a:p>
                    <a:fld id="{1815FEF1-AC9C-4D5F-BA6D-6D50C8B0A3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8546-4125-BBB8-9DB78A1ED48C}"/>
                </c:ext>
              </c:extLst>
            </c:dLbl>
            <c:dLbl>
              <c:idx val="34"/>
              <c:tx>
                <c:rich>
                  <a:bodyPr/>
                  <a:lstStyle/>
                  <a:p>
                    <a:fld id="{71B4A7FB-7CEB-45A1-9273-4CBDA15749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8546-4125-BBB8-9DB78A1ED48C}"/>
                </c:ext>
              </c:extLst>
            </c:dLbl>
            <c:dLbl>
              <c:idx val="35"/>
              <c:tx>
                <c:rich>
                  <a:bodyPr/>
                  <a:lstStyle/>
                  <a:p>
                    <a:fld id="{6668507D-961D-4B19-AB42-AD7BD6B5F7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8546-4125-BBB8-9DB78A1ED48C}"/>
                </c:ext>
              </c:extLst>
            </c:dLbl>
            <c:dLbl>
              <c:idx val="36"/>
              <c:tx>
                <c:rich>
                  <a:bodyPr/>
                  <a:lstStyle/>
                  <a:p>
                    <a:fld id="{55856F87-C673-4438-9614-74976AFE53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8546-4125-BBB8-9DB78A1ED48C}"/>
                </c:ext>
              </c:extLst>
            </c:dLbl>
            <c:dLbl>
              <c:idx val="37"/>
              <c:tx>
                <c:rich>
                  <a:bodyPr/>
                  <a:lstStyle/>
                  <a:p>
                    <a:fld id="{723A6BB2-5650-43DE-B2FC-94FE9B8CC0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8546-4125-BBB8-9DB78A1ED48C}"/>
                </c:ext>
              </c:extLst>
            </c:dLbl>
            <c:dLbl>
              <c:idx val="38"/>
              <c:tx>
                <c:rich>
                  <a:bodyPr/>
                  <a:lstStyle/>
                  <a:p>
                    <a:fld id="{489A6F75-B879-4B8C-B5F5-CA3707A4CE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8546-4125-BBB8-9DB78A1ED48C}"/>
                </c:ext>
              </c:extLst>
            </c:dLbl>
            <c:dLbl>
              <c:idx val="39"/>
              <c:tx>
                <c:rich>
                  <a:bodyPr/>
                  <a:lstStyle/>
                  <a:p>
                    <a:fld id="{49B808E2-8438-4F50-92E9-CB604AE87D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8546-4125-BBB8-9DB78A1ED48C}"/>
                </c:ext>
              </c:extLst>
            </c:dLbl>
            <c:dLbl>
              <c:idx val="40"/>
              <c:tx>
                <c:rich>
                  <a:bodyPr/>
                  <a:lstStyle/>
                  <a:p>
                    <a:fld id="{94B42FC6-1308-4FB4-BAD5-892F6A62AA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8546-4125-BBB8-9DB78A1ED48C}"/>
                </c:ext>
              </c:extLst>
            </c:dLbl>
            <c:dLbl>
              <c:idx val="41"/>
              <c:tx>
                <c:rich>
                  <a:bodyPr/>
                  <a:lstStyle/>
                  <a:p>
                    <a:fld id="{1007632D-EFA9-4584-AEA6-1369BC7CEF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8546-4125-BBB8-9DB78A1ED48C}"/>
                </c:ext>
              </c:extLst>
            </c:dLbl>
            <c:dLbl>
              <c:idx val="42"/>
              <c:tx>
                <c:rich>
                  <a:bodyPr/>
                  <a:lstStyle/>
                  <a:p>
                    <a:fld id="{A592372B-DF20-434B-960A-BAF4B5BB05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8546-4125-BBB8-9DB78A1ED48C}"/>
                </c:ext>
              </c:extLst>
            </c:dLbl>
            <c:dLbl>
              <c:idx val="43"/>
              <c:tx>
                <c:rich>
                  <a:bodyPr/>
                  <a:lstStyle/>
                  <a:p>
                    <a:fld id="{DCF19659-2933-4D9F-92F3-C827DFE41F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8546-4125-BBB8-9DB78A1ED48C}"/>
                </c:ext>
              </c:extLst>
            </c:dLbl>
            <c:dLbl>
              <c:idx val="44"/>
              <c:tx>
                <c:rich>
                  <a:bodyPr/>
                  <a:lstStyle/>
                  <a:p>
                    <a:fld id="{CD17DB90-96CD-497B-8C1F-DC176947C5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8546-4125-BBB8-9DB78A1ED48C}"/>
                </c:ext>
              </c:extLst>
            </c:dLbl>
            <c:dLbl>
              <c:idx val="45"/>
              <c:tx>
                <c:rich>
                  <a:bodyPr/>
                  <a:lstStyle/>
                  <a:p>
                    <a:fld id="{99B9DDA2-A1D1-4D91-B66F-79BD7F683F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8546-4125-BBB8-9DB78A1ED48C}"/>
                </c:ext>
              </c:extLst>
            </c:dLbl>
            <c:dLbl>
              <c:idx val="46"/>
              <c:tx>
                <c:rich>
                  <a:bodyPr/>
                  <a:lstStyle/>
                  <a:p>
                    <a:fld id="{1E82156F-383F-4B26-8C2F-831B0B5D3F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8546-4125-BBB8-9DB78A1ED48C}"/>
                </c:ext>
              </c:extLst>
            </c:dLbl>
            <c:dLbl>
              <c:idx val="47"/>
              <c:tx>
                <c:rich>
                  <a:bodyPr/>
                  <a:lstStyle/>
                  <a:p>
                    <a:fld id="{D097C92F-63F5-46F7-B744-6E90BF7BEB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8546-4125-BBB8-9DB78A1ED48C}"/>
                </c:ext>
              </c:extLst>
            </c:dLbl>
            <c:dLbl>
              <c:idx val="48"/>
              <c:tx>
                <c:rich>
                  <a:bodyPr/>
                  <a:lstStyle/>
                  <a:p>
                    <a:fld id="{D23C946D-0455-4EAA-B010-3600F2FFA8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8546-4125-BBB8-9DB78A1ED48C}"/>
                </c:ext>
              </c:extLst>
            </c:dLbl>
            <c:dLbl>
              <c:idx val="49"/>
              <c:tx>
                <c:rich>
                  <a:bodyPr/>
                  <a:lstStyle/>
                  <a:p>
                    <a:fld id="{CC3B6596-F1F0-4526-A52A-671BD41B45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8546-4125-BBB8-9DB78A1ED48C}"/>
                </c:ext>
              </c:extLst>
            </c:dLbl>
            <c:dLbl>
              <c:idx val="50"/>
              <c:tx>
                <c:rich>
                  <a:bodyPr/>
                  <a:lstStyle/>
                  <a:p>
                    <a:fld id="{79DE84EA-8F42-4339-ACA6-DF371DEBDA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8546-4125-BBB8-9DB78A1ED48C}"/>
                </c:ext>
              </c:extLst>
            </c:dLbl>
            <c:dLbl>
              <c:idx val="51"/>
              <c:tx>
                <c:rich>
                  <a:bodyPr/>
                  <a:lstStyle/>
                  <a:p>
                    <a:fld id="{13A14896-BE27-4F5D-B8F8-CFD171F4AA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8546-4125-BBB8-9DB78A1ED48C}"/>
                </c:ext>
              </c:extLst>
            </c:dLbl>
            <c:dLbl>
              <c:idx val="52"/>
              <c:tx>
                <c:rich>
                  <a:bodyPr/>
                  <a:lstStyle/>
                  <a:p>
                    <a:fld id="{5A3B7CB5-D8EE-4205-83D9-3BE180C49D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8546-4125-BBB8-9DB78A1ED48C}"/>
                </c:ext>
              </c:extLst>
            </c:dLbl>
            <c:dLbl>
              <c:idx val="53"/>
              <c:tx>
                <c:rich>
                  <a:bodyPr/>
                  <a:lstStyle/>
                  <a:p>
                    <a:fld id="{FC63B60B-0F3B-4D1A-BF98-9151D1A512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8546-4125-BBB8-9DB78A1ED48C}"/>
                </c:ext>
              </c:extLst>
            </c:dLbl>
            <c:dLbl>
              <c:idx val="54"/>
              <c:tx>
                <c:rich>
                  <a:bodyPr/>
                  <a:lstStyle/>
                  <a:p>
                    <a:fld id="{160C6196-6C3A-46F1-9F42-6EF0454C22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8546-4125-BBB8-9DB78A1ED48C}"/>
                </c:ext>
              </c:extLst>
            </c:dLbl>
            <c:dLbl>
              <c:idx val="55"/>
              <c:tx>
                <c:rich>
                  <a:bodyPr/>
                  <a:lstStyle/>
                  <a:p>
                    <a:fld id="{AC53DE61-547C-45FA-9DB8-90FDF771FB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8546-4125-BBB8-9DB78A1ED48C}"/>
                </c:ext>
              </c:extLst>
            </c:dLbl>
            <c:dLbl>
              <c:idx val="56"/>
              <c:tx>
                <c:rich>
                  <a:bodyPr/>
                  <a:lstStyle/>
                  <a:p>
                    <a:fld id="{9EB6F10A-8925-459D-9636-30034B85DE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8546-4125-BBB8-9DB78A1ED48C}"/>
                </c:ext>
              </c:extLst>
            </c:dLbl>
            <c:dLbl>
              <c:idx val="57"/>
              <c:tx>
                <c:rich>
                  <a:bodyPr/>
                  <a:lstStyle/>
                  <a:p>
                    <a:fld id="{51250C59-0440-4FB3-AD1A-7B1DCD837B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8546-4125-BBB8-9DB78A1ED48C}"/>
                </c:ext>
              </c:extLst>
            </c:dLbl>
            <c:dLbl>
              <c:idx val="58"/>
              <c:tx>
                <c:rich>
                  <a:bodyPr/>
                  <a:lstStyle/>
                  <a:p>
                    <a:fld id="{40B8AF98-1402-4B79-9C72-2228B867EA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8546-4125-BBB8-9DB78A1ED48C}"/>
                </c:ext>
              </c:extLst>
            </c:dLbl>
            <c:dLbl>
              <c:idx val="59"/>
              <c:tx>
                <c:rich>
                  <a:bodyPr/>
                  <a:lstStyle/>
                  <a:p>
                    <a:fld id="{2F622A5B-1FB6-4066-BAAD-09D696D7C6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8546-4125-BBB8-9DB78A1ED48C}"/>
                </c:ext>
              </c:extLst>
            </c:dLbl>
            <c:dLbl>
              <c:idx val="60"/>
              <c:tx>
                <c:rich>
                  <a:bodyPr/>
                  <a:lstStyle/>
                  <a:p>
                    <a:fld id="{7426B90B-BBB4-4041-80F9-B717E2B6C3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8546-4125-BBB8-9DB78A1ED48C}"/>
                </c:ext>
              </c:extLst>
            </c:dLbl>
            <c:dLbl>
              <c:idx val="61"/>
              <c:tx>
                <c:rich>
                  <a:bodyPr/>
                  <a:lstStyle/>
                  <a:p>
                    <a:fld id="{09B2BF9C-C331-4B70-B350-36A39A64E5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8546-4125-BBB8-9DB78A1ED48C}"/>
                </c:ext>
              </c:extLst>
            </c:dLbl>
            <c:dLbl>
              <c:idx val="62"/>
              <c:tx>
                <c:rich>
                  <a:bodyPr/>
                  <a:lstStyle/>
                  <a:p>
                    <a:fld id="{8E63C7B2-0129-4A37-BC64-5FC415B03B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8546-4125-BBB8-9DB78A1ED48C}"/>
                </c:ext>
              </c:extLst>
            </c:dLbl>
            <c:dLbl>
              <c:idx val="63"/>
              <c:tx>
                <c:rich>
                  <a:bodyPr/>
                  <a:lstStyle/>
                  <a:p>
                    <a:fld id="{C0D1F140-255A-46CB-B95C-E399C0DC4E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8546-4125-BBB8-9DB78A1ED48C}"/>
                </c:ext>
              </c:extLst>
            </c:dLbl>
            <c:dLbl>
              <c:idx val="64"/>
              <c:tx>
                <c:rich>
                  <a:bodyPr/>
                  <a:lstStyle/>
                  <a:p>
                    <a:fld id="{667758EB-39C6-42CD-908C-25CDD53435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8546-4125-BBB8-9DB78A1ED48C}"/>
                </c:ext>
              </c:extLst>
            </c:dLbl>
            <c:dLbl>
              <c:idx val="65"/>
              <c:tx>
                <c:rich>
                  <a:bodyPr/>
                  <a:lstStyle/>
                  <a:p>
                    <a:fld id="{B08DEE5B-EA60-429F-BFC8-11B40922C9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8546-4125-BBB8-9DB78A1ED48C}"/>
                </c:ext>
              </c:extLst>
            </c:dLbl>
            <c:dLbl>
              <c:idx val="66"/>
              <c:tx>
                <c:rich>
                  <a:bodyPr/>
                  <a:lstStyle/>
                  <a:p>
                    <a:fld id="{51F2FDB7-64FF-4FD1-A0A4-952E7DCAC5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8546-4125-BBB8-9DB78A1ED48C}"/>
                </c:ext>
              </c:extLst>
            </c:dLbl>
            <c:dLbl>
              <c:idx val="67"/>
              <c:tx>
                <c:rich>
                  <a:bodyPr/>
                  <a:lstStyle/>
                  <a:p>
                    <a:fld id="{5D508F99-82FC-454C-BC3B-C7C3278929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8546-4125-BBB8-9DB78A1ED48C}"/>
                </c:ext>
              </c:extLst>
            </c:dLbl>
            <c:dLbl>
              <c:idx val="68"/>
              <c:tx>
                <c:rich>
                  <a:bodyPr/>
                  <a:lstStyle/>
                  <a:p>
                    <a:fld id="{67615434-F548-49FF-8393-344602B82A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8546-4125-BBB8-9DB78A1ED48C}"/>
                </c:ext>
              </c:extLst>
            </c:dLbl>
            <c:dLbl>
              <c:idx val="69"/>
              <c:tx>
                <c:rich>
                  <a:bodyPr/>
                  <a:lstStyle/>
                  <a:p>
                    <a:fld id="{DC90950A-1EF3-437F-BC60-5495BE2EAD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8546-4125-BBB8-9DB78A1ED48C}"/>
                </c:ext>
              </c:extLst>
            </c:dLbl>
            <c:dLbl>
              <c:idx val="70"/>
              <c:tx>
                <c:rich>
                  <a:bodyPr/>
                  <a:lstStyle/>
                  <a:p>
                    <a:fld id="{FC88B251-61F5-4B99-9F20-9937064CAF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8546-4125-BBB8-9DB78A1ED48C}"/>
                </c:ext>
              </c:extLst>
            </c:dLbl>
            <c:dLbl>
              <c:idx val="71"/>
              <c:tx>
                <c:rich>
                  <a:bodyPr/>
                  <a:lstStyle/>
                  <a:p>
                    <a:fld id="{CF63295A-FCC6-4D45-888F-334BEA008F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8546-4125-BBB8-9DB78A1ED48C}"/>
                </c:ext>
              </c:extLst>
            </c:dLbl>
            <c:dLbl>
              <c:idx val="72"/>
              <c:tx>
                <c:rich>
                  <a:bodyPr/>
                  <a:lstStyle/>
                  <a:p>
                    <a:fld id="{517F697A-FB32-42ED-A315-5D1D75EA43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8546-4125-BBB8-9DB78A1ED48C}"/>
                </c:ext>
              </c:extLst>
            </c:dLbl>
            <c:dLbl>
              <c:idx val="73"/>
              <c:tx>
                <c:rich>
                  <a:bodyPr/>
                  <a:lstStyle/>
                  <a:p>
                    <a:fld id="{477D5B04-6CC1-4F6B-A5B0-0660F77492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8546-4125-BBB8-9DB78A1ED48C}"/>
                </c:ext>
              </c:extLst>
            </c:dLbl>
            <c:dLbl>
              <c:idx val="74"/>
              <c:tx>
                <c:rich>
                  <a:bodyPr/>
                  <a:lstStyle/>
                  <a:p>
                    <a:fld id="{9E2F6FFF-2B0E-4E9C-97D8-9F88D099CB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8546-4125-BBB8-9DB78A1ED48C}"/>
                </c:ext>
              </c:extLst>
            </c:dLbl>
            <c:dLbl>
              <c:idx val="75"/>
              <c:tx>
                <c:rich>
                  <a:bodyPr/>
                  <a:lstStyle/>
                  <a:p>
                    <a:fld id="{077FB8A5-FD4E-46AE-8B84-5A4C3CE44A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8546-4125-BBB8-9DB78A1ED48C}"/>
                </c:ext>
              </c:extLst>
            </c:dLbl>
            <c:dLbl>
              <c:idx val="76"/>
              <c:tx>
                <c:rich>
                  <a:bodyPr/>
                  <a:lstStyle/>
                  <a:p>
                    <a:fld id="{A63145B2-78F2-4B03-A3FD-7CE5EBA2DF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8546-4125-BBB8-9DB78A1ED48C}"/>
                </c:ext>
              </c:extLst>
            </c:dLbl>
            <c:dLbl>
              <c:idx val="77"/>
              <c:tx>
                <c:rich>
                  <a:bodyPr/>
                  <a:lstStyle/>
                  <a:p>
                    <a:fld id="{DF95ED06-E937-40EB-8AC1-1C3D127983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8546-4125-BBB8-9DB78A1ED48C}"/>
                </c:ext>
              </c:extLst>
            </c:dLbl>
            <c:dLbl>
              <c:idx val="78"/>
              <c:tx>
                <c:rich>
                  <a:bodyPr/>
                  <a:lstStyle/>
                  <a:p>
                    <a:fld id="{91357791-0522-4689-A411-23EA9CB5DA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8546-4125-BBB8-9DB78A1ED48C}"/>
                </c:ext>
              </c:extLst>
            </c:dLbl>
            <c:dLbl>
              <c:idx val="79"/>
              <c:tx>
                <c:rich>
                  <a:bodyPr/>
                  <a:lstStyle/>
                  <a:p>
                    <a:fld id="{7342846B-82E2-488F-8687-1AE5B24906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8546-4125-BBB8-9DB78A1ED48C}"/>
                </c:ext>
              </c:extLst>
            </c:dLbl>
            <c:dLbl>
              <c:idx val="80"/>
              <c:tx>
                <c:rich>
                  <a:bodyPr/>
                  <a:lstStyle/>
                  <a:p>
                    <a:fld id="{D190A7EC-C3E0-4235-9695-0787BBCB86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8546-4125-BBB8-9DB78A1ED48C}"/>
                </c:ext>
              </c:extLst>
            </c:dLbl>
            <c:dLbl>
              <c:idx val="81"/>
              <c:tx>
                <c:rich>
                  <a:bodyPr/>
                  <a:lstStyle/>
                  <a:p>
                    <a:fld id="{91E5DED2-731D-463D-B19C-BAE3393DEB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8546-4125-BBB8-9DB78A1ED48C}"/>
                </c:ext>
              </c:extLst>
            </c:dLbl>
            <c:dLbl>
              <c:idx val="82"/>
              <c:tx>
                <c:rich>
                  <a:bodyPr/>
                  <a:lstStyle/>
                  <a:p>
                    <a:fld id="{FE54773A-5C5D-46FB-BAF9-B85F356425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8546-4125-BBB8-9DB78A1ED48C}"/>
                </c:ext>
              </c:extLst>
            </c:dLbl>
            <c:dLbl>
              <c:idx val="83"/>
              <c:tx>
                <c:rich>
                  <a:bodyPr/>
                  <a:lstStyle/>
                  <a:p>
                    <a:fld id="{5DF28DE1-B8CF-4C34-8EB1-633B2F0674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8546-4125-BBB8-9DB78A1ED48C}"/>
                </c:ext>
              </c:extLst>
            </c:dLbl>
            <c:dLbl>
              <c:idx val="84"/>
              <c:tx>
                <c:rich>
                  <a:bodyPr/>
                  <a:lstStyle/>
                  <a:p>
                    <a:fld id="{89856DB0-E698-4FF9-88E7-DC92834A45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8546-4125-BBB8-9DB78A1ED48C}"/>
                </c:ext>
              </c:extLst>
            </c:dLbl>
            <c:dLbl>
              <c:idx val="85"/>
              <c:tx>
                <c:rich>
                  <a:bodyPr/>
                  <a:lstStyle/>
                  <a:p>
                    <a:fld id="{C6152CF3-1507-4FCC-B116-CCFA387657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8546-4125-BBB8-9DB78A1ED48C}"/>
                </c:ext>
              </c:extLst>
            </c:dLbl>
            <c:dLbl>
              <c:idx val="86"/>
              <c:tx>
                <c:rich>
                  <a:bodyPr/>
                  <a:lstStyle/>
                  <a:p>
                    <a:fld id="{A03D2994-E736-4F89-A1F6-B1B60DEA73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8546-4125-BBB8-9DB78A1ED48C}"/>
                </c:ext>
              </c:extLst>
            </c:dLbl>
            <c:dLbl>
              <c:idx val="87"/>
              <c:tx>
                <c:rich>
                  <a:bodyPr/>
                  <a:lstStyle/>
                  <a:p>
                    <a:fld id="{AF169F1A-88BE-4C55-A737-CD8F52C72F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8546-4125-BBB8-9DB78A1ED48C}"/>
                </c:ext>
              </c:extLst>
            </c:dLbl>
            <c:dLbl>
              <c:idx val="88"/>
              <c:tx>
                <c:rich>
                  <a:bodyPr/>
                  <a:lstStyle/>
                  <a:p>
                    <a:fld id="{380C3610-B590-4E67-9938-16441B11A5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8546-4125-BBB8-9DB78A1ED48C}"/>
                </c:ext>
              </c:extLst>
            </c:dLbl>
            <c:dLbl>
              <c:idx val="89"/>
              <c:tx>
                <c:rich>
                  <a:bodyPr/>
                  <a:lstStyle/>
                  <a:p>
                    <a:fld id="{738EFE4E-DBF5-4C05-ABF9-91E86951A9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8546-4125-BBB8-9DB78A1ED48C}"/>
                </c:ext>
              </c:extLst>
            </c:dLbl>
            <c:dLbl>
              <c:idx val="90"/>
              <c:tx>
                <c:rich>
                  <a:bodyPr/>
                  <a:lstStyle/>
                  <a:p>
                    <a:fld id="{88230081-BD26-424E-A6BB-5E08911B48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8546-4125-BBB8-9DB78A1ED48C}"/>
                </c:ext>
              </c:extLst>
            </c:dLbl>
            <c:dLbl>
              <c:idx val="91"/>
              <c:tx>
                <c:rich>
                  <a:bodyPr/>
                  <a:lstStyle/>
                  <a:p>
                    <a:fld id="{5FD917D4-D006-46C8-B4C8-EA6EF1D685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8546-4125-BBB8-9DB78A1ED48C}"/>
                </c:ext>
              </c:extLst>
            </c:dLbl>
            <c:dLbl>
              <c:idx val="92"/>
              <c:tx>
                <c:rich>
                  <a:bodyPr/>
                  <a:lstStyle/>
                  <a:p>
                    <a:fld id="{72938282-227E-4549-AAE3-5BF141C4D5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8546-4125-BBB8-9DB78A1ED48C}"/>
                </c:ext>
              </c:extLst>
            </c:dLbl>
            <c:dLbl>
              <c:idx val="93"/>
              <c:tx>
                <c:rich>
                  <a:bodyPr/>
                  <a:lstStyle/>
                  <a:p>
                    <a:fld id="{747E5018-FD5B-4B1A-963E-0EE977C450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8546-4125-BBB8-9DB78A1ED48C}"/>
                </c:ext>
              </c:extLst>
            </c:dLbl>
            <c:dLbl>
              <c:idx val="94"/>
              <c:tx>
                <c:rich>
                  <a:bodyPr/>
                  <a:lstStyle/>
                  <a:p>
                    <a:fld id="{D4C281ED-BB0A-445E-AAC8-E694ADD21C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8546-4125-BBB8-9DB78A1ED48C}"/>
                </c:ext>
              </c:extLst>
            </c:dLbl>
            <c:dLbl>
              <c:idx val="95"/>
              <c:tx>
                <c:rich>
                  <a:bodyPr/>
                  <a:lstStyle/>
                  <a:p>
                    <a:fld id="{E2A96959-44B7-42C9-AC5F-EC2B063BDB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8546-4125-BBB8-9DB78A1ED48C}"/>
                </c:ext>
              </c:extLst>
            </c:dLbl>
            <c:dLbl>
              <c:idx val="96"/>
              <c:tx>
                <c:rich>
                  <a:bodyPr/>
                  <a:lstStyle/>
                  <a:p>
                    <a:fld id="{88327C11-FC14-42A4-8C75-D18D30AD05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8546-4125-BBB8-9DB78A1ED48C}"/>
                </c:ext>
              </c:extLst>
            </c:dLbl>
            <c:dLbl>
              <c:idx val="97"/>
              <c:tx>
                <c:rich>
                  <a:bodyPr/>
                  <a:lstStyle/>
                  <a:p>
                    <a:fld id="{040B4D92-9357-4DFB-BC60-82C5277C39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8546-4125-BBB8-9DB78A1ED48C}"/>
                </c:ext>
              </c:extLst>
            </c:dLbl>
            <c:dLbl>
              <c:idx val="98"/>
              <c:tx>
                <c:rich>
                  <a:bodyPr/>
                  <a:lstStyle/>
                  <a:p>
                    <a:fld id="{C5805062-6C93-4645-8129-38C7F36865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8546-4125-BBB8-9DB78A1ED48C}"/>
                </c:ext>
              </c:extLst>
            </c:dLbl>
            <c:dLbl>
              <c:idx val="99"/>
              <c:tx>
                <c:rich>
                  <a:bodyPr/>
                  <a:lstStyle/>
                  <a:p>
                    <a:fld id="{4FF66416-7747-4F56-8E7D-91E79AFDB3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8546-4125-BBB8-9DB78A1ED48C}"/>
                </c:ext>
              </c:extLst>
            </c:dLbl>
            <c:dLbl>
              <c:idx val="100"/>
              <c:tx>
                <c:rich>
                  <a:bodyPr/>
                  <a:lstStyle/>
                  <a:p>
                    <a:fld id="{26B08DF6-093C-44C4-9810-88C54B0184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8546-4125-BBB8-9DB78A1ED48C}"/>
                </c:ext>
              </c:extLst>
            </c:dLbl>
            <c:dLbl>
              <c:idx val="101"/>
              <c:tx>
                <c:rich>
                  <a:bodyPr/>
                  <a:lstStyle/>
                  <a:p>
                    <a:fld id="{D8598660-EBE4-44C1-9DBC-9F033B4C04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8546-4125-BBB8-9DB78A1ED48C}"/>
                </c:ext>
              </c:extLst>
            </c:dLbl>
            <c:dLbl>
              <c:idx val="102"/>
              <c:tx>
                <c:rich>
                  <a:bodyPr/>
                  <a:lstStyle/>
                  <a:p>
                    <a:fld id="{4E7698FA-E395-4CCA-85D4-4709A96665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8546-4125-BBB8-9DB78A1ED48C}"/>
                </c:ext>
              </c:extLst>
            </c:dLbl>
            <c:dLbl>
              <c:idx val="103"/>
              <c:tx>
                <c:rich>
                  <a:bodyPr/>
                  <a:lstStyle/>
                  <a:p>
                    <a:fld id="{04575019-FBAB-4BC2-9B80-763DA6E015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8546-4125-BBB8-9DB78A1ED48C}"/>
                </c:ext>
              </c:extLst>
            </c:dLbl>
            <c:dLbl>
              <c:idx val="104"/>
              <c:tx>
                <c:rich>
                  <a:bodyPr/>
                  <a:lstStyle/>
                  <a:p>
                    <a:fld id="{A7D8F7C9-994B-4B14-AF55-6D7406AE21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8546-4125-BBB8-9DB78A1ED48C}"/>
                </c:ext>
              </c:extLst>
            </c:dLbl>
            <c:dLbl>
              <c:idx val="105"/>
              <c:tx>
                <c:rich>
                  <a:bodyPr/>
                  <a:lstStyle/>
                  <a:p>
                    <a:fld id="{44C5B97B-2073-41B6-AC8D-65485BEA3F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8546-4125-BBB8-9DB78A1ED48C}"/>
                </c:ext>
              </c:extLst>
            </c:dLbl>
            <c:dLbl>
              <c:idx val="106"/>
              <c:tx>
                <c:rich>
                  <a:bodyPr/>
                  <a:lstStyle/>
                  <a:p>
                    <a:fld id="{36ABEBF2-2CD4-4806-BEF5-36B9639447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8546-4125-BBB8-9DB78A1ED48C}"/>
                </c:ext>
              </c:extLst>
            </c:dLbl>
            <c:dLbl>
              <c:idx val="107"/>
              <c:tx>
                <c:rich>
                  <a:bodyPr/>
                  <a:lstStyle/>
                  <a:p>
                    <a:fld id="{8610B17D-968F-4385-B87A-4376097D27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8546-4125-BBB8-9DB78A1ED48C}"/>
                </c:ext>
              </c:extLst>
            </c:dLbl>
            <c:dLbl>
              <c:idx val="108"/>
              <c:tx>
                <c:rich>
                  <a:bodyPr/>
                  <a:lstStyle/>
                  <a:p>
                    <a:fld id="{A7F49A5D-C502-4490-93D8-ABF4ED289C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8546-4125-BBB8-9DB78A1ED48C}"/>
                </c:ext>
              </c:extLst>
            </c:dLbl>
            <c:dLbl>
              <c:idx val="109"/>
              <c:tx>
                <c:rich>
                  <a:bodyPr/>
                  <a:lstStyle/>
                  <a:p>
                    <a:fld id="{EC79577C-5049-4BB5-AF93-4766C2D92E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8546-4125-BBB8-9DB78A1ED48C}"/>
                </c:ext>
              </c:extLst>
            </c:dLbl>
            <c:dLbl>
              <c:idx val="110"/>
              <c:tx>
                <c:rich>
                  <a:bodyPr/>
                  <a:lstStyle/>
                  <a:p>
                    <a:fld id="{C5B698F8-4A63-4442-842E-B2AA251B09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8546-4125-BBB8-9DB78A1ED48C}"/>
                </c:ext>
              </c:extLst>
            </c:dLbl>
            <c:dLbl>
              <c:idx val="111"/>
              <c:tx>
                <c:rich>
                  <a:bodyPr/>
                  <a:lstStyle/>
                  <a:p>
                    <a:fld id="{D948891A-3E5F-4EA7-A5AC-AC6ED8A5DA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8546-4125-BBB8-9DB78A1ED48C}"/>
                </c:ext>
              </c:extLst>
            </c:dLbl>
            <c:dLbl>
              <c:idx val="112"/>
              <c:tx>
                <c:rich>
                  <a:bodyPr/>
                  <a:lstStyle/>
                  <a:p>
                    <a:fld id="{FBA97C85-A42A-46D1-9DD9-A3131C2860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8546-4125-BBB8-9DB78A1ED48C}"/>
                </c:ext>
              </c:extLst>
            </c:dLbl>
            <c:dLbl>
              <c:idx val="113"/>
              <c:tx>
                <c:rich>
                  <a:bodyPr/>
                  <a:lstStyle/>
                  <a:p>
                    <a:fld id="{BE75A0DF-3287-4640-9B29-04FD20037F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8546-4125-BBB8-9DB78A1ED48C}"/>
                </c:ext>
              </c:extLst>
            </c:dLbl>
            <c:dLbl>
              <c:idx val="114"/>
              <c:tx>
                <c:rich>
                  <a:bodyPr/>
                  <a:lstStyle/>
                  <a:p>
                    <a:fld id="{0135D2D1-291A-42C0-9AF7-FE7DBD5AA1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8546-4125-BBB8-9DB78A1ED48C}"/>
                </c:ext>
              </c:extLst>
            </c:dLbl>
            <c:dLbl>
              <c:idx val="115"/>
              <c:tx>
                <c:rich>
                  <a:bodyPr/>
                  <a:lstStyle/>
                  <a:p>
                    <a:fld id="{BD220B07-2F4F-4D78-BD37-D515E6C633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8546-4125-BBB8-9DB78A1ED48C}"/>
                </c:ext>
              </c:extLst>
            </c:dLbl>
            <c:dLbl>
              <c:idx val="116"/>
              <c:tx>
                <c:rich>
                  <a:bodyPr/>
                  <a:lstStyle/>
                  <a:p>
                    <a:fld id="{6BE6E42B-11DC-40A0-AEC6-4410E39620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8546-4125-BBB8-9DB78A1ED48C}"/>
                </c:ext>
              </c:extLst>
            </c:dLbl>
            <c:dLbl>
              <c:idx val="117"/>
              <c:tx>
                <c:rich>
                  <a:bodyPr/>
                  <a:lstStyle/>
                  <a:p>
                    <a:fld id="{851C4DEE-81B3-4BDA-A671-45D8963598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8546-4125-BBB8-9DB78A1ED48C}"/>
                </c:ext>
              </c:extLst>
            </c:dLbl>
            <c:dLbl>
              <c:idx val="118"/>
              <c:tx>
                <c:rich>
                  <a:bodyPr/>
                  <a:lstStyle/>
                  <a:p>
                    <a:fld id="{603ABDB1-1257-40A3-AB42-BB4ABDECD2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8546-4125-BBB8-9DB78A1ED48C}"/>
                </c:ext>
              </c:extLst>
            </c:dLbl>
            <c:dLbl>
              <c:idx val="119"/>
              <c:tx>
                <c:rich>
                  <a:bodyPr/>
                  <a:lstStyle/>
                  <a:p>
                    <a:fld id="{0EA0FE7E-B7D1-43FA-8309-58A275599C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8546-4125-BBB8-9DB78A1ED48C}"/>
                </c:ext>
              </c:extLst>
            </c:dLbl>
            <c:dLbl>
              <c:idx val="120"/>
              <c:tx>
                <c:rich>
                  <a:bodyPr/>
                  <a:lstStyle/>
                  <a:p>
                    <a:fld id="{A7386AB7-389F-4382-AD6F-388A0D1C11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8546-4125-BBB8-9DB78A1ED48C}"/>
                </c:ext>
              </c:extLst>
            </c:dLbl>
            <c:dLbl>
              <c:idx val="121"/>
              <c:tx>
                <c:rich>
                  <a:bodyPr/>
                  <a:lstStyle/>
                  <a:p>
                    <a:fld id="{58F3ECB2-9535-4123-9B59-2B2C7384DC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8546-4125-BBB8-9DB78A1ED48C}"/>
                </c:ext>
              </c:extLst>
            </c:dLbl>
            <c:dLbl>
              <c:idx val="122"/>
              <c:tx>
                <c:rich>
                  <a:bodyPr/>
                  <a:lstStyle/>
                  <a:p>
                    <a:fld id="{DDBC0C42-7809-44C2-AD5E-8D3140FE9E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8546-4125-BBB8-9DB78A1ED48C}"/>
                </c:ext>
              </c:extLst>
            </c:dLbl>
            <c:dLbl>
              <c:idx val="123"/>
              <c:tx>
                <c:rich>
                  <a:bodyPr/>
                  <a:lstStyle/>
                  <a:p>
                    <a:fld id="{04DFEAB9-73C2-4456-9FCC-0ADC4C8EBF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8546-4125-BBB8-9DB78A1ED48C}"/>
                </c:ext>
              </c:extLst>
            </c:dLbl>
            <c:dLbl>
              <c:idx val="124"/>
              <c:tx>
                <c:rich>
                  <a:bodyPr/>
                  <a:lstStyle/>
                  <a:p>
                    <a:fld id="{9ED9C38A-0611-4AB5-A1C6-5C5EB8E1F7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8546-4125-BBB8-9DB78A1ED48C}"/>
                </c:ext>
              </c:extLst>
            </c:dLbl>
            <c:dLbl>
              <c:idx val="125"/>
              <c:tx>
                <c:rich>
                  <a:bodyPr/>
                  <a:lstStyle/>
                  <a:p>
                    <a:fld id="{97C3002C-B79C-43FA-8185-5C0E2AEB40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8546-4125-BBB8-9DB78A1ED48C}"/>
                </c:ext>
              </c:extLst>
            </c:dLbl>
            <c:dLbl>
              <c:idx val="126"/>
              <c:tx>
                <c:rich>
                  <a:bodyPr/>
                  <a:lstStyle/>
                  <a:p>
                    <a:fld id="{B68F482C-8F0A-4E8A-A214-B3105BDBE3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8546-4125-BBB8-9DB78A1ED48C}"/>
                </c:ext>
              </c:extLst>
            </c:dLbl>
            <c:dLbl>
              <c:idx val="127"/>
              <c:tx>
                <c:rich>
                  <a:bodyPr/>
                  <a:lstStyle/>
                  <a:p>
                    <a:fld id="{ADFF6F65-BD98-4D0C-9789-FBA2D21E32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8546-4125-BBB8-9DB78A1ED48C}"/>
                </c:ext>
              </c:extLst>
            </c:dLbl>
            <c:dLbl>
              <c:idx val="128"/>
              <c:tx>
                <c:rich>
                  <a:bodyPr/>
                  <a:lstStyle/>
                  <a:p>
                    <a:fld id="{D7AEB6F3-A6DC-4B92-B608-3F6BBAFAFE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8546-4125-BBB8-9DB78A1ED48C}"/>
                </c:ext>
              </c:extLst>
            </c:dLbl>
            <c:dLbl>
              <c:idx val="129"/>
              <c:tx>
                <c:rich>
                  <a:bodyPr/>
                  <a:lstStyle/>
                  <a:p>
                    <a:fld id="{3FBCBF80-E9BC-44B5-A6FC-17D2CF9FA3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8546-4125-BBB8-9DB78A1ED48C}"/>
                </c:ext>
              </c:extLst>
            </c:dLbl>
            <c:dLbl>
              <c:idx val="130"/>
              <c:tx>
                <c:rich>
                  <a:bodyPr/>
                  <a:lstStyle/>
                  <a:p>
                    <a:fld id="{7B6C1A74-07B2-4616-8C48-04BC795F9A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8546-4125-BBB8-9DB78A1ED48C}"/>
                </c:ext>
              </c:extLst>
            </c:dLbl>
            <c:dLbl>
              <c:idx val="131"/>
              <c:tx>
                <c:rich>
                  <a:bodyPr/>
                  <a:lstStyle/>
                  <a:p>
                    <a:fld id="{1C173B54-881D-4EAA-94FF-9CA9AA6F04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8546-4125-BBB8-9DB78A1ED48C}"/>
                </c:ext>
              </c:extLst>
            </c:dLbl>
            <c:dLbl>
              <c:idx val="132"/>
              <c:tx>
                <c:rich>
                  <a:bodyPr/>
                  <a:lstStyle/>
                  <a:p>
                    <a:fld id="{C3FA14FC-B7E5-4045-812F-9AEB9199FD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8546-4125-BBB8-9DB78A1ED48C}"/>
                </c:ext>
              </c:extLst>
            </c:dLbl>
            <c:dLbl>
              <c:idx val="133"/>
              <c:tx>
                <c:rich>
                  <a:bodyPr/>
                  <a:lstStyle/>
                  <a:p>
                    <a:fld id="{67E30C54-8A9D-46A0-9CF5-275784ACB9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8546-4125-BBB8-9DB78A1ED48C}"/>
                </c:ext>
              </c:extLst>
            </c:dLbl>
            <c:dLbl>
              <c:idx val="134"/>
              <c:tx>
                <c:rich>
                  <a:bodyPr/>
                  <a:lstStyle/>
                  <a:p>
                    <a:fld id="{57DA8036-BB17-4A2F-A65E-94FF89EBC1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8546-4125-BBB8-9DB78A1ED48C}"/>
                </c:ext>
              </c:extLst>
            </c:dLbl>
            <c:dLbl>
              <c:idx val="135"/>
              <c:tx>
                <c:rich>
                  <a:bodyPr/>
                  <a:lstStyle/>
                  <a:p>
                    <a:fld id="{5A276FDE-C164-4FAA-A28F-D81A8B3BAA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8546-4125-BBB8-9DB78A1ED48C}"/>
                </c:ext>
              </c:extLst>
            </c:dLbl>
            <c:dLbl>
              <c:idx val="136"/>
              <c:tx>
                <c:rich>
                  <a:bodyPr/>
                  <a:lstStyle/>
                  <a:p>
                    <a:fld id="{03BA2573-8D8C-406A-8020-10B19DED18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8546-4125-BBB8-9DB78A1ED48C}"/>
                </c:ext>
              </c:extLst>
            </c:dLbl>
            <c:dLbl>
              <c:idx val="137"/>
              <c:tx>
                <c:rich>
                  <a:bodyPr/>
                  <a:lstStyle/>
                  <a:p>
                    <a:fld id="{AD7E7AD3-1B1E-40DD-8BB1-FE8F060B26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8546-4125-BBB8-9DB78A1ED48C}"/>
                </c:ext>
              </c:extLst>
            </c:dLbl>
            <c:dLbl>
              <c:idx val="138"/>
              <c:tx>
                <c:rich>
                  <a:bodyPr/>
                  <a:lstStyle/>
                  <a:p>
                    <a:fld id="{DDF59B20-89BE-4FFF-89CB-4C6026DFE8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8546-4125-BBB8-9DB78A1ED48C}"/>
                </c:ext>
              </c:extLst>
            </c:dLbl>
            <c:dLbl>
              <c:idx val="139"/>
              <c:tx>
                <c:rich>
                  <a:bodyPr/>
                  <a:lstStyle/>
                  <a:p>
                    <a:fld id="{C04B0504-F40B-497F-A884-1ED9C2F88C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8546-4125-BBB8-9DB78A1ED48C}"/>
                </c:ext>
              </c:extLst>
            </c:dLbl>
            <c:dLbl>
              <c:idx val="140"/>
              <c:tx>
                <c:rich>
                  <a:bodyPr/>
                  <a:lstStyle/>
                  <a:p>
                    <a:fld id="{5F1667A4-E846-4A24-8E61-9930A6B56E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8546-4125-BBB8-9DB78A1ED48C}"/>
                </c:ext>
              </c:extLst>
            </c:dLbl>
            <c:dLbl>
              <c:idx val="141"/>
              <c:tx>
                <c:rich>
                  <a:bodyPr/>
                  <a:lstStyle/>
                  <a:p>
                    <a:fld id="{212BE838-7D3A-4968-BFC4-F0F5829C18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8546-4125-BBB8-9DB78A1ED48C}"/>
                </c:ext>
              </c:extLst>
            </c:dLbl>
            <c:dLbl>
              <c:idx val="142"/>
              <c:tx>
                <c:rich>
                  <a:bodyPr/>
                  <a:lstStyle/>
                  <a:p>
                    <a:fld id="{C668D01F-CF52-4A45-9D95-179FC99C08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8546-4125-BBB8-9DB78A1ED48C}"/>
                </c:ext>
              </c:extLst>
            </c:dLbl>
            <c:dLbl>
              <c:idx val="143"/>
              <c:tx>
                <c:rich>
                  <a:bodyPr/>
                  <a:lstStyle/>
                  <a:p>
                    <a:fld id="{4B4F8068-BA18-44A0-9CBC-07DE5B3B93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8546-4125-BBB8-9DB78A1ED48C}"/>
                </c:ext>
              </c:extLst>
            </c:dLbl>
            <c:dLbl>
              <c:idx val="144"/>
              <c:tx>
                <c:rich>
                  <a:bodyPr/>
                  <a:lstStyle/>
                  <a:p>
                    <a:fld id="{EE3A888D-F2E5-46DE-8999-1FF428BF62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8546-4125-BBB8-9DB78A1ED48C}"/>
                </c:ext>
              </c:extLst>
            </c:dLbl>
            <c:dLbl>
              <c:idx val="145"/>
              <c:tx>
                <c:rich>
                  <a:bodyPr/>
                  <a:lstStyle/>
                  <a:p>
                    <a:fld id="{4752166E-3C76-4721-9279-F0653EAA29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8546-4125-BBB8-9DB78A1ED48C}"/>
                </c:ext>
              </c:extLst>
            </c:dLbl>
            <c:dLbl>
              <c:idx val="146"/>
              <c:tx>
                <c:rich>
                  <a:bodyPr/>
                  <a:lstStyle/>
                  <a:p>
                    <a:fld id="{EC725014-1AF0-4624-898B-534763ACB6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8546-4125-BBB8-9DB78A1ED48C}"/>
                </c:ext>
              </c:extLst>
            </c:dLbl>
            <c:dLbl>
              <c:idx val="147"/>
              <c:tx>
                <c:rich>
                  <a:bodyPr/>
                  <a:lstStyle/>
                  <a:p>
                    <a:fld id="{E475EFD2-780D-41E0-8675-A90FF51B80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8546-4125-BBB8-9DB78A1ED48C}"/>
                </c:ext>
              </c:extLst>
            </c:dLbl>
            <c:dLbl>
              <c:idx val="148"/>
              <c:tx>
                <c:rich>
                  <a:bodyPr/>
                  <a:lstStyle/>
                  <a:p>
                    <a:fld id="{E81B444F-FAEC-4990-83E2-53A8765FEE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8546-4125-BBB8-9DB78A1ED48C}"/>
                </c:ext>
              </c:extLst>
            </c:dLbl>
            <c:dLbl>
              <c:idx val="149"/>
              <c:tx>
                <c:rich>
                  <a:bodyPr/>
                  <a:lstStyle/>
                  <a:p>
                    <a:fld id="{6652E6BD-8114-4690-8E2C-9ADBC0F806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8546-4125-BBB8-9DB78A1ED48C}"/>
                </c:ext>
              </c:extLst>
            </c:dLbl>
            <c:dLbl>
              <c:idx val="150"/>
              <c:tx>
                <c:rich>
                  <a:bodyPr/>
                  <a:lstStyle/>
                  <a:p>
                    <a:fld id="{766646F3-A7AE-4304-988E-9DD645C3C4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8546-4125-BBB8-9DB78A1ED48C}"/>
                </c:ext>
              </c:extLst>
            </c:dLbl>
            <c:dLbl>
              <c:idx val="151"/>
              <c:tx>
                <c:rich>
                  <a:bodyPr/>
                  <a:lstStyle/>
                  <a:p>
                    <a:fld id="{D44751AA-9477-4FD9-A8DD-6F14EB2D90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8546-4125-BBB8-9DB78A1ED48C}"/>
                </c:ext>
              </c:extLst>
            </c:dLbl>
            <c:dLbl>
              <c:idx val="152"/>
              <c:tx>
                <c:rich>
                  <a:bodyPr/>
                  <a:lstStyle/>
                  <a:p>
                    <a:fld id="{FA7C65A2-E445-4F8D-ADA1-A93A671862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8546-4125-BBB8-9DB78A1ED48C}"/>
                </c:ext>
              </c:extLst>
            </c:dLbl>
            <c:dLbl>
              <c:idx val="153"/>
              <c:tx>
                <c:rich>
                  <a:bodyPr/>
                  <a:lstStyle/>
                  <a:p>
                    <a:fld id="{A723886F-0BB7-4A5D-8B4D-55C56D6936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8546-4125-BBB8-9DB78A1ED48C}"/>
                </c:ext>
              </c:extLst>
            </c:dLbl>
            <c:dLbl>
              <c:idx val="154"/>
              <c:tx>
                <c:rich>
                  <a:bodyPr/>
                  <a:lstStyle/>
                  <a:p>
                    <a:fld id="{4B2A7980-87D1-46C9-808C-49DFAD1DFD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8546-4125-BBB8-9DB78A1ED48C}"/>
                </c:ext>
              </c:extLst>
            </c:dLbl>
            <c:dLbl>
              <c:idx val="155"/>
              <c:tx>
                <c:rich>
                  <a:bodyPr/>
                  <a:lstStyle/>
                  <a:p>
                    <a:fld id="{96C50932-6D5A-41ED-92F6-2CCA00E6EE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8546-4125-BBB8-9DB78A1ED48C}"/>
                </c:ext>
              </c:extLst>
            </c:dLbl>
            <c:dLbl>
              <c:idx val="156"/>
              <c:tx>
                <c:rich>
                  <a:bodyPr/>
                  <a:lstStyle/>
                  <a:p>
                    <a:fld id="{24546200-2051-4F21-A3B2-94B0ADFDEC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8546-4125-BBB8-9DB78A1ED48C}"/>
                </c:ext>
              </c:extLst>
            </c:dLbl>
            <c:dLbl>
              <c:idx val="157"/>
              <c:tx>
                <c:rich>
                  <a:bodyPr/>
                  <a:lstStyle/>
                  <a:p>
                    <a:fld id="{FE606EC1-C4B6-467C-9073-1AB96DF105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8546-4125-BBB8-9DB78A1ED48C}"/>
                </c:ext>
              </c:extLst>
            </c:dLbl>
            <c:dLbl>
              <c:idx val="158"/>
              <c:tx>
                <c:rich>
                  <a:bodyPr/>
                  <a:lstStyle/>
                  <a:p>
                    <a:fld id="{5E01F88E-B884-4E1B-BB70-117B7BA592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8546-4125-BBB8-9DB78A1ED48C}"/>
                </c:ext>
              </c:extLst>
            </c:dLbl>
            <c:dLbl>
              <c:idx val="159"/>
              <c:tx>
                <c:rich>
                  <a:bodyPr/>
                  <a:lstStyle/>
                  <a:p>
                    <a:fld id="{6372D581-2377-4048-84FD-102DC8B99E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8546-4125-BBB8-9DB78A1ED48C}"/>
                </c:ext>
              </c:extLst>
            </c:dLbl>
            <c:dLbl>
              <c:idx val="160"/>
              <c:tx>
                <c:rich>
                  <a:bodyPr/>
                  <a:lstStyle/>
                  <a:p>
                    <a:fld id="{4CB5CC11-1623-4601-B58B-EBE2701A71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8546-4125-BBB8-9DB78A1ED48C}"/>
                </c:ext>
              </c:extLst>
            </c:dLbl>
            <c:dLbl>
              <c:idx val="161"/>
              <c:tx>
                <c:rich>
                  <a:bodyPr/>
                  <a:lstStyle/>
                  <a:p>
                    <a:fld id="{692B69AF-C114-466B-8643-5342BBD578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8546-4125-BBB8-9DB78A1ED48C}"/>
                </c:ext>
              </c:extLst>
            </c:dLbl>
            <c:dLbl>
              <c:idx val="162"/>
              <c:tx>
                <c:rich>
                  <a:bodyPr/>
                  <a:lstStyle/>
                  <a:p>
                    <a:fld id="{1B1B86A1-DDCE-4C07-8BB0-F108E35FCE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8546-4125-BBB8-9DB78A1ED48C}"/>
                </c:ext>
              </c:extLst>
            </c:dLbl>
            <c:dLbl>
              <c:idx val="163"/>
              <c:tx>
                <c:rich>
                  <a:bodyPr/>
                  <a:lstStyle/>
                  <a:p>
                    <a:fld id="{780604AD-C7F0-4436-B74E-2E96B8AB7A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8546-4125-BBB8-9DB78A1ED48C}"/>
                </c:ext>
              </c:extLst>
            </c:dLbl>
            <c:dLbl>
              <c:idx val="164"/>
              <c:tx>
                <c:rich>
                  <a:bodyPr/>
                  <a:lstStyle/>
                  <a:p>
                    <a:fld id="{797AFECF-54F1-46E1-AAD2-94CF668469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8546-4125-BBB8-9DB78A1ED48C}"/>
                </c:ext>
              </c:extLst>
            </c:dLbl>
            <c:dLbl>
              <c:idx val="165"/>
              <c:tx>
                <c:rich>
                  <a:bodyPr/>
                  <a:lstStyle/>
                  <a:p>
                    <a:fld id="{FD211DC2-0817-424E-A8B4-F6BABAC7DE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8546-4125-BBB8-9DB78A1ED48C}"/>
                </c:ext>
              </c:extLst>
            </c:dLbl>
            <c:dLbl>
              <c:idx val="166"/>
              <c:tx>
                <c:rich>
                  <a:bodyPr/>
                  <a:lstStyle/>
                  <a:p>
                    <a:fld id="{FA28EF71-CBDA-4928-B3C7-BB87178C22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8546-4125-BBB8-9DB78A1ED48C}"/>
                </c:ext>
              </c:extLst>
            </c:dLbl>
            <c:dLbl>
              <c:idx val="167"/>
              <c:tx>
                <c:rich>
                  <a:bodyPr/>
                  <a:lstStyle/>
                  <a:p>
                    <a:fld id="{16F45452-50BE-4FEB-A7C2-5CC28EE08D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8546-4125-BBB8-9DB78A1ED48C}"/>
                </c:ext>
              </c:extLst>
            </c:dLbl>
            <c:dLbl>
              <c:idx val="168"/>
              <c:tx>
                <c:rich>
                  <a:bodyPr/>
                  <a:lstStyle/>
                  <a:p>
                    <a:fld id="{6F79CDBF-05D9-41CC-AB61-0E363BFCDF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8546-4125-BBB8-9DB78A1ED48C}"/>
                </c:ext>
              </c:extLst>
            </c:dLbl>
            <c:dLbl>
              <c:idx val="169"/>
              <c:tx>
                <c:rich>
                  <a:bodyPr/>
                  <a:lstStyle/>
                  <a:p>
                    <a:fld id="{FF800339-1B71-4C54-8292-81A7BB70CA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8546-4125-BBB8-9DB78A1ED48C}"/>
                </c:ext>
              </c:extLst>
            </c:dLbl>
            <c:dLbl>
              <c:idx val="170"/>
              <c:tx>
                <c:rich>
                  <a:bodyPr/>
                  <a:lstStyle/>
                  <a:p>
                    <a:fld id="{AF1969D8-FE06-45D1-AF82-A8A16DFD09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8546-4125-BBB8-9DB78A1ED48C}"/>
                </c:ext>
              </c:extLst>
            </c:dLbl>
            <c:dLbl>
              <c:idx val="171"/>
              <c:tx>
                <c:rich>
                  <a:bodyPr/>
                  <a:lstStyle/>
                  <a:p>
                    <a:fld id="{0CF6CFAE-E946-4244-BF96-F4CA4AA8D1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8546-4125-BBB8-9DB78A1ED48C}"/>
                </c:ext>
              </c:extLst>
            </c:dLbl>
            <c:dLbl>
              <c:idx val="172"/>
              <c:tx>
                <c:rich>
                  <a:bodyPr/>
                  <a:lstStyle/>
                  <a:p>
                    <a:fld id="{14287875-16D1-4160-9528-BAD48AEA8D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8546-4125-BBB8-9DB78A1ED48C}"/>
                </c:ext>
              </c:extLst>
            </c:dLbl>
            <c:dLbl>
              <c:idx val="173"/>
              <c:tx>
                <c:rich>
                  <a:bodyPr/>
                  <a:lstStyle/>
                  <a:p>
                    <a:fld id="{F7A7755C-3570-415B-8783-592418893C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8546-4125-BBB8-9DB78A1ED48C}"/>
                </c:ext>
              </c:extLst>
            </c:dLbl>
            <c:dLbl>
              <c:idx val="174"/>
              <c:tx>
                <c:rich>
                  <a:bodyPr/>
                  <a:lstStyle/>
                  <a:p>
                    <a:fld id="{A3A5E655-F605-49DC-9893-C45296CD87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8546-4125-BBB8-9DB78A1ED48C}"/>
                </c:ext>
              </c:extLst>
            </c:dLbl>
            <c:dLbl>
              <c:idx val="175"/>
              <c:tx>
                <c:rich>
                  <a:bodyPr/>
                  <a:lstStyle/>
                  <a:p>
                    <a:fld id="{783CCFA5-173E-4AF6-90D8-4A1CEB6C8B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8546-4125-BBB8-9DB78A1ED48C}"/>
                </c:ext>
              </c:extLst>
            </c:dLbl>
            <c:dLbl>
              <c:idx val="176"/>
              <c:tx>
                <c:rich>
                  <a:bodyPr/>
                  <a:lstStyle/>
                  <a:p>
                    <a:fld id="{881D10D6-EB1B-4B03-8B27-860B92C3EB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8546-4125-BBB8-9DB78A1ED48C}"/>
                </c:ext>
              </c:extLst>
            </c:dLbl>
            <c:dLbl>
              <c:idx val="177"/>
              <c:tx>
                <c:rich>
                  <a:bodyPr/>
                  <a:lstStyle/>
                  <a:p>
                    <a:fld id="{6B9FC6EA-8D7C-4591-BD6D-957B62CF43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8546-4125-BBB8-9DB78A1ED48C}"/>
                </c:ext>
              </c:extLst>
            </c:dLbl>
            <c:dLbl>
              <c:idx val="178"/>
              <c:tx>
                <c:rich>
                  <a:bodyPr/>
                  <a:lstStyle/>
                  <a:p>
                    <a:fld id="{16ECD319-DC8A-42D5-82E5-04F56F0E6D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8546-4125-BBB8-9DB78A1ED48C}"/>
                </c:ext>
              </c:extLst>
            </c:dLbl>
            <c:dLbl>
              <c:idx val="179"/>
              <c:tx>
                <c:rich>
                  <a:bodyPr/>
                  <a:lstStyle/>
                  <a:p>
                    <a:fld id="{C9322BAC-AC0F-49AD-89BC-4CCCBBBD7A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8546-4125-BBB8-9DB78A1ED48C}"/>
                </c:ext>
              </c:extLst>
            </c:dLbl>
            <c:dLbl>
              <c:idx val="180"/>
              <c:tx>
                <c:rich>
                  <a:bodyPr/>
                  <a:lstStyle/>
                  <a:p>
                    <a:fld id="{DBAEB363-457C-4E54-95E1-C835A65D91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8546-4125-BBB8-9DB78A1ED48C}"/>
                </c:ext>
              </c:extLst>
            </c:dLbl>
            <c:dLbl>
              <c:idx val="181"/>
              <c:tx>
                <c:rich>
                  <a:bodyPr/>
                  <a:lstStyle/>
                  <a:p>
                    <a:fld id="{2F37E443-3588-4688-9120-2DC2D75A91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8546-4125-BBB8-9DB78A1ED48C}"/>
                </c:ext>
              </c:extLst>
            </c:dLbl>
            <c:dLbl>
              <c:idx val="182"/>
              <c:tx>
                <c:rich>
                  <a:bodyPr/>
                  <a:lstStyle/>
                  <a:p>
                    <a:fld id="{7DFCAA14-11B3-4061-822F-A0E0B5FEA1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8546-4125-BBB8-9DB78A1ED48C}"/>
                </c:ext>
              </c:extLst>
            </c:dLbl>
            <c:dLbl>
              <c:idx val="183"/>
              <c:tx>
                <c:rich>
                  <a:bodyPr/>
                  <a:lstStyle/>
                  <a:p>
                    <a:fld id="{06AA414A-C782-49AB-AA0A-5579DBBB07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8546-4125-BBB8-9DB78A1ED48C}"/>
                </c:ext>
              </c:extLst>
            </c:dLbl>
            <c:dLbl>
              <c:idx val="184"/>
              <c:tx>
                <c:rich>
                  <a:bodyPr/>
                  <a:lstStyle/>
                  <a:p>
                    <a:fld id="{12CD3CD8-5849-48EE-A6B0-5CC5D8F0B2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8546-4125-BBB8-9DB78A1ED48C}"/>
                </c:ext>
              </c:extLst>
            </c:dLbl>
            <c:dLbl>
              <c:idx val="185"/>
              <c:tx>
                <c:rich>
                  <a:bodyPr/>
                  <a:lstStyle/>
                  <a:p>
                    <a:fld id="{66730B8C-88B4-461E-B4CD-DBBECA22C1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8546-4125-BBB8-9DB78A1ED48C}"/>
                </c:ext>
              </c:extLst>
            </c:dLbl>
            <c:dLbl>
              <c:idx val="186"/>
              <c:tx>
                <c:rich>
                  <a:bodyPr/>
                  <a:lstStyle/>
                  <a:p>
                    <a:fld id="{2A07623F-C407-473D-B5A7-44C9755A3F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8546-4125-BBB8-9DB78A1ED48C}"/>
                </c:ext>
              </c:extLst>
            </c:dLbl>
            <c:dLbl>
              <c:idx val="187"/>
              <c:tx>
                <c:rich>
                  <a:bodyPr/>
                  <a:lstStyle/>
                  <a:p>
                    <a:fld id="{6C5BA6D2-3BB5-4B5E-84AF-D4C158A7D7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8546-4125-BBB8-9DB78A1ED48C}"/>
                </c:ext>
              </c:extLst>
            </c:dLbl>
            <c:dLbl>
              <c:idx val="188"/>
              <c:tx>
                <c:rich>
                  <a:bodyPr/>
                  <a:lstStyle/>
                  <a:p>
                    <a:fld id="{73BDD835-62F3-48E9-BA42-B156BF7902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8546-4125-BBB8-9DB78A1ED48C}"/>
                </c:ext>
              </c:extLst>
            </c:dLbl>
            <c:dLbl>
              <c:idx val="189"/>
              <c:tx>
                <c:rich>
                  <a:bodyPr/>
                  <a:lstStyle/>
                  <a:p>
                    <a:fld id="{9F85D8CF-D7EC-478C-9EDE-EA07E0D018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8546-4125-BBB8-9DB78A1ED48C}"/>
                </c:ext>
              </c:extLst>
            </c:dLbl>
            <c:dLbl>
              <c:idx val="190"/>
              <c:tx>
                <c:rich>
                  <a:bodyPr/>
                  <a:lstStyle/>
                  <a:p>
                    <a:fld id="{C06A2C64-CC89-4C44-B1E7-39F5944CDC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8546-4125-BBB8-9DB78A1ED48C}"/>
                </c:ext>
              </c:extLst>
            </c:dLbl>
            <c:dLbl>
              <c:idx val="191"/>
              <c:tx>
                <c:rich>
                  <a:bodyPr/>
                  <a:lstStyle/>
                  <a:p>
                    <a:fld id="{0FCA40E9-E0E3-4CE1-83A6-52A72133F7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8546-4125-BBB8-9DB78A1ED48C}"/>
                </c:ext>
              </c:extLst>
            </c:dLbl>
            <c:dLbl>
              <c:idx val="192"/>
              <c:tx>
                <c:rich>
                  <a:bodyPr/>
                  <a:lstStyle/>
                  <a:p>
                    <a:fld id="{D6FE1A0D-6990-4D7D-82DB-704E7EEB86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8546-4125-BBB8-9DB78A1ED48C}"/>
                </c:ext>
              </c:extLst>
            </c:dLbl>
            <c:dLbl>
              <c:idx val="193"/>
              <c:tx>
                <c:rich>
                  <a:bodyPr/>
                  <a:lstStyle/>
                  <a:p>
                    <a:fld id="{767D3BE2-F5F6-4711-A9A9-5046E5ACB8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8546-4125-BBB8-9DB78A1ED48C}"/>
                </c:ext>
              </c:extLst>
            </c:dLbl>
            <c:dLbl>
              <c:idx val="194"/>
              <c:tx>
                <c:rich>
                  <a:bodyPr/>
                  <a:lstStyle/>
                  <a:p>
                    <a:fld id="{085BC364-9105-4AD8-91E2-F81DF89C29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8546-4125-BBB8-9DB78A1ED48C}"/>
                </c:ext>
              </c:extLst>
            </c:dLbl>
            <c:dLbl>
              <c:idx val="195"/>
              <c:tx>
                <c:rich>
                  <a:bodyPr/>
                  <a:lstStyle/>
                  <a:p>
                    <a:fld id="{4B2DDAF2-8D4A-4881-8707-8CB4B6AF72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8546-4125-BBB8-9DB78A1ED48C}"/>
                </c:ext>
              </c:extLst>
            </c:dLbl>
            <c:dLbl>
              <c:idx val="196"/>
              <c:tx>
                <c:rich>
                  <a:bodyPr/>
                  <a:lstStyle/>
                  <a:p>
                    <a:fld id="{557BF426-DBF9-4E64-BB63-B958E77BAD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8546-4125-BBB8-9DB78A1ED48C}"/>
                </c:ext>
              </c:extLst>
            </c:dLbl>
            <c:dLbl>
              <c:idx val="197"/>
              <c:tx>
                <c:rich>
                  <a:bodyPr/>
                  <a:lstStyle/>
                  <a:p>
                    <a:fld id="{5D7CCD6B-FCAC-4AC0-AB07-7AD038AF12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8546-4125-BBB8-9DB78A1ED48C}"/>
                </c:ext>
              </c:extLst>
            </c:dLbl>
            <c:dLbl>
              <c:idx val="198"/>
              <c:tx>
                <c:rich>
                  <a:bodyPr/>
                  <a:lstStyle/>
                  <a:p>
                    <a:fld id="{5DEB672D-51B0-4B34-BA8E-CBA6A825DA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8546-4125-BBB8-9DB78A1ED48C}"/>
                </c:ext>
              </c:extLst>
            </c:dLbl>
            <c:dLbl>
              <c:idx val="199"/>
              <c:tx>
                <c:rich>
                  <a:bodyPr/>
                  <a:lstStyle/>
                  <a:p>
                    <a:fld id="{7D437D5E-D1ED-4559-895B-D482443513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8546-4125-BBB8-9DB78A1ED48C}"/>
                </c:ext>
              </c:extLst>
            </c:dLbl>
            <c:dLbl>
              <c:idx val="200"/>
              <c:tx>
                <c:rich>
                  <a:bodyPr/>
                  <a:lstStyle/>
                  <a:p>
                    <a:fld id="{65489F77-C0BB-4FF0-BB32-D8726B819E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8546-4125-BBB8-9DB78A1ED48C}"/>
                </c:ext>
              </c:extLst>
            </c:dLbl>
            <c:dLbl>
              <c:idx val="201"/>
              <c:tx>
                <c:rich>
                  <a:bodyPr/>
                  <a:lstStyle/>
                  <a:p>
                    <a:fld id="{F0C533B3-1FF7-49FF-978D-5BF27E0A1F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8546-4125-BBB8-9DB78A1ED48C}"/>
                </c:ext>
              </c:extLst>
            </c:dLbl>
            <c:dLbl>
              <c:idx val="202"/>
              <c:tx>
                <c:rich>
                  <a:bodyPr/>
                  <a:lstStyle/>
                  <a:p>
                    <a:fld id="{218098DF-953D-4B61-B0AF-D57EA9F2E1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8546-4125-BBB8-9DB78A1ED48C}"/>
                </c:ext>
              </c:extLst>
            </c:dLbl>
            <c:dLbl>
              <c:idx val="203"/>
              <c:tx>
                <c:rich>
                  <a:bodyPr/>
                  <a:lstStyle/>
                  <a:p>
                    <a:fld id="{4EDFEDAD-A781-41C5-95E2-E2B6AE9786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8546-4125-BBB8-9DB78A1ED48C}"/>
                </c:ext>
              </c:extLst>
            </c:dLbl>
            <c:dLbl>
              <c:idx val="204"/>
              <c:tx>
                <c:rich>
                  <a:bodyPr/>
                  <a:lstStyle/>
                  <a:p>
                    <a:fld id="{2E1DDD13-5F72-4295-BFF6-22F2DEAC2E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8546-4125-BBB8-9DB78A1ED48C}"/>
                </c:ext>
              </c:extLst>
            </c:dLbl>
            <c:dLbl>
              <c:idx val="205"/>
              <c:tx>
                <c:rich>
                  <a:bodyPr/>
                  <a:lstStyle/>
                  <a:p>
                    <a:fld id="{C4973F0C-895E-422E-B86A-8875690442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8546-4125-BBB8-9DB78A1ED48C}"/>
                </c:ext>
              </c:extLst>
            </c:dLbl>
            <c:dLbl>
              <c:idx val="206"/>
              <c:tx>
                <c:rich>
                  <a:bodyPr/>
                  <a:lstStyle/>
                  <a:p>
                    <a:fld id="{77A91332-C274-447D-8A77-25D92AE10E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8546-4125-BBB8-9DB78A1ED48C}"/>
                </c:ext>
              </c:extLst>
            </c:dLbl>
            <c:dLbl>
              <c:idx val="207"/>
              <c:tx>
                <c:rich>
                  <a:bodyPr/>
                  <a:lstStyle/>
                  <a:p>
                    <a:fld id="{F7CAA41C-B5D5-431C-B2FC-C63CD1EF0B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8546-4125-BBB8-9DB78A1ED48C}"/>
                </c:ext>
              </c:extLst>
            </c:dLbl>
            <c:dLbl>
              <c:idx val="208"/>
              <c:tx>
                <c:rich>
                  <a:bodyPr/>
                  <a:lstStyle/>
                  <a:p>
                    <a:fld id="{E0350C18-ECCF-41A3-AA68-B7E4FD4B15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8546-4125-BBB8-9DB78A1ED48C}"/>
                </c:ext>
              </c:extLst>
            </c:dLbl>
            <c:dLbl>
              <c:idx val="209"/>
              <c:tx>
                <c:rich>
                  <a:bodyPr/>
                  <a:lstStyle/>
                  <a:p>
                    <a:fld id="{547005F0-F638-4A36-920E-57AE4FF3E4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8546-4125-BBB8-9DB78A1ED48C}"/>
                </c:ext>
              </c:extLst>
            </c:dLbl>
            <c:dLbl>
              <c:idx val="210"/>
              <c:tx>
                <c:rich>
                  <a:bodyPr/>
                  <a:lstStyle/>
                  <a:p>
                    <a:fld id="{BD940096-6C43-4AE5-9D5D-5CD9E9CD44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8546-4125-BBB8-9DB78A1ED48C}"/>
                </c:ext>
              </c:extLst>
            </c:dLbl>
            <c:dLbl>
              <c:idx val="211"/>
              <c:tx>
                <c:rich>
                  <a:bodyPr/>
                  <a:lstStyle/>
                  <a:p>
                    <a:fld id="{40D45881-5939-4568-8551-3F7DDE8953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8546-4125-BBB8-9DB78A1ED48C}"/>
                </c:ext>
              </c:extLst>
            </c:dLbl>
            <c:dLbl>
              <c:idx val="212"/>
              <c:tx>
                <c:rich>
                  <a:bodyPr/>
                  <a:lstStyle/>
                  <a:p>
                    <a:fld id="{1471FB0A-FD66-4FE8-953F-EBA8C8C8B0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8546-4125-BBB8-9DB78A1ED48C}"/>
                </c:ext>
              </c:extLst>
            </c:dLbl>
            <c:dLbl>
              <c:idx val="213"/>
              <c:tx>
                <c:rich>
                  <a:bodyPr/>
                  <a:lstStyle/>
                  <a:p>
                    <a:fld id="{C64A5BC6-DE40-4E2E-88B2-4B9A4D8708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8546-4125-BBB8-9DB78A1ED48C}"/>
                </c:ext>
              </c:extLst>
            </c:dLbl>
            <c:dLbl>
              <c:idx val="214"/>
              <c:tx>
                <c:rich>
                  <a:bodyPr/>
                  <a:lstStyle/>
                  <a:p>
                    <a:fld id="{2FF08D21-DE13-44DF-94DC-4254F3E700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8546-4125-BBB8-9DB78A1ED48C}"/>
                </c:ext>
              </c:extLst>
            </c:dLbl>
            <c:dLbl>
              <c:idx val="215"/>
              <c:tx>
                <c:rich>
                  <a:bodyPr/>
                  <a:lstStyle/>
                  <a:p>
                    <a:fld id="{5352D39A-A835-455A-AC99-4CF85DBB5C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8546-4125-BBB8-9DB78A1ED48C}"/>
                </c:ext>
              </c:extLst>
            </c:dLbl>
            <c:dLbl>
              <c:idx val="216"/>
              <c:tx>
                <c:rich>
                  <a:bodyPr/>
                  <a:lstStyle/>
                  <a:p>
                    <a:fld id="{16F08F9D-D59B-4CC6-975D-170241D5E6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8546-4125-BBB8-9DB78A1ED48C}"/>
                </c:ext>
              </c:extLst>
            </c:dLbl>
            <c:dLbl>
              <c:idx val="217"/>
              <c:tx>
                <c:rich>
                  <a:bodyPr/>
                  <a:lstStyle/>
                  <a:p>
                    <a:fld id="{46F1295F-BB53-471D-8633-884791F058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8546-4125-BBB8-9DB78A1ED48C}"/>
                </c:ext>
              </c:extLst>
            </c:dLbl>
            <c:dLbl>
              <c:idx val="218"/>
              <c:tx>
                <c:rich>
                  <a:bodyPr/>
                  <a:lstStyle/>
                  <a:p>
                    <a:fld id="{763CF4D7-5D9B-4771-AA58-27D63BC673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8546-4125-BBB8-9DB78A1ED48C}"/>
                </c:ext>
              </c:extLst>
            </c:dLbl>
            <c:dLbl>
              <c:idx val="219"/>
              <c:tx>
                <c:rich>
                  <a:bodyPr/>
                  <a:lstStyle/>
                  <a:p>
                    <a:fld id="{666B135B-0DEE-4E39-8F7C-02AC265273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8546-4125-BBB8-9DB78A1ED48C}"/>
                </c:ext>
              </c:extLst>
            </c:dLbl>
            <c:dLbl>
              <c:idx val="220"/>
              <c:tx>
                <c:rich>
                  <a:bodyPr/>
                  <a:lstStyle/>
                  <a:p>
                    <a:fld id="{A98D0C87-AE8E-488A-AE79-BFBC25FE75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8546-4125-BBB8-9DB78A1ED48C}"/>
                </c:ext>
              </c:extLst>
            </c:dLbl>
            <c:dLbl>
              <c:idx val="221"/>
              <c:tx>
                <c:rich>
                  <a:bodyPr/>
                  <a:lstStyle/>
                  <a:p>
                    <a:fld id="{EA58B368-D120-46C9-ACC0-57B39411F6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8546-4125-BBB8-9DB78A1ED48C}"/>
                </c:ext>
              </c:extLst>
            </c:dLbl>
            <c:dLbl>
              <c:idx val="222"/>
              <c:tx>
                <c:rich>
                  <a:bodyPr/>
                  <a:lstStyle/>
                  <a:p>
                    <a:fld id="{A2BCB429-806A-4D31-957C-EE26F5C00B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8546-4125-BBB8-9DB78A1ED48C}"/>
                </c:ext>
              </c:extLst>
            </c:dLbl>
            <c:dLbl>
              <c:idx val="223"/>
              <c:tx>
                <c:rich>
                  <a:bodyPr/>
                  <a:lstStyle/>
                  <a:p>
                    <a:fld id="{CCAEFBEC-9371-4B24-9077-46CF822706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8546-4125-BBB8-9DB78A1ED48C}"/>
                </c:ext>
              </c:extLst>
            </c:dLbl>
            <c:dLbl>
              <c:idx val="224"/>
              <c:tx>
                <c:rich>
                  <a:bodyPr/>
                  <a:lstStyle/>
                  <a:p>
                    <a:fld id="{5FFBF839-6B83-458F-B600-90215DCC44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8546-4125-BBB8-9DB78A1ED48C}"/>
                </c:ext>
              </c:extLst>
            </c:dLbl>
            <c:dLbl>
              <c:idx val="225"/>
              <c:tx>
                <c:rich>
                  <a:bodyPr/>
                  <a:lstStyle/>
                  <a:p>
                    <a:fld id="{3ECE952A-948C-4DF1-BE7A-DC365CDEAC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8546-4125-BBB8-9DB78A1ED48C}"/>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8546-4125-BBB8-9DB78A1ED48C}"/>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8546-4125-BBB8-9DB78A1ED48C}"/>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8546-4125-BBB8-9DB78A1ED48C}"/>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8546-4125-BBB8-9DB78A1ED48C}"/>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8546-4125-BBB8-9DB78A1ED48C}"/>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8546-4125-BBB8-9DB78A1ED48C}"/>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8546-4125-BBB8-9DB78A1ED48C}"/>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8546-4125-BBB8-9DB78A1ED48C}"/>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8546-4125-BBB8-9DB78A1ED48C}"/>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8546-4125-BBB8-9DB78A1ED48C}"/>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8546-4125-BBB8-9DB78A1ED48C}"/>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8546-4125-BBB8-9DB78A1ED48C}"/>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8546-4125-BBB8-9DB78A1ED48C}"/>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8546-4125-BBB8-9DB78A1ED48C}"/>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8546-4125-BBB8-9DB78A1ED48C}"/>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8546-4125-BBB8-9DB78A1ED48C}"/>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8546-4125-BBB8-9DB78A1ED48C}"/>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8546-4125-BBB8-9DB78A1ED48C}"/>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8546-4125-BBB8-9DB78A1ED48C}"/>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8546-4125-BBB8-9DB78A1ED48C}"/>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8546-4125-BBB8-9DB78A1ED48C}"/>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8546-4125-BBB8-9DB78A1ED48C}"/>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8546-4125-BBB8-9DB78A1ED48C}"/>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8546-4125-BBB8-9DB78A1ED48C}"/>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8546-4125-BBB8-9DB78A1ED48C}"/>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8546-4125-BBB8-9DB78A1ED48C}"/>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8546-4125-BBB8-9DB78A1ED48C}"/>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8546-4125-BBB8-9DB78A1ED48C}"/>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8546-4125-BBB8-9DB78A1ED48C}"/>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8546-4125-BBB8-9DB78A1ED48C}"/>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8546-4125-BBB8-9DB78A1ED48C}"/>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8546-4125-BBB8-9DB78A1ED48C}"/>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8546-4125-BBB8-9DB78A1ED48C}"/>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8546-4125-BBB8-9DB78A1ED48C}"/>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8546-4125-BBB8-9DB78A1ED48C}"/>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8546-4125-BBB8-9DB78A1ED48C}"/>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8546-4125-BBB8-9DB78A1ED48C}"/>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8546-4125-BBB8-9DB78A1ED48C}"/>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8546-4125-BBB8-9DB78A1ED48C}"/>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8546-4125-BBB8-9DB78A1ED48C}"/>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8546-4125-BBB8-9DB78A1ED48C}"/>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8546-4125-BBB8-9DB78A1ED48C}"/>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8546-4125-BBB8-9DB78A1ED48C}"/>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8546-4125-BBB8-9DB78A1ED48C}"/>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8546-4125-BBB8-9DB78A1ED48C}"/>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8546-4125-BBB8-9DB78A1ED48C}"/>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8546-4125-BBB8-9DB78A1ED48C}"/>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8546-4125-BBB8-9DB78A1ED48C}"/>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8546-4125-BBB8-9DB78A1ED48C}"/>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8546-4125-BBB8-9DB78A1ED48C}"/>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8546-4125-BBB8-9DB78A1ED48C}"/>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8546-4125-BBB8-9DB78A1ED48C}"/>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8546-4125-BBB8-9DB78A1ED48C}"/>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8546-4125-BBB8-9DB78A1ED48C}"/>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8546-4125-BBB8-9DB78A1ED48C}"/>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8546-4125-BBB8-9DB78A1ED48C}"/>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8546-4125-BBB8-9DB78A1ED48C}"/>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8546-4125-BBB8-9DB78A1ED48C}"/>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8546-4125-BBB8-9DB78A1ED48C}"/>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8546-4125-BBB8-9DB78A1ED48C}"/>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8546-4125-BBB8-9DB78A1ED48C}"/>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8546-4125-BBB8-9DB78A1ED48C}"/>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8546-4125-BBB8-9DB78A1ED48C}"/>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8546-4125-BBB8-9DB78A1ED48C}"/>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8546-4125-BBB8-9DB78A1ED48C}"/>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8546-4125-BBB8-9DB78A1ED48C}"/>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8546-4125-BBB8-9DB78A1ED48C}"/>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8546-4125-BBB8-9DB78A1ED48C}"/>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8546-4125-BBB8-9DB78A1ED48C}"/>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8546-4125-BBB8-9DB78A1ED48C}"/>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8546-4125-BBB8-9DB78A1ED48C}"/>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8546-4125-BBB8-9DB78A1ED48C}"/>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8546-4125-BBB8-9DB78A1ED48C}"/>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NormalisedUVVisData!$M$2:$M$300</c:f>
              <c:numCache>
                <c:formatCode>General</c:formatCode>
                <c:ptCount val="299"/>
                <c:pt idx="0">
                  <c:v>94.029273986816406</c:v>
                </c:pt>
                <c:pt idx="1">
                  <c:v>97.191650390625</c:v>
                </c:pt>
                <c:pt idx="2">
                  <c:v>98.87939453125</c:v>
                </c:pt>
                <c:pt idx="3">
                  <c:v>99.864234924316406</c:v>
                </c:pt>
                <c:pt idx="4">
                  <c:v>100</c:v>
                </c:pt>
                <c:pt idx="5">
                  <c:v>99.600433349609375</c:v>
                </c:pt>
                <c:pt idx="6">
                  <c:v>98.891098022460938</c:v>
                </c:pt>
                <c:pt idx="7">
                  <c:v>98.044090270996094</c:v>
                </c:pt>
                <c:pt idx="8">
                  <c:v>97.0032958984375</c:v>
                </c:pt>
                <c:pt idx="9">
                  <c:v>95.450347900390625</c:v>
                </c:pt>
                <c:pt idx="10">
                  <c:v>93.404472351074219</c:v>
                </c:pt>
                <c:pt idx="11">
                  <c:v>91.321556091308594</c:v>
                </c:pt>
                <c:pt idx="12">
                  <c:v>89.394485473632813</c:v>
                </c:pt>
                <c:pt idx="13">
                  <c:v>87.477798461914063</c:v>
                </c:pt>
                <c:pt idx="14">
                  <c:v>85.07098388671875</c:v>
                </c:pt>
                <c:pt idx="15">
                  <c:v>81.552314758300781</c:v>
                </c:pt>
                <c:pt idx="16">
                  <c:v>77.001152038574219</c:v>
                </c:pt>
                <c:pt idx="17">
                  <c:v>71.440994262695313</c:v>
                </c:pt>
                <c:pt idx="18">
                  <c:v>65.43695068359375</c:v>
                </c:pt>
                <c:pt idx="19">
                  <c:v>59.354000091552734</c:v>
                </c:pt>
                <c:pt idx="20">
                  <c:v>53.856410980224609</c:v>
                </c:pt>
                <c:pt idx="21">
                  <c:v>48.825004577636719</c:v>
                </c:pt>
                <c:pt idx="22">
                  <c:v>44.170108795166016</c:v>
                </c:pt>
                <c:pt idx="23">
                  <c:v>39.910789489746094</c:v>
                </c:pt>
                <c:pt idx="24">
                  <c:v>35.751029968261719</c:v>
                </c:pt>
                <c:pt idx="25">
                  <c:v>31.920854568481445</c:v>
                </c:pt>
                <c:pt idx="26">
                  <c:v>28.433889389038086</c:v>
                </c:pt>
                <c:pt idx="27">
                  <c:v>25.764743804931641</c:v>
                </c:pt>
                <c:pt idx="28">
                  <c:v>23.860185623168945</c:v>
                </c:pt>
                <c:pt idx="29">
                  <c:v>22.741676330566406</c:v>
                </c:pt>
                <c:pt idx="30">
                  <c:v>21.981056213378906</c:v>
                </c:pt>
                <c:pt idx="31">
                  <c:v>21.558774948120117</c:v>
                </c:pt>
                <c:pt idx="32">
                  <c:v>21.533344268798828</c:v>
                </c:pt>
                <c:pt idx="33">
                  <c:v>21.892133712768555</c:v>
                </c:pt>
                <c:pt idx="34">
                  <c:v>22.434337615966797</c:v>
                </c:pt>
                <c:pt idx="35">
                  <c:v>23.170217514038086</c:v>
                </c:pt>
                <c:pt idx="36">
                  <c:v>24.096231460571289</c:v>
                </c:pt>
                <c:pt idx="37">
                  <c:v>25.239612579345703</c:v>
                </c:pt>
                <c:pt idx="38">
                  <c:v>26.463478088378906</c:v>
                </c:pt>
                <c:pt idx="39">
                  <c:v>27.720867156982422</c:v>
                </c:pt>
                <c:pt idx="40">
                  <c:v>29.083024978637695</c:v>
                </c:pt>
                <c:pt idx="41">
                  <c:v>30.467973709106445</c:v>
                </c:pt>
                <c:pt idx="42">
                  <c:v>31.695770263671875</c:v>
                </c:pt>
                <c:pt idx="43">
                  <c:v>32.582099914550781</c:v>
                </c:pt>
                <c:pt idx="44">
                  <c:v>33.200740814208984</c:v>
                </c:pt>
                <c:pt idx="45">
                  <c:v>33.353584289550781</c:v>
                </c:pt>
                <c:pt idx="46">
                  <c:v>32.946392059326172</c:v>
                </c:pt>
                <c:pt idx="47">
                  <c:v>32.053184509277344</c:v>
                </c:pt>
                <c:pt idx="48">
                  <c:v>30.666316986083984</c:v>
                </c:pt>
                <c:pt idx="49">
                  <c:v>28.975881576538086</c:v>
                </c:pt>
                <c:pt idx="50">
                  <c:v>27.101863861083984</c:v>
                </c:pt>
                <c:pt idx="51">
                  <c:v>25.087114334106445</c:v>
                </c:pt>
                <c:pt idx="52">
                  <c:v>23.12904167175293</c:v>
                </c:pt>
                <c:pt idx="53">
                  <c:v>21.457792282104492</c:v>
                </c:pt>
                <c:pt idx="54">
                  <c:v>19.872467041015625</c:v>
                </c:pt>
                <c:pt idx="55">
                  <c:v>18.504150390625</c:v>
                </c:pt>
                <c:pt idx="56">
                  <c:v>17.496702194213867</c:v>
                </c:pt>
                <c:pt idx="57">
                  <c:v>16.704326629638672</c:v>
                </c:pt>
                <c:pt idx="58">
                  <c:v>16.092533111572266</c:v>
                </c:pt>
                <c:pt idx="59">
                  <c:v>15.705676078796387</c:v>
                </c:pt>
                <c:pt idx="60">
                  <c:v>15.372465133666992</c:v>
                </c:pt>
                <c:pt idx="61">
                  <c:v>15.285213470458984</c:v>
                </c:pt>
                <c:pt idx="62">
                  <c:v>15.184329032897949</c:v>
                </c:pt>
                <c:pt idx="63">
                  <c:v>14.938140869140625</c:v>
                </c:pt>
                <c:pt idx="64">
                  <c:v>14.748333930969238</c:v>
                </c:pt>
                <c:pt idx="65">
                  <c:v>14.550808906555176</c:v>
                </c:pt>
                <c:pt idx="66">
                  <c:v>14.416236877441406</c:v>
                </c:pt>
                <c:pt idx="67">
                  <c:v>14.264132499694824</c:v>
                </c:pt>
                <c:pt idx="68">
                  <c:v>13.949994087219238</c:v>
                </c:pt>
                <c:pt idx="69">
                  <c:v>13.540640830993652</c:v>
                </c:pt>
                <c:pt idx="70">
                  <c:v>13.111608505249023</c:v>
                </c:pt>
                <c:pt idx="71">
                  <c:v>12.798469543457031</c:v>
                </c:pt>
                <c:pt idx="72">
                  <c:v>12.621049880981445</c:v>
                </c:pt>
                <c:pt idx="73">
                  <c:v>12.421182632446289</c:v>
                </c:pt>
                <c:pt idx="74">
                  <c:v>12.316103935241699</c:v>
                </c:pt>
                <c:pt idx="75">
                  <c:v>12.222838401794434</c:v>
                </c:pt>
                <c:pt idx="76">
                  <c:v>12.167112350463867</c:v>
                </c:pt>
                <c:pt idx="77">
                  <c:v>12.106109619140625</c:v>
                </c:pt>
                <c:pt idx="78">
                  <c:v>12.004717826843262</c:v>
                </c:pt>
                <c:pt idx="79">
                  <c:v>12.038569450378418</c:v>
                </c:pt>
                <c:pt idx="80">
                  <c:v>12.015253067016602</c:v>
                </c:pt>
                <c:pt idx="81">
                  <c:v>11.93657112121582</c:v>
                </c:pt>
                <c:pt idx="82">
                  <c:v>11.822808265686035</c:v>
                </c:pt>
                <c:pt idx="83">
                  <c:v>11.794363975524902</c:v>
                </c:pt>
                <c:pt idx="84">
                  <c:v>11.695019721984863</c:v>
                </c:pt>
                <c:pt idx="85">
                  <c:v>11.495086669921875</c:v>
                </c:pt>
                <c:pt idx="86">
                  <c:v>11.326908111572266</c:v>
                </c:pt>
                <c:pt idx="87">
                  <c:v>11.054780960083008</c:v>
                </c:pt>
                <c:pt idx="88">
                  <c:v>10.781344413757324</c:v>
                </c:pt>
                <c:pt idx="89">
                  <c:v>10.492209434509277</c:v>
                </c:pt>
                <c:pt idx="90">
                  <c:v>10.115151405334473</c:v>
                </c:pt>
                <c:pt idx="91">
                  <c:v>9.7756481170654297</c:v>
                </c:pt>
                <c:pt idx="92">
                  <c:v>9.2240715026855469</c:v>
                </c:pt>
                <c:pt idx="93">
                  <c:v>8.7307920455932617</c:v>
                </c:pt>
                <c:pt idx="94">
                  <c:v>8.4076747894287109</c:v>
                </c:pt>
                <c:pt idx="95">
                  <c:v>8.1870145797729492</c:v>
                </c:pt>
                <c:pt idx="96">
                  <c:v>7.7228851318359375</c:v>
                </c:pt>
                <c:pt idx="97">
                  <c:v>7.0474839210510254</c:v>
                </c:pt>
                <c:pt idx="98">
                  <c:v>6.7018036842346191</c:v>
                </c:pt>
                <c:pt idx="99">
                  <c:v>6.4331507682800293</c:v>
                </c:pt>
                <c:pt idx="100">
                  <c:v>6.0609593391418457</c:v>
                </c:pt>
                <c:pt idx="101">
                  <c:v>5.6356630325317383</c:v>
                </c:pt>
                <c:pt idx="102">
                  <c:v>5.124049186706543</c:v>
                </c:pt>
                <c:pt idx="103">
                  <c:v>4.8548064231872559</c:v>
                </c:pt>
                <c:pt idx="104">
                  <c:v>4.5224967002868652</c:v>
                </c:pt>
                <c:pt idx="105">
                  <c:v>4.2401127815246582</c:v>
                </c:pt>
                <c:pt idx="106">
                  <c:v>4.2292003631591797</c:v>
                </c:pt>
                <c:pt idx="107">
                  <c:v>3.9650039672851563</c:v>
                </c:pt>
                <c:pt idx="108">
                  <c:v>3.7878792285919189</c:v>
                </c:pt>
                <c:pt idx="109">
                  <c:v>3.7002017498016357</c:v>
                </c:pt>
                <c:pt idx="110">
                  <c:v>3.4956150054931641</c:v>
                </c:pt>
                <c:pt idx="111">
                  <c:v>3.3813934326171875</c:v>
                </c:pt>
                <c:pt idx="112">
                  <c:v>3.2509009838104248</c:v>
                </c:pt>
                <c:pt idx="113">
                  <c:v>3.153080940246582</c:v>
                </c:pt>
                <c:pt idx="114">
                  <c:v>3.1292240619659424</c:v>
                </c:pt>
                <c:pt idx="115">
                  <c:v>3.0224575996398926</c:v>
                </c:pt>
                <c:pt idx="116">
                  <c:v>2.9555399417877197</c:v>
                </c:pt>
                <c:pt idx="117">
                  <c:v>2.9339442253112793</c:v>
                </c:pt>
                <c:pt idx="118">
                  <c:v>2.9305033683776855</c:v>
                </c:pt>
                <c:pt idx="119">
                  <c:v>2.9757921695709229</c:v>
                </c:pt>
                <c:pt idx="120">
                  <c:v>2.866666316986084</c:v>
                </c:pt>
                <c:pt idx="121">
                  <c:v>2.8519523143768311</c:v>
                </c:pt>
                <c:pt idx="122">
                  <c:v>2.8418591022491455</c:v>
                </c:pt>
                <c:pt idx="123">
                  <c:v>2.6860842704772949</c:v>
                </c:pt>
                <c:pt idx="124">
                  <c:v>2.7037804126739502</c:v>
                </c:pt>
                <c:pt idx="125">
                  <c:v>2.8417444229125977</c:v>
                </c:pt>
                <c:pt idx="126">
                  <c:v>2.8853292465209961</c:v>
                </c:pt>
                <c:pt idx="127">
                  <c:v>2.8043694496154785</c:v>
                </c:pt>
                <c:pt idx="128">
                  <c:v>2.8125622272491455</c:v>
                </c:pt>
                <c:pt idx="129">
                  <c:v>2.7952756881713867</c:v>
                </c:pt>
                <c:pt idx="130">
                  <c:v>2.831634521484375</c:v>
                </c:pt>
                <c:pt idx="131">
                  <c:v>2.8590798377990723</c:v>
                </c:pt>
                <c:pt idx="132">
                  <c:v>2.6812176704406738</c:v>
                </c:pt>
                <c:pt idx="133">
                  <c:v>2.6957352161407471</c:v>
                </c:pt>
                <c:pt idx="134">
                  <c:v>2.7514941692352295</c:v>
                </c:pt>
                <c:pt idx="135">
                  <c:v>2.6150047779083252</c:v>
                </c:pt>
                <c:pt idx="136">
                  <c:v>2.1608378887176514</c:v>
                </c:pt>
                <c:pt idx="137">
                  <c:v>2</c:v>
                </c:pt>
                <c:pt idx="138">
                  <c:v>2.249826192855835</c:v>
                </c:pt>
                <c:pt idx="139">
                  <c:v>2.4922628402709961</c:v>
                </c:pt>
                <c:pt idx="140">
                  <c:v>2.6254913806915283</c:v>
                </c:pt>
                <c:pt idx="141">
                  <c:v>2.8118574619293213</c:v>
                </c:pt>
                <c:pt idx="142">
                  <c:v>2.8278660774230957</c:v>
                </c:pt>
                <c:pt idx="143">
                  <c:v>2.657557487487793</c:v>
                </c:pt>
                <c:pt idx="144">
                  <c:v>2.5768435001373291</c:v>
                </c:pt>
                <c:pt idx="145">
                  <c:v>2.4661283493041992</c:v>
                </c:pt>
                <c:pt idx="146">
                  <c:v>2.560671329498291</c:v>
                </c:pt>
                <c:pt idx="147">
                  <c:v>2.7631113529205322</c:v>
                </c:pt>
                <c:pt idx="148">
                  <c:v>2.7581138610839844</c:v>
                </c:pt>
                <c:pt idx="149">
                  <c:v>2.6593434810638428</c:v>
                </c:pt>
                <c:pt idx="150">
                  <c:v>2.7630457878112793</c:v>
                </c:pt>
                <c:pt idx="151">
                  <c:v>2.8521981239318848</c:v>
                </c:pt>
                <c:pt idx="152">
                  <c:v>2.7707960605621338</c:v>
                </c:pt>
                <c:pt idx="153">
                  <c:v>2.8897695541381836</c:v>
                </c:pt>
                <c:pt idx="154">
                  <c:v>2.8892288208007813</c:v>
                </c:pt>
                <c:pt idx="155">
                  <c:v>2.7776286602020264</c:v>
                </c:pt>
                <c:pt idx="156">
                  <c:v>2.900846004486084</c:v>
                </c:pt>
                <c:pt idx="157">
                  <c:v>2.7872469425201416</c:v>
                </c:pt>
                <c:pt idx="158">
                  <c:v>2.7080569267272949</c:v>
                </c:pt>
                <c:pt idx="159">
                  <c:v>2.8468074798583984</c:v>
                </c:pt>
                <c:pt idx="160">
                  <c:v>2.7891311645507813</c:v>
                </c:pt>
                <c:pt idx="161">
                  <c:v>2.6769411563873291</c:v>
                </c:pt>
                <c:pt idx="162">
                  <c:v>2.7664213180541992</c:v>
                </c:pt>
                <c:pt idx="163">
                  <c:v>2.8688948154449463</c:v>
                </c:pt>
                <c:pt idx="164">
                  <c:v>2.6588354110717773</c:v>
                </c:pt>
                <c:pt idx="165">
                  <c:v>2.4526104927062988</c:v>
                </c:pt>
                <c:pt idx="166">
                  <c:v>2.7847070693969727</c:v>
                </c:pt>
                <c:pt idx="167">
                  <c:v>2.9897851943969727</c:v>
                </c:pt>
                <c:pt idx="168">
                  <c:v>2.6621289253234863</c:v>
                </c:pt>
                <c:pt idx="169">
                  <c:v>2.6847078800201416</c:v>
                </c:pt>
                <c:pt idx="170">
                  <c:v>2.5936057567596436</c:v>
                </c:pt>
                <c:pt idx="171">
                  <c:v>2.4302282333374023</c:v>
                </c:pt>
                <c:pt idx="172">
                  <c:v>2.67946457862854</c:v>
                </c:pt>
                <c:pt idx="173">
                  <c:v>2.7078766822814941</c:v>
                </c:pt>
                <c:pt idx="174">
                  <c:v>2.4569690227508545</c:v>
                </c:pt>
                <c:pt idx="175">
                  <c:v>2.6427614688873291</c:v>
                </c:pt>
                <c:pt idx="176">
                  <c:v>2.7075326442718506</c:v>
                </c:pt>
                <c:pt idx="177">
                  <c:v>2.5335044860839844</c:v>
                </c:pt>
                <c:pt idx="178">
                  <c:v>2.4502346515655518</c:v>
                </c:pt>
                <c:pt idx="179">
                  <c:v>2.5425982475280762</c:v>
                </c:pt>
                <c:pt idx="180">
                  <c:v>2.5823161602020264</c:v>
                </c:pt>
                <c:pt idx="181">
                  <c:v>2.5760898590087891</c:v>
                </c:pt>
                <c:pt idx="182">
                  <c:v>2.7684528827667236</c:v>
                </c:pt>
                <c:pt idx="183">
                  <c:v>2.7121531963348389</c:v>
                </c:pt>
                <c:pt idx="184">
                  <c:v>2.6270480155944824</c:v>
                </c:pt>
                <c:pt idx="185">
                  <c:v>2.6878046989440918</c:v>
                </c:pt>
                <c:pt idx="186">
                  <c:v>2.6494958400726318</c:v>
                </c:pt>
                <c:pt idx="187">
                  <c:v>2.9362709522247314</c:v>
                </c:pt>
                <c:pt idx="188">
                  <c:v>2.8734006881713867</c:v>
                </c:pt>
                <c:pt idx="189">
                  <c:v>2.693310022354126</c:v>
                </c:pt>
                <c:pt idx="190">
                  <c:v>2.6055996417999268</c:v>
                </c:pt>
                <c:pt idx="191">
                  <c:v>2.6763348579406738</c:v>
                </c:pt>
                <c:pt idx="192">
                  <c:v>2.7686660289764404</c:v>
                </c:pt>
                <c:pt idx="193">
                  <c:v>2.8346331119537354</c:v>
                </c:pt>
                <c:pt idx="194">
                  <c:v>2.7510519027709961</c:v>
                </c:pt>
                <c:pt idx="195">
                  <c:v>2.6387143135070801</c:v>
                </c:pt>
                <c:pt idx="196">
                  <c:v>2.6742048263549805</c:v>
                </c:pt>
                <c:pt idx="197">
                  <c:v>2.6560990810394287</c:v>
                </c:pt>
                <c:pt idx="198">
                  <c:v>2.5454821586608887</c:v>
                </c:pt>
                <c:pt idx="199">
                  <c:v>2.662456750869751</c:v>
                </c:pt>
                <c:pt idx="200">
                  <c:v>2.7086794376373291</c:v>
                </c:pt>
                <c:pt idx="201">
                  <c:v>2.8127095699310303</c:v>
                </c:pt>
                <c:pt idx="202">
                  <c:v>2.9231791496276855</c:v>
                </c:pt>
                <c:pt idx="203">
                  <c:v>2.8657979965209961</c:v>
                </c:pt>
                <c:pt idx="204">
                  <c:v>2.8285214900970459</c:v>
                </c:pt>
                <c:pt idx="205">
                  <c:v>2.6460549831390381</c:v>
                </c:pt>
                <c:pt idx="206">
                  <c:v>2.7354202270507813</c:v>
                </c:pt>
                <c:pt idx="207">
                  <c:v>2.708745002746582</c:v>
                </c:pt>
                <c:pt idx="208">
                  <c:v>2.6025848388671875</c:v>
                </c:pt>
                <c:pt idx="209">
                  <c:v>2.7563278675079346</c:v>
                </c:pt>
                <c:pt idx="210">
                  <c:v>2.7440881729125977</c:v>
                </c:pt>
                <c:pt idx="211">
                  <c:v>2.6940639019012451</c:v>
                </c:pt>
                <c:pt idx="212">
                  <c:v>2.5772860050201416</c:v>
                </c:pt>
                <c:pt idx="213">
                  <c:v>2.6731889247894287</c:v>
                </c:pt>
                <c:pt idx="214">
                  <c:v>2.7059266567230225</c:v>
                </c:pt>
                <c:pt idx="215">
                  <c:v>2.7381730079650879</c:v>
                </c:pt>
                <c:pt idx="216">
                  <c:v>2.932584285736084</c:v>
                </c:pt>
                <c:pt idx="217">
                  <c:v>2.7447926998138428</c:v>
                </c:pt>
                <c:pt idx="218">
                  <c:v>2.3081250190734863</c:v>
                </c:pt>
                <c:pt idx="219">
                  <c:v>2.5653738975524902</c:v>
                </c:pt>
                <c:pt idx="220">
                  <c:v>2.9947500228881836</c:v>
                </c:pt>
                <c:pt idx="221">
                  <c:v>3.1664021015167236</c:v>
                </c:pt>
                <c:pt idx="222">
                  <c:v>3.141709566116333</c:v>
                </c:pt>
                <c:pt idx="223">
                  <c:v>2.7507405281066895</c:v>
                </c:pt>
                <c:pt idx="224">
                  <c:v>2.2631967067718506</c:v>
                </c:pt>
                <c:pt idx="225">
                  <c:v>2.4576897621154785</c:v>
                </c:pt>
              </c:numCache>
            </c:numRef>
          </c:yVal>
          <c:smooth val="1"/>
          <c:extLst>
            <c:ext xmlns:c15="http://schemas.microsoft.com/office/drawing/2012/chart" uri="{02D57815-91ED-43cb-92C2-25804820EDAC}">
              <c15:datalabelsRange>
                <c15:f>PeakLabels!$M$2:$M$300</c15:f>
                <c15:dlblRangeCache>
                  <c:ptCount val="299"/>
                  <c:pt idx="4">
                    <c:v>198</c:v>
                  </c:pt>
                  <c:pt idx="45">
                    <c:v>280</c:v>
                  </c:pt>
                  <c:pt idx="69">
                    <c:v>330s</c:v>
                  </c:pt>
                  <c:pt idx="79">
                    <c:v>348</c:v>
                  </c:pt>
                  <c:pt idx="98">
                    <c:v>388s</c:v>
                  </c:pt>
                </c15:dlblRangeCache>
              </c15:datalabelsRange>
            </c:ext>
            <c:ext xmlns:c16="http://schemas.microsoft.com/office/drawing/2014/chart" uri="{C3380CC4-5D6E-409C-BE32-E72D297353CC}">
              <c16:uniqueId val="{00000000-8C34-4C4E-A028-24E8E637239F}"/>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473A352B-56FF-4F75-A4CD-65A596F7213A}"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8C34-4C4E-A028-24E8E637239F}"/>
                </c:ext>
              </c:extLst>
            </c:dLbl>
            <c:dLbl>
              <c:idx val="1"/>
              <c:tx>
                <c:rich>
                  <a:bodyPr/>
                  <a:lstStyle/>
                  <a:p>
                    <a:fld id="{F6C7341D-D18F-4973-A312-273BC6F6F6C1}"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8C34-4C4E-A028-24E8E637239F}"/>
                </c:ext>
              </c:extLst>
            </c:dLbl>
            <c:dLbl>
              <c:idx val="2"/>
              <c:tx>
                <c:rich>
                  <a:bodyPr/>
                  <a:lstStyle/>
                  <a:p>
                    <a:fld id="{ADCABD13-B6A8-44AE-8261-CA1E907C5471}"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8C34-4C4E-A028-24E8E637239F}"/>
                </c:ext>
              </c:extLst>
            </c:dLbl>
            <c:dLbl>
              <c:idx val="3"/>
              <c:tx>
                <c:rich>
                  <a:bodyPr/>
                  <a:lstStyle/>
                  <a:p>
                    <a:fld id="{32C0C8F4-85E0-46C8-B285-40C4571A74BF}"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8C34-4C4E-A028-24E8E637239F}"/>
                </c:ext>
              </c:extLst>
            </c:dLbl>
            <c:dLbl>
              <c:idx val="4"/>
              <c:tx>
                <c:rich>
                  <a:bodyPr/>
                  <a:lstStyle/>
                  <a:p>
                    <a:fld id="{E238B270-3D82-4201-9E9A-FC0EDD368470}"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8C34-4C4E-A028-24E8E637239F}"/>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8C34-4C4E-A028-24E8E637239F}"/>
            </c:ext>
          </c:extLst>
        </c:ser>
        <c:dLbls>
          <c:showLegendKey val="0"/>
          <c:showVal val="0"/>
          <c:showCatName val="0"/>
          <c:showSerName val="0"/>
          <c:showPercent val="0"/>
          <c:showBubbleSize val="0"/>
        </c:dLbls>
        <c:axId val="1767908448"/>
        <c:axId val="1767904640"/>
      </c:scatterChart>
      <c:valAx>
        <c:axId val="1767908448"/>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4640"/>
        <c:crossesAt val="0"/>
        <c:crossBetween val="midCat"/>
        <c:majorUnit val="100"/>
      </c:valAx>
      <c:valAx>
        <c:axId val="1767904640"/>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908448"/>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CD883D25-43AE-4ECA-89E3-2A392A1C42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765-4A23-9942-1EB403908663}"/>
                </c:ext>
              </c:extLst>
            </c:dLbl>
            <c:dLbl>
              <c:idx val="1"/>
              <c:tx>
                <c:rich>
                  <a:bodyPr/>
                  <a:lstStyle/>
                  <a:p>
                    <a:fld id="{C4DDA1F6-B8B3-406A-B6E0-526ECF7439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765-4A23-9942-1EB403908663}"/>
                </c:ext>
              </c:extLst>
            </c:dLbl>
            <c:dLbl>
              <c:idx val="2"/>
              <c:tx>
                <c:rich>
                  <a:bodyPr/>
                  <a:lstStyle/>
                  <a:p>
                    <a:fld id="{2A257B82-FFD6-4654-9748-DE979E9066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765-4A23-9942-1EB403908663}"/>
                </c:ext>
              </c:extLst>
            </c:dLbl>
            <c:dLbl>
              <c:idx val="3"/>
              <c:tx>
                <c:rich>
                  <a:bodyPr/>
                  <a:lstStyle/>
                  <a:p>
                    <a:fld id="{5AD86E09-66CA-4212-B32A-18F66DC10A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765-4A23-9942-1EB403908663}"/>
                </c:ext>
              </c:extLst>
            </c:dLbl>
            <c:dLbl>
              <c:idx val="4"/>
              <c:tx>
                <c:rich>
                  <a:bodyPr/>
                  <a:lstStyle/>
                  <a:p>
                    <a:fld id="{9A9E3C34-6704-4770-8794-AC3526896B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765-4A23-9942-1EB403908663}"/>
                </c:ext>
              </c:extLst>
            </c:dLbl>
            <c:dLbl>
              <c:idx val="5"/>
              <c:tx>
                <c:rich>
                  <a:bodyPr/>
                  <a:lstStyle/>
                  <a:p>
                    <a:fld id="{00C269A8-EEF5-4A41-B230-8CE3E46C79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765-4A23-9942-1EB403908663}"/>
                </c:ext>
              </c:extLst>
            </c:dLbl>
            <c:dLbl>
              <c:idx val="6"/>
              <c:tx>
                <c:rich>
                  <a:bodyPr/>
                  <a:lstStyle/>
                  <a:p>
                    <a:fld id="{38B87B0E-879B-4D78-A7F8-342EE11EF8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765-4A23-9942-1EB403908663}"/>
                </c:ext>
              </c:extLst>
            </c:dLbl>
            <c:dLbl>
              <c:idx val="7"/>
              <c:tx>
                <c:rich>
                  <a:bodyPr/>
                  <a:lstStyle/>
                  <a:p>
                    <a:fld id="{40425A93-5FF8-4CD4-AEFD-AD3C03B943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765-4A23-9942-1EB403908663}"/>
                </c:ext>
              </c:extLst>
            </c:dLbl>
            <c:dLbl>
              <c:idx val="8"/>
              <c:tx>
                <c:rich>
                  <a:bodyPr/>
                  <a:lstStyle/>
                  <a:p>
                    <a:fld id="{CD49AB59-0431-4D70-A701-92EC8C6F04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765-4A23-9942-1EB403908663}"/>
                </c:ext>
              </c:extLst>
            </c:dLbl>
            <c:dLbl>
              <c:idx val="9"/>
              <c:tx>
                <c:rich>
                  <a:bodyPr/>
                  <a:lstStyle/>
                  <a:p>
                    <a:fld id="{4A0026F9-1844-4E59-87D6-BE3D80EA84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765-4A23-9942-1EB403908663}"/>
                </c:ext>
              </c:extLst>
            </c:dLbl>
            <c:dLbl>
              <c:idx val="10"/>
              <c:tx>
                <c:rich>
                  <a:bodyPr/>
                  <a:lstStyle/>
                  <a:p>
                    <a:fld id="{75126F1A-8A64-43E7-96D9-35583617E9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765-4A23-9942-1EB403908663}"/>
                </c:ext>
              </c:extLst>
            </c:dLbl>
            <c:dLbl>
              <c:idx val="11"/>
              <c:tx>
                <c:rich>
                  <a:bodyPr/>
                  <a:lstStyle/>
                  <a:p>
                    <a:fld id="{FBB45CE2-8438-4ACF-B9FB-5B817EF307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765-4A23-9942-1EB403908663}"/>
                </c:ext>
              </c:extLst>
            </c:dLbl>
            <c:dLbl>
              <c:idx val="12"/>
              <c:tx>
                <c:rich>
                  <a:bodyPr/>
                  <a:lstStyle/>
                  <a:p>
                    <a:fld id="{5EB21252-FECC-4088-B05E-7F6DDB1035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765-4A23-9942-1EB403908663}"/>
                </c:ext>
              </c:extLst>
            </c:dLbl>
            <c:dLbl>
              <c:idx val="13"/>
              <c:tx>
                <c:rich>
                  <a:bodyPr/>
                  <a:lstStyle/>
                  <a:p>
                    <a:fld id="{EAAC4CD5-4317-48BC-B9FC-2AA70D120D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2765-4A23-9942-1EB403908663}"/>
                </c:ext>
              </c:extLst>
            </c:dLbl>
            <c:dLbl>
              <c:idx val="14"/>
              <c:tx>
                <c:rich>
                  <a:bodyPr/>
                  <a:lstStyle/>
                  <a:p>
                    <a:fld id="{BDA5AB8F-B374-46B1-A051-854DB7466F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765-4A23-9942-1EB403908663}"/>
                </c:ext>
              </c:extLst>
            </c:dLbl>
            <c:dLbl>
              <c:idx val="15"/>
              <c:tx>
                <c:rich>
                  <a:bodyPr/>
                  <a:lstStyle/>
                  <a:p>
                    <a:fld id="{20C6CCED-E71E-4A8F-9AE8-E71132D957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2765-4A23-9942-1EB403908663}"/>
                </c:ext>
              </c:extLst>
            </c:dLbl>
            <c:dLbl>
              <c:idx val="16"/>
              <c:tx>
                <c:rich>
                  <a:bodyPr/>
                  <a:lstStyle/>
                  <a:p>
                    <a:fld id="{12A6572D-0CF6-42A4-BEFD-043A8A83EF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765-4A23-9942-1EB403908663}"/>
                </c:ext>
              </c:extLst>
            </c:dLbl>
            <c:dLbl>
              <c:idx val="17"/>
              <c:tx>
                <c:rich>
                  <a:bodyPr/>
                  <a:lstStyle/>
                  <a:p>
                    <a:fld id="{346AA9DE-A8F2-4201-9EDC-A7F72792C2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2765-4A23-9942-1EB403908663}"/>
                </c:ext>
              </c:extLst>
            </c:dLbl>
            <c:dLbl>
              <c:idx val="18"/>
              <c:tx>
                <c:rich>
                  <a:bodyPr/>
                  <a:lstStyle/>
                  <a:p>
                    <a:fld id="{78CFA5B7-1957-4618-B6C4-6281ACA615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2765-4A23-9942-1EB403908663}"/>
                </c:ext>
              </c:extLst>
            </c:dLbl>
            <c:dLbl>
              <c:idx val="19"/>
              <c:tx>
                <c:rich>
                  <a:bodyPr/>
                  <a:lstStyle/>
                  <a:p>
                    <a:fld id="{748228FD-BD4D-430B-A8C5-6A255548AB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2765-4A23-9942-1EB403908663}"/>
                </c:ext>
              </c:extLst>
            </c:dLbl>
            <c:dLbl>
              <c:idx val="20"/>
              <c:tx>
                <c:rich>
                  <a:bodyPr/>
                  <a:lstStyle/>
                  <a:p>
                    <a:fld id="{4038944E-F47D-4281-A19B-C6CCEABD46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2765-4A23-9942-1EB403908663}"/>
                </c:ext>
              </c:extLst>
            </c:dLbl>
            <c:dLbl>
              <c:idx val="21"/>
              <c:tx>
                <c:rich>
                  <a:bodyPr/>
                  <a:lstStyle/>
                  <a:p>
                    <a:fld id="{80D6A40E-2BE9-414A-AC59-E0ABED4FF2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2765-4A23-9942-1EB403908663}"/>
                </c:ext>
              </c:extLst>
            </c:dLbl>
            <c:dLbl>
              <c:idx val="22"/>
              <c:tx>
                <c:rich>
                  <a:bodyPr/>
                  <a:lstStyle/>
                  <a:p>
                    <a:fld id="{C2621576-6B3D-443D-835C-306E9E0C52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2765-4A23-9942-1EB403908663}"/>
                </c:ext>
              </c:extLst>
            </c:dLbl>
            <c:dLbl>
              <c:idx val="23"/>
              <c:tx>
                <c:rich>
                  <a:bodyPr/>
                  <a:lstStyle/>
                  <a:p>
                    <a:fld id="{B26B7ACC-77E4-41B5-B920-78CD0EE5C5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2765-4A23-9942-1EB403908663}"/>
                </c:ext>
              </c:extLst>
            </c:dLbl>
            <c:dLbl>
              <c:idx val="24"/>
              <c:tx>
                <c:rich>
                  <a:bodyPr/>
                  <a:lstStyle/>
                  <a:p>
                    <a:fld id="{BC208395-4C3A-4322-8953-07936828B3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2765-4A23-9942-1EB403908663}"/>
                </c:ext>
              </c:extLst>
            </c:dLbl>
            <c:dLbl>
              <c:idx val="25"/>
              <c:tx>
                <c:rich>
                  <a:bodyPr/>
                  <a:lstStyle/>
                  <a:p>
                    <a:fld id="{5E398355-2130-47FD-9B07-01127825C5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2765-4A23-9942-1EB403908663}"/>
                </c:ext>
              </c:extLst>
            </c:dLbl>
            <c:dLbl>
              <c:idx val="26"/>
              <c:tx>
                <c:rich>
                  <a:bodyPr/>
                  <a:lstStyle/>
                  <a:p>
                    <a:fld id="{ED6FE1FC-BCF6-4ADE-A0FD-72BF2779A6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2765-4A23-9942-1EB403908663}"/>
                </c:ext>
              </c:extLst>
            </c:dLbl>
            <c:dLbl>
              <c:idx val="27"/>
              <c:tx>
                <c:rich>
                  <a:bodyPr/>
                  <a:lstStyle/>
                  <a:p>
                    <a:fld id="{6E15E74A-CC7A-4305-BF39-EB2AB43A64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2765-4A23-9942-1EB403908663}"/>
                </c:ext>
              </c:extLst>
            </c:dLbl>
            <c:dLbl>
              <c:idx val="28"/>
              <c:tx>
                <c:rich>
                  <a:bodyPr/>
                  <a:lstStyle/>
                  <a:p>
                    <a:fld id="{83E32E94-139D-41BC-9009-2C73A28DB1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2765-4A23-9942-1EB403908663}"/>
                </c:ext>
              </c:extLst>
            </c:dLbl>
            <c:dLbl>
              <c:idx val="29"/>
              <c:tx>
                <c:rich>
                  <a:bodyPr/>
                  <a:lstStyle/>
                  <a:p>
                    <a:fld id="{3B62A7AA-5749-4BC9-B80A-BFC00D2CBF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2765-4A23-9942-1EB403908663}"/>
                </c:ext>
              </c:extLst>
            </c:dLbl>
            <c:dLbl>
              <c:idx val="30"/>
              <c:tx>
                <c:rich>
                  <a:bodyPr/>
                  <a:lstStyle/>
                  <a:p>
                    <a:fld id="{DC17515B-16CB-41EB-809D-4BF5FA4A00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2765-4A23-9942-1EB403908663}"/>
                </c:ext>
              </c:extLst>
            </c:dLbl>
            <c:dLbl>
              <c:idx val="31"/>
              <c:tx>
                <c:rich>
                  <a:bodyPr/>
                  <a:lstStyle/>
                  <a:p>
                    <a:fld id="{1769D199-B768-40A8-A09D-EBC725B5C7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2765-4A23-9942-1EB403908663}"/>
                </c:ext>
              </c:extLst>
            </c:dLbl>
            <c:dLbl>
              <c:idx val="32"/>
              <c:tx>
                <c:rich>
                  <a:bodyPr/>
                  <a:lstStyle/>
                  <a:p>
                    <a:fld id="{225A2FE4-2583-4A30-9F21-29EA973483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2765-4A23-9942-1EB403908663}"/>
                </c:ext>
              </c:extLst>
            </c:dLbl>
            <c:dLbl>
              <c:idx val="33"/>
              <c:tx>
                <c:rich>
                  <a:bodyPr/>
                  <a:lstStyle/>
                  <a:p>
                    <a:fld id="{BBF01E55-6CF3-4BB1-B555-20FA2D1675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2765-4A23-9942-1EB403908663}"/>
                </c:ext>
              </c:extLst>
            </c:dLbl>
            <c:dLbl>
              <c:idx val="34"/>
              <c:tx>
                <c:rich>
                  <a:bodyPr/>
                  <a:lstStyle/>
                  <a:p>
                    <a:fld id="{7EA3F479-5870-471C-9414-E4FA4BE0F3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2765-4A23-9942-1EB403908663}"/>
                </c:ext>
              </c:extLst>
            </c:dLbl>
            <c:dLbl>
              <c:idx val="35"/>
              <c:tx>
                <c:rich>
                  <a:bodyPr/>
                  <a:lstStyle/>
                  <a:p>
                    <a:fld id="{53F7A38C-1C81-48A9-83D0-197DA104DB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2765-4A23-9942-1EB403908663}"/>
                </c:ext>
              </c:extLst>
            </c:dLbl>
            <c:dLbl>
              <c:idx val="36"/>
              <c:tx>
                <c:rich>
                  <a:bodyPr/>
                  <a:lstStyle/>
                  <a:p>
                    <a:fld id="{0F25F81F-A3ED-4443-AE48-3EE8384A5D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2765-4A23-9942-1EB403908663}"/>
                </c:ext>
              </c:extLst>
            </c:dLbl>
            <c:dLbl>
              <c:idx val="37"/>
              <c:tx>
                <c:rich>
                  <a:bodyPr/>
                  <a:lstStyle/>
                  <a:p>
                    <a:fld id="{F8F3654F-30FF-46CE-AC77-60EEB5C712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2765-4A23-9942-1EB403908663}"/>
                </c:ext>
              </c:extLst>
            </c:dLbl>
            <c:dLbl>
              <c:idx val="38"/>
              <c:tx>
                <c:rich>
                  <a:bodyPr/>
                  <a:lstStyle/>
                  <a:p>
                    <a:fld id="{3E3ADD29-4CEA-4FBD-A9CF-C43E1D73EA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2765-4A23-9942-1EB403908663}"/>
                </c:ext>
              </c:extLst>
            </c:dLbl>
            <c:dLbl>
              <c:idx val="39"/>
              <c:tx>
                <c:rich>
                  <a:bodyPr/>
                  <a:lstStyle/>
                  <a:p>
                    <a:fld id="{D65654F7-15A3-42B1-9B20-66E3A22A00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2765-4A23-9942-1EB403908663}"/>
                </c:ext>
              </c:extLst>
            </c:dLbl>
            <c:dLbl>
              <c:idx val="40"/>
              <c:tx>
                <c:rich>
                  <a:bodyPr/>
                  <a:lstStyle/>
                  <a:p>
                    <a:fld id="{1AC40958-0950-4F22-8187-F09E2785F6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2765-4A23-9942-1EB403908663}"/>
                </c:ext>
              </c:extLst>
            </c:dLbl>
            <c:dLbl>
              <c:idx val="41"/>
              <c:tx>
                <c:rich>
                  <a:bodyPr/>
                  <a:lstStyle/>
                  <a:p>
                    <a:fld id="{7C8A27D3-595D-4C44-9C3F-66705A4099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2765-4A23-9942-1EB403908663}"/>
                </c:ext>
              </c:extLst>
            </c:dLbl>
            <c:dLbl>
              <c:idx val="42"/>
              <c:tx>
                <c:rich>
                  <a:bodyPr/>
                  <a:lstStyle/>
                  <a:p>
                    <a:fld id="{CC9CA11B-5A9A-4EB5-8DE3-A852CD01DC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2765-4A23-9942-1EB403908663}"/>
                </c:ext>
              </c:extLst>
            </c:dLbl>
            <c:dLbl>
              <c:idx val="43"/>
              <c:tx>
                <c:rich>
                  <a:bodyPr/>
                  <a:lstStyle/>
                  <a:p>
                    <a:fld id="{AA10CA24-FE4B-411B-BAA1-CF2C4FE086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2765-4A23-9942-1EB403908663}"/>
                </c:ext>
              </c:extLst>
            </c:dLbl>
            <c:dLbl>
              <c:idx val="44"/>
              <c:tx>
                <c:rich>
                  <a:bodyPr/>
                  <a:lstStyle/>
                  <a:p>
                    <a:fld id="{6634B206-7772-4B52-BDC9-330E9CF3DA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2765-4A23-9942-1EB403908663}"/>
                </c:ext>
              </c:extLst>
            </c:dLbl>
            <c:dLbl>
              <c:idx val="45"/>
              <c:tx>
                <c:rich>
                  <a:bodyPr/>
                  <a:lstStyle/>
                  <a:p>
                    <a:fld id="{EE240507-F0DE-4C1E-83A0-0891E3EAD8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2765-4A23-9942-1EB403908663}"/>
                </c:ext>
              </c:extLst>
            </c:dLbl>
            <c:dLbl>
              <c:idx val="46"/>
              <c:tx>
                <c:rich>
                  <a:bodyPr/>
                  <a:lstStyle/>
                  <a:p>
                    <a:fld id="{D763CBA2-E9D3-499C-B717-BD36B55845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2765-4A23-9942-1EB403908663}"/>
                </c:ext>
              </c:extLst>
            </c:dLbl>
            <c:dLbl>
              <c:idx val="47"/>
              <c:tx>
                <c:rich>
                  <a:bodyPr/>
                  <a:lstStyle/>
                  <a:p>
                    <a:fld id="{FBB1BF08-6B3B-426E-87D9-78EABAA2C4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2765-4A23-9942-1EB403908663}"/>
                </c:ext>
              </c:extLst>
            </c:dLbl>
            <c:dLbl>
              <c:idx val="48"/>
              <c:tx>
                <c:rich>
                  <a:bodyPr/>
                  <a:lstStyle/>
                  <a:p>
                    <a:fld id="{6EDC8F74-B3CF-4DBE-AAEF-1C3728304F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2765-4A23-9942-1EB403908663}"/>
                </c:ext>
              </c:extLst>
            </c:dLbl>
            <c:dLbl>
              <c:idx val="49"/>
              <c:tx>
                <c:rich>
                  <a:bodyPr/>
                  <a:lstStyle/>
                  <a:p>
                    <a:fld id="{18BBAE33-921B-4AA2-AF4D-E66B6A193D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2765-4A23-9942-1EB403908663}"/>
                </c:ext>
              </c:extLst>
            </c:dLbl>
            <c:dLbl>
              <c:idx val="50"/>
              <c:tx>
                <c:rich>
                  <a:bodyPr/>
                  <a:lstStyle/>
                  <a:p>
                    <a:fld id="{92025546-3E04-424B-BDD5-974FFB4B8A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2765-4A23-9942-1EB403908663}"/>
                </c:ext>
              </c:extLst>
            </c:dLbl>
            <c:dLbl>
              <c:idx val="51"/>
              <c:tx>
                <c:rich>
                  <a:bodyPr/>
                  <a:lstStyle/>
                  <a:p>
                    <a:fld id="{E17EB9DC-7192-4312-8BD4-D6291DB167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2765-4A23-9942-1EB403908663}"/>
                </c:ext>
              </c:extLst>
            </c:dLbl>
            <c:dLbl>
              <c:idx val="52"/>
              <c:tx>
                <c:rich>
                  <a:bodyPr/>
                  <a:lstStyle/>
                  <a:p>
                    <a:fld id="{570A9815-5113-4570-ADD4-747CA1C44A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2765-4A23-9942-1EB403908663}"/>
                </c:ext>
              </c:extLst>
            </c:dLbl>
            <c:dLbl>
              <c:idx val="53"/>
              <c:tx>
                <c:rich>
                  <a:bodyPr/>
                  <a:lstStyle/>
                  <a:p>
                    <a:fld id="{43330980-1CCA-4C1F-9678-C26DD709EC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2765-4A23-9942-1EB403908663}"/>
                </c:ext>
              </c:extLst>
            </c:dLbl>
            <c:dLbl>
              <c:idx val="54"/>
              <c:tx>
                <c:rich>
                  <a:bodyPr/>
                  <a:lstStyle/>
                  <a:p>
                    <a:fld id="{69A6A3F3-B52B-4A25-8A0B-0E72453086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2765-4A23-9942-1EB403908663}"/>
                </c:ext>
              </c:extLst>
            </c:dLbl>
            <c:dLbl>
              <c:idx val="55"/>
              <c:tx>
                <c:rich>
                  <a:bodyPr/>
                  <a:lstStyle/>
                  <a:p>
                    <a:fld id="{2D2AAD87-E5B6-4817-BE4D-5AEF076F88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2765-4A23-9942-1EB403908663}"/>
                </c:ext>
              </c:extLst>
            </c:dLbl>
            <c:dLbl>
              <c:idx val="56"/>
              <c:tx>
                <c:rich>
                  <a:bodyPr/>
                  <a:lstStyle/>
                  <a:p>
                    <a:fld id="{D5943513-0F3A-4A18-B672-1538B4D488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2765-4A23-9942-1EB403908663}"/>
                </c:ext>
              </c:extLst>
            </c:dLbl>
            <c:dLbl>
              <c:idx val="57"/>
              <c:tx>
                <c:rich>
                  <a:bodyPr/>
                  <a:lstStyle/>
                  <a:p>
                    <a:fld id="{F303A6E9-EBD7-4E75-8DDA-691E6B0D32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2765-4A23-9942-1EB403908663}"/>
                </c:ext>
              </c:extLst>
            </c:dLbl>
            <c:dLbl>
              <c:idx val="58"/>
              <c:tx>
                <c:rich>
                  <a:bodyPr/>
                  <a:lstStyle/>
                  <a:p>
                    <a:fld id="{C34DFBBD-2947-488A-813D-8AB243E3EC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2765-4A23-9942-1EB403908663}"/>
                </c:ext>
              </c:extLst>
            </c:dLbl>
            <c:dLbl>
              <c:idx val="59"/>
              <c:tx>
                <c:rich>
                  <a:bodyPr/>
                  <a:lstStyle/>
                  <a:p>
                    <a:fld id="{C25C04FD-6966-4DF2-AA6F-BAEB823739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2765-4A23-9942-1EB403908663}"/>
                </c:ext>
              </c:extLst>
            </c:dLbl>
            <c:dLbl>
              <c:idx val="60"/>
              <c:tx>
                <c:rich>
                  <a:bodyPr/>
                  <a:lstStyle/>
                  <a:p>
                    <a:fld id="{B6E8954D-13EE-4CD4-A77A-DA38E7B8F8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2765-4A23-9942-1EB403908663}"/>
                </c:ext>
              </c:extLst>
            </c:dLbl>
            <c:dLbl>
              <c:idx val="61"/>
              <c:tx>
                <c:rich>
                  <a:bodyPr/>
                  <a:lstStyle/>
                  <a:p>
                    <a:fld id="{3BB3A426-2D94-4A41-985F-D9EBE96A13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2765-4A23-9942-1EB403908663}"/>
                </c:ext>
              </c:extLst>
            </c:dLbl>
            <c:dLbl>
              <c:idx val="62"/>
              <c:tx>
                <c:rich>
                  <a:bodyPr/>
                  <a:lstStyle/>
                  <a:p>
                    <a:fld id="{E06F302B-2290-4DF9-B62F-2B49218929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2765-4A23-9942-1EB403908663}"/>
                </c:ext>
              </c:extLst>
            </c:dLbl>
            <c:dLbl>
              <c:idx val="63"/>
              <c:tx>
                <c:rich>
                  <a:bodyPr/>
                  <a:lstStyle/>
                  <a:p>
                    <a:fld id="{445AF506-39F1-49EA-817E-7BFEC6611C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2765-4A23-9942-1EB403908663}"/>
                </c:ext>
              </c:extLst>
            </c:dLbl>
            <c:dLbl>
              <c:idx val="64"/>
              <c:tx>
                <c:rich>
                  <a:bodyPr/>
                  <a:lstStyle/>
                  <a:p>
                    <a:fld id="{6E8380BC-8637-4EC9-939D-D7F3EEA26B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2765-4A23-9942-1EB403908663}"/>
                </c:ext>
              </c:extLst>
            </c:dLbl>
            <c:dLbl>
              <c:idx val="65"/>
              <c:tx>
                <c:rich>
                  <a:bodyPr/>
                  <a:lstStyle/>
                  <a:p>
                    <a:fld id="{F9DF9070-774F-402B-BF88-2C97F0BD34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2765-4A23-9942-1EB403908663}"/>
                </c:ext>
              </c:extLst>
            </c:dLbl>
            <c:dLbl>
              <c:idx val="66"/>
              <c:tx>
                <c:rich>
                  <a:bodyPr/>
                  <a:lstStyle/>
                  <a:p>
                    <a:fld id="{87A7932C-2F88-492D-BF9B-437441ABE3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2765-4A23-9942-1EB403908663}"/>
                </c:ext>
              </c:extLst>
            </c:dLbl>
            <c:dLbl>
              <c:idx val="67"/>
              <c:tx>
                <c:rich>
                  <a:bodyPr/>
                  <a:lstStyle/>
                  <a:p>
                    <a:fld id="{871E5F15-0362-40F1-99E8-995ADE862E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2765-4A23-9942-1EB403908663}"/>
                </c:ext>
              </c:extLst>
            </c:dLbl>
            <c:dLbl>
              <c:idx val="68"/>
              <c:tx>
                <c:rich>
                  <a:bodyPr/>
                  <a:lstStyle/>
                  <a:p>
                    <a:fld id="{FE51634C-3D8A-4956-9B36-F1290ACCB1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2765-4A23-9942-1EB403908663}"/>
                </c:ext>
              </c:extLst>
            </c:dLbl>
            <c:dLbl>
              <c:idx val="69"/>
              <c:tx>
                <c:rich>
                  <a:bodyPr/>
                  <a:lstStyle/>
                  <a:p>
                    <a:fld id="{68058C29-7077-41E7-8D30-FB04D86B7D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2765-4A23-9942-1EB403908663}"/>
                </c:ext>
              </c:extLst>
            </c:dLbl>
            <c:dLbl>
              <c:idx val="70"/>
              <c:tx>
                <c:rich>
                  <a:bodyPr/>
                  <a:lstStyle/>
                  <a:p>
                    <a:fld id="{3397B45A-33CE-43A7-A305-1AB5127FDB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2765-4A23-9942-1EB403908663}"/>
                </c:ext>
              </c:extLst>
            </c:dLbl>
            <c:dLbl>
              <c:idx val="71"/>
              <c:tx>
                <c:rich>
                  <a:bodyPr/>
                  <a:lstStyle/>
                  <a:p>
                    <a:fld id="{A3DE5A2D-360C-41CE-8462-0E2F5C3920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2765-4A23-9942-1EB403908663}"/>
                </c:ext>
              </c:extLst>
            </c:dLbl>
            <c:dLbl>
              <c:idx val="72"/>
              <c:tx>
                <c:rich>
                  <a:bodyPr/>
                  <a:lstStyle/>
                  <a:p>
                    <a:fld id="{5A571284-06DD-4B08-A1F3-32EC0CF4EE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2765-4A23-9942-1EB403908663}"/>
                </c:ext>
              </c:extLst>
            </c:dLbl>
            <c:dLbl>
              <c:idx val="73"/>
              <c:tx>
                <c:rich>
                  <a:bodyPr/>
                  <a:lstStyle/>
                  <a:p>
                    <a:fld id="{23161B42-F221-4FEF-A19D-BDE1D3A5E4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2765-4A23-9942-1EB403908663}"/>
                </c:ext>
              </c:extLst>
            </c:dLbl>
            <c:dLbl>
              <c:idx val="74"/>
              <c:tx>
                <c:rich>
                  <a:bodyPr/>
                  <a:lstStyle/>
                  <a:p>
                    <a:fld id="{C002885F-E8F7-43B9-87C6-1E75E05719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2765-4A23-9942-1EB403908663}"/>
                </c:ext>
              </c:extLst>
            </c:dLbl>
            <c:dLbl>
              <c:idx val="75"/>
              <c:tx>
                <c:rich>
                  <a:bodyPr/>
                  <a:lstStyle/>
                  <a:p>
                    <a:fld id="{D42CFFA3-9EC6-4D02-BC1E-4DB6439612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2765-4A23-9942-1EB403908663}"/>
                </c:ext>
              </c:extLst>
            </c:dLbl>
            <c:dLbl>
              <c:idx val="76"/>
              <c:tx>
                <c:rich>
                  <a:bodyPr/>
                  <a:lstStyle/>
                  <a:p>
                    <a:fld id="{0DA68E76-9777-4AE7-A712-5670089C3F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2765-4A23-9942-1EB403908663}"/>
                </c:ext>
              </c:extLst>
            </c:dLbl>
            <c:dLbl>
              <c:idx val="77"/>
              <c:tx>
                <c:rich>
                  <a:bodyPr/>
                  <a:lstStyle/>
                  <a:p>
                    <a:fld id="{D5C2424D-34E5-41AE-B32A-4FA27A3057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2765-4A23-9942-1EB403908663}"/>
                </c:ext>
              </c:extLst>
            </c:dLbl>
            <c:dLbl>
              <c:idx val="78"/>
              <c:tx>
                <c:rich>
                  <a:bodyPr/>
                  <a:lstStyle/>
                  <a:p>
                    <a:fld id="{E08CE3E0-4FFF-4341-9ACF-F3DBA9EA73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2765-4A23-9942-1EB403908663}"/>
                </c:ext>
              </c:extLst>
            </c:dLbl>
            <c:dLbl>
              <c:idx val="79"/>
              <c:tx>
                <c:rich>
                  <a:bodyPr/>
                  <a:lstStyle/>
                  <a:p>
                    <a:fld id="{A3D78CAF-ACEE-403D-9074-C2619F3EBE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2765-4A23-9942-1EB403908663}"/>
                </c:ext>
              </c:extLst>
            </c:dLbl>
            <c:dLbl>
              <c:idx val="80"/>
              <c:tx>
                <c:rich>
                  <a:bodyPr/>
                  <a:lstStyle/>
                  <a:p>
                    <a:fld id="{7BE3CB2C-9BFA-461D-91E4-01CD4C7188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2765-4A23-9942-1EB403908663}"/>
                </c:ext>
              </c:extLst>
            </c:dLbl>
            <c:dLbl>
              <c:idx val="81"/>
              <c:tx>
                <c:rich>
                  <a:bodyPr/>
                  <a:lstStyle/>
                  <a:p>
                    <a:fld id="{23C23018-8B0D-4187-8E82-FF6AE596A5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2765-4A23-9942-1EB403908663}"/>
                </c:ext>
              </c:extLst>
            </c:dLbl>
            <c:dLbl>
              <c:idx val="82"/>
              <c:tx>
                <c:rich>
                  <a:bodyPr/>
                  <a:lstStyle/>
                  <a:p>
                    <a:fld id="{5647D910-6B89-4E5B-90F0-9791C8267F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2765-4A23-9942-1EB403908663}"/>
                </c:ext>
              </c:extLst>
            </c:dLbl>
            <c:dLbl>
              <c:idx val="83"/>
              <c:tx>
                <c:rich>
                  <a:bodyPr/>
                  <a:lstStyle/>
                  <a:p>
                    <a:fld id="{E37105BB-2863-49AB-BCFB-239581330B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2765-4A23-9942-1EB403908663}"/>
                </c:ext>
              </c:extLst>
            </c:dLbl>
            <c:dLbl>
              <c:idx val="84"/>
              <c:tx>
                <c:rich>
                  <a:bodyPr/>
                  <a:lstStyle/>
                  <a:p>
                    <a:fld id="{5FF5E613-52B3-470F-83A7-57463FD5E0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2765-4A23-9942-1EB403908663}"/>
                </c:ext>
              </c:extLst>
            </c:dLbl>
            <c:dLbl>
              <c:idx val="85"/>
              <c:tx>
                <c:rich>
                  <a:bodyPr/>
                  <a:lstStyle/>
                  <a:p>
                    <a:fld id="{14FA5519-BA97-4E7D-AF7E-DACD313C9A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2765-4A23-9942-1EB403908663}"/>
                </c:ext>
              </c:extLst>
            </c:dLbl>
            <c:dLbl>
              <c:idx val="86"/>
              <c:tx>
                <c:rich>
                  <a:bodyPr/>
                  <a:lstStyle/>
                  <a:p>
                    <a:fld id="{88E1D32E-9E06-4D00-ABA4-E4E63BF928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2765-4A23-9942-1EB403908663}"/>
                </c:ext>
              </c:extLst>
            </c:dLbl>
            <c:dLbl>
              <c:idx val="87"/>
              <c:tx>
                <c:rich>
                  <a:bodyPr/>
                  <a:lstStyle/>
                  <a:p>
                    <a:fld id="{63D917BD-42C6-4627-BBDE-39E1B05BBC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2765-4A23-9942-1EB403908663}"/>
                </c:ext>
              </c:extLst>
            </c:dLbl>
            <c:dLbl>
              <c:idx val="88"/>
              <c:tx>
                <c:rich>
                  <a:bodyPr/>
                  <a:lstStyle/>
                  <a:p>
                    <a:fld id="{ACFEF9E1-83EF-4746-8A5F-098D791102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2765-4A23-9942-1EB403908663}"/>
                </c:ext>
              </c:extLst>
            </c:dLbl>
            <c:dLbl>
              <c:idx val="89"/>
              <c:tx>
                <c:rich>
                  <a:bodyPr/>
                  <a:lstStyle/>
                  <a:p>
                    <a:fld id="{1320DDBC-0773-4009-989F-0D73D81163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2765-4A23-9942-1EB403908663}"/>
                </c:ext>
              </c:extLst>
            </c:dLbl>
            <c:dLbl>
              <c:idx val="90"/>
              <c:tx>
                <c:rich>
                  <a:bodyPr/>
                  <a:lstStyle/>
                  <a:p>
                    <a:fld id="{1DD8F481-5D70-40D1-A621-26246B3722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2765-4A23-9942-1EB403908663}"/>
                </c:ext>
              </c:extLst>
            </c:dLbl>
            <c:dLbl>
              <c:idx val="91"/>
              <c:tx>
                <c:rich>
                  <a:bodyPr/>
                  <a:lstStyle/>
                  <a:p>
                    <a:fld id="{C8851530-FAD7-448E-9130-2D3D2DC67D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2765-4A23-9942-1EB403908663}"/>
                </c:ext>
              </c:extLst>
            </c:dLbl>
            <c:dLbl>
              <c:idx val="92"/>
              <c:tx>
                <c:rich>
                  <a:bodyPr/>
                  <a:lstStyle/>
                  <a:p>
                    <a:fld id="{DA16BCCC-32E3-4888-814B-C4E16977F2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2765-4A23-9942-1EB403908663}"/>
                </c:ext>
              </c:extLst>
            </c:dLbl>
            <c:dLbl>
              <c:idx val="93"/>
              <c:tx>
                <c:rich>
                  <a:bodyPr/>
                  <a:lstStyle/>
                  <a:p>
                    <a:fld id="{BA97FD77-3100-4A85-8D3F-D1571B7706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2765-4A23-9942-1EB403908663}"/>
                </c:ext>
              </c:extLst>
            </c:dLbl>
            <c:dLbl>
              <c:idx val="94"/>
              <c:tx>
                <c:rich>
                  <a:bodyPr/>
                  <a:lstStyle/>
                  <a:p>
                    <a:fld id="{4EEBCBDA-5A4F-4325-B885-BB1386AE8B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2765-4A23-9942-1EB403908663}"/>
                </c:ext>
              </c:extLst>
            </c:dLbl>
            <c:dLbl>
              <c:idx val="95"/>
              <c:tx>
                <c:rich>
                  <a:bodyPr/>
                  <a:lstStyle/>
                  <a:p>
                    <a:fld id="{843E5879-7206-4860-828D-1FC739BA68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2765-4A23-9942-1EB403908663}"/>
                </c:ext>
              </c:extLst>
            </c:dLbl>
            <c:dLbl>
              <c:idx val="96"/>
              <c:tx>
                <c:rich>
                  <a:bodyPr/>
                  <a:lstStyle/>
                  <a:p>
                    <a:fld id="{D0E7C804-F304-412B-9E76-4A0AA0F792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2765-4A23-9942-1EB403908663}"/>
                </c:ext>
              </c:extLst>
            </c:dLbl>
            <c:dLbl>
              <c:idx val="97"/>
              <c:tx>
                <c:rich>
                  <a:bodyPr/>
                  <a:lstStyle/>
                  <a:p>
                    <a:fld id="{7E13E1BB-ACEF-4042-B0D7-1C6C87607E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2765-4A23-9942-1EB403908663}"/>
                </c:ext>
              </c:extLst>
            </c:dLbl>
            <c:dLbl>
              <c:idx val="98"/>
              <c:tx>
                <c:rich>
                  <a:bodyPr/>
                  <a:lstStyle/>
                  <a:p>
                    <a:fld id="{D5F31353-9FB1-47AD-83CD-9945D15E97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2765-4A23-9942-1EB403908663}"/>
                </c:ext>
              </c:extLst>
            </c:dLbl>
            <c:dLbl>
              <c:idx val="99"/>
              <c:tx>
                <c:rich>
                  <a:bodyPr/>
                  <a:lstStyle/>
                  <a:p>
                    <a:fld id="{3A42CE5D-F568-4F91-AEB7-96BE657287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2765-4A23-9942-1EB403908663}"/>
                </c:ext>
              </c:extLst>
            </c:dLbl>
            <c:dLbl>
              <c:idx val="100"/>
              <c:tx>
                <c:rich>
                  <a:bodyPr/>
                  <a:lstStyle/>
                  <a:p>
                    <a:fld id="{CD0C236D-D1A3-4519-A253-FEAAB03E4A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2765-4A23-9942-1EB403908663}"/>
                </c:ext>
              </c:extLst>
            </c:dLbl>
            <c:dLbl>
              <c:idx val="101"/>
              <c:tx>
                <c:rich>
                  <a:bodyPr/>
                  <a:lstStyle/>
                  <a:p>
                    <a:fld id="{895E21E7-E155-4577-8D16-3FCFCF3316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2765-4A23-9942-1EB403908663}"/>
                </c:ext>
              </c:extLst>
            </c:dLbl>
            <c:dLbl>
              <c:idx val="102"/>
              <c:tx>
                <c:rich>
                  <a:bodyPr/>
                  <a:lstStyle/>
                  <a:p>
                    <a:fld id="{495BFAB0-9950-4638-8409-880D9840DA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2765-4A23-9942-1EB403908663}"/>
                </c:ext>
              </c:extLst>
            </c:dLbl>
            <c:dLbl>
              <c:idx val="103"/>
              <c:tx>
                <c:rich>
                  <a:bodyPr/>
                  <a:lstStyle/>
                  <a:p>
                    <a:fld id="{ACB1F206-1547-42BB-9583-8BF911B17A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2765-4A23-9942-1EB403908663}"/>
                </c:ext>
              </c:extLst>
            </c:dLbl>
            <c:dLbl>
              <c:idx val="104"/>
              <c:tx>
                <c:rich>
                  <a:bodyPr/>
                  <a:lstStyle/>
                  <a:p>
                    <a:fld id="{36E0DA51-5EC5-4D0F-B148-AE733690A2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2765-4A23-9942-1EB403908663}"/>
                </c:ext>
              </c:extLst>
            </c:dLbl>
            <c:dLbl>
              <c:idx val="105"/>
              <c:tx>
                <c:rich>
                  <a:bodyPr/>
                  <a:lstStyle/>
                  <a:p>
                    <a:fld id="{50DD9129-1263-44DA-BEB2-D507AE0759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2765-4A23-9942-1EB403908663}"/>
                </c:ext>
              </c:extLst>
            </c:dLbl>
            <c:dLbl>
              <c:idx val="106"/>
              <c:tx>
                <c:rich>
                  <a:bodyPr/>
                  <a:lstStyle/>
                  <a:p>
                    <a:fld id="{D71BC777-4639-4899-9B8B-82AADCBC24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2765-4A23-9942-1EB403908663}"/>
                </c:ext>
              </c:extLst>
            </c:dLbl>
            <c:dLbl>
              <c:idx val="107"/>
              <c:tx>
                <c:rich>
                  <a:bodyPr/>
                  <a:lstStyle/>
                  <a:p>
                    <a:fld id="{76576845-7D17-40AD-8A3B-C05C6FF44F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2765-4A23-9942-1EB403908663}"/>
                </c:ext>
              </c:extLst>
            </c:dLbl>
            <c:dLbl>
              <c:idx val="108"/>
              <c:tx>
                <c:rich>
                  <a:bodyPr/>
                  <a:lstStyle/>
                  <a:p>
                    <a:fld id="{2F320126-C87C-4290-8305-2FF0DCD9AF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2765-4A23-9942-1EB403908663}"/>
                </c:ext>
              </c:extLst>
            </c:dLbl>
            <c:dLbl>
              <c:idx val="109"/>
              <c:tx>
                <c:rich>
                  <a:bodyPr/>
                  <a:lstStyle/>
                  <a:p>
                    <a:fld id="{6C051471-0054-430C-B128-93EA2D34C9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2765-4A23-9942-1EB403908663}"/>
                </c:ext>
              </c:extLst>
            </c:dLbl>
            <c:dLbl>
              <c:idx val="110"/>
              <c:tx>
                <c:rich>
                  <a:bodyPr/>
                  <a:lstStyle/>
                  <a:p>
                    <a:fld id="{2736E5CC-595A-4737-98E5-65B0A00C9D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2765-4A23-9942-1EB403908663}"/>
                </c:ext>
              </c:extLst>
            </c:dLbl>
            <c:dLbl>
              <c:idx val="111"/>
              <c:tx>
                <c:rich>
                  <a:bodyPr/>
                  <a:lstStyle/>
                  <a:p>
                    <a:fld id="{73467FDD-AA18-4310-BC0F-EA9398029A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2765-4A23-9942-1EB403908663}"/>
                </c:ext>
              </c:extLst>
            </c:dLbl>
            <c:dLbl>
              <c:idx val="112"/>
              <c:tx>
                <c:rich>
                  <a:bodyPr/>
                  <a:lstStyle/>
                  <a:p>
                    <a:fld id="{AC6496B3-6315-464C-BC6B-7BB1C64799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2765-4A23-9942-1EB403908663}"/>
                </c:ext>
              </c:extLst>
            </c:dLbl>
            <c:dLbl>
              <c:idx val="113"/>
              <c:tx>
                <c:rich>
                  <a:bodyPr/>
                  <a:lstStyle/>
                  <a:p>
                    <a:fld id="{57AC966D-C576-44AD-86FC-2359B40EAA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2765-4A23-9942-1EB403908663}"/>
                </c:ext>
              </c:extLst>
            </c:dLbl>
            <c:dLbl>
              <c:idx val="114"/>
              <c:tx>
                <c:rich>
                  <a:bodyPr/>
                  <a:lstStyle/>
                  <a:p>
                    <a:fld id="{3D67FD29-2625-4B6C-809E-5173CDEC57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2765-4A23-9942-1EB403908663}"/>
                </c:ext>
              </c:extLst>
            </c:dLbl>
            <c:dLbl>
              <c:idx val="115"/>
              <c:tx>
                <c:rich>
                  <a:bodyPr/>
                  <a:lstStyle/>
                  <a:p>
                    <a:fld id="{300C88C5-83F7-4D05-802C-EC11231B03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2765-4A23-9942-1EB403908663}"/>
                </c:ext>
              </c:extLst>
            </c:dLbl>
            <c:dLbl>
              <c:idx val="116"/>
              <c:tx>
                <c:rich>
                  <a:bodyPr/>
                  <a:lstStyle/>
                  <a:p>
                    <a:fld id="{297A289C-5C0F-438A-AA25-4B249B5CC1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2765-4A23-9942-1EB403908663}"/>
                </c:ext>
              </c:extLst>
            </c:dLbl>
            <c:dLbl>
              <c:idx val="117"/>
              <c:tx>
                <c:rich>
                  <a:bodyPr/>
                  <a:lstStyle/>
                  <a:p>
                    <a:fld id="{EB331B1D-19A1-4497-A0C4-FD11192B67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2765-4A23-9942-1EB403908663}"/>
                </c:ext>
              </c:extLst>
            </c:dLbl>
            <c:dLbl>
              <c:idx val="118"/>
              <c:tx>
                <c:rich>
                  <a:bodyPr/>
                  <a:lstStyle/>
                  <a:p>
                    <a:fld id="{F76FEBCB-999A-4D29-9BAF-D9029F39E6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2765-4A23-9942-1EB403908663}"/>
                </c:ext>
              </c:extLst>
            </c:dLbl>
            <c:dLbl>
              <c:idx val="119"/>
              <c:tx>
                <c:rich>
                  <a:bodyPr/>
                  <a:lstStyle/>
                  <a:p>
                    <a:fld id="{84F9254D-BDC8-43EF-BF15-2A3F0AA7B5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2765-4A23-9942-1EB403908663}"/>
                </c:ext>
              </c:extLst>
            </c:dLbl>
            <c:dLbl>
              <c:idx val="120"/>
              <c:tx>
                <c:rich>
                  <a:bodyPr/>
                  <a:lstStyle/>
                  <a:p>
                    <a:fld id="{0F72B16C-4899-4556-8A8C-6BAB2CF747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2765-4A23-9942-1EB403908663}"/>
                </c:ext>
              </c:extLst>
            </c:dLbl>
            <c:dLbl>
              <c:idx val="121"/>
              <c:tx>
                <c:rich>
                  <a:bodyPr/>
                  <a:lstStyle/>
                  <a:p>
                    <a:fld id="{E659D429-258C-4BF6-992A-55EC054117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2765-4A23-9942-1EB403908663}"/>
                </c:ext>
              </c:extLst>
            </c:dLbl>
            <c:dLbl>
              <c:idx val="122"/>
              <c:tx>
                <c:rich>
                  <a:bodyPr/>
                  <a:lstStyle/>
                  <a:p>
                    <a:fld id="{4DEE2FA6-F0C2-4DC7-8040-895271E378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2765-4A23-9942-1EB403908663}"/>
                </c:ext>
              </c:extLst>
            </c:dLbl>
            <c:dLbl>
              <c:idx val="123"/>
              <c:tx>
                <c:rich>
                  <a:bodyPr/>
                  <a:lstStyle/>
                  <a:p>
                    <a:fld id="{A0402545-4204-4012-AFFF-5866EB5B85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2765-4A23-9942-1EB403908663}"/>
                </c:ext>
              </c:extLst>
            </c:dLbl>
            <c:dLbl>
              <c:idx val="124"/>
              <c:tx>
                <c:rich>
                  <a:bodyPr/>
                  <a:lstStyle/>
                  <a:p>
                    <a:fld id="{732C81FB-CA91-4A46-A42A-DF975E51EF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2765-4A23-9942-1EB403908663}"/>
                </c:ext>
              </c:extLst>
            </c:dLbl>
            <c:dLbl>
              <c:idx val="125"/>
              <c:tx>
                <c:rich>
                  <a:bodyPr/>
                  <a:lstStyle/>
                  <a:p>
                    <a:fld id="{12B38003-FE91-41BA-B432-3151352D20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2765-4A23-9942-1EB403908663}"/>
                </c:ext>
              </c:extLst>
            </c:dLbl>
            <c:dLbl>
              <c:idx val="126"/>
              <c:tx>
                <c:rich>
                  <a:bodyPr/>
                  <a:lstStyle/>
                  <a:p>
                    <a:fld id="{8B8906CB-301D-49FF-A3C7-81B689ACA8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2765-4A23-9942-1EB403908663}"/>
                </c:ext>
              </c:extLst>
            </c:dLbl>
            <c:dLbl>
              <c:idx val="127"/>
              <c:tx>
                <c:rich>
                  <a:bodyPr/>
                  <a:lstStyle/>
                  <a:p>
                    <a:fld id="{E3E1A70F-B18E-407A-983D-B94B15D337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2765-4A23-9942-1EB403908663}"/>
                </c:ext>
              </c:extLst>
            </c:dLbl>
            <c:dLbl>
              <c:idx val="128"/>
              <c:tx>
                <c:rich>
                  <a:bodyPr/>
                  <a:lstStyle/>
                  <a:p>
                    <a:fld id="{D660F94E-66C6-4C00-986E-2A4269A412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2765-4A23-9942-1EB403908663}"/>
                </c:ext>
              </c:extLst>
            </c:dLbl>
            <c:dLbl>
              <c:idx val="129"/>
              <c:tx>
                <c:rich>
                  <a:bodyPr/>
                  <a:lstStyle/>
                  <a:p>
                    <a:fld id="{DA3F5F9D-074F-4736-83D1-95F6399677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2765-4A23-9942-1EB403908663}"/>
                </c:ext>
              </c:extLst>
            </c:dLbl>
            <c:dLbl>
              <c:idx val="130"/>
              <c:tx>
                <c:rich>
                  <a:bodyPr/>
                  <a:lstStyle/>
                  <a:p>
                    <a:fld id="{24FF507A-8906-4AFC-BE6C-DEC3E59C73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2765-4A23-9942-1EB403908663}"/>
                </c:ext>
              </c:extLst>
            </c:dLbl>
            <c:dLbl>
              <c:idx val="131"/>
              <c:tx>
                <c:rich>
                  <a:bodyPr/>
                  <a:lstStyle/>
                  <a:p>
                    <a:fld id="{2E6E6FD8-5D7A-43E5-918D-3AB025E3F5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2765-4A23-9942-1EB403908663}"/>
                </c:ext>
              </c:extLst>
            </c:dLbl>
            <c:dLbl>
              <c:idx val="132"/>
              <c:tx>
                <c:rich>
                  <a:bodyPr/>
                  <a:lstStyle/>
                  <a:p>
                    <a:fld id="{F4F12D98-9582-4CF7-9EEC-FF13A94290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2765-4A23-9942-1EB403908663}"/>
                </c:ext>
              </c:extLst>
            </c:dLbl>
            <c:dLbl>
              <c:idx val="133"/>
              <c:tx>
                <c:rich>
                  <a:bodyPr/>
                  <a:lstStyle/>
                  <a:p>
                    <a:fld id="{CEB2D1AC-B17E-450D-BF63-75FB2BFB76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2765-4A23-9942-1EB403908663}"/>
                </c:ext>
              </c:extLst>
            </c:dLbl>
            <c:dLbl>
              <c:idx val="134"/>
              <c:tx>
                <c:rich>
                  <a:bodyPr/>
                  <a:lstStyle/>
                  <a:p>
                    <a:fld id="{1A369DEF-B914-47C8-BD11-E374BE88CB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2765-4A23-9942-1EB403908663}"/>
                </c:ext>
              </c:extLst>
            </c:dLbl>
            <c:dLbl>
              <c:idx val="135"/>
              <c:tx>
                <c:rich>
                  <a:bodyPr/>
                  <a:lstStyle/>
                  <a:p>
                    <a:fld id="{D5929B3F-4B46-4E2E-8DA5-7C9F780155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2765-4A23-9942-1EB403908663}"/>
                </c:ext>
              </c:extLst>
            </c:dLbl>
            <c:dLbl>
              <c:idx val="136"/>
              <c:tx>
                <c:rich>
                  <a:bodyPr/>
                  <a:lstStyle/>
                  <a:p>
                    <a:fld id="{4DA0ADCA-E0AC-4817-81A6-1A78171DC4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2765-4A23-9942-1EB403908663}"/>
                </c:ext>
              </c:extLst>
            </c:dLbl>
            <c:dLbl>
              <c:idx val="137"/>
              <c:tx>
                <c:rich>
                  <a:bodyPr/>
                  <a:lstStyle/>
                  <a:p>
                    <a:fld id="{85E9F577-4EEB-4A7F-82BB-DCDEC661FE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2765-4A23-9942-1EB403908663}"/>
                </c:ext>
              </c:extLst>
            </c:dLbl>
            <c:dLbl>
              <c:idx val="138"/>
              <c:tx>
                <c:rich>
                  <a:bodyPr/>
                  <a:lstStyle/>
                  <a:p>
                    <a:fld id="{775210A6-4D47-4875-B212-43E739B450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2765-4A23-9942-1EB403908663}"/>
                </c:ext>
              </c:extLst>
            </c:dLbl>
            <c:dLbl>
              <c:idx val="139"/>
              <c:tx>
                <c:rich>
                  <a:bodyPr/>
                  <a:lstStyle/>
                  <a:p>
                    <a:fld id="{5EF1CC67-C0F0-49D9-AEF2-329965EFEB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2765-4A23-9942-1EB403908663}"/>
                </c:ext>
              </c:extLst>
            </c:dLbl>
            <c:dLbl>
              <c:idx val="140"/>
              <c:tx>
                <c:rich>
                  <a:bodyPr/>
                  <a:lstStyle/>
                  <a:p>
                    <a:fld id="{31288741-D859-45EC-BB08-70737501E4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2765-4A23-9942-1EB403908663}"/>
                </c:ext>
              </c:extLst>
            </c:dLbl>
            <c:dLbl>
              <c:idx val="141"/>
              <c:tx>
                <c:rich>
                  <a:bodyPr/>
                  <a:lstStyle/>
                  <a:p>
                    <a:fld id="{AC8741F1-10DC-410D-99DA-481792D074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2765-4A23-9942-1EB403908663}"/>
                </c:ext>
              </c:extLst>
            </c:dLbl>
            <c:dLbl>
              <c:idx val="142"/>
              <c:tx>
                <c:rich>
                  <a:bodyPr/>
                  <a:lstStyle/>
                  <a:p>
                    <a:fld id="{ABE5C571-71EB-49DB-BA52-4B4EF553D3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2765-4A23-9942-1EB403908663}"/>
                </c:ext>
              </c:extLst>
            </c:dLbl>
            <c:dLbl>
              <c:idx val="143"/>
              <c:tx>
                <c:rich>
                  <a:bodyPr/>
                  <a:lstStyle/>
                  <a:p>
                    <a:fld id="{AC828506-A459-4E71-A0FA-E4BAA8C011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2765-4A23-9942-1EB403908663}"/>
                </c:ext>
              </c:extLst>
            </c:dLbl>
            <c:dLbl>
              <c:idx val="144"/>
              <c:tx>
                <c:rich>
                  <a:bodyPr/>
                  <a:lstStyle/>
                  <a:p>
                    <a:fld id="{A20C5316-396B-4CE2-B88C-BAB87F63EF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2765-4A23-9942-1EB403908663}"/>
                </c:ext>
              </c:extLst>
            </c:dLbl>
            <c:dLbl>
              <c:idx val="145"/>
              <c:tx>
                <c:rich>
                  <a:bodyPr/>
                  <a:lstStyle/>
                  <a:p>
                    <a:fld id="{07686507-6B04-4B4B-B417-E367DFAA8F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2765-4A23-9942-1EB403908663}"/>
                </c:ext>
              </c:extLst>
            </c:dLbl>
            <c:dLbl>
              <c:idx val="146"/>
              <c:tx>
                <c:rich>
                  <a:bodyPr/>
                  <a:lstStyle/>
                  <a:p>
                    <a:fld id="{F09E5707-A0ED-46E5-8BA1-2DE7217DD2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2765-4A23-9942-1EB403908663}"/>
                </c:ext>
              </c:extLst>
            </c:dLbl>
            <c:dLbl>
              <c:idx val="147"/>
              <c:tx>
                <c:rich>
                  <a:bodyPr/>
                  <a:lstStyle/>
                  <a:p>
                    <a:fld id="{662AD089-52E7-43B7-95B4-E74A1E3EEC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2765-4A23-9942-1EB403908663}"/>
                </c:ext>
              </c:extLst>
            </c:dLbl>
            <c:dLbl>
              <c:idx val="148"/>
              <c:tx>
                <c:rich>
                  <a:bodyPr/>
                  <a:lstStyle/>
                  <a:p>
                    <a:fld id="{7AC8CAA7-AE08-4E4A-9DCA-9E0FAE293A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2765-4A23-9942-1EB403908663}"/>
                </c:ext>
              </c:extLst>
            </c:dLbl>
            <c:dLbl>
              <c:idx val="149"/>
              <c:tx>
                <c:rich>
                  <a:bodyPr/>
                  <a:lstStyle/>
                  <a:p>
                    <a:fld id="{37E1289B-98BB-43E4-B97B-8ADFA1DFFF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2765-4A23-9942-1EB403908663}"/>
                </c:ext>
              </c:extLst>
            </c:dLbl>
            <c:dLbl>
              <c:idx val="150"/>
              <c:tx>
                <c:rich>
                  <a:bodyPr/>
                  <a:lstStyle/>
                  <a:p>
                    <a:fld id="{4467681A-A7A6-4811-84FF-6F32D11C72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2765-4A23-9942-1EB403908663}"/>
                </c:ext>
              </c:extLst>
            </c:dLbl>
            <c:dLbl>
              <c:idx val="151"/>
              <c:tx>
                <c:rich>
                  <a:bodyPr/>
                  <a:lstStyle/>
                  <a:p>
                    <a:fld id="{68D02561-BAA4-4E22-85A3-9A1814375B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2765-4A23-9942-1EB403908663}"/>
                </c:ext>
              </c:extLst>
            </c:dLbl>
            <c:dLbl>
              <c:idx val="152"/>
              <c:tx>
                <c:rich>
                  <a:bodyPr/>
                  <a:lstStyle/>
                  <a:p>
                    <a:fld id="{EEAADD4F-BFF5-4D19-A2E9-B544BA8118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2765-4A23-9942-1EB403908663}"/>
                </c:ext>
              </c:extLst>
            </c:dLbl>
            <c:dLbl>
              <c:idx val="153"/>
              <c:tx>
                <c:rich>
                  <a:bodyPr/>
                  <a:lstStyle/>
                  <a:p>
                    <a:fld id="{F94B3B1D-80B0-4EAA-97A2-8287DBB139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2765-4A23-9942-1EB403908663}"/>
                </c:ext>
              </c:extLst>
            </c:dLbl>
            <c:dLbl>
              <c:idx val="154"/>
              <c:tx>
                <c:rich>
                  <a:bodyPr/>
                  <a:lstStyle/>
                  <a:p>
                    <a:fld id="{873A5F1D-E4E9-4FA6-8B3D-74BE9BC6F4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2765-4A23-9942-1EB403908663}"/>
                </c:ext>
              </c:extLst>
            </c:dLbl>
            <c:dLbl>
              <c:idx val="155"/>
              <c:tx>
                <c:rich>
                  <a:bodyPr/>
                  <a:lstStyle/>
                  <a:p>
                    <a:fld id="{41C73519-D27C-41FC-9A1B-A8E44E3079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2765-4A23-9942-1EB403908663}"/>
                </c:ext>
              </c:extLst>
            </c:dLbl>
            <c:dLbl>
              <c:idx val="156"/>
              <c:tx>
                <c:rich>
                  <a:bodyPr/>
                  <a:lstStyle/>
                  <a:p>
                    <a:fld id="{13A02ADE-8C89-48D4-96FC-9503D73419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2765-4A23-9942-1EB403908663}"/>
                </c:ext>
              </c:extLst>
            </c:dLbl>
            <c:dLbl>
              <c:idx val="157"/>
              <c:tx>
                <c:rich>
                  <a:bodyPr/>
                  <a:lstStyle/>
                  <a:p>
                    <a:fld id="{6CE9DA07-E827-4530-89CD-215218EFB5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2765-4A23-9942-1EB403908663}"/>
                </c:ext>
              </c:extLst>
            </c:dLbl>
            <c:dLbl>
              <c:idx val="158"/>
              <c:tx>
                <c:rich>
                  <a:bodyPr/>
                  <a:lstStyle/>
                  <a:p>
                    <a:fld id="{81BAE8DF-4788-4EEF-90E6-9E5A13DA5F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2765-4A23-9942-1EB403908663}"/>
                </c:ext>
              </c:extLst>
            </c:dLbl>
            <c:dLbl>
              <c:idx val="159"/>
              <c:tx>
                <c:rich>
                  <a:bodyPr/>
                  <a:lstStyle/>
                  <a:p>
                    <a:fld id="{231A4F71-1C2D-4B14-9C8F-0A36377E40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2765-4A23-9942-1EB403908663}"/>
                </c:ext>
              </c:extLst>
            </c:dLbl>
            <c:dLbl>
              <c:idx val="160"/>
              <c:tx>
                <c:rich>
                  <a:bodyPr/>
                  <a:lstStyle/>
                  <a:p>
                    <a:fld id="{22EDB076-0F68-487D-AAF2-8A93113744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2765-4A23-9942-1EB403908663}"/>
                </c:ext>
              </c:extLst>
            </c:dLbl>
            <c:dLbl>
              <c:idx val="161"/>
              <c:tx>
                <c:rich>
                  <a:bodyPr/>
                  <a:lstStyle/>
                  <a:p>
                    <a:fld id="{4D2B9163-2304-46B3-B53E-DC789C9EF8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2765-4A23-9942-1EB403908663}"/>
                </c:ext>
              </c:extLst>
            </c:dLbl>
            <c:dLbl>
              <c:idx val="162"/>
              <c:tx>
                <c:rich>
                  <a:bodyPr/>
                  <a:lstStyle/>
                  <a:p>
                    <a:fld id="{1B17ADE7-A484-4BF5-A390-19596F3FB6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2765-4A23-9942-1EB403908663}"/>
                </c:ext>
              </c:extLst>
            </c:dLbl>
            <c:dLbl>
              <c:idx val="163"/>
              <c:tx>
                <c:rich>
                  <a:bodyPr/>
                  <a:lstStyle/>
                  <a:p>
                    <a:fld id="{17FC17C1-DAF3-47A8-A1D2-8756F53EA7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2765-4A23-9942-1EB403908663}"/>
                </c:ext>
              </c:extLst>
            </c:dLbl>
            <c:dLbl>
              <c:idx val="164"/>
              <c:tx>
                <c:rich>
                  <a:bodyPr/>
                  <a:lstStyle/>
                  <a:p>
                    <a:fld id="{A326D042-8FBB-4073-88AC-15CB0BE23D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2765-4A23-9942-1EB403908663}"/>
                </c:ext>
              </c:extLst>
            </c:dLbl>
            <c:dLbl>
              <c:idx val="165"/>
              <c:tx>
                <c:rich>
                  <a:bodyPr/>
                  <a:lstStyle/>
                  <a:p>
                    <a:fld id="{A0902CD0-F59F-45D3-86C8-FE613EE9D3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2765-4A23-9942-1EB403908663}"/>
                </c:ext>
              </c:extLst>
            </c:dLbl>
            <c:dLbl>
              <c:idx val="166"/>
              <c:tx>
                <c:rich>
                  <a:bodyPr/>
                  <a:lstStyle/>
                  <a:p>
                    <a:fld id="{132250E3-9123-481B-BC32-208059F69E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2765-4A23-9942-1EB403908663}"/>
                </c:ext>
              </c:extLst>
            </c:dLbl>
            <c:dLbl>
              <c:idx val="167"/>
              <c:tx>
                <c:rich>
                  <a:bodyPr/>
                  <a:lstStyle/>
                  <a:p>
                    <a:fld id="{47E26E7E-A236-4AAE-A6CA-085D6DB4B2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2765-4A23-9942-1EB403908663}"/>
                </c:ext>
              </c:extLst>
            </c:dLbl>
            <c:dLbl>
              <c:idx val="168"/>
              <c:tx>
                <c:rich>
                  <a:bodyPr/>
                  <a:lstStyle/>
                  <a:p>
                    <a:fld id="{3B098BF8-F701-4E91-B49C-AE6C67F7F7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2765-4A23-9942-1EB403908663}"/>
                </c:ext>
              </c:extLst>
            </c:dLbl>
            <c:dLbl>
              <c:idx val="169"/>
              <c:tx>
                <c:rich>
                  <a:bodyPr/>
                  <a:lstStyle/>
                  <a:p>
                    <a:fld id="{BF5ADE4C-B835-401F-BBE2-9B13D8742B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2765-4A23-9942-1EB403908663}"/>
                </c:ext>
              </c:extLst>
            </c:dLbl>
            <c:dLbl>
              <c:idx val="170"/>
              <c:tx>
                <c:rich>
                  <a:bodyPr/>
                  <a:lstStyle/>
                  <a:p>
                    <a:fld id="{DB7B903B-BF53-45AF-8A02-AF0ADA7FAE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2765-4A23-9942-1EB403908663}"/>
                </c:ext>
              </c:extLst>
            </c:dLbl>
            <c:dLbl>
              <c:idx val="171"/>
              <c:tx>
                <c:rich>
                  <a:bodyPr/>
                  <a:lstStyle/>
                  <a:p>
                    <a:fld id="{C55958B9-37D8-47DA-BBA0-8F4CB0F111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2765-4A23-9942-1EB403908663}"/>
                </c:ext>
              </c:extLst>
            </c:dLbl>
            <c:dLbl>
              <c:idx val="172"/>
              <c:tx>
                <c:rich>
                  <a:bodyPr/>
                  <a:lstStyle/>
                  <a:p>
                    <a:fld id="{1C10A3BA-36FF-46D9-A0A6-2116D47CBF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2765-4A23-9942-1EB403908663}"/>
                </c:ext>
              </c:extLst>
            </c:dLbl>
            <c:dLbl>
              <c:idx val="173"/>
              <c:tx>
                <c:rich>
                  <a:bodyPr/>
                  <a:lstStyle/>
                  <a:p>
                    <a:fld id="{2FAF33C7-30D0-4A58-A741-7E58949707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2765-4A23-9942-1EB403908663}"/>
                </c:ext>
              </c:extLst>
            </c:dLbl>
            <c:dLbl>
              <c:idx val="174"/>
              <c:tx>
                <c:rich>
                  <a:bodyPr/>
                  <a:lstStyle/>
                  <a:p>
                    <a:fld id="{C7056CB4-5C40-4614-B993-26AD296FB5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2765-4A23-9942-1EB403908663}"/>
                </c:ext>
              </c:extLst>
            </c:dLbl>
            <c:dLbl>
              <c:idx val="175"/>
              <c:tx>
                <c:rich>
                  <a:bodyPr/>
                  <a:lstStyle/>
                  <a:p>
                    <a:fld id="{099469F8-9230-4A05-967E-E1D8C580DF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2765-4A23-9942-1EB403908663}"/>
                </c:ext>
              </c:extLst>
            </c:dLbl>
            <c:dLbl>
              <c:idx val="176"/>
              <c:tx>
                <c:rich>
                  <a:bodyPr/>
                  <a:lstStyle/>
                  <a:p>
                    <a:fld id="{E9B4D030-A04E-4C62-A804-4B5B0D4288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2765-4A23-9942-1EB403908663}"/>
                </c:ext>
              </c:extLst>
            </c:dLbl>
            <c:dLbl>
              <c:idx val="177"/>
              <c:tx>
                <c:rich>
                  <a:bodyPr/>
                  <a:lstStyle/>
                  <a:p>
                    <a:fld id="{BA932C80-57BE-481A-B52E-8AA66B46FB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2765-4A23-9942-1EB403908663}"/>
                </c:ext>
              </c:extLst>
            </c:dLbl>
            <c:dLbl>
              <c:idx val="178"/>
              <c:tx>
                <c:rich>
                  <a:bodyPr/>
                  <a:lstStyle/>
                  <a:p>
                    <a:fld id="{3FDC4F51-B343-4AF6-93BD-41A8B48D45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2765-4A23-9942-1EB403908663}"/>
                </c:ext>
              </c:extLst>
            </c:dLbl>
            <c:dLbl>
              <c:idx val="179"/>
              <c:tx>
                <c:rich>
                  <a:bodyPr/>
                  <a:lstStyle/>
                  <a:p>
                    <a:fld id="{9F570FEB-1772-48A9-9ACF-5F096C161D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2765-4A23-9942-1EB403908663}"/>
                </c:ext>
              </c:extLst>
            </c:dLbl>
            <c:dLbl>
              <c:idx val="180"/>
              <c:tx>
                <c:rich>
                  <a:bodyPr/>
                  <a:lstStyle/>
                  <a:p>
                    <a:fld id="{F336FFA6-B3F3-4FE7-919B-CF060D6851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2765-4A23-9942-1EB403908663}"/>
                </c:ext>
              </c:extLst>
            </c:dLbl>
            <c:dLbl>
              <c:idx val="181"/>
              <c:tx>
                <c:rich>
                  <a:bodyPr/>
                  <a:lstStyle/>
                  <a:p>
                    <a:fld id="{F248064C-9BB7-4216-8ED7-6CFFC165E0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2765-4A23-9942-1EB403908663}"/>
                </c:ext>
              </c:extLst>
            </c:dLbl>
            <c:dLbl>
              <c:idx val="182"/>
              <c:tx>
                <c:rich>
                  <a:bodyPr/>
                  <a:lstStyle/>
                  <a:p>
                    <a:fld id="{1557B5A5-2E91-464D-A3E4-56E89C1F7F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2765-4A23-9942-1EB403908663}"/>
                </c:ext>
              </c:extLst>
            </c:dLbl>
            <c:dLbl>
              <c:idx val="183"/>
              <c:tx>
                <c:rich>
                  <a:bodyPr/>
                  <a:lstStyle/>
                  <a:p>
                    <a:fld id="{8D761616-08E4-4544-A62B-939FB2D53F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2765-4A23-9942-1EB403908663}"/>
                </c:ext>
              </c:extLst>
            </c:dLbl>
            <c:dLbl>
              <c:idx val="184"/>
              <c:tx>
                <c:rich>
                  <a:bodyPr/>
                  <a:lstStyle/>
                  <a:p>
                    <a:fld id="{9798E555-E22D-4C8A-8A83-7B3D1BBE52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2765-4A23-9942-1EB403908663}"/>
                </c:ext>
              </c:extLst>
            </c:dLbl>
            <c:dLbl>
              <c:idx val="185"/>
              <c:tx>
                <c:rich>
                  <a:bodyPr/>
                  <a:lstStyle/>
                  <a:p>
                    <a:fld id="{CBFCACD1-AFAA-40E1-97D6-362544C53E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2765-4A23-9942-1EB403908663}"/>
                </c:ext>
              </c:extLst>
            </c:dLbl>
            <c:dLbl>
              <c:idx val="186"/>
              <c:tx>
                <c:rich>
                  <a:bodyPr/>
                  <a:lstStyle/>
                  <a:p>
                    <a:fld id="{00560E71-35C0-4DF5-AF7F-1E11932DBF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2765-4A23-9942-1EB403908663}"/>
                </c:ext>
              </c:extLst>
            </c:dLbl>
            <c:dLbl>
              <c:idx val="187"/>
              <c:tx>
                <c:rich>
                  <a:bodyPr/>
                  <a:lstStyle/>
                  <a:p>
                    <a:fld id="{1F3231CC-4823-48B6-A54F-8A2539CE52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2765-4A23-9942-1EB403908663}"/>
                </c:ext>
              </c:extLst>
            </c:dLbl>
            <c:dLbl>
              <c:idx val="188"/>
              <c:tx>
                <c:rich>
                  <a:bodyPr/>
                  <a:lstStyle/>
                  <a:p>
                    <a:fld id="{9380DD26-4274-49E9-A3D9-FCF9AC7F2F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2765-4A23-9942-1EB403908663}"/>
                </c:ext>
              </c:extLst>
            </c:dLbl>
            <c:dLbl>
              <c:idx val="189"/>
              <c:tx>
                <c:rich>
                  <a:bodyPr/>
                  <a:lstStyle/>
                  <a:p>
                    <a:fld id="{A0A4C8F2-1439-4FDB-B515-10C428B93E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2765-4A23-9942-1EB403908663}"/>
                </c:ext>
              </c:extLst>
            </c:dLbl>
            <c:dLbl>
              <c:idx val="190"/>
              <c:tx>
                <c:rich>
                  <a:bodyPr/>
                  <a:lstStyle/>
                  <a:p>
                    <a:fld id="{E99223DD-724B-4F13-9644-9729542538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2765-4A23-9942-1EB403908663}"/>
                </c:ext>
              </c:extLst>
            </c:dLbl>
            <c:dLbl>
              <c:idx val="191"/>
              <c:tx>
                <c:rich>
                  <a:bodyPr/>
                  <a:lstStyle/>
                  <a:p>
                    <a:fld id="{522F3115-34EC-476C-9CD5-796C354205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2765-4A23-9942-1EB403908663}"/>
                </c:ext>
              </c:extLst>
            </c:dLbl>
            <c:dLbl>
              <c:idx val="192"/>
              <c:tx>
                <c:rich>
                  <a:bodyPr/>
                  <a:lstStyle/>
                  <a:p>
                    <a:fld id="{BB48B3EC-B62C-4F52-81C4-A756BD0AE7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2765-4A23-9942-1EB403908663}"/>
                </c:ext>
              </c:extLst>
            </c:dLbl>
            <c:dLbl>
              <c:idx val="193"/>
              <c:tx>
                <c:rich>
                  <a:bodyPr/>
                  <a:lstStyle/>
                  <a:p>
                    <a:fld id="{E5A79308-FA4B-429F-AC4A-513A2921FB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2765-4A23-9942-1EB403908663}"/>
                </c:ext>
              </c:extLst>
            </c:dLbl>
            <c:dLbl>
              <c:idx val="194"/>
              <c:tx>
                <c:rich>
                  <a:bodyPr/>
                  <a:lstStyle/>
                  <a:p>
                    <a:fld id="{361358BD-673C-4300-9B18-9AC674C71B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2765-4A23-9942-1EB403908663}"/>
                </c:ext>
              </c:extLst>
            </c:dLbl>
            <c:dLbl>
              <c:idx val="195"/>
              <c:tx>
                <c:rich>
                  <a:bodyPr/>
                  <a:lstStyle/>
                  <a:p>
                    <a:fld id="{61E608E2-993D-4E13-84CA-8E0964C612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2765-4A23-9942-1EB403908663}"/>
                </c:ext>
              </c:extLst>
            </c:dLbl>
            <c:dLbl>
              <c:idx val="196"/>
              <c:tx>
                <c:rich>
                  <a:bodyPr/>
                  <a:lstStyle/>
                  <a:p>
                    <a:fld id="{1A8DB1FB-440B-4F11-9F30-6350129E9A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2765-4A23-9942-1EB403908663}"/>
                </c:ext>
              </c:extLst>
            </c:dLbl>
            <c:dLbl>
              <c:idx val="197"/>
              <c:tx>
                <c:rich>
                  <a:bodyPr/>
                  <a:lstStyle/>
                  <a:p>
                    <a:fld id="{3B4D4EF4-3EEB-4956-8B32-AE159CF765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2765-4A23-9942-1EB403908663}"/>
                </c:ext>
              </c:extLst>
            </c:dLbl>
            <c:dLbl>
              <c:idx val="198"/>
              <c:tx>
                <c:rich>
                  <a:bodyPr/>
                  <a:lstStyle/>
                  <a:p>
                    <a:fld id="{A9F8A1E9-7B44-4F1B-9C1F-69A8190301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2765-4A23-9942-1EB403908663}"/>
                </c:ext>
              </c:extLst>
            </c:dLbl>
            <c:dLbl>
              <c:idx val="199"/>
              <c:tx>
                <c:rich>
                  <a:bodyPr/>
                  <a:lstStyle/>
                  <a:p>
                    <a:fld id="{1B8A14EA-A30C-47BF-B957-59B097F390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2765-4A23-9942-1EB403908663}"/>
                </c:ext>
              </c:extLst>
            </c:dLbl>
            <c:dLbl>
              <c:idx val="200"/>
              <c:tx>
                <c:rich>
                  <a:bodyPr/>
                  <a:lstStyle/>
                  <a:p>
                    <a:fld id="{CD8B92CD-8FB6-4FAF-A1E9-389F02C61F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2765-4A23-9942-1EB403908663}"/>
                </c:ext>
              </c:extLst>
            </c:dLbl>
            <c:dLbl>
              <c:idx val="201"/>
              <c:tx>
                <c:rich>
                  <a:bodyPr/>
                  <a:lstStyle/>
                  <a:p>
                    <a:fld id="{C605D0A9-D087-4400-B098-403235C49E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2765-4A23-9942-1EB403908663}"/>
                </c:ext>
              </c:extLst>
            </c:dLbl>
            <c:dLbl>
              <c:idx val="202"/>
              <c:tx>
                <c:rich>
                  <a:bodyPr/>
                  <a:lstStyle/>
                  <a:p>
                    <a:fld id="{DA2BBC55-97C5-44D2-AB87-327CC44EF8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2765-4A23-9942-1EB403908663}"/>
                </c:ext>
              </c:extLst>
            </c:dLbl>
            <c:dLbl>
              <c:idx val="203"/>
              <c:tx>
                <c:rich>
                  <a:bodyPr/>
                  <a:lstStyle/>
                  <a:p>
                    <a:fld id="{EC3A7DE5-7E2A-446D-9F34-7AD551D7F1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2765-4A23-9942-1EB403908663}"/>
                </c:ext>
              </c:extLst>
            </c:dLbl>
            <c:dLbl>
              <c:idx val="204"/>
              <c:tx>
                <c:rich>
                  <a:bodyPr/>
                  <a:lstStyle/>
                  <a:p>
                    <a:fld id="{E0460242-9141-4C6E-B271-FC1443EE6E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2765-4A23-9942-1EB403908663}"/>
                </c:ext>
              </c:extLst>
            </c:dLbl>
            <c:dLbl>
              <c:idx val="205"/>
              <c:tx>
                <c:rich>
                  <a:bodyPr/>
                  <a:lstStyle/>
                  <a:p>
                    <a:fld id="{608C3887-3EA1-40C8-BC11-C840424930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2765-4A23-9942-1EB403908663}"/>
                </c:ext>
              </c:extLst>
            </c:dLbl>
            <c:dLbl>
              <c:idx val="206"/>
              <c:tx>
                <c:rich>
                  <a:bodyPr/>
                  <a:lstStyle/>
                  <a:p>
                    <a:fld id="{8E78175F-05AB-43A7-93C6-818083A014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2765-4A23-9942-1EB403908663}"/>
                </c:ext>
              </c:extLst>
            </c:dLbl>
            <c:dLbl>
              <c:idx val="207"/>
              <c:tx>
                <c:rich>
                  <a:bodyPr/>
                  <a:lstStyle/>
                  <a:p>
                    <a:fld id="{F368E501-2B1C-43C2-A6A7-9C9E8D4AAE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2765-4A23-9942-1EB403908663}"/>
                </c:ext>
              </c:extLst>
            </c:dLbl>
            <c:dLbl>
              <c:idx val="208"/>
              <c:tx>
                <c:rich>
                  <a:bodyPr/>
                  <a:lstStyle/>
                  <a:p>
                    <a:fld id="{CBA78233-A23B-4841-956E-B47E32E97F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2765-4A23-9942-1EB403908663}"/>
                </c:ext>
              </c:extLst>
            </c:dLbl>
            <c:dLbl>
              <c:idx val="209"/>
              <c:tx>
                <c:rich>
                  <a:bodyPr/>
                  <a:lstStyle/>
                  <a:p>
                    <a:fld id="{8CEDEC49-5976-4B42-B9C4-E44E109E24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2765-4A23-9942-1EB403908663}"/>
                </c:ext>
              </c:extLst>
            </c:dLbl>
            <c:dLbl>
              <c:idx val="210"/>
              <c:tx>
                <c:rich>
                  <a:bodyPr/>
                  <a:lstStyle/>
                  <a:p>
                    <a:fld id="{B67BB140-B036-4963-AD96-9A9D2B7FE7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2765-4A23-9942-1EB403908663}"/>
                </c:ext>
              </c:extLst>
            </c:dLbl>
            <c:dLbl>
              <c:idx val="211"/>
              <c:tx>
                <c:rich>
                  <a:bodyPr/>
                  <a:lstStyle/>
                  <a:p>
                    <a:fld id="{75AB4C8F-2B8B-4CA7-8199-7DF2E9817F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2765-4A23-9942-1EB403908663}"/>
                </c:ext>
              </c:extLst>
            </c:dLbl>
            <c:dLbl>
              <c:idx val="212"/>
              <c:tx>
                <c:rich>
                  <a:bodyPr/>
                  <a:lstStyle/>
                  <a:p>
                    <a:fld id="{C6C7EFDF-E5FB-4276-8D5E-FF35D9FEC8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2765-4A23-9942-1EB403908663}"/>
                </c:ext>
              </c:extLst>
            </c:dLbl>
            <c:dLbl>
              <c:idx val="213"/>
              <c:tx>
                <c:rich>
                  <a:bodyPr/>
                  <a:lstStyle/>
                  <a:p>
                    <a:fld id="{37E1374E-C6E9-4BE7-B33F-1E586C5453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2765-4A23-9942-1EB403908663}"/>
                </c:ext>
              </c:extLst>
            </c:dLbl>
            <c:dLbl>
              <c:idx val="214"/>
              <c:tx>
                <c:rich>
                  <a:bodyPr/>
                  <a:lstStyle/>
                  <a:p>
                    <a:fld id="{9358DE91-1C42-4689-93B1-4B9ACD6905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2765-4A23-9942-1EB403908663}"/>
                </c:ext>
              </c:extLst>
            </c:dLbl>
            <c:dLbl>
              <c:idx val="215"/>
              <c:tx>
                <c:rich>
                  <a:bodyPr/>
                  <a:lstStyle/>
                  <a:p>
                    <a:fld id="{485C42B8-C88D-4A7E-9DC8-7C2A67C35B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2765-4A23-9942-1EB403908663}"/>
                </c:ext>
              </c:extLst>
            </c:dLbl>
            <c:dLbl>
              <c:idx val="216"/>
              <c:tx>
                <c:rich>
                  <a:bodyPr/>
                  <a:lstStyle/>
                  <a:p>
                    <a:fld id="{3844AB81-16AA-4995-A3A4-136929132D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2765-4A23-9942-1EB403908663}"/>
                </c:ext>
              </c:extLst>
            </c:dLbl>
            <c:dLbl>
              <c:idx val="217"/>
              <c:tx>
                <c:rich>
                  <a:bodyPr/>
                  <a:lstStyle/>
                  <a:p>
                    <a:fld id="{A99D11D0-AC42-4E30-8547-E5E0561847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2765-4A23-9942-1EB403908663}"/>
                </c:ext>
              </c:extLst>
            </c:dLbl>
            <c:dLbl>
              <c:idx val="218"/>
              <c:tx>
                <c:rich>
                  <a:bodyPr/>
                  <a:lstStyle/>
                  <a:p>
                    <a:fld id="{9AA184CA-5413-4213-8B2B-828F1531C7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2765-4A23-9942-1EB403908663}"/>
                </c:ext>
              </c:extLst>
            </c:dLbl>
            <c:dLbl>
              <c:idx val="219"/>
              <c:tx>
                <c:rich>
                  <a:bodyPr/>
                  <a:lstStyle/>
                  <a:p>
                    <a:fld id="{4C149760-D717-4C78-A92E-9261EA6643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2765-4A23-9942-1EB403908663}"/>
                </c:ext>
              </c:extLst>
            </c:dLbl>
            <c:dLbl>
              <c:idx val="220"/>
              <c:tx>
                <c:rich>
                  <a:bodyPr/>
                  <a:lstStyle/>
                  <a:p>
                    <a:fld id="{8F5AB122-5959-4DB5-8C44-82C203DA73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2765-4A23-9942-1EB403908663}"/>
                </c:ext>
              </c:extLst>
            </c:dLbl>
            <c:dLbl>
              <c:idx val="221"/>
              <c:tx>
                <c:rich>
                  <a:bodyPr/>
                  <a:lstStyle/>
                  <a:p>
                    <a:fld id="{77AB4BA8-144C-47C9-A753-AF8CC1B6F4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2765-4A23-9942-1EB403908663}"/>
                </c:ext>
              </c:extLst>
            </c:dLbl>
            <c:dLbl>
              <c:idx val="222"/>
              <c:tx>
                <c:rich>
                  <a:bodyPr/>
                  <a:lstStyle/>
                  <a:p>
                    <a:fld id="{401E16BE-82BE-4988-9532-2887CD5C2A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2765-4A23-9942-1EB403908663}"/>
                </c:ext>
              </c:extLst>
            </c:dLbl>
            <c:dLbl>
              <c:idx val="223"/>
              <c:tx>
                <c:rich>
                  <a:bodyPr/>
                  <a:lstStyle/>
                  <a:p>
                    <a:fld id="{C8176D8C-EF37-4B47-911F-9D931DC959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2765-4A23-9942-1EB403908663}"/>
                </c:ext>
              </c:extLst>
            </c:dLbl>
            <c:dLbl>
              <c:idx val="224"/>
              <c:tx>
                <c:rich>
                  <a:bodyPr/>
                  <a:lstStyle/>
                  <a:p>
                    <a:fld id="{B5C03E73-17F2-4AD3-86C1-FD645C4C12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2765-4A23-9942-1EB403908663}"/>
                </c:ext>
              </c:extLst>
            </c:dLbl>
            <c:dLbl>
              <c:idx val="225"/>
              <c:tx>
                <c:rich>
                  <a:bodyPr/>
                  <a:lstStyle/>
                  <a:p>
                    <a:fld id="{5E025CFD-CF6A-4BA3-B9BA-489FA61FFA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2765-4A23-9942-1EB403908663}"/>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2765-4A23-9942-1EB403908663}"/>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2765-4A23-9942-1EB403908663}"/>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2765-4A23-9942-1EB403908663}"/>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2765-4A23-9942-1EB403908663}"/>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2765-4A23-9942-1EB403908663}"/>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2765-4A23-9942-1EB403908663}"/>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2765-4A23-9942-1EB403908663}"/>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2765-4A23-9942-1EB403908663}"/>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2765-4A23-9942-1EB403908663}"/>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2765-4A23-9942-1EB403908663}"/>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2765-4A23-9942-1EB403908663}"/>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2765-4A23-9942-1EB403908663}"/>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2765-4A23-9942-1EB403908663}"/>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2765-4A23-9942-1EB403908663}"/>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2765-4A23-9942-1EB403908663}"/>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2765-4A23-9942-1EB403908663}"/>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2765-4A23-9942-1EB403908663}"/>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2765-4A23-9942-1EB403908663}"/>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2765-4A23-9942-1EB403908663}"/>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2765-4A23-9942-1EB403908663}"/>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2765-4A23-9942-1EB403908663}"/>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2765-4A23-9942-1EB403908663}"/>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2765-4A23-9942-1EB403908663}"/>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2765-4A23-9942-1EB403908663}"/>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2765-4A23-9942-1EB403908663}"/>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2765-4A23-9942-1EB403908663}"/>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2765-4A23-9942-1EB403908663}"/>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2765-4A23-9942-1EB403908663}"/>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2765-4A23-9942-1EB403908663}"/>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2765-4A23-9942-1EB403908663}"/>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2765-4A23-9942-1EB403908663}"/>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2765-4A23-9942-1EB403908663}"/>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2765-4A23-9942-1EB403908663}"/>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2765-4A23-9942-1EB403908663}"/>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2765-4A23-9942-1EB403908663}"/>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2765-4A23-9942-1EB403908663}"/>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2765-4A23-9942-1EB403908663}"/>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2765-4A23-9942-1EB403908663}"/>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2765-4A23-9942-1EB403908663}"/>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2765-4A23-9942-1EB403908663}"/>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2765-4A23-9942-1EB403908663}"/>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2765-4A23-9942-1EB403908663}"/>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2765-4A23-9942-1EB403908663}"/>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2765-4A23-9942-1EB403908663}"/>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2765-4A23-9942-1EB403908663}"/>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2765-4A23-9942-1EB403908663}"/>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2765-4A23-9942-1EB403908663}"/>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2765-4A23-9942-1EB403908663}"/>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2765-4A23-9942-1EB403908663}"/>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2765-4A23-9942-1EB403908663}"/>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2765-4A23-9942-1EB403908663}"/>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2765-4A23-9942-1EB403908663}"/>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2765-4A23-9942-1EB403908663}"/>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2765-4A23-9942-1EB403908663}"/>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2765-4A23-9942-1EB403908663}"/>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2765-4A23-9942-1EB403908663}"/>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2765-4A23-9942-1EB403908663}"/>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2765-4A23-9942-1EB403908663}"/>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2765-4A23-9942-1EB403908663}"/>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2765-4A23-9942-1EB403908663}"/>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2765-4A23-9942-1EB403908663}"/>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2765-4A23-9942-1EB403908663}"/>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2765-4A23-9942-1EB403908663}"/>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2765-4A23-9942-1EB403908663}"/>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2765-4A23-9942-1EB403908663}"/>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2765-4A23-9942-1EB403908663}"/>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2765-4A23-9942-1EB403908663}"/>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2765-4A23-9942-1EB403908663}"/>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2765-4A23-9942-1EB403908663}"/>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2765-4A23-9942-1EB403908663}"/>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2765-4A23-9942-1EB403908663}"/>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2765-4A23-9942-1EB403908663}"/>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2765-4A23-9942-1EB403908663}"/>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NormalisedUVVisData!$N$2:$N$300</c:f>
              <c:numCache>
                <c:formatCode>General</c:formatCode>
                <c:ptCount val="299"/>
                <c:pt idx="0">
                  <c:v>100</c:v>
                </c:pt>
                <c:pt idx="1">
                  <c:v>91.421432495117188</c:v>
                </c:pt>
                <c:pt idx="2">
                  <c:v>80.550758361816406</c:v>
                </c:pt>
                <c:pt idx="3">
                  <c:v>69.759574890136719</c:v>
                </c:pt>
                <c:pt idx="4">
                  <c:v>59.900325775146484</c:v>
                </c:pt>
                <c:pt idx="5">
                  <c:v>50.77691650390625</c:v>
                </c:pt>
                <c:pt idx="6">
                  <c:v>41.583873748779297</c:v>
                </c:pt>
                <c:pt idx="7">
                  <c:v>33.072803497314453</c:v>
                </c:pt>
                <c:pt idx="8">
                  <c:v>25.406515121459961</c:v>
                </c:pt>
                <c:pt idx="9">
                  <c:v>18.375341415405273</c:v>
                </c:pt>
                <c:pt idx="10">
                  <c:v>12.764898300170898</c:v>
                </c:pt>
                <c:pt idx="11">
                  <c:v>8.6845178604125977</c:v>
                </c:pt>
                <c:pt idx="12">
                  <c:v>5.9766960144042969</c:v>
                </c:pt>
                <c:pt idx="13">
                  <c:v>4.2338089942932129</c:v>
                </c:pt>
                <c:pt idx="14">
                  <c:v>3.1886086463928223</c:v>
                </c:pt>
                <c:pt idx="15">
                  <c:v>2.5860898494720459</c:v>
                </c:pt>
                <c:pt idx="16">
                  <c:v>2.2741076946258545</c:v>
                </c:pt>
                <c:pt idx="17">
                  <c:v>2.1181759834289551</c:v>
                </c:pt>
                <c:pt idx="18">
                  <c:v>2.0463161468505859</c:v>
                </c:pt>
                <c:pt idx="19">
                  <c:v>2.0105953216552734</c:v>
                </c:pt>
                <c:pt idx="20">
                  <c:v>2</c:v>
                </c:pt>
                <c:pt idx="21">
                  <c:v>2.0070235729217529</c:v>
                </c:pt>
                <c:pt idx="22">
                  <c:v>2.0188179016113281</c:v>
                </c:pt>
                <c:pt idx="23">
                  <c:v>2.0368413925170898</c:v>
                </c:pt>
                <c:pt idx="24">
                  <c:v>2.0648050308227539</c:v>
                </c:pt>
                <c:pt idx="25">
                  <c:v>2.0910141468048096</c:v>
                </c:pt>
                <c:pt idx="26">
                  <c:v>2.1242880821228027</c:v>
                </c:pt>
                <c:pt idx="27">
                  <c:v>2.1460344791412354</c:v>
                </c:pt>
                <c:pt idx="28">
                  <c:v>2.1581757068634033</c:v>
                </c:pt>
                <c:pt idx="29">
                  <c:v>2.1745362281799316</c:v>
                </c:pt>
                <c:pt idx="30">
                  <c:v>2.1868937015533447</c:v>
                </c:pt>
                <c:pt idx="31">
                  <c:v>2.1881239414215088</c:v>
                </c:pt>
                <c:pt idx="32">
                  <c:v>2.1840126514434814</c:v>
                </c:pt>
                <c:pt idx="33">
                  <c:v>2.1836066246032715</c:v>
                </c:pt>
                <c:pt idx="34">
                  <c:v>2.1812648773193359</c:v>
                </c:pt>
                <c:pt idx="35">
                  <c:v>2.180661678314209</c:v>
                </c:pt>
                <c:pt idx="36">
                  <c:v>2.1792032718658447</c:v>
                </c:pt>
                <c:pt idx="37">
                  <c:v>2.1834554672241211</c:v>
                </c:pt>
                <c:pt idx="38">
                  <c:v>2.1867249011993408</c:v>
                </c:pt>
                <c:pt idx="39">
                  <c:v>2.1788668632507324</c:v>
                </c:pt>
                <c:pt idx="40">
                  <c:v>2.1879711151123047</c:v>
                </c:pt>
                <c:pt idx="41">
                  <c:v>2.1890990734100342</c:v>
                </c:pt>
                <c:pt idx="42">
                  <c:v>2.1848070621490479</c:v>
                </c:pt>
                <c:pt idx="43">
                  <c:v>2.1805059909820557</c:v>
                </c:pt>
                <c:pt idx="44">
                  <c:v>2.1722924709320068</c:v>
                </c:pt>
                <c:pt idx="45">
                  <c:v>2.1720197200775146</c:v>
                </c:pt>
                <c:pt idx="46">
                  <c:v>2.1756062507629395</c:v>
                </c:pt>
                <c:pt idx="47">
                  <c:v>2.1826832294464111</c:v>
                </c:pt>
                <c:pt idx="48">
                  <c:v>2.1915504932403564</c:v>
                </c:pt>
                <c:pt idx="49">
                  <c:v>2.1986184120178223</c:v>
                </c:pt>
                <c:pt idx="50">
                  <c:v>2.2021679878234863</c:v>
                </c:pt>
                <c:pt idx="51">
                  <c:v>2.2130286693572998</c:v>
                </c:pt>
                <c:pt idx="52">
                  <c:v>2.2129974365234375</c:v>
                </c:pt>
                <c:pt idx="53">
                  <c:v>2.2034263610839844</c:v>
                </c:pt>
                <c:pt idx="54">
                  <c:v>2.2138023376464844</c:v>
                </c:pt>
                <c:pt idx="55">
                  <c:v>2.2276639938354492</c:v>
                </c:pt>
                <c:pt idx="56">
                  <c:v>2.232682466506958</c:v>
                </c:pt>
                <c:pt idx="57">
                  <c:v>2.2352981567382813</c:v>
                </c:pt>
                <c:pt idx="58">
                  <c:v>2.235299825668335</c:v>
                </c:pt>
                <c:pt idx="59">
                  <c:v>2.2397503852844238</c:v>
                </c:pt>
                <c:pt idx="60">
                  <c:v>2.2494876384735107</c:v>
                </c:pt>
                <c:pt idx="61">
                  <c:v>2.2641897201538086</c:v>
                </c:pt>
                <c:pt idx="62">
                  <c:v>2.2596442699432373</c:v>
                </c:pt>
                <c:pt idx="63">
                  <c:v>2.2487034797668457</c:v>
                </c:pt>
                <c:pt idx="64">
                  <c:v>2.2398674488067627</c:v>
                </c:pt>
                <c:pt idx="65">
                  <c:v>2.239199161529541</c:v>
                </c:pt>
                <c:pt idx="66">
                  <c:v>2.2384994029998779</c:v>
                </c:pt>
                <c:pt idx="67">
                  <c:v>2.2377200126647949</c:v>
                </c:pt>
                <c:pt idx="68">
                  <c:v>2.2379186153411865</c:v>
                </c:pt>
                <c:pt idx="69">
                  <c:v>2.2493393421173096</c:v>
                </c:pt>
                <c:pt idx="70">
                  <c:v>2.2557077407836914</c:v>
                </c:pt>
                <c:pt idx="71">
                  <c:v>2.2587921619415283</c:v>
                </c:pt>
                <c:pt idx="72">
                  <c:v>2.2609705924987793</c:v>
                </c:pt>
                <c:pt idx="73">
                  <c:v>2.2426166534423828</c:v>
                </c:pt>
                <c:pt idx="74">
                  <c:v>2.2370827198028564</c:v>
                </c:pt>
                <c:pt idx="75">
                  <c:v>2.2403848171234131</c:v>
                </c:pt>
                <c:pt idx="76">
                  <c:v>2.2389011383056641</c:v>
                </c:pt>
                <c:pt idx="77">
                  <c:v>2.2438957691192627</c:v>
                </c:pt>
                <c:pt idx="78">
                  <c:v>2.2442722320556641</c:v>
                </c:pt>
                <c:pt idx="79">
                  <c:v>2.2424211502075195</c:v>
                </c:pt>
                <c:pt idx="80">
                  <c:v>2.2406337261199951</c:v>
                </c:pt>
                <c:pt idx="81">
                  <c:v>2.251516580581665</c:v>
                </c:pt>
                <c:pt idx="82">
                  <c:v>2.2618613243103027</c:v>
                </c:pt>
                <c:pt idx="83">
                  <c:v>2.2657859325408936</c:v>
                </c:pt>
                <c:pt idx="84">
                  <c:v>2.2639584541320801</c:v>
                </c:pt>
                <c:pt idx="85">
                  <c:v>2.2679276466369629</c:v>
                </c:pt>
                <c:pt idx="86">
                  <c:v>2.2533454895019531</c:v>
                </c:pt>
                <c:pt idx="87">
                  <c:v>2.2546451091766357</c:v>
                </c:pt>
                <c:pt idx="88">
                  <c:v>2.2502672672271729</c:v>
                </c:pt>
                <c:pt idx="89">
                  <c:v>2.234849214553833</c:v>
                </c:pt>
                <c:pt idx="90">
                  <c:v>2.2403507232666016</c:v>
                </c:pt>
                <c:pt idx="91">
                  <c:v>2.2455527782440186</c:v>
                </c:pt>
                <c:pt idx="92">
                  <c:v>2.2540597915649414</c:v>
                </c:pt>
                <c:pt idx="93">
                  <c:v>2.2525644302368164</c:v>
                </c:pt>
                <c:pt idx="94">
                  <c:v>2.2389960289001465</c:v>
                </c:pt>
                <c:pt idx="95">
                  <c:v>2.2462048530578613</c:v>
                </c:pt>
                <c:pt idx="96">
                  <c:v>2.2640089988708496</c:v>
                </c:pt>
                <c:pt idx="97">
                  <c:v>2.2451865673065186</c:v>
                </c:pt>
                <c:pt idx="98">
                  <c:v>2.2327194213867188</c:v>
                </c:pt>
                <c:pt idx="99">
                  <c:v>2.2387735843658447</c:v>
                </c:pt>
                <c:pt idx="100">
                  <c:v>2.2359340190887451</c:v>
                </c:pt>
                <c:pt idx="101">
                  <c:v>2.2367491722106934</c:v>
                </c:pt>
                <c:pt idx="102">
                  <c:v>2.235255241394043</c:v>
                </c:pt>
                <c:pt idx="103">
                  <c:v>2.2375330924987793</c:v>
                </c:pt>
                <c:pt idx="104">
                  <c:v>2.2431709766387939</c:v>
                </c:pt>
                <c:pt idx="105">
                  <c:v>2.2384653091430664</c:v>
                </c:pt>
                <c:pt idx="106">
                  <c:v>2.2353916168212891</c:v>
                </c:pt>
                <c:pt idx="107">
                  <c:v>2.2334959506988525</c:v>
                </c:pt>
                <c:pt idx="108">
                  <c:v>2.2368574142456055</c:v>
                </c:pt>
                <c:pt idx="109">
                  <c:v>2.2459542751312256</c:v>
                </c:pt>
                <c:pt idx="110">
                  <c:v>2.2508540153503418</c:v>
                </c:pt>
                <c:pt idx="111">
                  <c:v>2.2507798671722412</c:v>
                </c:pt>
                <c:pt idx="112">
                  <c:v>2.2458744049072266</c:v>
                </c:pt>
                <c:pt idx="113">
                  <c:v>2.2489140033721924</c:v>
                </c:pt>
                <c:pt idx="114">
                  <c:v>2.2487301826477051</c:v>
                </c:pt>
                <c:pt idx="115">
                  <c:v>2.2381348609924316</c:v>
                </c:pt>
                <c:pt idx="116">
                  <c:v>2.2297968864440918</c:v>
                </c:pt>
                <c:pt idx="117">
                  <c:v>2.2418031692504883</c:v>
                </c:pt>
                <c:pt idx="118">
                  <c:v>2.2494328022003174</c:v>
                </c:pt>
                <c:pt idx="119">
                  <c:v>2.2551670074462891</c:v>
                </c:pt>
                <c:pt idx="120">
                  <c:v>2.2603332996368408</c:v>
                </c:pt>
                <c:pt idx="121">
                  <c:v>2.2463767528533936</c:v>
                </c:pt>
                <c:pt idx="122">
                  <c:v>2.2369863986968994</c:v>
                </c:pt>
                <c:pt idx="123">
                  <c:v>2.2513964176177979</c:v>
                </c:pt>
                <c:pt idx="124">
                  <c:v>2.2564356327056885</c:v>
                </c:pt>
                <c:pt idx="125">
                  <c:v>2.2500226497650146</c:v>
                </c:pt>
                <c:pt idx="126">
                  <c:v>2.2438778877258301</c:v>
                </c:pt>
                <c:pt idx="127">
                  <c:v>2.2430005073547363</c:v>
                </c:pt>
                <c:pt idx="128">
                  <c:v>2.2393577098846436</c:v>
                </c:pt>
                <c:pt idx="129">
                  <c:v>2.2305660247802734</c:v>
                </c:pt>
                <c:pt idx="130">
                  <c:v>2.2373702526092529</c:v>
                </c:pt>
                <c:pt idx="131">
                  <c:v>2.2398614883422852</c:v>
                </c:pt>
                <c:pt idx="132">
                  <c:v>2.2359592914581299</c:v>
                </c:pt>
                <c:pt idx="133">
                  <c:v>2.2423396110534668</c:v>
                </c:pt>
                <c:pt idx="134">
                  <c:v>2.24149489402771</c:v>
                </c:pt>
                <c:pt idx="135">
                  <c:v>2.2287623882293701</c:v>
                </c:pt>
                <c:pt idx="136">
                  <c:v>2.1758005619049072</c:v>
                </c:pt>
                <c:pt idx="137">
                  <c:v>2.1226904392242432</c:v>
                </c:pt>
                <c:pt idx="138">
                  <c:v>2.1666724681854248</c:v>
                </c:pt>
                <c:pt idx="139">
                  <c:v>2.2176127433776855</c:v>
                </c:pt>
                <c:pt idx="140">
                  <c:v>2.2054493427276611</c:v>
                </c:pt>
                <c:pt idx="141">
                  <c:v>2.231391429901123</c:v>
                </c:pt>
                <c:pt idx="142">
                  <c:v>2.2606534957885742</c:v>
                </c:pt>
                <c:pt idx="143">
                  <c:v>2.2435133457183838</c:v>
                </c:pt>
                <c:pt idx="144">
                  <c:v>2.2377688884735107</c:v>
                </c:pt>
                <c:pt idx="145">
                  <c:v>2.2364661693572998</c:v>
                </c:pt>
                <c:pt idx="146">
                  <c:v>2.2014656066894531</c:v>
                </c:pt>
                <c:pt idx="147">
                  <c:v>2.2223877906799316</c:v>
                </c:pt>
                <c:pt idx="148">
                  <c:v>2.3054625988006592</c:v>
                </c:pt>
                <c:pt idx="149">
                  <c:v>2.3154160976409912</c:v>
                </c:pt>
                <c:pt idx="150">
                  <c:v>2.2210733890533447</c:v>
                </c:pt>
                <c:pt idx="151">
                  <c:v>2.2164506912231445</c:v>
                </c:pt>
                <c:pt idx="152">
                  <c:v>2.2459750175476074</c:v>
                </c:pt>
                <c:pt idx="153">
                  <c:v>2.2438156604766846</c:v>
                </c:pt>
                <c:pt idx="154">
                  <c:v>2.2337851524353027</c:v>
                </c:pt>
                <c:pt idx="155">
                  <c:v>2.2542836666107178</c:v>
                </c:pt>
                <c:pt idx="156">
                  <c:v>2.2460877895355225</c:v>
                </c:pt>
                <c:pt idx="157">
                  <c:v>2.2323591709136963</c:v>
                </c:pt>
                <c:pt idx="158">
                  <c:v>2.2565066814422607</c:v>
                </c:pt>
                <c:pt idx="159">
                  <c:v>2.2526843547821045</c:v>
                </c:pt>
                <c:pt idx="160">
                  <c:v>2.2599360942840576</c:v>
                </c:pt>
                <c:pt idx="161">
                  <c:v>2.261655330657959</c:v>
                </c:pt>
                <c:pt idx="162">
                  <c:v>2.2519123554229736</c:v>
                </c:pt>
                <c:pt idx="163">
                  <c:v>2.2778055667877197</c:v>
                </c:pt>
                <c:pt idx="164">
                  <c:v>2.261418342590332</c:v>
                </c:pt>
                <c:pt idx="165">
                  <c:v>2.2609381675720215</c:v>
                </c:pt>
                <c:pt idx="166">
                  <c:v>2.2604031562805176</c:v>
                </c:pt>
                <c:pt idx="167">
                  <c:v>2.2471089363098145</c:v>
                </c:pt>
                <c:pt idx="168">
                  <c:v>2.2725191116333008</c:v>
                </c:pt>
                <c:pt idx="169">
                  <c:v>2.2457854747772217</c:v>
                </c:pt>
                <c:pt idx="170">
                  <c:v>2.2494297027587891</c:v>
                </c:pt>
                <c:pt idx="171">
                  <c:v>2.2458713054656982</c:v>
                </c:pt>
                <c:pt idx="172">
                  <c:v>2.2265450954437256</c:v>
                </c:pt>
                <c:pt idx="173">
                  <c:v>2.2474675178527832</c:v>
                </c:pt>
                <c:pt idx="174">
                  <c:v>2.2225983142852783</c:v>
                </c:pt>
                <c:pt idx="175">
                  <c:v>2.2099711894989014</c:v>
                </c:pt>
                <c:pt idx="176">
                  <c:v>2.2317752838134766</c:v>
                </c:pt>
                <c:pt idx="177">
                  <c:v>2.2548527717590332</c:v>
                </c:pt>
                <c:pt idx="178">
                  <c:v>2.2276017665863037</c:v>
                </c:pt>
                <c:pt idx="179">
                  <c:v>2.2327771186828613</c:v>
                </c:pt>
                <c:pt idx="180">
                  <c:v>2.2546408176422119</c:v>
                </c:pt>
                <c:pt idx="181">
                  <c:v>2.2294661998748779</c:v>
                </c:pt>
                <c:pt idx="182">
                  <c:v>2.2769756317138672</c:v>
                </c:pt>
                <c:pt idx="183">
                  <c:v>2.2705819606781006</c:v>
                </c:pt>
                <c:pt idx="184">
                  <c:v>2.2364156246185303</c:v>
                </c:pt>
                <c:pt idx="185">
                  <c:v>2.2487583160400391</c:v>
                </c:pt>
                <c:pt idx="186">
                  <c:v>2.2236225605010986</c:v>
                </c:pt>
                <c:pt idx="187">
                  <c:v>2.2296397686004639</c:v>
                </c:pt>
                <c:pt idx="188">
                  <c:v>2.2211549282073975</c:v>
                </c:pt>
                <c:pt idx="189">
                  <c:v>2.2498550415039063</c:v>
                </c:pt>
                <c:pt idx="190">
                  <c:v>2.2413094043731689</c:v>
                </c:pt>
                <c:pt idx="191">
                  <c:v>2.2194340229034424</c:v>
                </c:pt>
                <c:pt idx="192">
                  <c:v>2.2297389507293701</c:v>
                </c:pt>
                <c:pt idx="193">
                  <c:v>2.2161157131195068</c:v>
                </c:pt>
                <c:pt idx="194">
                  <c:v>2.2520382404327393</c:v>
                </c:pt>
                <c:pt idx="195">
                  <c:v>2.2507309913635254</c:v>
                </c:pt>
                <c:pt idx="196">
                  <c:v>2.2855997085571289</c:v>
                </c:pt>
                <c:pt idx="197">
                  <c:v>2.2740826606750488</c:v>
                </c:pt>
                <c:pt idx="198">
                  <c:v>2.2488887310028076</c:v>
                </c:pt>
                <c:pt idx="199">
                  <c:v>2.2444500923156738</c:v>
                </c:pt>
                <c:pt idx="200">
                  <c:v>2.2640223503112793</c:v>
                </c:pt>
                <c:pt idx="201">
                  <c:v>2.2627091407775879</c:v>
                </c:pt>
                <c:pt idx="202">
                  <c:v>2.2067520618438721</c:v>
                </c:pt>
                <c:pt idx="203">
                  <c:v>2.2538418769836426</c:v>
                </c:pt>
                <c:pt idx="204">
                  <c:v>2.2506866455078125</c:v>
                </c:pt>
                <c:pt idx="205">
                  <c:v>2.2757558822631836</c:v>
                </c:pt>
                <c:pt idx="206">
                  <c:v>2.2497913837432861</c:v>
                </c:pt>
                <c:pt idx="207">
                  <c:v>2.2755692005157471</c:v>
                </c:pt>
                <c:pt idx="208">
                  <c:v>2.2247710227966309</c:v>
                </c:pt>
                <c:pt idx="209">
                  <c:v>2.226837158203125</c:v>
                </c:pt>
                <c:pt idx="210">
                  <c:v>2.2406470775604248</c:v>
                </c:pt>
                <c:pt idx="211">
                  <c:v>2.2089307308197021</c:v>
                </c:pt>
                <c:pt idx="212">
                  <c:v>2.2835426330566406</c:v>
                </c:pt>
                <c:pt idx="213">
                  <c:v>2.249434232711792</c:v>
                </c:pt>
                <c:pt idx="214">
                  <c:v>2.2535173892974854</c:v>
                </c:pt>
                <c:pt idx="215">
                  <c:v>2.2198388576507568</c:v>
                </c:pt>
                <c:pt idx="216">
                  <c:v>2.2594351768493652</c:v>
                </c:pt>
                <c:pt idx="217">
                  <c:v>2.2758181095123291</c:v>
                </c:pt>
                <c:pt idx="218">
                  <c:v>2.2138674259185791</c:v>
                </c:pt>
                <c:pt idx="219">
                  <c:v>2.2683038711547852</c:v>
                </c:pt>
                <c:pt idx="220">
                  <c:v>2.2487034797668457</c:v>
                </c:pt>
                <c:pt idx="221">
                  <c:v>2.3244211673736572</c:v>
                </c:pt>
                <c:pt idx="222">
                  <c:v>2.3255031108856201</c:v>
                </c:pt>
                <c:pt idx="223">
                  <c:v>2.2038085460662842</c:v>
                </c:pt>
                <c:pt idx="224">
                  <c:v>2.2349884510040283</c:v>
                </c:pt>
                <c:pt idx="225">
                  <c:v>2.1932532787322998</c:v>
                </c:pt>
              </c:numCache>
            </c:numRef>
          </c:yVal>
          <c:smooth val="1"/>
          <c:extLst>
            <c:ext xmlns:c15="http://schemas.microsoft.com/office/drawing/2012/chart" uri="{02D57815-91ED-43cb-92C2-25804820EDAC}">
              <c15:datalabelsRange>
                <c15:f>PeakLabels!$N$2:$N$300</c15:f>
                <c15:dlblRangeCache>
                  <c:ptCount val="299"/>
                </c15:dlblRangeCache>
              </c15:datalabelsRange>
            </c:ext>
            <c:ext xmlns:c16="http://schemas.microsoft.com/office/drawing/2014/chart" uri="{C3380CC4-5D6E-409C-BE32-E72D297353CC}">
              <c16:uniqueId val="{00000000-0C0E-48BC-9ADA-DF58E659A592}"/>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F990935C-41A1-43DF-97A3-3800DEFE7BEF}"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0C0E-48BC-9ADA-DF58E659A592}"/>
                </c:ext>
              </c:extLst>
            </c:dLbl>
            <c:dLbl>
              <c:idx val="1"/>
              <c:tx>
                <c:rich>
                  <a:bodyPr/>
                  <a:lstStyle/>
                  <a:p>
                    <a:fld id="{677F2DB8-7E1B-40B6-8037-9888D3573E4B}"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0C0E-48BC-9ADA-DF58E659A592}"/>
                </c:ext>
              </c:extLst>
            </c:dLbl>
            <c:dLbl>
              <c:idx val="2"/>
              <c:tx>
                <c:rich>
                  <a:bodyPr/>
                  <a:lstStyle/>
                  <a:p>
                    <a:fld id="{9C7DCF4F-1112-4A65-91D9-2BE609CEABB4}"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0C0E-48BC-9ADA-DF58E659A592}"/>
                </c:ext>
              </c:extLst>
            </c:dLbl>
            <c:dLbl>
              <c:idx val="3"/>
              <c:tx>
                <c:rich>
                  <a:bodyPr/>
                  <a:lstStyle/>
                  <a:p>
                    <a:fld id="{ADB68C8E-638C-495C-80D6-5EF734F5124B}"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0C0E-48BC-9ADA-DF58E659A592}"/>
                </c:ext>
              </c:extLst>
            </c:dLbl>
            <c:dLbl>
              <c:idx val="4"/>
              <c:tx>
                <c:rich>
                  <a:bodyPr/>
                  <a:lstStyle/>
                  <a:p>
                    <a:fld id="{3C0C64ED-BA64-457E-88BC-320AE91D3AD6}"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0C0E-48BC-9ADA-DF58E659A592}"/>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0C0E-48BC-9ADA-DF58E659A592}"/>
            </c:ext>
          </c:extLst>
        </c:ser>
        <c:dLbls>
          <c:showLegendKey val="0"/>
          <c:showVal val="0"/>
          <c:showCatName val="0"/>
          <c:showSerName val="0"/>
          <c:showPercent val="0"/>
          <c:showBubbleSize val="0"/>
        </c:dLbls>
        <c:axId val="1767901376"/>
        <c:axId val="1767904096"/>
      </c:scatterChart>
      <c:valAx>
        <c:axId val="1767901376"/>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4096"/>
        <c:crossesAt val="0"/>
        <c:crossBetween val="midCat"/>
        <c:majorUnit val="100"/>
      </c:valAx>
      <c:valAx>
        <c:axId val="1767904096"/>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901376"/>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0.51300000000000001</c:v>
                </c:pt>
                <c:pt idx="1">
                  <c:v>0.53900000000000003</c:v>
                </c:pt>
                <c:pt idx="2">
                  <c:v>0.56599999999999995</c:v>
                </c:pt>
                <c:pt idx="3">
                  <c:v>0.59299999999999997</c:v>
                </c:pt>
                <c:pt idx="4">
                  <c:v>0.61899999999999999</c:v>
                </c:pt>
                <c:pt idx="5">
                  <c:v>0.64600000000000002</c:v>
                </c:pt>
                <c:pt idx="6">
                  <c:v>0.67300000000000004</c:v>
                </c:pt>
                <c:pt idx="7">
                  <c:v>0.69899999999999995</c:v>
                </c:pt>
                <c:pt idx="8">
                  <c:v>0.72599999999999998</c:v>
                </c:pt>
                <c:pt idx="9">
                  <c:v>0.753</c:v>
                </c:pt>
                <c:pt idx="10">
                  <c:v>0.77900000000000003</c:v>
                </c:pt>
                <c:pt idx="11">
                  <c:v>0.80600000000000005</c:v>
                </c:pt>
                <c:pt idx="12">
                  <c:v>0.83299999999999996</c:v>
                </c:pt>
                <c:pt idx="13">
                  <c:v>0.85899999999999999</c:v>
                </c:pt>
                <c:pt idx="14">
                  <c:v>0.88600000000000001</c:v>
                </c:pt>
                <c:pt idx="15">
                  <c:v>0.91300000000000003</c:v>
                </c:pt>
                <c:pt idx="16">
                  <c:v>0.93899999999999995</c:v>
                </c:pt>
                <c:pt idx="17">
                  <c:v>0.96599999999999997</c:v>
                </c:pt>
                <c:pt idx="18">
                  <c:v>0.99299999999999999</c:v>
                </c:pt>
                <c:pt idx="19">
                  <c:v>1.0189999999999999</c:v>
                </c:pt>
                <c:pt idx="20">
                  <c:v>1.046</c:v>
                </c:pt>
                <c:pt idx="21">
                  <c:v>1.073</c:v>
                </c:pt>
                <c:pt idx="22">
                  <c:v>1.099</c:v>
                </c:pt>
                <c:pt idx="23">
                  <c:v>1.1259999999999999</c:v>
                </c:pt>
                <c:pt idx="24">
                  <c:v>1.153</c:v>
                </c:pt>
                <c:pt idx="25">
                  <c:v>1.179</c:v>
                </c:pt>
                <c:pt idx="26">
                  <c:v>1.206</c:v>
                </c:pt>
                <c:pt idx="27">
                  <c:v>1.2330000000000001</c:v>
                </c:pt>
                <c:pt idx="28">
                  <c:v>1.2589999999999999</c:v>
                </c:pt>
                <c:pt idx="29">
                  <c:v>1.286</c:v>
                </c:pt>
                <c:pt idx="30">
                  <c:v>1.3129999999999999</c:v>
                </c:pt>
                <c:pt idx="31">
                  <c:v>1.339</c:v>
                </c:pt>
                <c:pt idx="32">
                  <c:v>1.3660000000000001</c:v>
                </c:pt>
                <c:pt idx="33">
                  <c:v>1.393</c:v>
                </c:pt>
                <c:pt idx="34">
                  <c:v>1.419</c:v>
                </c:pt>
                <c:pt idx="35">
                  <c:v>1.446</c:v>
                </c:pt>
                <c:pt idx="36">
                  <c:v>1.4730000000000001</c:v>
                </c:pt>
                <c:pt idx="37">
                  <c:v>1.4990000000000001</c:v>
                </c:pt>
                <c:pt idx="38">
                  <c:v>1.526</c:v>
                </c:pt>
                <c:pt idx="39">
                  <c:v>1.5529999999999999</c:v>
                </c:pt>
                <c:pt idx="40">
                  <c:v>1.579</c:v>
                </c:pt>
                <c:pt idx="41">
                  <c:v>1.6060000000000001</c:v>
                </c:pt>
                <c:pt idx="42">
                  <c:v>1.633</c:v>
                </c:pt>
                <c:pt idx="43">
                  <c:v>1.659</c:v>
                </c:pt>
                <c:pt idx="44">
                  <c:v>1.6859999999999999</c:v>
                </c:pt>
                <c:pt idx="45">
                  <c:v>1.7130000000000001</c:v>
                </c:pt>
                <c:pt idx="46">
                  <c:v>1.7390000000000001</c:v>
                </c:pt>
                <c:pt idx="47">
                  <c:v>1.766</c:v>
                </c:pt>
                <c:pt idx="48">
                  <c:v>1.7929999999999999</c:v>
                </c:pt>
                <c:pt idx="49">
                  <c:v>1.819</c:v>
                </c:pt>
                <c:pt idx="50">
                  <c:v>1.8460000000000001</c:v>
                </c:pt>
                <c:pt idx="51">
                  <c:v>1.873</c:v>
                </c:pt>
                <c:pt idx="52">
                  <c:v>1.899</c:v>
                </c:pt>
                <c:pt idx="53">
                  <c:v>1.9259999999999999</c:v>
                </c:pt>
                <c:pt idx="54">
                  <c:v>1.9530000000000001</c:v>
                </c:pt>
                <c:pt idx="55">
                  <c:v>1.9790000000000001</c:v>
                </c:pt>
                <c:pt idx="56">
                  <c:v>2.0059999999999998</c:v>
                </c:pt>
                <c:pt idx="57">
                  <c:v>2.0329999999999999</c:v>
                </c:pt>
                <c:pt idx="58">
                  <c:v>2.0590000000000002</c:v>
                </c:pt>
                <c:pt idx="59">
                  <c:v>2.0859999999999999</c:v>
                </c:pt>
                <c:pt idx="60">
                  <c:v>2.113</c:v>
                </c:pt>
                <c:pt idx="61">
                  <c:v>2.1389999999999998</c:v>
                </c:pt>
                <c:pt idx="62">
                  <c:v>2.1659999999999999</c:v>
                </c:pt>
                <c:pt idx="63">
                  <c:v>2.1930000000000001</c:v>
                </c:pt>
                <c:pt idx="64">
                  <c:v>2.2189999999999999</c:v>
                </c:pt>
                <c:pt idx="65">
                  <c:v>2.246</c:v>
                </c:pt>
                <c:pt idx="66">
                  <c:v>2.2730000000000001</c:v>
                </c:pt>
                <c:pt idx="67">
                  <c:v>2.2989999999999999</c:v>
                </c:pt>
                <c:pt idx="68">
                  <c:v>2.3260000000000001</c:v>
                </c:pt>
                <c:pt idx="69">
                  <c:v>2.3530000000000002</c:v>
                </c:pt>
                <c:pt idx="70">
                  <c:v>2.379</c:v>
                </c:pt>
                <c:pt idx="71">
                  <c:v>2.4060000000000001</c:v>
                </c:pt>
                <c:pt idx="72">
                  <c:v>2.4329999999999998</c:v>
                </c:pt>
                <c:pt idx="73">
                  <c:v>2.4590000000000001</c:v>
                </c:pt>
                <c:pt idx="74">
                  <c:v>2.4860000000000002</c:v>
                </c:pt>
                <c:pt idx="75">
                  <c:v>2.5129999999999999</c:v>
                </c:pt>
                <c:pt idx="76">
                  <c:v>2.5390000000000001</c:v>
                </c:pt>
                <c:pt idx="77">
                  <c:v>2.5659999999999998</c:v>
                </c:pt>
                <c:pt idx="78">
                  <c:v>2.593</c:v>
                </c:pt>
                <c:pt idx="79">
                  <c:v>2.6190000000000002</c:v>
                </c:pt>
                <c:pt idx="80">
                  <c:v>2.6459999999999999</c:v>
                </c:pt>
                <c:pt idx="81">
                  <c:v>2.673</c:v>
                </c:pt>
                <c:pt idx="82">
                  <c:v>2.6989999999999998</c:v>
                </c:pt>
                <c:pt idx="83">
                  <c:v>2.726</c:v>
                </c:pt>
                <c:pt idx="84">
                  <c:v>2.7530000000000001</c:v>
                </c:pt>
                <c:pt idx="85">
                  <c:v>2.7789999999999999</c:v>
                </c:pt>
                <c:pt idx="86">
                  <c:v>2.806</c:v>
                </c:pt>
                <c:pt idx="87">
                  <c:v>2.8330000000000002</c:v>
                </c:pt>
                <c:pt idx="88">
                  <c:v>2.859</c:v>
                </c:pt>
                <c:pt idx="89">
                  <c:v>2.8860000000000001</c:v>
                </c:pt>
                <c:pt idx="90">
                  <c:v>2.9129999999999998</c:v>
                </c:pt>
                <c:pt idx="91">
                  <c:v>2.9390000000000001</c:v>
                </c:pt>
                <c:pt idx="92">
                  <c:v>2.9660000000000002</c:v>
                </c:pt>
                <c:pt idx="93">
                  <c:v>2.9929999999999999</c:v>
                </c:pt>
                <c:pt idx="94">
                  <c:v>3.0190000000000001</c:v>
                </c:pt>
                <c:pt idx="95">
                  <c:v>3.0459999999999998</c:v>
                </c:pt>
                <c:pt idx="96">
                  <c:v>3.073</c:v>
                </c:pt>
                <c:pt idx="97">
                  <c:v>3.0990000000000002</c:v>
                </c:pt>
                <c:pt idx="98">
                  <c:v>3.1259999999999999</c:v>
                </c:pt>
                <c:pt idx="99">
                  <c:v>3.153</c:v>
                </c:pt>
                <c:pt idx="100">
                  <c:v>3.1789999999999998</c:v>
                </c:pt>
                <c:pt idx="101">
                  <c:v>3.206</c:v>
                </c:pt>
                <c:pt idx="102">
                  <c:v>3.2330000000000001</c:v>
                </c:pt>
                <c:pt idx="103">
                  <c:v>3.2589999999999999</c:v>
                </c:pt>
                <c:pt idx="104">
                  <c:v>3.286</c:v>
                </c:pt>
                <c:pt idx="105">
                  <c:v>3.3130000000000002</c:v>
                </c:pt>
                <c:pt idx="106">
                  <c:v>3.339</c:v>
                </c:pt>
                <c:pt idx="107">
                  <c:v>3.3660000000000001</c:v>
                </c:pt>
                <c:pt idx="108">
                  <c:v>3.3929999999999998</c:v>
                </c:pt>
                <c:pt idx="109">
                  <c:v>3.419</c:v>
                </c:pt>
                <c:pt idx="110">
                  <c:v>3.4460000000000002</c:v>
                </c:pt>
                <c:pt idx="111">
                  <c:v>3.4729999999999999</c:v>
                </c:pt>
                <c:pt idx="112">
                  <c:v>3.4990000000000001</c:v>
                </c:pt>
                <c:pt idx="113">
                  <c:v>3.5259999999999998</c:v>
                </c:pt>
                <c:pt idx="114">
                  <c:v>3.5529999999999999</c:v>
                </c:pt>
                <c:pt idx="115">
                  <c:v>3.5790000000000002</c:v>
                </c:pt>
                <c:pt idx="116">
                  <c:v>3.6059999999999999</c:v>
                </c:pt>
                <c:pt idx="117">
                  <c:v>3.633</c:v>
                </c:pt>
                <c:pt idx="118">
                  <c:v>3.6589999999999998</c:v>
                </c:pt>
                <c:pt idx="119">
                  <c:v>3.6859999999999999</c:v>
                </c:pt>
                <c:pt idx="120">
                  <c:v>3.7130000000000001</c:v>
                </c:pt>
                <c:pt idx="121">
                  <c:v>3.7389999999999999</c:v>
                </c:pt>
                <c:pt idx="122">
                  <c:v>3.766</c:v>
                </c:pt>
                <c:pt idx="123">
                  <c:v>3.7930000000000001</c:v>
                </c:pt>
                <c:pt idx="124">
                  <c:v>3.819</c:v>
                </c:pt>
                <c:pt idx="125">
                  <c:v>3.8460000000000001</c:v>
                </c:pt>
                <c:pt idx="126">
                  <c:v>3.8730000000000002</c:v>
                </c:pt>
                <c:pt idx="127">
                  <c:v>3.899</c:v>
                </c:pt>
                <c:pt idx="128">
                  <c:v>3.9260000000000002</c:v>
                </c:pt>
                <c:pt idx="129">
                  <c:v>3.9529999999999998</c:v>
                </c:pt>
                <c:pt idx="130">
                  <c:v>3.9790000000000001</c:v>
                </c:pt>
                <c:pt idx="131">
                  <c:v>4.0060000000000002</c:v>
                </c:pt>
                <c:pt idx="132">
                  <c:v>4.0330000000000004</c:v>
                </c:pt>
                <c:pt idx="133">
                  <c:v>4.0590000000000002</c:v>
                </c:pt>
                <c:pt idx="134">
                  <c:v>4.0860000000000003</c:v>
                </c:pt>
                <c:pt idx="135">
                  <c:v>4.1130000000000004</c:v>
                </c:pt>
                <c:pt idx="136">
                  <c:v>4.1390000000000002</c:v>
                </c:pt>
                <c:pt idx="137">
                  <c:v>4.1660000000000004</c:v>
                </c:pt>
                <c:pt idx="138">
                  <c:v>4.1929999999999996</c:v>
                </c:pt>
                <c:pt idx="139">
                  <c:v>4.2190000000000003</c:v>
                </c:pt>
                <c:pt idx="140">
                  <c:v>4.2460000000000004</c:v>
                </c:pt>
                <c:pt idx="141">
                  <c:v>4.2729999999999997</c:v>
                </c:pt>
                <c:pt idx="142">
                  <c:v>4.2990000000000004</c:v>
                </c:pt>
                <c:pt idx="143">
                  <c:v>4.3259999999999996</c:v>
                </c:pt>
                <c:pt idx="144">
                  <c:v>4.3529999999999998</c:v>
                </c:pt>
                <c:pt idx="145">
                  <c:v>4.3789999999999996</c:v>
                </c:pt>
                <c:pt idx="146">
                  <c:v>4.4059999999999997</c:v>
                </c:pt>
                <c:pt idx="147">
                  <c:v>4.4329999999999998</c:v>
                </c:pt>
                <c:pt idx="148">
                  <c:v>4.4589999999999996</c:v>
                </c:pt>
                <c:pt idx="149">
                  <c:v>4.4859999999999998</c:v>
                </c:pt>
                <c:pt idx="150">
                  <c:v>4.5129999999999999</c:v>
                </c:pt>
                <c:pt idx="151">
                  <c:v>4.5389999999999997</c:v>
                </c:pt>
                <c:pt idx="152">
                  <c:v>4.5659999999999998</c:v>
                </c:pt>
                <c:pt idx="153">
                  <c:v>4.593</c:v>
                </c:pt>
                <c:pt idx="154">
                  <c:v>4.6189999999999998</c:v>
                </c:pt>
                <c:pt idx="155">
                  <c:v>4.6459999999999999</c:v>
                </c:pt>
                <c:pt idx="156">
                  <c:v>4.673</c:v>
                </c:pt>
                <c:pt idx="157">
                  <c:v>4.6989999999999998</c:v>
                </c:pt>
                <c:pt idx="158">
                  <c:v>4.726</c:v>
                </c:pt>
                <c:pt idx="159">
                  <c:v>4.7530000000000001</c:v>
                </c:pt>
                <c:pt idx="160">
                  <c:v>4.7789999999999999</c:v>
                </c:pt>
                <c:pt idx="161">
                  <c:v>4.806</c:v>
                </c:pt>
                <c:pt idx="162">
                  <c:v>4.8330000000000002</c:v>
                </c:pt>
                <c:pt idx="163">
                  <c:v>4.859</c:v>
                </c:pt>
                <c:pt idx="164">
                  <c:v>4.8860000000000001</c:v>
                </c:pt>
                <c:pt idx="165">
                  <c:v>4.9130000000000003</c:v>
                </c:pt>
                <c:pt idx="166">
                  <c:v>4.9390000000000001</c:v>
                </c:pt>
                <c:pt idx="167">
                  <c:v>4.9660000000000002</c:v>
                </c:pt>
                <c:pt idx="168">
                  <c:v>4.9930000000000003</c:v>
                </c:pt>
                <c:pt idx="169">
                  <c:v>5.0190000000000001</c:v>
                </c:pt>
                <c:pt idx="170">
                  <c:v>5.0460000000000003</c:v>
                </c:pt>
                <c:pt idx="171">
                  <c:v>5.0730000000000004</c:v>
                </c:pt>
                <c:pt idx="172">
                  <c:v>5.0990000000000002</c:v>
                </c:pt>
                <c:pt idx="173">
                  <c:v>5.1260000000000003</c:v>
                </c:pt>
                <c:pt idx="174">
                  <c:v>5.1529999999999996</c:v>
                </c:pt>
                <c:pt idx="175">
                  <c:v>5.1790000000000003</c:v>
                </c:pt>
                <c:pt idx="176">
                  <c:v>5.2060000000000004</c:v>
                </c:pt>
                <c:pt idx="177">
                  <c:v>5.2329999999999997</c:v>
                </c:pt>
                <c:pt idx="178">
                  <c:v>5.2590000000000003</c:v>
                </c:pt>
                <c:pt idx="179">
                  <c:v>5.2859999999999996</c:v>
                </c:pt>
                <c:pt idx="180">
                  <c:v>5.3129999999999997</c:v>
                </c:pt>
                <c:pt idx="181">
                  <c:v>5.3390000000000004</c:v>
                </c:pt>
                <c:pt idx="182">
                  <c:v>5.3659999999999997</c:v>
                </c:pt>
                <c:pt idx="183">
                  <c:v>5.3929999999999998</c:v>
                </c:pt>
                <c:pt idx="184">
                  <c:v>5.4189999999999996</c:v>
                </c:pt>
                <c:pt idx="185">
                  <c:v>5.4459999999999997</c:v>
                </c:pt>
                <c:pt idx="186">
                  <c:v>5.4729999999999999</c:v>
                </c:pt>
                <c:pt idx="187">
                  <c:v>5.4989999999999997</c:v>
                </c:pt>
                <c:pt idx="188">
                  <c:v>5.5259999999999998</c:v>
                </c:pt>
                <c:pt idx="189">
                  <c:v>5.5529999999999999</c:v>
                </c:pt>
                <c:pt idx="190">
                  <c:v>5.5789999999999997</c:v>
                </c:pt>
                <c:pt idx="191">
                  <c:v>5.6059999999999999</c:v>
                </c:pt>
                <c:pt idx="192">
                  <c:v>5.633</c:v>
                </c:pt>
                <c:pt idx="193">
                  <c:v>5.6589999999999998</c:v>
                </c:pt>
                <c:pt idx="194">
                  <c:v>5.6859999999999999</c:v>
                </c:pt>
                <c:pt idx="195">
                  <c:v>5.7130000000000001</c:v>
                </c:pt>
                <c:pt idx="196">
                  <c:v>5.7389999999999999</c:v>
                </c:pt>
                <c:pt idx="197">
                  <c:v>5.766</c:v>
                </c:pt>
                <c:pt idx="198">
                  <c:v>5.7930000000000001</c:v>
                </c:pt>
                <c:pt idx="199">
                  <c:v>5.819</c:v>
                </c:pt>
                <c:pt idx="200">
                  <c:v>5.8460000000000001</c:v>
                </c:pt>
                <c:pt idx="201">
                  <c:v>5.8730000000000002</c:v>
                </c:pt>
                <c:pt idx="202">
                  <c:v>5.899</c:v>
                </c:pt>
                <c:pt idx="203">
                  <c:v>5.9260000000000002</c:v>
                </c:pt>
                <c:pt idx="204">
                  <c:v>5.9530000000000003</c:v>
                </c:pt>
                <c:pt idx="205">
                  <c:v>5.9790000000000001</c:v>
                </c:pt>
                <c:pt idx="206">
                  <c:v>6.0060000000000002</c:v>
                </c:pt>
                <c:pt idx="207">
                  <c:v>6.0330000000000004</c:v>
                </c:pt>
                <c:pt idx="208">
                  <c:v>6.0590000000000002</c:v>
                </c:pt>
                <c:pt idx="209">
                  <c:v>6.0860000000000003</c:v>
                </c:pt>
                <c:pt idx="210">
                  <c:v>6.1130000000000004</c:v>
                </c:pt>
                <c:pt idx="211">
                  <c:v>6.1390000000000002</c:v>
                </c:pt>
                <c:pt idx="212">
                  <c:v>6.1660000000000004</c:v>
                </c:pt>
                <c:pt idx="213">
                  <c:v>6.1929999999999996</c:v>
                </c:pt>
                <c:pt idx="214">
                  <c:v>6.2190000000000003</c:v>
                </c:pt>
                <c:pt idx="215">
                  <c:v>6.2460000000000004</c:v>
                </c:pt>
                <c:pt idx="216">
                  <c:v>6.2729999999999997</c:v>
                </c:pt>
                <c:pt idx="217">
                  <c:v>6.2990000000000004</c:v>
                </c:pt>
                <c:pt idx="218">
                  <c:v>6.3259999999999996</c:v>
                </c:pt>
                <c:pt idx="219">
                  <c:v>6.3529999999999998</c:v>
                </c:pt>
                <c:pt idx="220">
                  <c:v>6.3789999999999996</c:v>
                </c:pt>
                <c:pt idx="221">
                  <c:v>6.4059999999999997</c:v>
                </c:pt>
                <c:pt idx="222">
                  <c:v>6.4329999999999998</c:v>
                </c:pt>
                <c:pt idx="223">
                  <c:v>6.4589999999999996</c:v>
                </c:pt>
                <c:pt idx="224">
                  <c:v>6.4859999999999998</c:v>
                </c:pt>
                <c:pt idx="225">
                  <c:v>6.5129999999999999</c:v>
                </c:pt>
                <c:pt idx="226">
                  <c:v>6.5389999999999997</c:v>
                </c:pt>
                <c:pt idx="227">
                  <c:v>6.5659999999999998</c:v>
                </c:pt>
                <c:pt idx="228">
                  <c:v>6.593</c:v>
                </c:pt>
                <c:pt idx="229">
                  <c:v>6.6189999999999998</c:v>
                </c:pt>
                <c:pt idx="230">
                  <c:v>6.6459999999999999</c:v>
                </c:pt>
                <c:pt idx="231">
                  <c:v>6.673</c:v>
                </c:pt>
                <c:pt idx="232">
                  <c:v>6.6989999999999998</c:v>
                </c:pt>
                <c:pt idx="233">
                  <c:v>6.726</c:v>
                </c:pt>
                <c:pt idx="234">
                  <c:v>6.7530000000000001</c:v>
                </c:pt>
                <c:pt idx="235">
                  <c:v>6.7789999999999999</c:v>
                </c:pt>
                <c:pt idx="236">
                  <c:v>6.806</c:v>
                </c:pt>
                <c:pt idx="237">
                  <c:v>6.8330000000000002</c:v>
                </c:pt>
                <c:pt idx="238">
                  <c:v>6.859</c:v>
                </c:pt>
                <c:pt idx="239">
                  <c:v>6.8860000000000001</c:v>
                </c:pt>
                <c:pt idx="240">
                  <c:v>6.9130000000000003</c:v>
                </c:pt>
                <c:pt idx="241">
                  <c:v>6.9390000000000001</c:v>
                </c:pt>
                <c:pt idx="242">
                  <c:v>6.9660000000000002</c:v>
                </c:pt>
                <c:pt idx="243">
                  <c:v>6.9930000000000003</c:v>
                </c:pt>
                <c:pt idx="244">
                  <c:v>7.0190000000000001</c:v>
                </c:pt>
                <c:pt idx="245">
                  <c:v>7.0460000000000003</c:v>
                </c:pt>
                <c:pt idx="246">
                  <c:v>7.0730000000000004</c:v>
                </c:pt>
                <c:pt idx="247">
                  <c:v>7.0990000000000002</c:v>
                </c:pt>
                <c:pt idx="248">
                  <c:v>7.1260000000000003</c:v>
                </c:pt>
                <c:pt idx="249">
                  <c:v>7.1529999999999996</c:v>
                </c:pt>
                <c:pt idx="250">
                  <c:v>7.1790000000000003</c:v>
                </c:pt>
                <c:pt idx="251">
                  <c:v>7.2060000000000004</c:v>
                </c:pt>
                <c:pt idx="252">
                  <c:v>7.2329999999999997</c:v>
                </c:pt>
                <c:pt idx="253">
                  <c:v>7.2590000000000003</c:v>
                </c:pt>
                <c:pt idx="254">
                  <c:v>7.2859999999999996</c:v>
                </c:pt>
                <c:pt idx="255">
                  <c:v>7.3129999999999997</c:v>
                </c:pt>
                <c:pt idx="256">
                  <c:v>7.3390000000000004</c:v>
                </c:pt>
                <c:pt idx="257">
                  <c:v>7.3659999999999997</c:v>
                </c:pt>
                <c:pt idx="258">
                  <c:v>7.3929999999999998</c:v>
                </c:pt>
                <c:pt idx="259">
                  <c:v>7.4189999999999996</c:v>
                </c:pt>
                <c:pt idx="260">
                  <c:v>7.4459999999999997</c:v>
                </c:pt>
                <c:pt idx="261">
                  <c:v>7.4729999999999999</c:v>
                </c:pt>
                <c:pt idx="262">
                  <c:v>7.4989999999999997</c:v>
                </c:pt>
                <c:pt idx="263">
                  <c:v>7.5259999999999998</c:v>
                </c:pt>
                <c:pt idx="264">
                  <c:v>7.5529999999999999</c:v>
                </c:pt>
                <c:pt idx="265">
                  <c:v>7.5789999999999997</c:v>
                </c:pt>
                <c:pt idx="266">
                  <c:v>7.6059999999999999</c:v>
                </c:pt>
                <c:pt idx="267">
                  <c:v>7.633</c:v>
                </c:pt>
                <c:pt idx="268">
                  <c:v>7.6589999999999998</c:v>
                </c:pt>
                <c:pt idx="269">
                  <c:v>7.6859999999999999</c:v>
                </c:pt>
                <c:pt idx="270">
                  <c:v>7.7130000000000001</c:v>
                </c:pt>
                <c:pt idx="271">
                  <c:v>7.7389999999999999</c:v>
                </c:pt>
                <c:pt idx="272">
                  <c:v>7.766</c:v>
                </c:pt>
                <c:pt idx="273">
                  <c:v>7.7930000000000001</c:v>
                </c:pt>
                <c:pt idx="274">
                  <c:v>7.819</c:v>
                </c:pt>
                <c:pt idx="275">
                  <c:v>7.8460000000000001</c:v>
                </c:pt>
                <c:pt idx="276">
                  <c:v>7.8730000000000002</c:v>
                </c:pt>
                <c:pt idx="277">
                  <c:v>7.899</c:v>
                </c:pt>
                <c:pt idx="278">
                  <c:v>7.9260000000000002</c:v>
                </c:pt>
                <c:pt idx="279">
                  <c:v>7.9530000000000003</c:v>
                </c:pt>
                <c:pt idx="280">
                  <c:v>7.9790000000000001</c:v>
                </c:pt>
                <c:pt idx="281">
                  <c:v>8.0060000000000002</c:v>
                </c:pt>
                <c:pt idx="282">
                  <c:v>8.0329999999999995</c:v>
                </c:pt>
                <c:pt idx="283">
                  <c:v>8.0589999999999993</c:v>
                </c:pt>
                <c:pt idx="284">
                  <c:v>8.0860000000000003</c:v>
                </c:pt>
                <c:pt idx="285">
                  <c:v>8.1129999999999995</c:v>
                </c:pt>
                <c:pt idx="286">
                  <c:v>8.1389999999999993</c:v>
                </c:pt>
                <c:pt idx="287">
                  <c:v>8.1660000000000004</c:v>
                </c:pt>
                <c:pt idx="288">
                  <c:v>8.1929999999999996</c:v>
                </c:pt>
                <c:pt idx="289">
                  <c:v>8.2189999999999994</c:v>
                </c:pt>
                <c:pt idx="290">
                  <c:v>8.2460000000000004</c:v>
                </c:pt>
                <c:pt idx="291">
                  <c:v>8.2729999999999997</c:v>
                </c:pt>
                <c:pt idx="292">
                  <c:v>8.2989999999999995</c:v>
                </c:pt>
                <c:pt idx="293">
                  <c:v>8.3260000000000005</c:v>
                </c:pt>
                <c:pt idx="294">
                  <c:v>8.3529999999999998</c:v>
                </c:pt>
                <c:pt idx="295">
                  <c:v>8.3789999999999996</c:v>
                </c:pt>
                <c:pt idx="296">
                  <c:v>8.4060000000000006</c:v>
                </c:pt>
                <c:pt idx="297">
                  <c:v>8.4329999999999998</c:v>
                </c:pt>
                <c:pt idx="298">
                  <c:v>8.4589999999999996</c:v>
                </c:pt>
                <c:pt idx="299">
                  <c:v>8.4860000000000007</c:v>
                </c:pt>
                <c:pt idx="300">
                  <c:v>8.5129999999999999</c:v>
                </c:pt>
                <c:pt idx="301">
                  <c:v>8.5389999999999997</c:v>
                </c:pt>
                <c:pt idx="302">
                  <c:v>8.5660000000000007</c:v>
                </c:pt>
                <c:pt idx="303">
                  <c:v>8.593</c:v>
                </c:pt>
                <c:pt idx="304">
                  <c:v>8.6189999999999998</c:v>
                </c:pt>
                <c:pt idx="305">
                  <c:v>8.6460000000000008</c:v>
                </c:pt>
                <c:pt idx="306">
                  <c:v>8.673</c:v>
                </c:pt>
                <c:pt idx="307">
                  <c:v>8.6989999999999998</c:v>
                </c:pt>
                <c:pt idx="308">
                  <c:v>8.7260000000000009</c:v>
                </c:pt>
                <c:pt idx="309">
                  <c:v>8.7530000000000001</c:v>
                </c:pt>
                <c:pt idx="310">
                  <c:v>8.7789999999999999</c:v>
                </c:pt>
                <c:pt idx="311">
                  <c:v>8.8059999999999992</c:v>
                </c:pt>
                <c:pt idx="312">
                  <c:v>8.8330000000000002</c:v>
                </c:pt>
                <c:pt idx="313">
                  <c:v>8.859</c:v>
                </c:pt>
                <c:pt idx="314">
                  <c:v>8.8859999999999992</c:v>
                </c:pt>
                <c:pt idx="315">
                  <c:v>8.9130000000000003</c:v>
                </c:pt>
                <c:pt idx="316">
                  <c:v>8.9390000000000001</c:v>
                </c:pt>
                <c:pt idx="317">
                  <c:v>8.9659999999999993</c:v>
                </c:pt>
                <c:pt idx="318">
                  <c:v>8.9930000000000003</c:v>
                </c:pt>
                <c:pt idx="319">
                  <c:v>9.0190000000000001</c:v>
                </c:pt>
                <c:pt idx="320">
                  <c:v>9.0459999999999994</c:v>
                </c:pt>
                <c:pt idx="321">
                  <c:v>9.0730000000000004</c:v>
                </c:pt>
                <c:pt idx="322">
                  <c:v>9.0990000000000002</c:v>
                </c:pt>
                <c:pt idx="323">
                  <c:v>9.1259999999999994</c:v>
                </c:pt>
                <c:pt idx="324">
                  <c:v>9.1530000000000005</c:v>
                </c:pt>
                <c:pt idx="325">
                  <c:v>9.1790000000000003</c:v>
                </c:pt>
                <c:pt idx="326">
                  <c:v>9.2059999999999995</c:v>
                </c:pt>
                <c:pt idx="327">
                  <c:v>9.2330000000000005</c:v>
                </c:pt>
                <c:pt idx="328">
                  <c:v>9.2590000000000003</c:v>
                </c:pt>
                <c:pt idx="329">
                  <c:v>9.2859999999999996</c:v>
                </c:pt>
                <c:pt idx="330">
                  <c:v>9.3130000000000006</c:v>
                </c:pt>
                <c:pt idx="331">
                  <c:v>9.3390000000000004</c:v>
                </c:pt>
                <c:pt idx="332">
                  <c:v>9.3659999999999997</c:v>
                </c:pt>
                <c:pt idx="333">
                  <c:v>9.3930000000000007</c:v>
                </c:pt>
                <c:pt idx="334">
                  <c:v>9.4190000000000005</c:v>
                </c:pt>
                <c:pt idx="335">
                  <c:v>9.4459999999999997</c:v>
                </c:pt>
                <c:pt idx="336">
                  <c:v>9.4730000000000008</c:v>
                </c:pt>
                <c:pt idx="337">
                  <c:v>9.4990000000000006</c:v>
                </c:pt>
                <c:pt idx="338">
                  <c:v>9.5259999999999998</c:v>
                </c:pt>
                <c:pt idx="339">
                  <c:v>9.5530000000000008</c:v>
                </c:pt>
                <c:pt idx="340">
                  <c:v>9.5790000000000006</c:v>
                </c:pt>
                <c:pt idx="341">
                  <c:v>9.6059999999999999</c:v>
                </c:pt>
                <c:pt idx="342">
                  <c:v>9.6329999999999991</c:v>
                </c:pt>
                <c:pt idx="343">
                  <c:v>9.6590000000000007</c:v>
                </c:pt>
                <c:pt idx="344">
                  <c:v>9.6859999999999999</c:v>
                </c:pt>
                <c:pt idx="345">
                  <c:v>9.7129999999999992</c:v>
                </c:pt>
                <c:pt idx="346">
                  <c:v>9.7390000000000008</c:v>
                </c:pt>
                <c:pt idx="347">
                  <c:v>9.766</c:v>
                </c:pt>
                <c:pt idx="348">
                  <c:v>9.7929999999999993</c:v>
                </c:pt>
                <c:pt idx="349">
                  <c:v>9.8190000000000008</c:v>
                </c:pt>
                <c:pt idx="350">
                  <c:v>9.8460000000000001</c:v>
                </c:pt>
                <c:pt idx="351">
                  <c:v>9.8729999999999993</c:v>
                </c:pt>
                <c:pt idx="352">
                  <c:v>9.8989999999999991</c:v>
                </c:pt>
                <c:pt idx="353">
                  <c:v>9.9260000000000002</c:v>
                </c:pt>
                <c:pt idx="354">
                  <c:v>9.9529999999999994</c:v>
                </c:pt>
                <c:pt idx="355">
                  <c:v>9.9789999999999992</c:v>
                </c:pt>
                <c:pt idx="356">
                  <c:v>10.006</c:v>
                </c:pt>
              </c:numCache>
            </c:numRef>
          </c:xVal>
          <c:yVal>
            <c:numRef>
              <c:f>ChromatogramData!$B$2:$B$10001</c:f>
              <c:numCache>
                <c:formatCode>General</c:formatCode>
                <c:ptCount val="10000"/>
                <c:pt idx="0">
                  <c:v>78.550272616186135</c:v>
                </c:pt>
                <c:pt idx="1">
                  <c:v>77.343929279472476</c:v>
                </c:pt>
                <c:pt idx="2">
                  <c:v>73.30829421310905</c:v>
                </c:pt>
                <c:pt idx="3">
                  <c:v>69.580584623083951</c:v>
                </c:pt>
                <c:pt idx="4">
                  <c:v>67.461332815343738</c:v>
                </c:pt>
                <c:pt idx="5">
                  <c:v>66.128196635431948</c:v>
                </c:pt>
                <c:pt idx="6">
                  <c:v>64.200945418820339</c:v>
                </c:pt>
                <c:pt idx="7">
                  <c:v>62.585242331209834</c:v>
                </c:pt>
                <c:pt idx="8">
                  <c:v>61.878825061963099</c:v>
                </c:pt>
                <c:pt idx="9">
                  <c:v>60.835501095075593</c:v>
                </c:pt>
                <c:pt idx="10">
                  <c:v>58.857532741184734</c:v>
                </c:pt>
                <c:pt idx="11">
                  <c:v>56.767262154746952</c:v>
                </c:pt>
                <c:pt idx="12">
                  <c:v>55.568164123358898</c:v>
                </c:pt>
                <c:pt idx="13">
                  <c:v>55.376163532230294</c:v>
                </c:pt>
                <c:pt idx="14">
                  <c:v>56.897677650607882</c:v>
                </c:pt>
                <c:pt idx="15">
                  <c:v>61.357163078519356</c:v>
                </c:pt>
                <c:pt idx="16">
                  <c:v>68.171372737253279</c:v>
                </c:pt>
                <c:pt idx="17">
                  <c:v>74.47116571786907</c:v>
                </c:pt>
                <c:pt idx="18">
                  <c:v>79.024840115013433</c:v>
                </c:pt>
                <c:pt idx="19">
                  <c:v>81.785301444069916</c:v>
                </c:pt>
                <c:pt idx="20">
                  <c:v>82.162057321001512</c:v>
                </c:pt>
                <c:pt idx="21">
                  <c:v>79.546502098457182</c:v>
                </c:pt>
                <c:pt idx="22">
                  <c:v>74.141504325553925</c:v>
                </c:pt>
                <c:pt idx="23">
                  <c:v>66.89619899994635</c:v>
                </c:pt>
                <c:pt idx="24">
                  <c:v>59.361081461314463</c:v>
                </c:pt>
                <c:pt idx="25">
                  <c:v>53.477893536921108</c:v>
                </c:pt>
                <c:pt idx="26">
                  <c:v>50.065354728559939</c:v>
                </c:pt>
                <c:pt idx="27">
                  <c:v>48.551085915507954</c:v>
                </c:pt>
                <c:pt idx="28">
                  <c:v>47.880895172889254</c:v>
                </c:pt>
                <c:pt idx="29">
                  <c:v>47.384591758085129</c:v>
                </c:pt>
                <c:pt idx="30">
                  <c:v>46.786854068722512</c:v>
                </c:pt>
                <c:pt idx="31">
                  <c:v>46.163757810720256</c:v>
                </c:pt>
                <c:pt idx="32">
                  <c:v>45.544284205380812</c:v>
                </c:pt>
                <c:pt idx="33">
                  <c:v>45.037112832588278</c:v>
                </c:pt>
                <c:pt idx="34">
                  <c:v>44.754545924889584</c:v>
                </c:pt>
                <c:pt idx="35">
                  <c:v>44.613262471040237</c:v>
                </c:pt>
                <c:pt idx="36">
                  <c:v>44.490092280504903</c:v>
                </c:pt>
                <c:pt idx="37">
                  <c:v>44.417639227248834</c:v>
                </c:pt>
                <c:pt idx="38">
                  <c:v>44.403148616597612</c:v>
                </c:pt>
                <c:pt idx="39">
                  <c:v>44.424884532574431</c:v>
                </c:pt>
                <c:pt idx="40">
                  <c:v>44.519073501807334</c:v>
                </c:pt>
                <c:pt idx="41">
                  <c:v>44.649488997668279</c:v>
                </c:pt>
                <c:pt idx="42">
                  <c:v>44.848734894122479</c:v>
                </c:pt>
                <c:pt idx="43">
                  <c:v>45.171150981112021</c:v>
                </c:pt>
                <c:pt idx="44">
                  <c:v>45.413868709519868</c:v>
                </c:pt>
                <c:pt idx="45">
                  <c:v>45.595001342660062</c:v>
                </c:pt>
                <c:pt idx="46">
                  <c:v>45.739907449172215</c:v>
                </c:pt>
                <c:pt idx="47">
                  <c:v>45.794247239114263</c:v>
                </c:pt>
                <c:pt idx="48">
                  <c:v>45.87394559769595</c:v>
                </c:pt>
                <c:pt idx="49">
                  <c:v>46.004361093556888</c:v>
                </c:pt>
                <c:pt idx="50">
                  <c:v>46.236210863976332</c:v>
                </c:pt>
                <c:pt idx="51">
                  <c:v>46.627457351559137</c:v>
                </c:pt>
                <c:pt idx="52">
                  <c:v>47.127383419026067</c:v>
                </c:pt>
                <c:pt idx="53">
                  <c:v>47.681649276435046</c:v>
                </c:pt>
                <c:pt idx="54">
                  <c:v>48.388066545681781</c:v>
                </c:pt>
                <c:pt idx="55">
                  <c:v>49.214031352801044</c:v>
                </c:pt>
                <c:pt idx="56">
                  <c:v>50.047241465245918</c:v>
                </c:pt>
                <c:pt idx="57">
                  <c:v>50.920300756981632</c:v>
                </c:pt>
                <c:pt idx="58">
                  <c:v>52.057813693102027</c:v>
                </c:pt>
                <c:pt idx="59">
                  <c:v>53.387327220351011</c:v>
                </c:pt>
                <c:pt idx="60">
                  <c:v>54.314726302028788</c:v>
                </c:pt>
                <c:pt idx="61">
                  <c:v>54.94869051801944</c:v>
                </c:pt>
                <c:pt idx="62">
                  <c:v>55.379786184893099</c:v>
                </c:pt>
                <c:pt idx="63">
                  <c:v>55.278351910334592</c:v>
                </c:pt>
                <c:pt idx="64">
                  <c:v>55.655107787266189</c:v>
                </c:pt>
                <c:pt idx="65">
                  <c:v>56.397751583140966</c:v>
                </c:pt>
                <c:pt idx="66">
                  <c:v>57.144018031678549</c:v>
                </c:pt>
                <c:pt idx="67">
                  <c:v>57.61858553050584</c:v>
                </c:pt>
                <c:pt idx="68">
                  <c:v>58.056926502705096</c:v>
                </c:pt>
                <c:pt idx="69">
                  <c:v>58.821306214556692</c:v>
                </c:pt>
                <c:pt idx="70">
                  <c:v>59.665384284989976</c:v>
                </c:pt>
                <c:pt idx="71">
                  <c:v>60.404405428201947</c:v>
                </c:pt>
                <c:pt idx="72">
                  <c:v>61.110822697448697</c:v>
                </c:pt>
                <c:pt idx="73">
                  <c:v>61.777390787404592</c:v>
                </c:pt>
                <c:pt idx="74">
                  <c:v>62.889545154885347</c:v>
                </c:pt>
                <c:pt idx="75">
                  <c:v>64.479889673856206</c:v>
                </c:pt>
                <c:pt idx="76">
                  <c:v>65.606534651988198</c:v>
                </c:pt>
                <c:pt idx="77">
                  <c:v>65.75506341116315</c:v>
                </c:pt>
                <c:pt idx="78">
                  <c:v>65.04140083659081</c:v>
                </c:pt>
                <c:pt idx="79">
                  <c:v>65.150080416474921</c:v>
                </c:pt>
                <c:pt idx="80">
                  <c:v>65.356571618254733</c:v>
                </c:pt>
                <c:pt idx="81">
                  <c:v>64.892872077415859</c:v>
                </c:pt>
                <c:pt idx="82">
                  <c:v>63.773472404609478</c:v>
                </c:pt>
                <c:pt idx="83">
                  <c:v>63.001847387432264</c:v>
                </c:pt>
                <c:pt idx="84">
                  <c:v>62.925771681513389</c:v>
                </c:pt>
                <c:pt idx="85">
                  <c:v>63.215583894537694</c:v>
                </c:pt>
                <c:pt idx="86">
                  <c:v>64.045171354319763</c:v>
                </c:pt>
                <c:pt idx="87">
                  <c:v>64.679135570310422</c:v>
                </c:pt>
                <c:pt idx="88">
                  <c:v>64.798683108182956</c:v>
                </c:pt>
                <c:pt idx="89">
                  <c:v>64.291511735390415</c:v>
                </c:pt>
                <c:pt idx="90">
                  <c:v>63.556113244841256</c:v>
                </c:pt>
                <c:pt idx="91">
                  <c:v>62.730148437722001</c:v>
                </c:pt>
                <c:pt idx="92">
                  <c:v>62.335279297476376</c:v>
                </c:pt>
                <c:pt idx="93">
                  <c:v>62.041844431789272</c:v>
                </c:pt>
                <c:pt idx="94">
                  <c:v>61.694069776160106</c:v>
                </c:pt>
                <c:pt idx="95">
                  <c:v>61.259351456623641</c:v>
                </c:pt>
                <c:pt idx="96">
                  <c:v>60.889840885017655</c:v>
                </c:pt>
                <c:pt idx="97">
                  <c:v>60.976784548924947</c:v>
                </c:pt>
                <c:pt idx="98">
                  <c:v>62.596110289198243</c:v>
                </c:pt>
                <c:pt idx="99">
                  <c:v>64.287889082727617</c:v>
                </c:pt>
                <c:pt idx="100">
                  <c:v>65.505100377429684</c:v>
                </c:pt>
                <c:pt idx="101">
                  <c:v>66.084724803478295</c:v>
                </c:pt>
                <c:pt idx="102">
                  <c:v>65.668119747255872</c:v>
                </c:pt>
                <c:pt idx="103">
                  <c:v>64.863890856113414</c:v>
                </c:pt>
                <c:pt idx="104">
                  <c:v>63.831434847214339</c:v>
                </c:pt>
                <c:pt idx="105">
                  <c:v>62.911281070862181</c:v>
                </c:pt>
                <c:pt idx="106">
                  <c:v>63.135885535956007</c:v>
                </c:pt>
                <c:pt idx="107">
                  <c:v>63.932869121772839</c:v>
                </c:pt>
                <c:pt idx="108">
                  <c:v>65.936196044303344</c:v>
                </c:pt>
                <c:pt idx="109">
                  <c:v>70.475379830796484</c:v>
                </c:pt>
                <c:pt idx="110">
                  <c:v>75.539848253396187</c:v>
                </c:pt>
                <c:pt idx="111">
                  <c:v>88.998002895712261</c:v>
                </c:pt>
                <c:pt idx="112">
                  <c:v>98.717579990014841</c:v>
                </c:pt>
                <c:pt idx="113">
                  <c:v>99.999999032647366</c:v>
                </c:pt>
                <c:pt idx="114">
                  <c:v>89.291437761399365</c:v>
                </c:pt>
                <c:pt idx="115">
                  <c:v>76.126717984770409</c:v>
                </c:pt>
                <c:pt idx="116">
                  <c:v>68.41046781299832</c:v>
                </c:pt>
                <c:pt idx="117">
                  <c:v>65.04140083659081</c:v>
                </c:pt>
                <c:pt idx="118">
                  <c:v>63.715509962004624</c:v>
                </c:pt>
                <c:pt idx="119">
                  <c:v>63.121394925304791</c:v>
                </c:pt>
                <c:pt idx="120">
                  <c:v>63.730000572655825</c:v>
                </c:pt>
                <c:pt idx="121">
                  <c:v>69.388584031955347</c:v>
                </c:pt>
                <c:pt idx="122">
                  <c:v>72.489574711315385</c:v>
                </c:pt>
                <c:pt idx="123">
                  <c:v>72.840972019607364</c:v>
                </c:pt>
                <c:pt idx="124">
                  <c:v>68.446694339626362</c:v>
                </c:pt>
                <c:pt idx="125">
                  <c:v>65.251514691033435</c:v>
                </c:pt>
                <c:pt idx="126">
                  <c:v>64.171964197517894</c:v>
                </c:pt>
                <c:pt idx="127">
                  <c:v>63.701019351353402</c:v>
                </c:pt>
                <c:pt idx="128">
                  <c:v>63.15762145193284</c:v>
                </c:pt>
                <c:pt idx="129">
                  <c:v>63.570603855492465</c:v>
                </c:pt>
                <c:pt idx="130">
                  <c:v>68.874167353837208</c:v>
                </c:pt>
                <c:pt idx="131">
                  <c:v>75.992679836246666</c:v>
                </c:pt>
                <c:pt idx="132">
                  <c:v>77.043249108459747</c:v>
                </c:pt>
                <c:pt idx="133">
                  <c:v>73.844446807204022</c:v>
                </c:pt>
                <c:pt idx="134">
                  <c:v>67.555521784576626</c:v>
                </c:pt>
                <c:pt idx="135">
                  <c:v>62.867809238908528</c:v>
                </c:pt>
                <c:pt idx="136">
                  <c:v>61.259351456623641</c:v>
                </c:pt>
                <c:pt idx="137">
                  <c:v>60.842746400401211</c:v>
                </c:pt>
                <c:pt idx="138">
                  <c:v>60.690594988563447</c:v>
                </c:pt>
                <c:pt idx="139">
                  <c:v>67.349030582796814</c:v>
                </c:pt>
                <c:pt idx="140">
                  <c:v>79.282048454072495</c:v>
                </c:pt>
                <c:pt idx="141">
                  <c:v>81.723716348802256</c:v>
                </c:pt>
                <c:pt idx="142">
                  <c:v>76.775172811412276</c:v>
                </c:pt>
                <c:pt idx="143">
                  <c:v>66.262234783955677</c:v>
                </c:pt>
                <c:pt idx="144">
                  <c:v>61.360785731182162</c:v>
                </c:pt>
                <c:pt idx="145">
                  <c:v>66.88533104195794</c:v>
                </c:pt>
                <c:pt idx="146">
                  <c:v>80.861525015054937</c:v>
                </c:pt>
                <c:pt idx="147">
                  <c:v>84.745008669580628</c:v>
                </c:pt>
                <c:pt idx="148">
                  <c:v>77.083098287750602</c:v>
                </c:pt>
                <c:pt idx="149">
                  <c:v>69.149488956210305</c:v>
                </c:pt>
                <c:pt idx="150">
                  <c:v>67.551899131913814</c:v>
                </c:pt>
                <c:pt idx="151">
                  <c:v>66.044875624187455</c:v>
                </c:pt>
                <c:pt idx="152">
                  <c:v>63.748113835969853</c:v>
                </c:pt>
                <c:pt idx="153">
                  <c:v>62.146901359010577</c:v>
                </c:pt>
                <c:pt idx="154">
                  <c:v>62.020108515812453</c:v>
                </c:pt>
                <c:pt idx="155">
                  <c:v>62.20124114895264</c:v>
                </c:pt>
                <c:pt idx="156">
                  <c:v>62.639582121151889</c:v>
                </c:pt>
                <c:pt idx="157">
                  <c:v>63.2192065472005</c:v>
                </c:pt>
                <c:pt idx="158">
                  <c:v>65.494232419441275</c:v>
                </c:pt>
                <c:pt idx="159">
                  <c:v>65.765931369151559</c:v>
                </c:pt>
                <c:pt idx="160">
                  <c:v>63.835057499877145</c:v>
                </c:pt>
                <c:pt idx="161">
                  <c:v>61.614371417578418</c:v>
                </c:pt>
                <c:pt idx="162">
                  <c:v>60.534820924062892</c:v>
                </c:pt>
                <c:pt idx="163">
                  <c:v>60.37904685956233</c:v>
                </c:pt>
                <c:pt idx="164">
                  <c:v>61.168785140053558</c:v>
                </c:pt>
                <c:pt idx="165">
                  <c:v>66.541179038991586</c:v>
                </c:pt>
                <c:pt idx="166">
                  <c:v>70.953569982286581</c:v>
                </c:pt>
                <c:pt idx="167">
                  <c:v>70.88473958169331</c:v>
                </c:pt>
                <c:pt idx="168">
                  <c:v>66.664349229526906</c:v>
                </c:pt>
                <c:pt idx="169">
                  <c:v>63.20833858921209</c:v>
                </c:pt>
                <c:pt idx="170">
                  <c:v>61.773768134741786</c:v>
                </c:pt>
                <c:pt idx="171">
                  <c:v>61.665088554857668</c:v>
                </c:pt>
                <c:pt idx="172">
                  <c:v>62.878677196896938</c:v>
                </c:pt>
                <c:pt idx="173">
                  <c:v>64.193700113494714</c:v>
                </c:pt>
                <c:pt idx="174">
                  <c:v>64.066907270296596</c:v>
                </c:pt>
                <c:pt idx="175">
                  <c:v>64.012567480354534</c:v>
                </c:pt>
                <c:pt idx="176">
                  <c:v>63.483660191585173</c:v>
                </c:pt>
                <c:pt idx="177">
                  <c:v>62.462072140674508</c:v>
                </c:pt>
                <c:pt idx="178">
                  <c:v>61.770145482078988</c:v>
                </c:pt>
                <c:pt idx="179">
                  <c:v>61.556408974973564</c:v>
                </c:pt>
                <c:pt idx="180">
                  <c:v>61.288332677926071</c:v>
                </c:pt>
                <c:pt idx="181">
                  <c:v>60.857237011052426</c:v>
                </c:pt>
                <c:pt idx="182">
                  <c:v>61.143426571413926</c:v>
                </c:pt>
                <c:pt idx="183">
                  <c:v>62.360637866115987</c:v>
                </c:pt>
                <c:pt idx="184">
                  <c:v>79.361746812654175</c:v>
                </c:pt>
                <c:pt idx="185">
                  <c:v>95.247078739048803</c:v>
                </c:pt>
                <c:pt idx="186">
                  <c:v>93.87047072718336</c:v>
                </c:pt>
                <c:pt idx="187">
                  <c:v>77.199023172960324</c:v>
                </c:pt>
                <c:pt idx="188">
                  <c:v>66.178913772711198</c:v>
                </c:pt>
                <c:pt idx="189">
                  <c:v>61.933164851905147</c:v>
                </c:pt>
                <c:pt idx="190">
                  <c:v>61.632484680892432</c:v>
                </c:pt>
                <c:pt idx="191">
                  <c:v>69.797943782852187</c:v>
                </c:pt>
                <c:pt idx="192">
                  <c:v>79.821823700830265</c:v>
                </c:pt>
                <c:pt idx="193">
                  <c:v>81.397677609149909</c:v>
                </c:pt>
                <c:pt idx="194">
                  <c:v>74.992827701312819</c:v>
                </c:pt>
                <c:pt idx="195">
                  <c:v>66.479593943723899</c:v>
                </c:pt>
                <c:pt idx="196">
                  <c:v>62.715657827070771</c:v>
                </c:pt>
                <c:pt idx="197">
                  <c:v>61.762900176753369</c:v>
                </c:pt>
                <c:pt idx="198">
                  <c:v>61.730296302788133</c:v>
                </c:pt>
                <c:pt idx="199">
                  <c:v>61.730296302788133</c:v>
                </c:pt>
                <c:pt idx="200">
                  <c:v>61.708560386811314</c:v>
                </c:pt>
                <c:pt idx="201">
                  <c:v>61.636107333555238</c:v>
                </c:pt>
                <c:pt idx="202">
                  <c:v>61.512937143019911</c:v>
                </c:pt>
                <c:pt idx="203">
                  <c:v>61.505691837694307</c:v>
                </c:pt>
                <c:pt idx="204">
                  <c:v>61.70131508148571</c:v>
                </c:pt>
                <c:pt idx="205">
                  <c:v>61.806372008707015</c:v>
                </c:pt>
                <c:pt idx="206">
                  <c:v>61.773768134741786</c:v>
                </c:pt>
                <c:pt idx="207">
                  <c:v>61.817239966695432</c:v>
                </c:pt>
                <c:pt idx="208">
                  <c:v>61.991127294510022</c:v>
                </c:pt>
                <c:pt idx="209">
                  <c:v>62.157769316998987</c:v>
                </c:pt>
                <c:pt idx="210">
                  <c:v>62.19037319096423</c:v>
                </c:pt>
                <c:pt idx="211">
                  <c:v>62.233845022917869</c:v>
                </c:pt>
                <c:pt idx="212">
                  <c:v>62.208486454278237</c:v>
                </c:pt>
                <c:pt idx="213">
                  <c:v>62.360637866115987</c:v>
                </c:pt>
                <c:pt idx="214">
                  <c:v>62.494676014639744</c:v>
                </c:pt>
                <c:pt idx="215">
                  <c:v>62.545393151918994</c:v>
                </c:pt>
                <c:pt idx="216">
                  <c:v>62.65769538446591</c:v>
                </c:pt>
                <c:pt idx="217">
                  <c:v>63.059809830037125</c:v>
                </c:pt>
                <c:pt idx="218">
                  <c:v>63.327886127084618</c:v>
                </c:pt>
                <c:pt idx="219">
                  <c:v>63.345999390398639</c:v>
                </c:pt>
                <c:pt idx="220">
                  <c:v>63.628566298097319</c:v>
                </c:pt>
                <c:pt idx="221">
                  <c:v>63.885774637156402</c:v>
                </c:pt>
                <c:pt idx="222">
                  <c:v>63.929246469110034</c:v>
                </c:pt>
                <c:pt idx="223">
                  <c:v>63.476414886259555</c:v>
                </c:pt>
                <c:pt idx="224">
                  <c:v>63.067055135362736</c:v>
                </c:pt>
                <c:pt idx="225">
                  <c:v>62.929394334176209</c:v>
                </c:pt>
                <c:pt idx="226">
                  <c:v>62.918526376187785</c:v>
                </c:pt>
                <c:pt idx="227">
                  <c:v>62.951130250153028</c:v>
                </c:pt>
                <c:pt idx="228">
                  <c:v>62.896790460210966</c:v>
                </c:pt>
                <c:pt idx="229">
                  <c:v>62.795356185652444</c:v>
                </c:pt>
                <c:pt idx="230">
                  <c:v>62.719280479733577</c:v>
                </c:pt>
                <c:pt idx="231">
                  <c:v>62.693921911093952</c:v>
                </c:pt>
                <c:pt idx="232">
                  <c:v>62.701167216419549</c:v>
                </c:pt>
                <c:pt idx="233">
                  <c:v>62.813469448966465</c:v>
                </c:pt>
                <c:pt idx="234">
                  <c:v>62.954752902815819</c:v>
                </c:pt>
                <c:pt idx="235">
                  <c:v>63.092413704002368</c:v>
                </c:pt>
                <c:pt idx="236">
                  <c:v>63.211961241874889</c:v>
                </c:pt>
                <c:pt idx="237">
                  <c:v>63.255433073828527</c:v>
                </c:pt>
                <c:pt idx="238">
                  <c:v>63.335131432410215</c:v>
                </c:pt>
                <c:pt idx="239">
                  <c:v>63.418452443654701</c:v>
                </c:pt>
                <c:pt idx="240">
                  <c:v>63.480037538922375</c:v>
                </c:pt>
                <c:pt idx="241">
                  <c:v>63.610453034783305</c:v>
                </c:pt>
                <c:pt idx="242">
                  <c:v>63.686528740702173</c:v>
                </c:pt>
                <c:pt idx="243">
                  <c:v>63.824189541888735</c:v>
                </c:pt>
                <c:pt idx="244">
                  <c:v>64.103133796924624</c:v>
                </c:pt>
                <c:pt idx="245">
                  <c:v>64.077775228285006</c:v>
                </c:pt>
                <c:pt idx="246">
                  <c:v>63.958227690412471</c:v>
                </c:pt>
                <c:pt idx="247">
                  <c:v>63.563358550166846</c:v>
                </c:pt>
                <c:pt idx="248">
                  <c:v>63.233697157851708</c:v>
                </c:pt>
                <c:pt idx="249">
                  <c:v>63.096036356665174</c:v>
                </c:pt>
                <c:pt idx="250">
                  <c:v>63.226451852526104</c:v>
                </c:pt>
                <c:pt idx="251">
                  <c:v>63.425697748980312</c:v>
                </c:pt>
                <c:pt idx="252">
                  <c:v>63.650302214074152</c:v>
                </c:pt>
                <c:pt idx="253">
                  <c:v>63.711887309341812</c:v>
                </c:pt>
                <c:pt idx="254">
                  <c:v>63.722755267330221</c:v>
                </c:pt>
                <c:pt idx="255">
                  <c:v>63.795208320586298</c:v>
                </c:pt>
                <c:pt idx="256">
                  <c:v>64.023435438342943</c:v>
                </c:pt>
                <c:pt idx="257">
                  <c:v>64.277021124739207</c:v>
                </c:pt>
                <c:pt idx="258">
                  <c:v>64.443663147228179</c:v>
                </c:pt>
                <c:pt idx="259">
                  <c:v>64.436417841902568</c:v>
                </c:pt>
                <c:pt idx="260">
                  <c:v>64.363964788646484</c:v>
                </c:pt>
                <c:pt idx="261">
                  <c:v>64.200945418820339</c:v>
                </c:pt>
                <c:pt idx="262">
                  <c:v>64.085020533610617</c:v>
                </c:pt>
                <c:pt idx="263">
                  <c:v>63.91113320579602</c:v>
                </c:pt>
                <c:pt idx="264">
                  <c:v>63.762604446621054</c:v>
                </c:pt>
                <c:pt idx="265">
                  <c:v>63.693774046027791</c:v>
                </c:pt>
                <c:pt idx="266">
                  <c:v>63.635811603422937</c:v>
                </c:pt>
                <c:pt idx="267">
                  <c:v>63.682906088039381</c:v>
                </c:pt>
                <c:pt idx="268">
                  <c:v>63.758981793958263</c:v>
                </c:pt>
                <c:pt idx="269">
                  <c:v>63.787963015260694</c:v>
                </c:pt>
                <c:pt idx="270">
                  <c:v>63.715509962004624</c:v>
                </c:pt>
                <c:pt idx="271">
                  <c:v>63.570603855492465</c:v>
                </c:pt>
                <c:pt idx="272">
                  <c:v>63.447433664957131</c:v>
                </c:pt>
                <c:pt idx="273">
                  <c:v>63.389471222352277</c:v>
                </c:pt>
                <c:pt idx="274">
                  <c:v>63.349622043061437</c:v>
                </c:pt>
                <c:pt idx="275">
                  <c:v>63.345999390398639</c:v>
                </c:pt>
                <c:pt idx="276">
                  <c:v>63.259055726491333</c:v>
                </c:pt>
                <c:pt idx="277">
                  <c:v>63.117772272642</c:v>
                </c:pt>
                <c:pt idx="278">
                  <c:v>62.969243513467042</c:v>
                </c:pt>
                <c:pt idx="279">
                  <c:v>62.788110880326855</c:v>
                </c:pt>
                <c:pt idx="280">
                  <c:v>62.567129067895813</c:v>
                </c:pt>
                <c:pt idx="281">
                  <c:v>62.309920728836744</c:v>
                </c:pt>
                <c:pt idx="282">
                  <c:v>62.414977656058049</c:v>
                </c:pt>
                <c:pt idx="283">
                  <c:v>63.106904314653583</c:v>
                </c:pt>
                <c:pt idx="284">
                  <c:v>63.266301031816937</c:v>
                </c:pt>
                <c:pt idx="285">
                  <c:v>63.360490001049847</c:v>
                </c:pt>
                <c:pt idx="286">
                  <c:v>62.588864983872647</c:v>
                </c:pt>
                <c:pt idx="287">
                  <c:v>61.762900176753369</c:v>
                </c:pt>
                <c:pt idx="288">
                  <c:v>61.121690655437106</c:v>
                </c:pt>
                <c:pt idx="289">
                  <c:v>60.589160714004954</c:v>
                </c:pt>
                <c:pt idx="290">
                  <c:v>60.234140753050184</c:v>
                </c:pt>
                <c:pt idx="291">
                  <c:v>60.049385467247184</c:v>
                </c:pt>
                <c:pt idx="292">
                  <c:v>59.944328540025865</c:v>
                </c:pt>
                <c:pt idx="293">
                  <c:v>59.871875486769802</c:v>
                </c:pt>
                <c:pt idx="294">
                  <c:v>59.694365506292414</c:v>
                </c:pt>
                <c:pt idx="295">
                  <c:v>59.332100240012032</c:v>
                </c:pt>
                <c:pt idx="296">
                  <c:v>58.966212321068852</c:v>
                </c:pt>
                <c:pt idx="297">
                  <c:v>58.527871348869589</c:v>
                </c:pt>
                <c:pt idx="298">
                  <c:v>58.165606082589214</c:v>
                </c:pt>
                <c:pt idx="299">
                  <c:v>60.331952374945871</c:v>
                </c:pt>
                <c:pt idx="300">
                  <c:v>73.029349958073155</c:v>
                </c:pt>
                <c:pt idx="301">
                  <c:v>77.423627638054157</c:v>
                </c:pt>
                <c:pt idx="302">
                  <c:v>80.749222782508042</c:v>
                </c:pt>
                <c:pt idx="303">
                  <c:v>73.022104652747558</c:v>
                </c:pt>
                <c:pt idx="304">
                  <c:v>62.277316854871522</c:v>
                </c:pt>
                <c:pt idx="305">
                  <c:v>57.683793278436305</c:v>
                </c:pt>
                <c:pt idx="306">
                  <c:v>56.19126038136114</c:v>
                </c:pt>
                <c:pt idx="307">
                  <c:v>55.655107787266189</c:v>
                </c:pt>
                <c:pt idx="308">
                  <c:v>55.118955193171224</c:v>
                </c:pt>
                <c:pt idx="309">
                  <c:v>54.5212175038086</c:v>
                </c:pt>
                <c:pt idx="310">
                  <c:v>53.919857161783163</c:v>
                </c:pt>
                <c:pt idx="311">
                  <c:v>53.238798461176053</c:v>
                </c:pt>
                <c:pt idx="312">
                  <c:v>52.525135886603714</c:v>
                </c:pt>
                <c:pt idx="313">
                  <c:v>51.768001480077722</c:v>
                </c:pt>
                <c:pt idx="314">
                  <c:v>51.057961558168174</c:v>
                </c:pt>
                <c:pt idx="315">
                  <c:v>50.376902857561063</c:v>
                </c:pt>
                <c:pt idx="316">
                  <c:v>49.587164577069835</c:v>
                </c:pt>
                <c:pt idx="317">
                  <c:v>48.757577117287767</c:v>
                </c:pt>
                <c:pt idx="318">
                  <c:v>47.837423340935608</c:v>
                </c:pt>
                <c:pt idx="319">
                  <c:v>47.149119335002887</c:v>
                </c:pt>
                <c:pt idx="320">
                  <c:v>46.689042446826804</c:v>
                </c:pt>
                <c:pt idx="321">
                  <c:v>45.906549471661187</c:v>
                </c:pt>
                <c:pt idx="322">
                  <c:v>45.076962011879118</c:v>
                </c:pt>
                <c:pt idx="323">
                  <c:v>43.674995431374057</c:v>
                </c:pt>
                <c:pt idx="324">
                  <c:v>42.39257638874151</c:v>
                </c:pt>
                <c:pt idx="325">
                  <c:v>41.251440799958317</c:v>
                </c:pt>
                <c:pt idx="326">
                  <c:v>40.244343359698867</c:v>
                </c:pt>
                <c:pt idx="327">
                  <c:v>39.092339812927257</c:v>
                </c:pt>
                <c:pt idx="328">
                  <c:v>37.849769949585557</c:v>
                </c:pt>
                <c:pt idx="329">
                  <c:v>36.38621827381283</c:v>
                </c:pt>
                <c:pt idx="330">
                  <c:v>34.893685376737665</c:v>
                </c:pt>
                <c:pt idx="331">
                  <c:v>33.33956738439484</c:v>
                </c:pt>
                <c:pt idx="332">
                  <c:v>31.665901854179484</c:v>
                </c:pt>
                <c:pt idx="333">
                  <c:v>29.912537965382455</c:v>
                </c:pt>
                <c:pt idx="334">
                  <c:v>28.083098370666541</c:v>
                </c:pt>
                <c:pt idx="335">
                  <c:v>26.297130607904272</c:v>
                </c:pt>
                <c:pt idx="336">
                  <c:v>24.569125287746864</c:v>
                </c:pt>
                <c:pt idx="337">
                  <c:v>22.93168628415955</c:v>
                </c:pt>
                <c:pt idx="338">
                  <c:v>21.344964417851493</c:v>
                </c:pt>
                <c:pt idx="339">
                  <c:v>19.848808868113526</c:v>
                </c:pt>
                <c:pt idx="340">
                  <c:v>19.921261921369602</c:v>
                </c:pt>
                <c:pt idx="341">
                  <c:v>20.323376366940821</c:v>
                </c:pt>
                <c:pt idx="342">
                  <c:v>19.457562380530717</c:v>
                </c:pt>
                <c:pt idx="343">
                  <c:v>16.472496586380394</c:v>
                </c:pt>
                <c:pt idx="344">
                  <c:v>12.864334534227819</c:v>
                </c:pt>
                <c:pt idx="345">
                  <c:v>11.168933088035645</c:v>
                </c:pt>
                <c:pt idx="346">
                  <c:v>10.158212995113388</c:v>
                </c:pt>
                <c:pt idx="347">
                  <c:v>9.1438702495283302</c:v>
                </c:pt>
                <c:pt idx="348">
                  <c:v>7.8433379435817692</c:v>
                </c:pt>
                <c:pt idx="349">
                  <c:v>6.5391829849723999</c:v>
                </c:pt>
                <c:pt idx="350">
                  <c:v>5.4197833121660324</c:v>
                </c:pt>
                <c:pt idx="351">
                  <c:v>4.4923842304882609</c:v>
                </c:pt>
                <c:pt idx="352">
                  <c:v>3.6772873813574094</c:v>
                </c:pt>
                <c:pt idx="353">
                  <c:v>2.9600021541222574</c:v>
                </c:pt>
                <c:pt idx="354">
                  <c:v>2.4600760866553348</c:v>
                </c:pt>
                <c:pt idx="355">
                  <c:v>2.202867747596267</c:v>
                </c:pt>
                <c:pt idx="356">
                  <c:v>1.9999991984792513</c:v>
                </c:pt>
              </c:numCache>
            </c:numRef>
          </c:yVal>
          <c:smooth val="1"/>
          <c:extLst>
            <c:ext xmlns:c16="http://schemas.microsoft.com/office/drawing/2014/chart" uri="{C3380CC4-5D6E-409C-BE32-E72D297353CC}">
              <c16:uniqueId val="{00000000-BC75-4D85-9A83-ACFCB27567B6}"/>
            </c:ext>
          </c:extLst>
        </c:ser>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0.51300000000000001</c:v>
                </c:pt>
                <c:pt idx="1">
                  <c:v>0.53900000000000003</c:v>
                </c:pt>
                <c:pt idx="2">
                  <c:v>0.56599999999999995</c:v>
                </c:pt>
                <c:pt idx="3">
                  <c:v>0.59299999999999997</c:v>
                </c:pt>
                <c:pt idx="4">
                  <c:v>0.61899999999999999</c:v>
                </c:pt>
                <c:pt idx="5">
                  <c:v>0.64600000000000002</c:v>
                </c:pt>
                <c:pt idx="6">
                  <c:v>0.67300000000000004</c:v>
                </c:pt>
                <c:pt idx="7">
                  <c:v>0.69899999999999995</c:v>
                </c:pt>
                <c:pt idx="8">
                  <c:v>0.72599999999999998</c:v>
                </c:pt>
                <c:pt idx="9">
                  <c:v>0.753</c:v>
                </c:pt>
                <c:pt idx="10">
                  <c:v>0.77900000000000003</c:v>
                </c:pt>
                <c:pt idx="11">
                  <c:v>0.80600000000000005</c:v>
                </c:pt>
                <c:pt idx="12">
                  <c:v>0.83299999999999996</c:v>
                </c:pt>
                <c:pt idx="13">
                  <c:v>0.85899999999999999</c:v>
                </c:pt>
                <c:pt idx="14">
                  <c:v>0.88600000000000001</c:v>
                </c:pt>
                <c:pt idx="15">
                  <c:v>0.91300000000000003</c:v>
                </c:pt>
                <c:pt idx="16">
                  <c:v>0.93899999999999995</c:v>
                </c:pt>
                <c:pt idx="17">
                  <c:v>0.96599999999999997</c:v>
                </c:pt>
                <c:pt idx="18">
                  <c:v>0.99299999999999999</c:v>
                </c:pt>
                <c:pt idx="19">
                  <c:v>1.0189999999999999</c:v>
                </c:pt>
                <c:pt idx="20">
                  <c:v>1.046</c:v>
                </c:pt>
                <c:pt idx="21">
                  <c:v>1.073</c:v>
                </c:pt>
                <c:pt idx="22">
                  <c:v>1.099</c:v>
                </c:pt>
                <c:pt idx="23">
                  <c:v>1.1259999999999999</c:v>
                </c:pt>
                <c:pt idx="24">
                  <c:v>1.153</c:v>
                </c:pt>
                <c:pt idx="25">
                  <c:v>1.179</c:v>
                </c:pt>
                <c:pt idx="26">
                  <c:v>1.206</c:v>
                </c:pt>
                <c:pt idx="27">
                  <c:v>1.2330000000000001</c:v>
                </c:pt>
                <c:pt idx="28">
                  <c:v>1.2589999999999999</c:v>
                </c:pt>
                <c:pt idx="29">
                  <c:v>1.286</c:v>
                </c:pt>
                <c:pt idx="30">
                  <c:v>1.3129999999999999</c:v>
                </c:pt>
                <c:pt idx="31">
                  <c:v>1.339</c:v>
                </c:pt>
                <c:pt idx="32">
                  <c:v>1.3660000000000001</c:v>
                </c:pt>
                <c:pt idx="33">
                  <c:v>1.393</c:v>
                </c:pt>
                <c:pt idx="34">
                  <c:v>1.419</c:v>
                </c:pt>
                <c:pt idx="35">
                  <c:v>1.446</c:v>
                </c:pt>
                <c:pt idx="36">
                  <c:v>1.4730000000000001</c:v>
                </c:pt>
                <c:pt idx="37">
                  <c:v>1.4990000000000001</c:v>
                </c:pt>
                <c:pt idx="38">
                  <c:v>1.526</c:v>
                </c:pt>
                <c:pt idx="39">
                  <c:v>1.5529999999999999</c:v>
                </c:pt>
                <c:pt idx="40">
                  <c:v>1.579</c:v>
                </c:pt>
                <c:pt idx="41">
                  <c:v>1.6060000000000001</c:v>
                </c:pt>
                <c:pt idx="42">
                  <c:v>1.633</c:v>
                </c:pt>
                <c:pt idx="43">
                  <c:v>1.659</c:v>
                </c:pt>
                <c:pt idx="44">
                  <c:v>1.6859999999999999</c:v>
                </c:pt>
                <c:pt idx="45">
                  <c:v>1.7130000000000001</c:v>
                </c:pt>
                <c:pt idx="46">
                  <c:v>1.7390000000000001</c:v>
                </c:pt>
                <c:pt idx="47">
                  <c:v>1.766</c:v>
                </c:pt>
                <c:pt idx="48">
                  <c:v>1.7929999999999999</c:v>
                </c:pt>
                <c:pt idx="49">
                  <c:v>1.819</c:v>
                </c:pt>
                <c:pt idx="50">
                  <c:v>1.8460000000000001</c:v>
                </c:pt>
                <c:pt idx="51">
                  <c:v>1.873</c:v>
                </c:pt>
                <c:pt idx="52">
                  <c:v>1.899</c:v>
                </c:pt>
                <c:pt idx="53">
                  <c:v>1.9259999999999999</c:v>
                </c:pt>
                <c:pt idx="54">
                  <c:v>1.9530000000000001</c:v>
                </c:pt>
                <c:pt idx="55">
                  <c:v>1.9790000000000001</c:v>
                </c:pt>
                <c:pt idx="56">
                  <c:v>2.0059999999999998</c:v>
                </c:pt>
                <c:pt idx="57">
                  <c:v>2.0329999999999999</c:v>
                </c:pt>
                <c:pt idx="58">
                  <c:v>2.0590000000000002</c:v>
                </c:pt>
                <c:pt idx="59">
                  <c:v>2.0859999999999999</c:v>
                </c:pt>
                <c:pt idx="60">
                  <c:v>2.113</c:v>
                </c:pt>
                <c:pt idx="61">
                  <c:v>2.1389999999999998</c:v>
                </c:pt>
                <c:pt idx="62">
                  <c:v>2.1659999999999999</c:v>
                </c:pt>
                <c:pt idx="63">
                  <c:v>2.1930000000000001</c:v>
                </c:pt>
                <c:pt idx="64">
                  <c:v>2.2189999999999999</c:v>
                </c:pt>
                <c:pt idx="65">
                  <c:v>2.246</c:v>
                </c:pt>
                <c:pt idx="66">
                  <c:v>2.2730000000000001</c:v>
                </c:pt>
                <c:pt idx="67">
                  <c:v>2.2989999999999999</c:v>
                </c:pt>
                <c:pt idx="68">
                  <c:v>2.3260000000000001</c:v>
                </c:pt>
                <c:pt idx="69">
                  <c:v>2.3530000000000002</c:v>
                </c:pt>
                <c:pt idx="70">
                  <c:v>2.379</c:v>
                </c:pt>
                <c:pt idx="71">
                  <c:v>2.4060000000000001</c:v>
                </c:pt>
                <c:pt idx="72">
                  <c:v>2.4329999999999998</c:v>
                </c:pt>
                <c:pt idx="73">
                  <c:v>2.4590000000000001</c:v>
                </c:pt>
                <c:pt idx="74">
                  <c:v>2.4860000000000002</c:v>
                </c:pt>
                <c:pt idx="75">
                  <c:v>2.5129999999999999</c:v>
                </c:pt>
                <c:pt idx="76">
                  <c:v>2.5390000000000001</c:v>
                </c:pt>
                <c:pt idx="77">
                  <c:v>2.5659999999999998</c:v>
                </c:pt>
                <c:pt idx="78">
                  <c:v>2.593</c:v>
                </c:pt>
                <c:pt idx="79">
                  <c:v>2.6190000000000002</c:v>
                </c:pt>
                <c:pt idx="80">
                  <c:v>2.6459999999999999</c:v>
                </c:pt>
                <c:pt idx="81">
                  <c:v>2.673</c:v>
                </c:pt>
                <c:pt idx="82">
                  <c:v>2.6989999999999998</c:v>
                </c:pt>
                <c:pt idx="83">
                  <c:v>2.726</c:v>
                </c:pt>
                <c:pt idx="84">
                  <c:v>2.7530000000000001</c:v>
                </c:pt>
                <c:pt idx="85">
                  <c:v>2.7789999999999999</c:v>
                </c:pt>
                <c:pt idx="86">
                  <c:v>2.806</c:v>
                </c:pt>
                <c:pt idx="87">
                  <c:v>2.8330000000000002</c:v>
                </c:pt>
                <c:pt idx="88">
                  <c:v>2.859</c:v>
                </c:pt>
                <c:pt idx="89">
                  <c:v>2.8860000000000001</c:v>
                </c:pt>
                <c:pt idx="90">
                  <c:v>2.9129999999999998</c:v>
                </c:pt>
                <c:pt idx="91">
                  <c:v>2.9390000000000001</c:v>
                </c:pt>
                <c:pt idx="92">
                  <c:v>2.9660000000000002</c:v>
                </c:pt>
                <c:pt idx="93">
                  <c:v>2.9929999999999999</c:v>
                </c:pt>
                <c:pt idx="94">
                  <c:v>3.0190000000000001</c:v>
                </c:pt>
                <c:pt idx="95">
                  <c:v>3.0459999999999998</c:v>
                </c:pt>
                <c:pt idx="96">
                  <c:v>3.073</c:v>
                </c:pt>
                <c:pt idx="97">
                  <c:v>3.0990000000000002</c:v>
                </c:pt>
                <c:pt idx="98">
                  <c:v>3.1259999999999999</c:v>
                </c:pt>
                <c:pt idx="99">
                  <c:v>3.153</c:v>
                </c:pt>
                <c:pt idx="100">
                  <c:v>3.1789999999999998</c:v>
                </c:pt>
                <c:pt idx="101">
                  <c:v>3.206</c:v>
                </c:pt>
                <c:pt idx="102">
                  <c:v>3.2330000000000001</c:v>
                </c:pt>
                <c:pt idx="103">
                  <c:v>3.2589999999999999</c:v>
                </c:pt>
                <c:pt idx="104">
                  <c:v>3.286</c:v>
                </c:pt>
                <c:pt idx="105">
                  <c:v>3.3130000000000002</c:v>
                </c:pt>
                <c:pt idx="106">
                  <c:v>3.339</c:v>
                </c:pt>
                <c:pt idx="107">
                  <c:v>3.3660000000000001</c:v>
                </c:pt>
                <c:pt idx="108">
                  <c:v>3.3929999999999998</c:v>
                </c:pt>
                <c:pt idx="109">
                  <c:v>3.419</c:v>
                </c:pt>
                <c:pt idx="110">
                  <c:v>3.4460000000000002</c:v>
                </c:pt>
                <c:pt idx="111">
                  <c:v>3.4729999999999999</c:v>
                </c:pt>
                <c:pt idx="112">
                  <c:v>3.4990000000000001</c:v>
                </c:pt>
                <c:pt idx="113">
                  <c:v>3.5259999999999998</c:v>
                </c:pt>
                <c:pt idx="114">
                  <c:v>3.5529999999999999</c:v>
                </c:pt>
                <c:pt idx="115">
                  <c:v>3.5790000000000002</c:v>
                </c:pt>
                <c:pt idx="116">
                  <c:v>3.6059999999999999</c:v>
                </c:pt>
                <c:pt idx="117">
                  <c:v>3.633</c:v>
                </c:pt>
                <c:pt idx="118">
                  <c:v>3.6589999999999998</c:v>
                </c:pt>
                <c:pt idx="119">
                  <c:v>3.6859999999999999</c:v>
                </c:pt>
                <c:pt idx="120">
                  <c:v>3.7130000000000001</c:v>
                </c:pt>
                <c:pt idx="121">
                  <c:v>3.7389999999999999</c:v>
                </c:pt>
                <c:pt idx="122">
                  <c:v>3.766</c:v>
                </c:pt>
                <c:pt idx="123">
                  <c:v>3.7930000000000001</c:v>
                </c:pt>
                <c:pt idx="124">
                  <c:v>3.819</c:v>
                </c:pt>
                <c:pt idx="125">
                  <c:v>3.8460000000000001</c:v>
                </c:pt>
                <c:pt idx="126">
                  <c:v>3.8730000000000002</c:v>
                </c:pt>
                <c:pt idx="127">
                  <c:v>3.899</c:v>
                </c:pt>
                <c:pt idx="128">
                  <c:v>3.9260000000000002</c:v>
                </c:pt>
                <c:pt idx="129">
                  <c:v>3.9529999999999998</c:v>
                </c:pt>
                <c:pt idx="130">
                  <c:v>3.9790000000000001</c:v>
                </c:pt>
                <c:pt idx="131">
                  <c:v>4.0060000000000002</c:v>
                </c:pt>
                <c:pt idx="132">
                  <c:v>4.0330000000000004</c:v>
                </c:pt>
                <c:pt idx="133">
                  <c:v>4.0590000000000002</c:v>
                </c:pt>
                <c:pt idx="134">
                  <c:v>4.0860000000000003</c:v>
                </c:pt>
                <c:pt idx="135">
                  <c:v>4.1130000000000004</c:v>
                </c:pt>
                <c:pt idx="136">
                  <c:v>4.1390000000000002</c:v>
                </c:pt>
                <c:pt idx="137">
                  <c:v>4.1660000000000004</c:v>
                </c:pt>
                <c:pt idx="138">
                  <c:v>4.1929999999999996</c:v>
                </c:pt>
                <c:pt idx="139">
                  <c:v>4.2190000000000003</c:v>
                </c:pt>
                <c:pt idx="140">
                  <c:v>4.2460000000000004</c:v>
                </c:pt>
                <c:pt idx="141">
                  <c:v>4.2729999999999997</c:v>
                </c:pt>
                <c:pt idx="142">
                  <c:v>4.2990000000000004</c:v>
                </c:pt>
                <c:pt idx="143">
                  <c:v>4.3259999999999996</c:v>
                </c:pt>
                <c:pt idx="144">
                  <c:v>4.3529999999999998</c:v>
                </c:pt>
                <c:pt idx="145">
                  <c:v>4.3789999999999996</c:v>
                </c:pt>
                <c:pt idx="146">
                  <c:v>4.4059999999999997</c:v>
                </c:pt>
                <c:pt idx="147">
                  <c:v>4.4329999999999998</c:v>
                </c:pt>
                <c:pt idx="148">
                  <c:v>4.4589999999999996</c:v>
                </c:pt>
                <c:pt idx="149">
                  <c:v>4.4859999999999998</c:v>
                </c:pt>
                <c:pt idx="150">
                  <c:v>4.5129999999999999</c:v>
                </c:pt>
                <c:pt idx="151">
                  <c:v>4.5389999999999997</c:v>
                </c:pt>
                <c:pt idx="152">
                  <c:v>4.5659999999999998</c:v>
                </c:pt>
                <c:pt idx="153">
                  <c:v>4.593</c:v>
                </c:pt>
                <c:pt idx="154">
                  <c:v>4.6189999999999998</c:v>
                </c:pt>
                <c:pt idx="155">
                  <c:v>4.6459999999999999</c:v>
                </c:pt>
                <c:pt idx="156">
                  <c:v>4.673</c:v>
                </c:pt>
                <c:pt idx="157">
                  <c:v>4.6989999999999998</c:v>
                </c:pt>
                <c:pt idx="158">
                  <c:v>4.726</c:v>
                </c:pt>
                <c:pt idx="159">
                  <c:v>4.7530000000000001</c:v>
                </c:pt>
                <c:pt idx="160">
                  <c:v>4.7789999999999999</c:v>
                </c:pt>
                <c:pt idx="161">
                  <c:v>4.806</c:v>
                </c:pt>
                <c:pt idx="162">
                  <c:v>4.8330000000000002</c:v>
                </c:pt>
                <c:pt idx="163">
                  <c:v>4.859</c:v>
                </c:pt>
                <c:pt idx="164">
                  <c:v>4.8860000000000001</c:v>
                </c:pt>
                <c:pt idx="165">
                  <c:v>4.9130000000000003</c:v>
                </c:pt>
                <c:pt idx="166">
                  <c:v>4.9390000000000001</c:v>
                </c:pt>
                <c:pt idx="167">
                  <c:v>4.9660000000000002</c:v>
                </c:pt>
                <c:pt idx="168">
                  <c:v>4.9930000000000003</c:v>
                </c:pt>
                <c:pt idx="169">
                  <c:v>5.0190000000000001</c:v>
                </c:pt>
                <c:pt idx="170">
                  <c:v>5.0460000000000003</c:v>
                </c:pt>
                <c:pt idx="171">
                  <c:v>5.0730000000000004</c:v>
                </c:pt>
                <c:pt idx="172">
                  <c:v>5.0990000000000002</c:v>
                </c:pt>
                <c:pt idx="173">
                  <c:v>5.1260000000000003</c:v>
                </c:pt>
                <c:pt idx="174">
                  <c:v>5.1529999999999996</c:v>
                </c:pt>
                <c:pt idx="175">
                  <c:v>5.1790000000000003</c:v>
                </c:pt>
                <c:pt idx="176">
                  <c:v>5.2060000000000004</c:v>
                </c:pt>
                <c:pt idx="177">
                  <c:v>5.2329999999999997</c:v>
                </c:pt>
                <c:pt idx="178">
                  <c:v>5.2590000000000003</c:v>
                </c:pt>
                <c:pt idx="179">
                  <c:v>5.2859999999999996</c:v>
                </c:pt>
                <c:pt idx="180">
                  <c:v>5.3129999999999997</c:v>
                </c:pt>
                <c:pt idx="181">
                  <c:v>5.3390000000000004</c:v>
                </c:pt>
                <c:pt idx="182">
                  <c:v>5.3659999999999997</c:v>
                </c:pt>
                <c:pt idx="183">
                  <c:v>5.3929999999999998</c:v>
                </c:pt>
                <c:pt idx="184">
                  <c:v>5.4189999999999996</c:v>
                </c:pt>
                <c:pt idx="185">
                  <c:v>5.4459999999999997</c:v>
                </c:pt>
                <c:pt idx="186">
                  <c:v>5.4729999999999999</c:v>
                </c:pt>
                <c:pt idx="187">
                  <c:v>5.4989999999999997</c:v>
                </c:pt>
                <c:pt idx="188">
                  <c:v>5.5259999999999998</c:v>
                </c:pt>
                <c:pt idx="189">
                  <c:v>5.5529999999999999</c:v>
                </c:pt>
                <c:pt idx="190">
                  <c:v>5.5789999999999997</c:v>
                </c:pt>
                <c:pt idx="191">
                  <c:v>5.6059999999999999</c:v>
                </c:pt>
                <c:pt idx="192">
                  <c:v>5.633</c:v>
                </c:pt>
                <c:pt idx="193">
                  <c:v>5.6589999999999998</c:v>
                </c:pt>
                <c:pt idx="194">
                  <c:v>5.6859999999999999</c:v>
                </c:pt>
                <c:pt idx="195">
                  <c:v>5.7130000000000001</c:v>
                </c:pt>
                <c:pt idx="196">
                  <c:v>5.7389999999999999</c:v>
                </c:pt>
                <c:pt idx="197">
                  <c:v>5.766</c:v>
                </c:pt>
                <c:pt idx="198">
                  <c:v>5.7930000000000001</c:v>
                </c:pt>
                <c:pt idx="199">
                  <c:v>5.819</c:v>
                </c:pt>
                <c:pt idx="200">
                  <c:v>5.8460000000000001</c:v>
                </c:pt>
                <c:pt idx="201">
                  <c:v>5.8730000000000002</c:v>
                </c:pt>
                <c:pt idx="202">
                  <c:v>5.899</c:v>
                </c:pt>
                <c:pt idx="203">
                  <c:v>5.9260000000000002</c:v>
                </c:pt>
                <c:pt idx="204">
                  <c:v>5.9530000000000003</c:v>
                </c:pt>
                <c:pt idx="205">
                  <c:v>5.9790000000000001</c:v>
                </c:pt>
                <c:pt idx="206">
                  <c:v>6.0060000000000002</c:v>
                </c:pt>
                <c:pt idx="207">
                  <c:v>6.0330000000000004</c:v>
                </c:pt>
                <c:pt idx="208">
                  <c:v>6.0590000000000002</c:v>
                </c:pt>
                <c:pt idx="209">
                  <c:v>6.0860000000000003</c:v>
                </c:pt>
                <c:pt idx="210">
                  <c:v>6.1130000000000004</c:v>
                </c:pt>
                <c:pt idx="211">
                  <c:v>6.1390000000000002</c:v>
                </c:pt>
                <c:pt idx="212">
                  <c:v>6.1660000000000004</c:v>
                </c:pt>
                <c:pt idx="213">
                  <c:v>6.1929999999999996</c:v>
                </c:pt>
                <c:pt idx="214">
                  <c:v>6.2190000000000003</c:v>
                </c:pt>
                <c:pt idx="215">
                  <c:v>6.2460000000000004</c:v>
                </c:pt>
                <c:pt idx="216">
                  <c:v>6.2729999999999997</c:v>
                </c:pt>
                <c:pt idx="217">
                  <c:v>6.2990000000000004</c:v>
                </c:pt>
                <c:pt idx="218">
                  <c:v>6.3259999999999996</c:v>
                </c:pt>
                <c:pt idx="219">
                  <c:v>6.3529999999999998</c:v>
                </c:pt>
                <c:pt idx="220">
                  <c:v>6.3789999999999996</c:v>
                </c:pt>
                <c:pt idx="221">
                  <c:v>6.4059999999999997</c:v>
                </c:pt>
                <c:pt idx="222">
                  <c:v>6.4329999999999998</c:v>
                </c:pt>
                <c:pt idx="223">
                  <c:v>6.4589999999999996</c:v>
                </c:pt>
                <c:pt idx="224">
                  <c:v>6.4859999999999998</c:v>
                </c:pt>
                <c:pt idx="225">
                  <c:v>6.5129999999999999</c:v>
                </c:pt>
                <c:pt idx="226">
                  <c:v>6.5389999999999997</c:v>
                </c:pt>
                <c:pt idx="227">
                  <c:v>6.5659999999999998</c:v>
                </c:pt>
                <c:pt idx="228">
                  <c:v>6.593</c:v>
                </c:pt>
                <c:pt idx="229">
                  <c:v>6.6189999999999998</c:v>
                </c:pt>
                <c:pt idx="230">
                  <c:v>6.6459999999999999</c:v>
                </c:pt>
                <c:pt idx="231">
                  <c:v>6.673</c:v>
                </c:pt>
                <c:pt idx="232">
                  <c:v>6.6989999999999998</c:v>
                </c:pt>
                <c:pt idx="233">
                  <c:v>6.726</c:v>
                </c:pt>
                <c:pt idx="234">
                  <c:v>6.7530000000000001</c:v>
                </c:pt>
                <c:pt idx="235">
                  <c:v>6.7789999999999999</c:v>
                </c:pt>
                <c:pt idx="236">
                  <c:v>6.806</c:v>
                </c:pt>
                <c:pt idx="237">
                  <c:v>6.8330000000000002</c:v>
                </c:pt>
                <c:pt idx="238">
                  <c:v>6.859</c:v>
                </c:pt>
                <c:pt idx="239">
                  <c:v>6.8860000000000001</c:v>
                </c:pt>
                <c:pt idx="240">
                  <c:v>6.9130000000000003</c:v>
                </c:pt>
                <c:pt idx="241">
                  <c:v>6.9390000000000001</c:v>
                </c:pt>
                <c:pt idx="242">
                  <c:v>6.9660000000000002</c:v>
                </c:pt>
                <c:pt idx="243">
                  <c:v>6.9930000000000003</c:v>
                </c:pt>
                <c:pt idx="244">
                  <c:v>7.0190000000000001</c:v>
                </c:pt>
                <c:pt idx="245">
                  <c:v>7.0460000000000003</c:v>
                </c:pt>
                <c:pt idx="246">
                  <c:v>7.0730000000000004</c:v>
                </c:pt>
                <c:pt idx="247">
                  <c:v>7.0990000000000002</c:v>
                </c:pt>
                <c:pt idx="248">
                  <c:v>7.1260000000000003</c:v>
                </c:pt>
                <c:pt idx="249">
                  <c:v>7.1529999999999996</c:v>
                </c:pt>
                <c:pt idx="250">
                  <c:v>7.1790000000000003</c:v>
                </c:pt>
                <c:pt idx="251">
                  <c:v>7.2060000000000004</c:v>
                </c:pt>
                <c:pt idx="252">
                  <c:v>7.2329999999999997</c:v>
                </c:pt>
                <c:pt idx="253">
                  <c:v>7.2590000000000003</c:v>
                </c:pt>
                <c:pt idx="254">
                  <c:v>7.2859999999999996</c:v>
                </c:pt>
                <c:pt idx="255">
                  <c:v>7.3129999999999997</c:v>
                </c:pt>
                <c:pt idx="256">
                  <c:v>7.3390000000000004</c:v>
                </c:pt>
                <c:pt idx="257">
                  <c:v>7.3659999999999997</c:v>
                </c:pt>
                <c:pt idx="258">
                  <c:v>7.3929999999999998</c:v>
                </c:pt>
                <c:pt idx="259">
                  <c:v>7.4189999999999996</c:v>
                </c:pt>
                <c:pt idx="260">
                  <c:v>7.4459999999999997</c:v>
                </c:pt>
                <c:pt idx="261">
                  <c:v>7.4729999999999999</c:v>
                </c:pt>
                <c:pt idx="262">
                  <c:v>7.4989999999999997</c:v>
                </c:pt>
                <c:pt idx="263">
                  <c:v>7.5259999999999998</c:v>
                </c:pt>
                <c:pt idx="264">
                  <c:v>7.5529999999999999</c:v>
                </c:pt>
                <c:pt idx="265">
                  <c:v>7.5789999999999997</c:v>
                </c:pt>
                <c:pt idx="266">
                  <c:v>7.6059999999999999</c:v>
                </c:pt>
                <c:pt idx="267">
                  <c:v>7.633</c:v>
                </c:pt>
                <c:pt idx="268">
                  <c:v>7.6589999999999998</c:v>
                </c:pt>
                <c:pt idx="269">
                  <c:v>7.6859999999999999</c:v>
                </c:pt>
                <c:pt idx="270">
                  <c:v>7.7130000000000001</c:v>
                </c:pt>
                <c:pt idx="271">
                  <c:v>7.7389999999999999</c:v>
                </c:pt>
                <c:pt idx="272">
                  <c:v>7.766</c:v>
                </c:pt>
                <c:pt idx="273">
                  <c:v>7.7930000000000001</c:v>
                </c:pt>
                <c:pt idx="274">
                  <c:v>7.819</c:v>
                </c:pt>
                <c:pt idx="275">
                  <c:v>7.8460000000000001</c:v>
                </c:pt>
                <c:pt idx="276">
                  <c:v>7.8730000000000002</c:v>
                </c:pt>
                <c:pt idx="277">
                  <c:v>7.899</c:v>
                </c:pt>
                <c:pt idx="278">
                  <c:v>7.9260000000000002</c:v>
                </c:pt>
                <c:pt idx="279">
                  <c:v>7.9530000000000003</c:v>
                </c:pt>
                <c:pt idx="280">
                  <c:v>7.9790000000000001</c:v>
                </c:pt>
                <c:pt idx="281">
                  <c:v>8.0060000000000002</c:v>
                </c:pt>
                <c:pt idx="282">
                  <c:v>8.0329999999999995</c:v>
                </c:pt>
                <c:pt idx="283">
                  <c:v>8.0589999999999993</c:v>
                </c:pt>
                <c:pt idx="284">
                  <c:v>8.0860000000000003</c:v>
                </c:pt>
                <c:pt idx="285">
                  <c:v>8.1129999999999995</c:v>
                </c:pt>
                <c:pt idx="286">
                  <c:v>8.1389999999999993</c:v>
                </c:pt>
                <c:pt idx="287">
                  <c:v>8.1660000000000004</c:v>
                </c:pt>
                <c:pt idx="288">
                  <c:v>8.1929999999999996</c:v>
                </c:pt>
                <c:pt idx="289">
                  <c:v>8.2189999999999994</c:v>
                </c:pt>
                <c:pt idx="290">
                  <c:v>8.2460000000000004</c:v>
                </c:pt>
                <c:pt idx="291">
                  <c:v>8.2729999999999997</c:v>
                </c:pt>
                <c:pt idx="292">
                  <c:v>8.2989999999999995</c:v>
                </c:pt>
                <c:pt idx="293">
                  <c:v>8.3260000000000005</c:v>
                </c:pt>
                <c:pt idx="294">
                  <c:v>8.3529999999999998</c:v>
                </c:pt>
                <c:pt idx="295">
                  <c:v>8.3789999999999996</c:v>
                </c:pt>
                <c:pt idx="296">
                  <c:v>8.4060000000000006</c:v>
                </c:pt>
                <c:pt idx="297">
                  <c:v>8.4329999999999998</c:v>
                </c:pt>
                <c:pt idx="298">
                  <c:v>8.4589999999999996</c:v>
                </c:pt>
                <c:pt idx="299">
                  <c:v>8.4860000000000007</c:v>
                </c:pt>
                <c:pt idx="300">
                  <c:v>8.5129999999999999</c:v>
                </c:pt>
                <c:pt idx="301">
                  <c:v>8.5389999999999997</c:v>
                </c:pt>
                <c:pt idx="302">
                  <c:v>8.5660000000000007</c:v>
                </c:pt>
                <c:pt idx="303">
                  <c:v>8.593</c:v>
                </c:pt>
                <c:pt idx="304">
                  <c:v>8.6189999999999998</c:v>
                </c:pt>
                <c:pt idx="305">
                  <c:v>8.6460000000000008</c:v>
                </c:pt>
                <c:pt idx="306">
                  <c:v>8.673</c:v>
                </c:pt>
                <c:pt idx="307">
                  <c:v>8.6989999999999998</c:v>
                </c:pt>
                <c:pt idx="308">
                  <c:v>8.7260000000000009</c:v>
                </c:pt>
                <c:pt idx="309">
                  <c:v>8.7530000000000001</c:v>
                </c:pt>
                <c:pt idx="310">
                  <c:v>8.7789999999999999</c:v>
                </c:pt>
                <c:pt idx="311">
                  <c:v>8.8059999999999992</c:v>
                </c:pt>
                <c:pt idx="312">
                  <c:v>8.8330000000000002</c:v>
                </c:pt>
                <c:pt idx="313">
                  <c:v>8.859</c:v>
                </c:pt>
                <c:pt idx="314">
                  <c:v>8.8859999999999992</c:v>
                </c:pt>
                <c:pt idx="315">
                  <c:v>8.9130000000000003</c:v>
                </c:pt>
                <c:pt idx="316">
                  <c:v>8.9390000000000001</c:v>
                </c:pt>
                <c:pt idx="317">
                  <c:v>8.9659999999999993</c:v>
                </c:pt>
                <c:pt idx="318">
                  <c:v>8.9930000000000003</c:v>
                </c:pt>
                <c:pt idx="319">
                  <c:v>9.0190000000000001</c:v>
                </c:pt>
                <c:pt idx="320">
                  <c:v>9.0459999999999994</c:v>
                </c:pt>
                <c:pt idx="321">
                  <c:v>9.0730000000000004</c:v>
                </c:pt>
                <c:pt idx="322">
                  <c:v>9.0990000000000002</c:v>
                </c:pt>
                <c:pt idx="323">
                  <c:v>9.1259999999999994</c:v>
                </c:pt>
                <c:pt idx="324">
                  <c:v>9.1530000000000005</c:v>
                </c:pt>
                <c:pt idx="325">
                  <c:v>9.1790000000000003</c:v>
                </c:pt>
                <c:pt idx="326">
                  <c:v>9.2059999999999995</c:v>
                </c:pt>
                <c:pt idx="327">
                  <c:v>9.2330000000000005</c:v>
                </c:pt>
                <c:pt idx="328">
                  <c:v>9.2590000000000003</c:v>
                </c:pt>
                <c:pt idx="329">
                  <c:v>9.2859999999999996</c:v>
                </c:pt>
                <c:pt idx="330">
                  <c:v>9.3130000000000006</c:v>
                </c:pt>
                <c:pt idx="331">
                  <c:v>9.3390000000000004</c:v>
                </c:pt>
                <c:pt idx="332">
                  <c:v>9.3659999999999997</c:v>
                </c:pt>
                <c:pt idx="333">
                  <c:v>9.3930000000000007</c:v>
                </c:pt>
                <c:pt idx="334">
                  <c:v>9.4190000000000005</c:v>
                </c:pt>
                <c:pt idx="335">
                  <c:v>9.4459999999999997</c:v>
                </c:pt>
                <c:pt idx="336">
                  <c:v>9.4730000000000008</c:v>
                </c:pt>
                <c:pt idx="337">
                  <c:v>9.4990000000000006</c:v>
                </c:pt>
                <c:pt idx="338">
                  <c:v>9.5259999999999998</c:v>
                </c:pt>
                <c:pt idx="339">
                  <c:v>9.5530000000000008</c:v>
                </c:pt>
                <c:pt idx="340">
                  <c:v>9.5790000000000006</c:v>
                </c:pt>
                <c:pt idx="341">
                  <c:v>9.6059999999999999</c:v>
                </c:pt>
                <c:pt idx="342">
                  <c:v>9.6329999999999991</c:v>
                </c:pt>
                <c:pt idx="343">
                  <c:v>9.6590000000000007</c:v>
                </c:pt>
                <c:pt idx="344">
                  <c:v>9.6859999999999999</c:v>
                </c:pt>
                <c:pt idx="345">
                  <c:v>9.7129999999999992</c:v>
                </c:pt>
                <c:pt idx="346">
                  <c:v>9.7390000000000008</c:v>
                </c:pt>
                <c:pt idx="347">
                  <c:v>9.766</c:v>
                </c:pt>
                <c:pt idx="348">
                  <c:v>9.7929999999999993</c:v>
                </c:pt>
                <c:pt idx="349">
                  <c:v>9.8190000000000008</c:v>
                </c:pt>
                <c:pt idx="350">
                  <c:v>9.8460000000000001</c:v>
                </c:pt>
                <c:pt idx="351">
                  <c:v>9.8729999999999993</c:v>
                </c:pt>
                <c:pt idx="352">
                  <c:v>9.8989999999999991</c:v>
                </c:pt>
                <c:pt idx="353">
                  <c:v>9.9260000000000002</c:v>
                </c:pt>
                <c:pt idx="354">
                  <c:v>9.9529999999999994</c:v>
                </c:pt>
                <c:pt idx="355">
                  <c:v>9.9789999999999992</c:v>
                </c:pt>
                <c:pt idx="356">
                  <c:v>10.006</c:v>
                </c:pt>
              </c:numCache>
            </c:numRef>
          </c:xVal>
          <c:yVal>
            <c:numRef>
              <c:f>ChromatogramData!$C$2:$C$10001</c:f>
              <c:numCache>
                <c:formatCode>General</c:formatCode>
                <c:ptCount val="10000"/>
                <c:pt idx="0">
                  <c:v>20.058923615629908</c:v>
                </c:pt>
                <c:pt idx="1">
                  <c:v>14.034452237387207</c:v>
                </c:pt>
                <c:pt idx="2">
                  <c:v>11.056631748562491</c:v>
                </c:pt>
                <c:pt idx="3">
                  <c:v>10.339346521327341</c:v>
                </c:pt>
                <c:pt idx="4">
                  <c:v>11.342821308923989</c:v>
                </c:pt>
                <c:pt idx="5">
                  <c:v>13.049090713104574</c:v>
                </c:pt>
                <c:pt idx="6">
                  <c:v>13.831583688270195</c:v>
                </c:pt>
                <c:pt idx="7">
                  <c:v>13.748262677025707</c:v>
                </c:pt>
                <c:pt idx="8">
                  <c:v>13.603356570513554</c:v>
                </c:pt>
                <c:pt idx="9">
                  <c:v>12.672334836172981</c:v>
                </c:pt>
                <c:pt idx="10">
                  <c:v>10.353837131978556</c:v>
                </c:pt>
                <c:pt idx="11">
                  <c:v>7.7020553828061811</c:v>
                </c:pt>
                <c:pt idx="12">
                  <c:v>6.3652965502315828</c:v>
                </c:pt>
                <c:pt idx="13">
                  <c:v>6.9159397549777584</c:v>
                </c:pt>
                <c:pt idx="14">
                  <c:v>9.9662132970585517</c:v>
                </c:pt>
                <c:pt idx="15">
                  <c:v>16.352949941581631</c:v>
                </c:pt>
                <c:pt idx="16">
                  <c:v>24.779240035263246</c:v>
                </c:pt>
                <c:pt idx="17">
                  <c:v>32.205677994011019</c:v>
                </c:pt>
                <c:pt idx="18">
                  <c:v>37.41505252312286</c:v>
                </c:pt>
                <c:pt idx="19">
                  <c:v>40.534156465796926</c:v>
                </c:pt>
                <c:pt idx="20">
                  <c:v>41.320272093625356</c:v>
                </c:pt>
                <c:pt idx="21">
                  <c:v>38.936566641500455</c:v>
                </c:pt>
                <c:pt idx="22">
                  <c:v>33.32145501415458</c:v>
                </c:pt>
                <c:pt idx="23">
                  <c:v>25.438562819893537</c:v>
                </c:pt>
                <c:pt idx="24">
                  <c:v>16.99778211556071</c:v>
                </c:pt>
                <c:pt idx="25">
                  <c:v>10.259648162745655</c:v>
                </c:pt>
                <c:pt idx="26">
                  <c:v>6.3979004241968163</c:v>
                </c:pt>
                <c:pt idx="27">
                  <c:v>4.7604614206095039</c:v>
                </c:pt>
                <c:pt idx="28">
                  <c:v>4.1373651626072521</c:v>
                </c:pt>
                <c:pt idx="29">
                  <c:v>3.8475529495829486</c:v>
                </c:pt>
                <c:pt idx="30">
                  <c:v>3.5867219578610765</c:v>
                </c:pt>
                <c:pt idx="31">
                  <c:v>3.2860417868483616</c:v>
                </c:pt>
                <c:pt idx="32">
                  <c:v>2.9744936578472361</c:v>
                </c:pt>
                <c:pt idx="33">
                  <c:v>2.7136626661253627</c:v>
                </c:pt>
                <c:pt idx="34">
                  <c:v>2.5071714643455469</c:v>
                </c:pt>
                <c:pt idx="35">
                  <c:v>2.3550200525077876</c:v>
                </c:pt>
                <c:pt idx="36">
                  <c:v>2.246340472623674</c:v>
                </c:pt>
                <c:pt idx="37">
                  <c:v>2.1412835454023638</c:v>
                </c:pt>
                <c:pt idx="38">
                  <c:v>2.0615851868206807</c:v>
                </c:pt>
                <c:pt idx="39">
                  <c:v>2.0181133548670354</c:v>
                </c:pt>
                <c:pt idx="40">
                  <c:v>2.0036227442158201</c:v>
                </c:pt>
                <c:pt idx="41">
                  <c:v>2.0000000915530163</c:v>
                </c:pt>
                <c:pt idx="42">
                  <c:v>2.0434719235066621</c:v>
                </c:pt>
                <c:pt idx="43">
                  <c:v>2.1449061980651676</c:v>
                </c:pt>
                <c:pt idx="44">
                  <c:v>2.2173592513212435</c:v>
                </c:pt>
                <c:pt idx="45">
                  <c:v>2.2535857779492816</c:v>
                </c:pt>
                <c:pt idx="46">
                  <c:v>2.2825669992517117</c:v>
                </c:pt>
                <c:pt idx="47">
                  <c:v>2.2789443465889079</c:v>
                </c:pt>
                <c:pt idx="48">
                  <c:v>2.2644537359376926</c:v>
                </c:pt>
                <c:pt idx="49">
                  <c:v>2.246340472623674</c:v>
                </c:pt>
                <c:pt idx="50">
                  <c:v>2.2354725146352625</c:v>
                </c:pt>
                <c:pt idx="51">
                  <c:v>2.2753216939261041</c:v>
                </c:pt>
                <c:pt idx="52">
                  <c:v>2.3441520945193761</c:v>
                </c:pt>
                <c:pt idx="53">
                  <c:v>2.4492090217406863</c:v>
                </c:pt>
                <c:pt idx="54">
                  <c:v>2.6086057389040529</c:v>
                </c:pt>
                <c:pt idx="55">
                  <c:v>2.8006063300326538</c:v>
                </c:pt>
                <c:pt idx="56">
                  <c:v>3.0252107951264886</c:v>
                </c:pt>
                <c:pt idx="57">
                  <c:v>3.3150230081507917</c:v>
                </c:pt>
                <c:pt idx="58">
                  <c:v>3.688156232419582</c:v>
                </c:pt>
                <c:pt idx="59">
                  <c:v>4.0721574146767843</c:v>
                </c:pt>
                <c:pt idx="60">
                  <c:v>4.2931392271078153</c:v>
                </c:pt>
                <c:pt idx="61">
                  <c:v>4.4199320703059479</c:v>
                </c:pt>
                <c:pt idx="62">
                  <c:v>4.4960077762248272</c:v>
                </c:pt>
                <c:pt idx="63">
                  <c:v>4.4525359442711814</c:v>
                </c:pt>
                <c:pt idx="64">
                  <c:v>4.5612155241552959</c:v>
                </c:pt>
                <c:pt idx="65">
                  <c:v>4.7640840732723078</c:v>
                </c:pt>
                <c:pt idx="66">
                  <c:v>5.0249150649941807</c:v>
                </c:pt>
                <c:pt idx="67">
                  <c:v>5.2096703507971736</c:v>
                </c:pt>
                <c:pt idx="68">
                  <c:v>5.2676327934020346</c:v>
                </c:pt>
                <c:pt idx="69">
                  <c:v>5.3545764573093262</c:v>
                </c:pt>
                <c:pt idx="70">
                  <c:v>5.3944256366001664</c:v>
                </c:pt>
                <c:pt idx="71">
                  <c:v>5.4777466478446541</c:v>
                </c:pt>
                <c:pt idx="72">
                  <c:v>5.6371433650080203</c:v>
                </c:pt>
                <c:pt idx="73">
                  <c:v>5.8074080401597996</c:v>
                </c:pt>
                <c:pt idx="74">
                  <c:v>6.2022771804054129</c:v>
                </c:pt>
                <c:pt idx="75">
                  <c:v>6.58265570999981</c:v>
                </c:pt>
                <c:pt idx="76">
                  <c:v>6.6261275419534558</c:v>
                </c:pt>
                <c:pt idx="77">
                  <c:v>6.4123910348480324</c:v>
                </c:pt>
                <c:pt idx="78">
                  <c:v>6.2855981916498997</c:v>
                </c:pt>
                <c:pt idx="79">
                  <c:v>6.4884667407669117</c:v>
                </c:pt>
                <c:pt idx="80">
                  <c:v>6.6261275419534558</c:v>
                </c:pt>
                <c:pt idx="81">
                  <c:v>6.5536744886973803</c:v>
                </c:pt>
                <c:pt idx="82">
                  <c:v>6.4558628668016773</c:v>
                </c:pt>
                <c:pt idx="83">
                  <c:v>6.5754104046742032</c:v>
                </c:pt>
                <c:pt idx="84">
                  <c:v>6.8833358810125249</c:v>
                </c:pt>
                <c:pt idx="85">
                  <c:v>7.2057519680020619</c:v>
                </c:pt>
                <c:pt idx="86">
                  <c:v>7.5281680549915988</c:v>
                </c:pt>
                <c:pt idx="87">
                  <c:v>7.7165459934573963</c:v>
                </c:pt>
                <c:pt idx="88">
                  <c:v>7.7636404780738451</c:v>
                </c:pt>
                <c:pt idx="89">
                  <c:v>7.7020553828061811</c:v>
                </c:pt>
                <c:pt idx="90">
                  <c:v>7.4955641810263653</c:v>
                </c:pt>
                <c:pt idx="91">
                  <c:v>7.3035635898977649</c:v>
                </c:pt>
                <c:pt idx="92">
                  <c:v>7.3542807271770174</c:v>
                </c:pt>
                <c:pt idx="93">
                  <c:v>7.1188083040947712</c:v>
                </c:pt>
                <c:pt idx="94">
                  <c:v>6.622504889290652</c:v>
                </c:pt>
                <c:pt idx="95">
                  <c:v>6.2819755389870968</c:v>
                </c:pt>
                <c:pt idx="96">
                  <c:v>6.3073341076267218</c:v>
                </c:pt>
                <c:pt idx="97">
                  <c:v>6.5971463206510261</c:v>
                </c:pt>
                <c:pt idx="98">
                  <c:v>7.2673370632697267</c:v>
                </c:pt>
                <c:pt idx="99">
                  <c:v>8.0353394277841304</c:v>
                </c:pt>
                <c:pt idx="100">
                  <c:v>8.8504362769149836</c:v>
                </c:pt>
                <c:pt idx="101">
                  <c:v>9.4191927449751791</c:v>
                </c:pt>
                <c:pt idx="102">
                  <c:v>9.5242496721964862</c:v>
                </c:pt>
                <c:pt idx="103">
                  <c:v>9.0170782994039573</c:v>
                </c:pt>
                <c:pt idx="104">
                  <c:v>8.1730002289706736</c:v>
                </c:pt>
                <c:pt idx="105">
                  <c:v>7.4484696964099166</c:v>
                </c:pt>
                <c:pt idx="106">
                  <c:v>7.1369215674087894</c:v>
                </c:pt>
                <c:pt idx="107">
                  <c:v>7.4883188757007568</c:v>
                </c:pt>
                <c:pt idx="108">
                  <c:v>8.5062842739486229</c:v>
                </c:pt>
                <c:pt idx="109">
                  <c:v>10.016930434337802</c:v>
                </c:pt>
                <c:pt idx="110">
                  <c:v>11.886219208344558</c:v>
                </c:pt>
                <c:pt idx="111">
                  <c:v>17.45423635107398</c:v>
                </c:pt>
                <c:pt idx="112">
                  <c:v>22.01877870620676</c:v>
                </c:pt>
                <c:pt idx="113">
                  <c:v>23.069347978419859</c:v>
                </c:pt>
                <c:pt idx="114">
                  <c:v>18.910542721521107</c:v>
                </c:pt>
                <c:pt idx="115">
                  <c:v>13.400488021396542</c:v>
                </c:pt>
                <c:pt idx="116">
                  <c:v>9.9481000337445309</c:v>
                </c:pt>
                <c:pt idx="117">
                  <c:v>8.4410765260181559</c:v>
                </c:pt>
                <c:pt idx="118">
                  <c:v>7.9447731112140358</c:v>
                </c:pt>
                <c:pt idx="119">
                  <c:v>7.8904333212719786</c:v>
                </c:pt>
                <c:pt idx="120">
                  <c:v>8.2164720609243194</c:v>
                </c:pt>
                <c:pt idx="121">
                  <c:v>10.857385852108282</c:v>
                </c:pt>
                <c:pt idx="122">
                  <c:v>12.183276726694469</c:v>
                </c:pt>
                <c:pt idx="123">
                  <c:v>12.190522032020077</c:v>
                </c:pt>
                <c:pt idx="124">
                  <c:v>10.060402266291447</c:v>
                </c:pt>
                <c:pt idx="125">
                  <c:v>8.8902854562058238</c:v>
                </c:pt>
                <c:pt idx="126">
                  <c:v>8.6330771171467564</c:v>
                </c:pt>
                <c:pt idx="127">
                  <c:v>8.346887556785255</c:v>
                </c:pt>
                <c:pt idx="128">
                  <c:v>7.9157918899116053</c:v>
                </c:pt>
                <c:pt idx="129">
                  <c:v>8.3867367360760987</c:v>
                </c:pt>
                <c:pt idx="130">
                  <c:v>12.520183424335222</c:v>
                </c:pt>
                <c:pt idx="131">
                  <c:v>15.987062022638451</c:v>
                </c:pt>
                <c:pt idx="132">
                  <c:v>15.708117767602559</c:v>
                </c:pt>
                <c:pt idx="133">
                  <c:v>13.09256254505822</c:v>
                </c:pt>
                <c:pt idx="134">
                  <c:v>10.035043697651822</c:v>
                </c:pt>
                <c:pt idx="135">
                  <c:v>7.8505841419811366</c:v>
                </c:pt>
                <c:pt idx="136">
                  <c:v>6.8760905756869164</c:v>
                </c:pt>
                <c:pt idx="137">
                  <c:v>6.618882236627849</c:v>
                </c:pt>
                <c:pt idx="138">
                  <c:v>6.6695993739071016</c:v>
                </c:pt>
                <c:pt idx="139">
                  <c:v>8.2200947135871232</c:v>
                </c:pt>
                <c:pt idx="140">
                  <c:v>10.763196882875384</c:v>
                </c:pt>
                <c:pt idx="141">
                  <c:v>11.455123541470908</c:v>
                </c:pt>
                <c:pt idx="142">
                  <c:v>10.650894650328466</c:v>
                </c:pt>
                <c:pt idx="143">
                  <c:v>8.459189789332175</c:v>
                </c:pt>
                <c:pt idx="144">
                  <c:v>7.5861304975964599</c:v>
                </c:pt>
                <c:pt idx="145">
                  <c:v>19.25831737715027</c:v>
                </c:pt>
                <c:pt idx="146">
                  <c:v>44.671225806718851</c:v>
                </c:pt>
                <c:pt idx="147">
                  <c:v>50.199393770157442</c:v>
                </c:pt>
                <c:pt idx="148">
                  <c:v>33.238134002910101</c:v>
                </c:pt>
                <c:pt idx="149">
                  <c:v>17.189782706689307</c:v>
                </c:pt>
                <c:pt idx="150">
                  <c:v>12.107201020775591</c:v>
                </c:pt>
                <c:pt idx="151">
                  <c:v>10.451648753874258</c:v>
                </c:pt>
                <c:pt idx="152">
                  <c:v>9.0895313526600319</c:v>
                </c:pt>
                <c:pt idx="153">
                  <c:v>8.1585096183194583</c:v>
                </c:pt>
                <c:pt idx="154">
                  <c:v>7.8542067946439396</c:v>
                </c:pt>
                <c:pt idx="155">
                  <c:v>7.6549608981897324</c:v>
                </c:pt>
                <c:pt idx="156">
                  <c:v>7.9701316798536617</c:v>
                </c:pt>
                <c:pt idx="157">
                  <c:v>8.3867367360760987</c:v>
                </c:pt>
                <c:pt idx="158">
                  <c:v>8.6874169070888119</c:v>
                </c:pt>
                <c:pt idx="159">
                  <c:v>8.1657549236450677</c:v>
                </c:pt>
                <c:pt idx="160">
                  <c:v>7.1260536094203797</c:v>
                </c:pt>
                <c:pt idx="161">
                  <c:v>6.4123910348480324</c:v>
                </c:pt>
                <c:pt idx="162">
                  <c:v>6.2855981916498997</c:v>
                </c:pt>
                <c:pt idx="163">
                  <c:v>6.8724679230241135</c:v>
                </c:pt>
                <c:pt idx="164">
                  <c:v>7.5607719289568331</c:v>
                </c:pt>
                <c:pt idx="165">
                  <c:v>8.7127754757284386</c:v>
                </c:pt>
                <c:pt idx="166">
                  <c:v>9.2670413331374171</c:v>
                </c:pt>
                <c:pt idx="167">
                  <c:v>9.0750407420088166</c:v>
                </c:pt>
                <c:pt idx="168">
                  <c:v>8.1403963550054392</c:v>
                </c:pt>
                <c:pt idx="169">
                  <c:v>7.4013752117934661</c:v>
                </c:pt>
                <c:pt idx="170">
                  <c:v>7.0391099455130881</c:v>
                </c:pt>
                <c:pt idx="171">
                  <c:v>7.0137513768734614</c:v>
                </c:pt>
                <c:pt idx="172">
                  <c:v>8.2128494082615155</c:v>
                </c:pt>
                <c:pt idx="173">
                  <c:v>9.7234955686506961</c:v>
                </c:pt>
                <c:pt idx="174">
                  <c:v>9.8502884118488296</c:v>
                </c:pt>
                <c:pt idx="175">
                  <c:v>10.582064249735195</c:v>
                </c:pt>
                <c:pt idx="176">
                  <c:v>10.353837131978556</c:v>
                </c:pt>
                <c:pt idx="177">
                  <c:v>9.0134556467411535</c:v>
                </c:pt>
                <c:pt idx="178">
                  <c:v>8.223717366249927</c:v>
                </c:pt>
                <c:pt idx="179">
                  <c:v>8.1114151337030087</c:v>
                </c:pt>
                <c:pt idx="180">
                  <c:v>7.7563951727482383</c:v>
                </c:pt>
                <c:pt idx="181">
                  <c:v>6.9195624076405622</c:v>
                </c:pt>
                <c:pt idx="182">
                  <c:v>6.6623540685814939</c:v>
                </c:pt>
                <c:pt idx="183">
                  <c:v>8.365000820099274</c:v>
                </c:pt>
                <c:pt idx="184">
                  <c:v>42.106387721453771</c:v>
                </c:pt>
                <c:pt idx="185">
                  <c:v>74.228448882534977</c:v>
                </c:pt>
                <c:pt idx="186">
                  <c:v>71.562176522711383</c:v>
                </c:pt>
                <c:pt idx="187">
                  <c:v>37.636034335553894</c:v>
                </c:pt>
                <c:pt idx="188">
                  <c:v>15.418305554578255</c:v>
                </c:pt>
                <c:pt idx="189">
                  <c:v>7.1985066626764551</c:v>
                </c:pt>
                <c:pt idx="190">
                  <c:v>6.3254473709407417</c:v>
                </c:pt>
                <c:pt idx="191">
                  <c:v>8.1150377863658125</c:v>
                </c:pt>
                <c:pt idx="192">
                  <c:v>10.172704498838366</c:v>
                </c:pt>
                <c:pt idx="193">
                  <c:v>10.313987952687713</c:v>
                </c:pt>
                <c:pt idx="194">
                  <c:v>8.8287003609381607</c:v>
                </c:pt>
                <c:pt idx="195">
                  <c:v>7.0572232088271072</c:v>
                </c:pt>
                <c:pt idx="196">
                  <c:v>6.560919794022988</c:v>
                </c:pt>
                <c:pt idx="197">
                  <c:v>6.542806530708968</c:v>
                </c:pt>
                <c:pt idx="198">
                  <c:v>6.5174479620693422</c:v>
                </c:pt>
                <c:pt idx="199">
                  <c:v>6.300088802301115</c:v>
                </c:pt>
                <c:pt idx="200">
                  <c:v>6.1551826957889624</c:v>
                </c:pt>
                <c:pt idx="201">
                  <c:v>6.0428804632420459</c:v>
                </c:pt>
                <c:pt idx="202">
                  <c:v>5.9378235360207352</c:v>
                </c:pt>
                <c:pt idx="203">
                  <c:v>5.9559367993347543</c:v>
                </c:pt>
                <c:pt idx="204">
                  <c:v>6.3037114549639188</c:v>
                </c:pt>
                <c:pt idx="205">
                  <c:v>6.4196363401736392</c:v>
                </c:pt>
                <c:pt idx="206">
                  <c:v>6.1914092224170005</c:v>
                </c:pt>
                <c:pt idx="207">
                  <c:v>5.9342008833579314</c:v>
                </c:pt>
                <c:pt idx="208">
                  <c:v>5.9088423147183056</c:v>
                </c:pt>
                <c:pt idx="209">
                  <c:v>6.0138992419396153</c:v>
                </c:pt>
                <c:pt idx="210">
                  <c:v>6.0609937265560641</c:v>
                </c:pt>
                <c:pt idx="211">
                  <c:v>6.0935976005212984</c:v>
                </c:pt>
                <c:pt idx="212">
                  <c:v>5.981295367974381</c:v>
                </c:pt>
                <c:pt idx="213">
                  <c:v>5.9124649673811085</c:v>
                </c:pt>
                <c:pt idx="214">
                  <c:v>5.9160876200439141</c:v>
                </c:pt>
                <c:pt idx="215">
                  <c:v>5.9486914940091475</c:v>
                </c:pt>
                <c:pt idx="216">
                  <c:v>6.0175218946024192</c:v>
                </c:pt>
                <c:pt idx="217">
                  <c:v>6.0283898525908306</c:v>
                </c:pt>
                <c:pt idx="218">
                  <c:v>6.021144547265223</c:v>
                </c:pt>
                <c:pt idx="219">
                  <c:v>6.021144547265223</c:v>
                </c:pt>
                <c:pt idx="220">
                  <c:v>6.0863522951956917</c:v>
                </c:pt>
                <c:pt idx="221">
                  <c:v>6.1262014744865327</c:v>
                </c:pt>
                <c:pt idx="222">
                  <c:v>6.1189561691609251</c:v>
                </c:pt>
                <c:pt idx="223">
                  <c:v>6.0428804632420459</c:v>
                </c:pt>
                <c:pt idx="224">
                  <c:v>6.0066539366140077</c:v>
                </c:pt>
                <c:pt idx="225">
                  <c:v>6.0682390318816717</c:v>
                </c:pt>
                <c:pt idx="226">
                  <c:v>6.2131451383938234</c:v>
                </c:pt>
                <c:pt idx="227">
                  <c:v>6.3652965502315828</c:v>
                </c:pt>
                <c:pt idx="228">
                  <c:v>6.3979004241968163</c:v>
                </c:pt>
                <c:pt idx="229">
                  <c:v>6.2493716650218616</c:v>
                </c:pt>
                <c:pt idx="230">
                  <c:v>6.1044655585097098</c:v>
                </c:pt>
                <c:pt idx="231">
                  <c:v>6.0320125052536335</c:v>
                </c:pt>
                <c:pt idx="232">
                  <c:v>6.0066539366140077</c:v>
                </c:pt>
                <c:pt idx="233">
                  <c:v>6.0102765892768106</c:v>
                </c:pt>
                <c:pt idx="234">
                  <c:v>6.021144547265223</c:v>
                </c:pt>
                <c:pt idx="235">
                  <c:v>6.0465031159048497</c:v>
                </c:pt>
                <c:pt idx="236">
                  <c:v>6.0718616845444764</c:v>
                </c:pt>
                <c:pt idx="237">
                  <c:v>6.079106989870084</c:v>
                </c:pt>
                <c:pt idx="238">
                  <c:v>6.1225788218237289</c:v>
                </c:pt>
                <c:pt idx="239">
                  <c:v>6.1986545277426091</c:v>
                </c:pt>
                <c:pt idx="240">
                  <c:v>6.2131451383938234</c:v>
                </c:pt>
                <c:pt idx="241">
                  <c:v>6.260239623010273</c:v>
                </c:pt>
                <c:pt idx="242">
                  <c:v>6.2674849283358807</c:v>
                </c:pt>
                <c:pt idx="243">
                  <c:v>6.2855981916498997</c:v>
                </c:pt>
                <c:pt idx="244">
                  <c:v>6.3399379815919561</c:v>
                </c:pt>
                <c:pt idx="245">
                  <c:v>6.3326926762663494</c:v>
                </c:pt>
                <c:pt idx="246">
                  <c:v>6.2964661496383112</c:v>
                </c:pt>
                <c:pt idx="247">
                  <c:v>6.2022771804054129</c:v>
                </c:pt>
                <c:pt idx="248">
                  <c:v>6.140692085137748</c:v>
                </c:pt>
                <c:pt idx="249">
                  <c:v>6.1189561691609251</c:v>
                </c:pt>
                <c:pt idx="250">
                  <c:v>6.1370694324749442</c:v>
                </c:pt>
                <c:pt idx="251">
                  <c:v>6.1479373904633556</c:v>
                </c:pt>
                <c:pt idx="252">
                  <c:v>6.1769186117657853</c:v>
                </c:pt>
                <c:pt idx="253">
                  <c:v>6.1914092224170005</c:v>
                </c:pt>
                <c:pt idx="254">
                  <c:v>6.2058998330682158</c:v>
                </c:pt>
                <c:pt idx="255">
                  <c:v>6.242126359696254</c:v>
                </c:pt>
                <c:pt idx="256">
                  <c:v>6.3979004241968163</c:v>
                </c:pt>
                <c:pt idx="257">
                  <c:v>6.5464291833717727</c:v>
                </c:pt>
                <c:pt idx="258">
                  <c:v>6.5971463206510261</c:v>
                </c:pt>
                <c:pt idx="259">
                  <c:v>6.542806530708968</c:v>
                </c:pt>
                <c:pt idx="260">
                  <c:v>6.4993346987553231</c:v>
                </c:pt>
                <c:pt idx="261">
                  <c:v>6.4594855194644811</c:v>
                </c:pt>
                <c:pt idx="262">
                  <c:v>6.5717877520113985</c:v>
                </c:pt>
                <c:pt idx="263">
                  <c:v>6.6261275419534558</c:v>
                </c:pt>
                <c:pt idx="264">
                  <c:v>6.6369954999418672</c:v>
                </c:pt>
                <c:pt idx="265">
                  <c:v>6.6877126372211206</c:v>
                </c:pt>
                <c:pt idx="266">
                  <c:v>6.58265570999981</c:v>
                </c:pt>
                <c:pt idx="267">
                  <c:v>6.542806530708968</c:v>
                </c:pt>
                <c:pt idx="268">
                  <c:v>6.5065800040809307</c:v>
                </c:pt>
                <c:pt idx="269">
                  <c:v>6.4667308247900896</c:v>
                </c:pt>
                <c:pt idx="270">
                  <c:v>6.4305042981620506</c:v>
                </c:pt>
                <c:pt idx="271">
                  <c:v>6.401523076859621</c:v>
                </c:pt>
                <c:pt idx="272">
                  <c:v>6.4051457295224239</c:v>
                </c:pt>
                <c:pt idx="273">
                  <c:v>6.4341269508248544</c:v>
                </c:pt>
                <c:pt idx="274">
                  <c:v>6.4594855194644811</c:v>
                </c:pt>
                <c:pt idx="275">
                  <c:v>6.481221435441304</c:v>
                </c:pt>
                <c:pt idx="276">
                  <c:v>6.4703534774528926</c:v>
                </c:pt>
                <c:pt idx="277">
                  <c:v>6.4703534774528926</c:v>
                </c:pt>
                <c:pt idx="278">
                  <c:v>6.5065800040809307</c:v>
                </c:pt>
                <c:pt idx="279">
                  <c:v>6.5899010153254185</c:v>
                </c:pt>
                <c:pt idx="280">
                  <c:v>6.7130712058607473</c:v>
                </c:pt>
                <c:pt idx="281">
                  <c:v>6.7674109958028037</c:v>
                </c:pt>
                <c:pt idx="282">
                  <c:v>6.781901606454019</c:v>
                </c:pt>
                <c:pt idx="283">
                  <c:v>6.7492977324887855</c:v>
                </c:pt>
                <c:pt idx="284">
                  <c:v>6.6840899845583168</c:v>
                </c:pt>
                <c:pt idx="285">
                  <c:v>6.644240805267474</c:v>
                </c:pt>
                <c:pt idx="286">
                  <c:v>6.644240805267474</c:v>
                </c:pt>
                <c:pt idx="287">
                  <c:v>6.618882236627849</c:v>
                </c:pt>
                <c:pt idx="288">
                  <c:v>6.622504889290652</c:v>
                </c:pt>
                <c:pt idx="289">
                  <c:v>6.618882236627849</c:v>
                </c:pt>
                <c:pt idx="290">
                  <c:v>6.6297501946162596</c:v>
                </c:pt>
                <c:pt idx="291">
                  <c:v>6.6623540685814939</c:v>
                </c:pt>
                <c:pt idx="292">
                  <c:v>6.7058259005351388</c:v>
                </c:pt>
                <c:pt idx="293">
                  <c:v>6.7927695644424304</c:v>
                </c:pt>
                <c:pt idx="294">
                  <c:v>6.9304303656289736</c:v>
                </c:pt>
                <c:pt idx="295">
                  <c:v>6.9666568922570127</c:v>
                </c:pt>
                <c:pt idx="296">
                  <c:v>7.0536005561643034</c:v>
                </c:pt>
                <c:pt idx="297">
                  <c:v>7.0209966821990681</c:v>
                </c:pt>
                <c:pt idx="298">
                  <c:v>6.9231850603033678</c:v>
                </c:pt>
                <c:pt idx="299">
                  <c:v>6.8833358810125249</c:v>
                </c:pt>
                <c:pt idx="300">
                  <c:v>6.9050717969893469</c:v>
                </c:pt>
                <c:pt idx="301">
                  <c:v>6.9594115869314042</c:v>
                </c:pt>
                <c:pt idx="302">
                  <c:v>6.9992607662222461</c:v>
                </c:pt>
                <c:pt idx="303">
                  <c:v>7.0644685141527139</c:v>
                </c:pt>
                <c:pt idx="304">
                  <c:v>7.1079403461063588</c:v>
                </c:pt>
                <c:pt idx="305">
                  <c:v>7.1550348307228093</c:v>
                </c:pt>
                <c:pt idx="306">
                  <c:v>7.1803933993624351</c:v>
                </c:pt>
                <c:pt idx="307">
                  <c:v>7.2129972733276704</c:v>
                </c:pt>
                <c:pt idx="308">
                  <c:v>7.2202425786532771</c:v>
                </c:pt>
                <c:pt idx="309">
                  <c:v>7.1985066626764551</c:v>
                </c:pt>
                <c:pt idx="310">
                  <c:v>7.2202425786532771</c:v>
                </c:pt>
                <c:pt idx="311">
                  <c:v>7.2166199259904742</c:v>
                </c:pt>
                <c:pt idx="312">
                  <c:v>7.2238652313160809</c:v>
                </c:pt>
                <c:pt idx="313">
                  <c:v>7.2383558419672962</c:v>
                </c:pt>
                <c:pt idx="314">
                  <c:v>7.2963182845721564</c:v>
                </c:pt>
                <c:pt idx="315">
                  <c:v>7.3325448112001954</c:v>
                </c:pt>
                <c:pt idx="316">
                  <c:v>7.3506580745142145</c:v>
                </c:pt>
                <c:pt idx="317">
                  <c:v>7.3723939904910356</c:v>
                </c:pt>
                <c:pt idx="318">
                  <c:v>7.4086205171190747</c:v>
                </c:pt>
                <c:pt idx="319">
                  <c:v>7.444847043747111</c:v>
                </c:pt>
                <c:pt idx="320">
                  <c:v>7.5209227496659921</c:v>
                </c:pt>
                <c:pt idx="321">
                  <c:v>7.5969984555848722</c:v>
                </c:pt>
                <c:pt idx="322">
                  <c:v>7.6585835508525362</c:v>
                </c:pt>
                <c:pt idx="323">
                  <c:v>7.6984327301433781</c:v>
                </c:pt>
                <c:pt idx="324">
                  <c:v>7.7672631307366489</c:v>
                </c:pt>
                <c:pt idx="325">
                  <c:v>7.8288482260043146</c:v>
                </c:pt>
                <c:pt idx="326">
                  <c:v>7.8542067946439396</c:v>
                </c:pt>
                <c:pt idx="327">
                  <c:v>7.9049239319231939</c:v>
                </c:pt>
                <c:pt idx="328">
                  <c:v>7.9302825005628206</c:v>
                </c:pt>
                <c:pt idx="329">
                  <c:v>7.9592637218652511</c:v>
                </c:pt>
                <c:pt idx="330">
                  <c:v>7.9954902484932884</c:v>
                </c:pt>
                <c:pt idx="331">
                  <c:v>8.0244714697957189</c:v>
                </c:pt>
                <c:pt idx="332">
                  <c:v>8.0570753437609532</c:v>
                </c:pt>
                <c:pt idx="333">
                  <c:v>8.0860565650633838</c:v>
                </c:pt>
                <c:pt idx="334">
                  <c:v>8.1367737023426372</c:v>
                </c:pt>
                <c:pt idx="335">
                  <c:v>8.2019814502731041</c:v>
                </c:pt>
                <c:pt idx="336">
                  <c:v>8.2853024615175919</c:v>
                </c:pt>
                <c:pt idx="337">
                  <c:v>8.404849999390116</c:v>
                </c:pt>
                <c:pt idx="338">
                  <c:v>8.5352654952510534</c:v>
                </c:pt>
                <c:pt idx="339">
                  <c:v>8.6765489491004022</c:v>
                </c:pt>
                <c:pt idx="340">
                  <c:v>8.7381340443680671</c:v>
                </c:pt>
                <c:pt idx="341">
                  <c:v>8.8395683189265704</c:v>
                </c:pt>
                <c:pt idx="342">
                  <c:v>8.9011534141942352</c:v>
                </c:pt>
                <c:pt idx="343">
                  <c:v>8.9373799408222752</c:v>
                </c:pt>
                <c:pt idx="344">
                  <c:v>9.024323604729565</c:v>
                </c:pt>
                <c:pt idx="345">
                  <c:v>9.1511164479276967</c:v>
                </c:pt>
                <c:pt idx="346">
                  <c:v>9.2742866384630265</c:v>
                </c:pt>
                <c:pt idx="347">
                  <c:v>9.3720982603587277</c:v>
                </c:pt>
                <c:pt idx="348">
                  <c:v>9.4228153976379829</c:v>
                </c:pt>
                <c:pt idx="349">
                  <c:v>9.4626645769288231</c:v>
                </c:pt>
                <c:pt idx="350">
                  <c:v>9.6365519047434045</c:v>
                </c:pt>
                <c:pt idx="351">
                  <c:v>9.8249298432092012</c:v>
                </c:pt>
                <c:pt idx="352">
                  <c:v>9.9191188124421004</c:v>
                </c:pt>
                <c:pt idx="353">
                  <c:v>9.9299867704305136</c:v>
                </c:pt>
                <c:pt idx="354">
                  <c:v>9.9118735071164927</c:v>
                </c:pt>
                <c:pt idx="355">
                  <c:v>9.9589679917329441</c:v>
                </c:pt>
                <c:pt idx="356">
                  <c:v>10.038666350314626</c:v>
                </c:pt>
              </c:numCache>
            </c:numRef>
          </c:yVal>
          <c:smooth val="1"/>
          <c:extLst>
            <c:ext xmlns:c16="http://schemas.microsoft.com/office/drawing/2014/chart" uri="{C3380CC4-5D6E-409C-BE32-E72D297353CC}">
              <c16:uniqueId val="{00000001-BC75-4D85-9A83-ACFCB27567B6}"/>
            </c:ext>
          </c:extLst>
        </c:ser>
        <c:ser>
          <c:idx val="4"/>
          <c:order val="4"/>
          <c:tx>
            <c:v>Labels</c:v>
          </c:tx>
          <c:spPr>
            <a:ln w="19050" cap="rnd">
              <a:noFill/>
              <a:round/>
            </a:ln>
            <a:effectLst/>
          </c:spPr>
          <c:marker>
            <c:symbol val="none"/>
          </c:marker>
          <c:dLbls>
            <c:dLbl>
              <c:idx val="0"/>
              <c:tx>
                <c:rich>
                  <a:bodyPr/>
                  <a:lstStyle/>
                  <a:p>
                    <a:fld id="{62FD2A50-4CDC-4138-A238-2B9F5A2032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26AE-4E18-BC3F-6700F715B65B}"/>
                </c:ext>
              </c:extLst>
            </c:dLbl>
            <c:dLbl>
              <c:idx val="1"/>
              <c:tx>
                <c:rich>
                  <a:bodyPr/>
                  <a:lstStyle/>
                  <a:p>
                    <a:fld id="{D48E2A9C-BC74-4689-B384-AFBC6CCF80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6AE-4E18-BC3F-6700F715B65B}"/>
                </c:ext>
              </c:extLst>
            </c:dLbl>
            <c:dLbl>
              <c:idx val="2"/>
              <c:tx>
                <c:rich>
                  <a:bodyPr/>
                  <a:lstStyle/>
                  <a:p>
                    <a:fld id="{3DEEC8FE-FCF8-4B82-8920-01142613A6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6AE-4E18-BC3F-6700F715B65B}"/>
                </c:ext>
              </c:extLst>
            </c:dLbl>
            <c:dLbl>
              <c:idx val="3"/>
              <c:tx>
                <c:rich>
                  <a:bodyPr/>
                  <a:lstStyle/>
                  <a:p>
                    <a:fld id="{030A7ED4-294E-4636-8D9D-438D4FA5FD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6AE-4E18-BC3F-6700F715B65B}"/>
                </c:ext>
              </c:extLst>
            </c:dLbl>
            <c:dLbl>
              <c:idx val="4"/>
              <c:tx>
                <c:rich>
                  <a:bodyPr/>
                  <a:lstStyle/>
                  <a:p>
                    <a:fld id="{CC6DE5D0-8AEA-433F-AD42-9737F4354B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6AE-4E18-BC3F-6700F715B65B}"/>
                </c:ext>
              </c:extLst>
            </c:dLbl>
            <c:dLbl>
              <c:idx val="5"/>
              <c:tx>
                <c:rich>
                  <a:bodyPr/>
                  <a:lstStyle/>
                  <a:p>
                    <a:fld id="{98BE54DA-AD52-4FB2-8396-3806F6ABAA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6AE-4E18-BC3F-6700F715B65B}"/>
                </c:ext>
              </c:extLst>
            </c:dLbl>
            <c:dLbl>
              <c:idx val="6"/>
              <c:tx>
                <c:rich>
                  <a:bodyPr/>
                  <a:lstStyle/>
                  <a:p>
                    <a:fld id="{A5B8E2A6-997E-4C82-8906-1BD5E6A0DC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6AE-4E18-BC3F-6700F715B65B}"/>
                </c:ext>
              </c:extLst>
            </c:dLbl>
            <c:dLbl>
              <c:idx val="7"/>
              <c:tx>
                <c:rich>
                  <a:bodyPr/>
                  <a:lstStyle/>
                  <a:p>
                    <a:fld id="{3442F2A2-4F77-4CC3-AD9D-4192ADCEBE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6AE-4E18-BC3F-6700F715B65B}"/>
                </c:ext>
              </c:extLst>
            </c:dLbl>
            <c:dLbl>
              <c:idx val="8"/>
              <c:tx>
                <c:rich>
                  <a:bodyPr/>
                  <a:lstStyle/>
                  <a:p>
                    <a:fld id="{1E11F77E-7593-4E38-BD39-1FC2AA6F00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6AE-4E18-BC3F-6700F715B65B}"/>
                </c:ext>
              </c:extLst>
            </c:dLbl>
            <c:dLbl>
              <c:idx val="9"/>
              <c:tx>
                <c:rich>
                  <a:bodyPr/>
                  <a:lstStyle/>
                  <a:p>
                    <a:fld id="{E79C1DBF-D2D5-4216-A380-7315031D14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6AE-4E18-BC3F-6700F715B65B}"/>
                </c:ext>
              </c:extLst>
            </c:dLbl>
            <c:dLbl>
              <c:idx val="10"/>
              <c:tx>
                <c:rich>
                  <a:bodyPr/>
                  <a:lstStyle/>
                  <a:p>
                    <a:fld id="{762A392D-ED93-4ACF-9E41-B8E4F8FD50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6AE-4E18-BC3F-6700F715B65B}"/>
                </c:ext>
              </c:extLst>
            </c:dLbl>
            <c:dLbl>
              <c:idx val="11"/>
              <c:tx>
                <c:rich>
                  <a:bodyPr/>
                  <a:lstStyle/>
                  <a:p>
                    <a:fld id="{A4994B21-2C51-4227-8E50-6DCC2A2DCE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6AE-4E18-BC3F-6700F715B65B}"/>
                </c:ext>
              </c:extLst>
            </c:dLbl>
            <c:dLbl>
              <c:idx val="12"/>
              <c:tx>
                <c:rich>
                  <a:bodyPr/>
                  <a:lstStyle/>
                  <a:p>
                    <a:fld id="{6B4DB009-C350-4038-B762-9DAB38D3E8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6AE-4E18-BC3F-6700F715B65B}"/>
                </c:ext>
              </c:extLst>
            </c:dLbl>
            <c:dLbl>
              <c:idx val="1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26AE-4E18-BC3F-6700F715B65B}"/>
                </c:ext>
              </c:extLst>
            </c:dLbl>
            <c:dLbl>
              <c:idx val="1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26AE-4E18-BC3F-6700F715B65B}"/>
                </c:ext>
              </c:extLst>
            </c:dLbl>
            <c:dLbl>
              <c:idx val="1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26AE-4E18-BC3F-6700F715B65B}"/>
                </c:ext>
              </c:extLst>
            </c:dLbl>
            <c:dLbl>
              <c:idx val="1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26AE-4E18-BC3F-6700F715B65B}"/>
                </c:ext>
              </c:extLst>
            </c:dLbl>
            <c:dLbl>
              <c:idx val="1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26AE-4E18-BC3F-6700F715B65B}"/>
                </c:ext>
              </c:extLst>
            </c:dLbl>
            <c:dLbl>
              <c:idx val="1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26AE-4E18-BC3F-6700F715B65B}"/>
                </c:ext>
              </c:extLst>
            </c:dLbl>
            <c:dLbl>
              <c:idx val="1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26AE-4E18-BC3F-6700F715B65B}"/>
                </c:ext>
              </c:extLst>
            </c:dLbl>
            <c:dLbl>
              <c:idx val="2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26AE-4E18-BC3F-6700F715B65B}"/>
                </c:ext>
              </c:extLst>
            </c:dLbl>
            <c:dLbl>
              <c:idx val="2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26AE-4E18-BC3F-6700F715B65B}"/>
                </c:ext>
              </c:extLst>
            </c:dLbl>
            <c:dLbl>
              <c:idx val="2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26AE-4E18-BC3F-6700F715B65B}"/>
                </c:ext>
              </c:extLst>
            </c:dLbl>
            <c:dLbl>
              <c:idx val="2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26AE-4E18-BC3F-6700F715B65B}"/>
                </c:ext>
              </c:extLst>
            </c:dLbl>
            <c:dLbl>
              <c:idx val="2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26AE-4E18-BC3F-6700F715B65B}"/>
                </c:ext>
              </c:extLst>
            </c:dLbl>
            <c:dLbl>
              <c:idx val="2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26AE-4E18-BC3F-6700F715B65B}"/>
                </c:ext>
              </c:extLst>
            </c:dLbl>
            <c:dLbl>
              <c:idx val="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26AE-4E18-BC3F-6700F715B65B}"/>
                </c:ext>
              </c:extLst>
            </c:dLbl>
            <c:dLbl>
              <c:idx val="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26AE-4E18-BC3F-6700F715B65B}"/>
                </c:ext>
              </c:extLst>
            </c:dLbl>
            <c:dLbl>
              <c:idx val="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26AE-4E18-BC3F-6700F715B65B}"/>
                </c:ext>
              </c:extLst>
            </c:dLbl>
            <c:dLbl>
              <c:idx val="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26AE-4E18-BC3F-6700F715B65B}"/>
                </c:ext>
              </c:extLst>
            </c:dLbl>
            <c:dLbl>
              <c:idx val="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26AE-4E18-BC3F-6700F715B65B}"/>
                </c:ext>
              </c:extLst>
            </c:dLbl>
            <c:dLbl>
              <c:idx val="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26AE-4E18-BC3F-6700F715B65B}"/>
                </c:ext>
              </c:extLst>
            </c:dLbl>
            <c:dLbl>
              <c:idx val="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26AE-4E18-BC3F-6700F715B65B}"/>
                </c:ext>
              </c:extLst>
            </c:dLbl>
            <c:dLbl>
              <c:idx val="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26AE-4E18-BC3F-6700F715B65B}"/>
                </c:ext>
              </c:extLst>
            </c:dLbl>
            <c:dLbl>
              <c:idx val="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26AE-4E18-BC3F-6700F715B65B}"/>
                </c:ext>
              </c:extLst>
            </c:dLbl>
            <c:dLbl>
              <c:idx val="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26AE-4E18-BC3F-6700F715B65B}"/>
                </c:ext>
              </c:extLst>
            </c:dLbl>
            <c:dLbl>
              <c:idx val="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26AE-4E18-BC3F-6700F715B65B}"/>
                </c:ext>
              </c:extLst>
            </c:dLbl>
            <c:dLbl>
              <c:idx val="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26AE-4E18-BC3F-6700F715B65B}"/>
                </c:ext>
              </c:extLst>
            </c:dLbl>
            <c:dLbl>
              <c:idx val="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26AE-4E18-BC3F-6700F715B65B}"/>
                </c:ext>
              </c:extLst>
            </c:dLbl>
            <c:dLbl>
              <c:idx val="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26AE-4E18-BC3F-6700F715B65B}"/>
                </c:ext>
              </c:extLst>
            </c:dLbl>
            <c:dLbl>
              <c:idx val="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26AE-4E18-BC3F-6700F715B65B}"/>
                </c:ext>
              </c:extLst>
            </c:dLbl>
            <c:dLbl>
              <c:idx val="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26AE-4E18-BC3F-6700F715B65B}"/>
                </c:ext>
              </c:extLst>
            </c:dLbl>
            <c:dLbl>
              <c:idx val="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26AE-4E18-BC3F-6700F715B65B}"/>
                </c:ext>
              </c:extLst>
            </c:dLbl>
            <c:dLbl>
              <c:idx val="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26AE-4E18-BC3F-6700F715B65B}"/>
                </c:ext>
              </c:extLst>
            </c:dLbl>
            <c:dLbl>
              <c:idx val="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26AE-4E18-BC3F-6700F715B65B}"/>
                </c:ext>
              </c:extLst>
            </c:dLbl>
            <c:dLbl>
              <c:idx val="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26AE-4E18-BC3F-6700F715B65B}"/>
                </c:ext>
              </c:extLst>
            </c:dLbl>
            <c:dLbl>
              <c:idx val="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26AE-4E18-BC3F-6700F715B65B}"/>
                </c:ext>
              </c:extLst>
            </c:dLbl>
            <c:dLbl>
              <c:idx val="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26AE-4E18-BC3F-6700F715B65B}"/>
                </c:ext>
              </c:extLst>
            </c:dLbl>
            <c:dLbl>
              <c:idx val="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26AE-4E18-BC3F-6700F715B65B}"/>
                </c:ext>
              </c:extLst>
            </c:dLbl>
            <c:dLbl>
              <c:idx val="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26AE-4E18-BC3F-6700F715B65B}"/>
                </c:ext>
              </c:extLst>
            </c:dLbl>
            <c:dLbl>
              <c:idx val="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26AE-4E18-BC3F-6700F715B65B}"/>
                </c:ext>
              </c:extLst>
            </c:dLbl>
            <c:dLbl>
              <c:idx val="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26AE-4E18-BC3F-6700F715B65B}"/>
                </c:ext>
              </c:extLst>
            </c:dLbl>
            <c:dLbl>
              <c:idx val="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26AE-4E18-BC3F-6700F715B65B}"/>
                </c:ext>
              </c:extLst>
            </c:dLbl>
            <c:dLbl>
              <c:idx val="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26AE-4E18-BC3F-6700F715B65B}"/>
                </c:ext>
              </c:extLst>
            </c:dLbl>
            <c:dLbl>
              <c:idx val="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26AE-4E18-BC3F-6700F715B65B}"/>
                </c:ext>
              </c:extLst>
            </c:dLbl>
            <c:dLbl>
              <c:idx val="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26AE-4E18-BC3F-6700F715B65B}"/>
                </c:ext>
              </c:extLst>
            </c:dLbl>
            <c:dLbl>
              <c:idx val="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26AE-4E18-BC3F-6700F715B65B}"/>
                </c:ext>
              </c:extLst>
            </c:dLbl>
            <c:dLbl>
              <c:idx val="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26AE-4E18-BC3F-6700F715B65B}"/>
                </c:ext>
              </c:extLst>
            </c:dLbl>
            <c:dLbl>
              <c:idx val="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26AE-4E18-BC3F-6700F715B65B}"/>
                </c:ext>
              </c:extLst>
            </c:dLbl>
            <c:dLbl>
              <c:idx val="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26AE-4E18-BC3F-6700F715B65B}"/>
                </c:ext>
              </c:extLst>
            </c:dLbl>
            <c:dLbl>
              <c:idx val="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26AE-4E18-BC3F-6700F715B65B}"/>
                </c:ext>
              </c:extLst>
            </c:dLbl>
            <c:dLbl>
              <c:idx val="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26AE-4E18-BC3F-6700F715B65B}"/>
                </c:ext>
              </c:extLst>
            </c:dLbl>
            <c:dLbl>
              <c:idx val="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26AE-4E18-BC3F-6700F715B65B}"/>
                </c:ext>
              </c:extLst>
            </c:dLbl>
            <c:dLbl>
              <c:idx val="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26AE-4E18-BC3F-6700F715B65B}"/>
                </c:ext>
              </c:extLst>
            </c:dLbl>
            <c:dLbl>
              <c:idx val="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26AE-4E18-BC3F-6700F715B65B}"/>
                </c:ext>
              </c:extLst>
            </c:dLbl>
            <c:dLbl>
              <c:idx val="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26AE-4E18-BC3F-6700F715B65B}"/>
                </c:ext>
              </c:extLst>
            </c:dLbl>
            <c:dLbl>
              <c:idx val="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26AE-4E18-BC3F-6700F715B65B}"/>
                </c:ext>
              </c:extLst>
            </c:dLbl>
            <c:dLbl>
              <c:idx val="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26AE-4E18-BC3F-6700F715B65B}"/>
                </c:ext>
              </c:extLst>
            </c:dLbl>
            <c:dLbl>
              <c:idx val="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26AE-4E18-BC3F-6700F715B65B}"/>
                </c:ext>
              </c:extLst>
            </c:dLbl>
            <c:dLbl>
              <c:idx val="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26AE-4E18-BC3F-6700F715B65B}"/>
                </c:ext>
              </c:extLst>
            </c:dLbl>
            <c:dLbl>
              <c:idx val="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26AE-4E18-BC3F-6700F715B65B}"/>
                </c:ext>
              </c:extLst>
            </c:dLbl>
            <c:dLbl>
              <c:idx val="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26AE-4E18-BC3F-6700F715B65B}"/>
                </c:ext>
              </c:extLst>
            </c:dLbl>
            <c:dLbl>
              <c:idx val="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26AE-4E18-BC3F-6700F715B65B}"/>
                </c:ext>
              </c:extLst>
            </c:dLbl>
            <c:dLbl>
              <c:idx val="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26AE-4E18-BC3F-6700F715B65B}"/>
                </c:ext>
              </c:extLst>
            </c:dLbl>
            <c:dLbl>
              <c:idx val="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26AE-4E18-BC3F-6700F715B65B}"/>
                </c:ext>
              </c:extLst>
            </c:dLbl>
            <c:dLbl>
              <c:idx val="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26AE-4E18-BC3F-6700F715B65B}"/>
                </c:ext>
              </c:extLst>
            </c:dLbl>
            <c:dLbl>
              <c:idx val="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26AE-4E18-BC3F-6700F715B65B}"/>
                </c:ext>
              </c:extLst>
            </c:dLbl>
            <c:dLbl>
              <c:idx val="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26AE-4E18-BC3F-6700F715B65B}"/>
                </c:ext>
              </c:extLst>
            </c:dLbl>
            <c:dLbl>
              <c:idx val="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26AE-4E18-BC3F-6700F715B65B}"/>
                </c:ext>
              </c:extLst>
            </c:dLbl>
            <c:dLbl>
              <c:idx val="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26AE-4E18-BC3F-6700F715B65B}"/>
                </c:ext>
              </c:extLst>
            </c:dLbl>
            <c:dLbl>
              <c:idx val="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26AE-4E18-BC3F-6700F715B65B}"/>
                </c:ext>
              </c:extLst>
            </c:dLbl>
            <c:dLbl>
              <c:idx val="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26AE-4E18-BC3F-6700F715B65B}"/>
                </c:ext>
              </c:extLst>
            </c:dLbl>
            <c:dLbl>
              <c:idx val="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26AE-4E18-BC3F-6700F715B65B}"/>
                </c:ext>
              </c:extLst>
            </c:dLbl>
            <c:dLbl>
              <c:idx val="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26AE-4E18-BC3F-6700F715B65B}"/>
                </c:ext>
              </c:extLst>
            </c:dLbl>
            <c:dLbl>
              <c:idx val="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26AE-4E18-BC3F-6700F715B65B}"/>
                </c:ext>
              </c:extLst>
            </c:dLbl>
            <c:dLbl>
              <c:idx val="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26AE-4E18-BC3F-6700F715B65B}"/>
                </c:ext>
              </c:extLst>
            </c:dLbl>
            <c:dLbl>
              <c:idx val="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26AE-4E18-BC3F-6700F715B65B}"/>
                </c:ext>
              </c:extLst>
            </c:dLbl>
            <c:dLbl>
              <c:idx val="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26AE-4E18-BC3F-6700F715B65B}"/>
                </c:ext>
              </c:extLst>
            </c:dLbl>
            <c:dLbl>
              <c:idx val="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26AE-4E18-BC3F-6700F715B65B}"/>
                </c:ext>
              </c:extLst>
            </c:dLbl>
            <c:dLbl>
              <c:idx val="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26AE-4E18-BC3F-6700F715B65B}"/>
                </c:ext>
              </c:extLst>
            </c:dLbl>
            <c:dLbl>
              <c:idx val="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26AE-4E18-BC3F-6700F715B65B}"/>
                </c:ext>
              </c:extLst>
            </c:dLbl>
            <c:dLbl>
              <c:idx val="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26AE-4E18-BC3F-6700F715B65B}"/>
                </c:ext>
              </c:extLst>
            </c:dLbl>
            <c:dLbl>
              <c:idx val="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26AE-4E18-BC3F-6700F715B65B}"/>
                </c:ext>
              </c:extLst>
            </c:dLbl>
            <c:dLbl>
              <c:idx val="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26AE-4E18-BC3F-6700F715B65B}"/>
                </c:ext>
              </c:extLst>
            </c:dLbl>
            <c:dLbl>
              <c:idx val="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26AE-4E18-BC3F-6700F715B65B}"/>
                </c:ext>
              </c:extLst>
            </c:dLbl>
            <c:dLbl>
              <c:idx val="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26AE-4E18-BC3F-6700F715B65B}"/>
                </c:ext>
              </c:extLst>
            </c:dLbl>
            <c:dLbl>
              <c:idx val="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26AE-4E18-BC3F-6700F715B65B}"/>
                </c:ext>
              </c:extLst>
            </c:dLbl>
            <c:dLbl>
              <c:idx val="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26AE-4E18-BC3F-6700F715B65B}"/>
                </c:ext>
              </c:extLst>
            </c:dLbl>
            <c:dLbl>
              <c:idx val="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26AE-4E18-BC3F-6700F715B65B}"/>
                </c:ext>
              </c:extLst>
            </c:dLbl>
            <c:dLbl>
              <c:idx val="9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26AE-4E18-BC3F-6700F715B65B}"/>
                </c:ext>
              </c:extLst>
            </c:dLbl>
            <c:spPr>
              <a:noFill/>
              <a:ln>
                <a:noFill/>
              </a:ln>
              <a:effectLst/>
            </c:spPr>
            <c:txPr>
              <a:bodyPr rot="-5400000" spcFirstLastPara="1" vertOverflow="ellipsis" vert="horz" wrap="square" lIns="127000" tIns="19050" rIns="38100" bIns="19050" anchor="ctr" anchorCtr="1">
                <a:spAutoFit/>
              </a:bodyPr>
              <a:lstStyle/>
              <a:p>
                <a:pPr>
                  <a:defRPr sz="1200" b="0" i="0" u="none" strike="noStrike" kern="1200" baseline="0">
                    <a:solidFill>
                      <a:schemeClr val="tx1">
                        <a:lumMod val="100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ysClr val="windowText" lastClr="000000">
                          <a:lumMod val="100000"/>
                        </a:sysClr>
                      </a:solidFill>
                      <a:prstDash val="solid"/>
                      <a:round/>
                      <a:headEnd type="none" w="med" len="med"/>
                      <a:tailEnd type="none" w="med" len="med"/>
                    </a:ln>
                    <a:effectLst/>
                  </c:spPr>
                </c15:leaderLines>
              </c:ext>
            </c:extLst>
          </c:dLbls>
          <c:xVal>
            <c:numRef>
              <c:f>Peaks!$B$5:$B$104</c:f>
              <c:numCache>
                <c:formatCode>0.00</c:formatCode>
                <c:ptCount val="100"/>
                <c:pt idx="0">
                  <c:v>1.0365329999999999</c:v>
                </c:pt>
                <c:pt idx="1">
                  <c:v>2.5560399999999999</c:v>
                </c:pt>
                <c:pt idx="2">
                  <c:v>3.204631</c:v>
                </c:pt>
                <c:pt idx="3">
                  <c:v>3.5169709999999998</c:v>
                </c:pt>
                <c:pt idx="4">
                  <c:v>3.7843619999999998</c:v>
                </c:pt>
                <c:pt idx="5">
                  <c:v>4.0231880000000002</c:v>
                </c:pt>
                <c:pt idx="6">
                  <c:v>4.2717910000000003</c:v>
                </c:pt>
                <c:pt idx="7">
                  <c:v>4.4267830000000004</c:v>
                </c:pt>
                <c:pt idx="8">
                  <c:v>4.7411899999999996</c:v>
                </c:pt>
                <c:pt idx="9">
                  <c:v>4.9512619999999998</c:v>
                </c:pt>
                <c:pt idx="10">
                  <c:v>5.4557019999999996</c:v>
                </c:pt>
                <c:pt idx="11">
                  <c:v>5.6547900000000002</c:v>
                </c:pt>
                <c:pt idx="12">
                  <c:v>8.5678719999999995</c:v>
                </c:pt>
              </c:numCache>
            </c:numRef>
          </c:xVal>
          <c:yVal>
            <c:numRef>
              <c:f>Peaks!$R$5:$R$104</c:f>
              <c:numCache>
                <c:formatCode>0.0</c:formatCode>
                <c:ptCount val="100"/>
                <c:pt idx="0">
                  <c:v>81.195230791981061</c:v>
                </c:pt>
                <c:pt idx="1">
                  <c:v>18.726505035817748</c:v>
                </c:pt>
                <c:pt idx="2">
                  <c:v>13.064693517652699</c:v>
                </c:pt>
                <c:pt idx="3">
                  <c:v>100</c:v>
                </c:pt>
                <c:pt idx="4">
                  <c:v>28.102920612327377</c:v>
                </c:pt>
                <c:pt idx="5">
                  <c:v>41.425623419104184</c:v>
                </c:pt>
                <c:pt idx="6">
                  <c:v>55.710025528176018</c:v>
                </c:pt>
                <c:pt idx="7">
                  <c:v>63.198243916033896</c:v>
                </c:pt>
                <c:pt idx="8">
                  <c:v>15.1299684800773</c:v>
                </c:pt>
                <c:pt idx="9">
                  <c:v>28.848715392319964</c:v>
                </c:pt>
                <c:pt idx="10">
                  <c:v>93.582015482895784</c:v>
                </c:pt>
                <c:pt idx="11">
                  <c:v>53.884191573737247</c:v>
                </c:pt>
                <c:pt idx="12">
                  <c:v>69.973830864261544</c:v>
                </c:pt>
              </c:numCache>
            </c:numRef>
          </c:yVal>
          <c:smooth val="1"/>
          <c:extLst>
            <c:ext xmlns:c15="http://schemas.microsoft.com/office/drawing/2012/chart" uri="{02D57815-91ED-43cb-92C2-25804820EDAC}">
              <c15:datalabelsRange>
                <c15:f>Peaks!$S$5:$S$104</c15:f>
                <c15:dlblRangeCache>
                  <c:ptCount val="100"/>
                  <c:pt idx="0">
                    <c:v>1</c:v>
                  </c:pt>
                  <c:pt idx="1">
                    <c:v>2</c:v>
                  </c:pt>
                  <c:pt idx="2">
                    <c:v>3</c:v>
                  </c:pt>
                  <c:pt idx="3">
                    <c:v>4</c:v>
                  </c:pt>
                  <c:pt idx="4">
                    <c:v>5</c:v>
                  </c:pt>
                  <c:pt idx="5">
                    <c:v>6</c:v>
                  </c:pt>
                  <c:pt idx="6">
                    <c:v>7</c:v>
                  </c:pt>
                  <c:pt idx="7">
                    <c:v>8</c:v>
                  </c:pt>
                  <c:pt idx="8">
                    <c:v>9</c:v>
                  </c:pt>
                  <c:pt idx="9">
                    <c:v>10</c:v>
                  </c:pt>
                  <c:pt idx="10">
                    <c:v>11</c:v>
                  </c:pt>
                  <c:pt idx="11">
                    <c:v>12</c:v>
                  </c:pt>
                  <c:pt idx="12">
                    <c:v>13</c:v>
                  </c:pt>
                </c15:dlblRangeCache>
              </c15:datalabelsRange>
            </c:ext>
            <c:ext xmlns:c16="http://schemas.microsoft.com/office/drawing/2014/chart" uri="{C3380CC4-5D6E-409C-BE32-E72D297353CC}">
              <c16:uniqueId val="{00000002-BC75-4D85-9A83-ACFCB27567B6}"/>
            </c:ext>
          </c:extLst>
        </c:ser>
        <c:dLbls>
          <c:showLegendKey val="0"/>
          <c:showVal val="0"/>
          <c:showCatName val="0"/>
          <c:showSerName val="0"/>
          <c:showPercent val="0"/>
          <c:showBubbleSize val="0"/>
        </c:dLbls>
        <c:axId val="1816206016"/>
        <c:axId val="1816206560"/>
      </c:scatterChart>
      <c:scatterChart>
        <c:scatterStyle val="smoothMarker"/>
        <c:varyColors val="0"/>
        <c:ser>
          <c:idx val="2"/>
          <c:order val="2"/>
          <c:tx>
            <c:strRef>
              <c:f>ChromatogramData!$E$1</c:f>
              <c:strCache>
                <c:ptCount val="1"/>
                <c:pt idx="0">
                  <c:v>MS Pos</c:v>
                </c:pt>
              </c:strCache>
            </c:strRef>
          </c:tx>
          <c:spPr>
            <a:ln w="12700" cap="rnd">
              <a:noFill/>
              <a:round/>
            </a:ln>
            <a:effectLst/>
            <a:extLst>
              <a:ext uri="{91240B29-F687-4F45-9708-019B960494DF}">
                <a14:hiddenLine xmlns:a14="http://schemas.microsoft.com/office/drawing/2010/main" w="12700" cap="rnd">
                  <a:solidFill>
                    <a:srgbClr val="ED7D31">
                      <a:lumMod val="75000"/>
                    </a:srgbClr>
                  </a:solidFill>
                  <a:round/>
                </a14:hiddenLine>
              </a:ext>
            </a:extLst>
          </c:spPr>
          <c:marker>
            <c:symbol val="none"/>
          </c:marker>
          <c:xVal>
            <c:numRef>
              <c:f>ChromatogramData!$D$2:$D$2000</c:f>
              <c:numCache>
                <c:formatCode>General</c:formatCode>
                <c:ptCount val="1999"/>
              </c:numCache>
            </c:numRef>
          </c:xVal>
          <c:yVal>
            <c:numRef>
              <c:f>ChromatogramData!$E$2:$E$2000</c:f>
              <c:numCache>
                <c:formatCode>General</c:formatCode>
                <c:ptCount val="1999"/>
              </c:numCache>
            </c:numRef>
          </c:yVal>
          <c:smooth val="1"/>
          <c:extLst>
            <c:ext xmlns:c16="http://schemas.microsoft.com/office/drawing/2014/chart" uri="{C3380CC4-5D6E-409C-BE32-E72D297353CC}">
              <c16:uniqueId val="{00000003-BC75-4D85-9A83-ACFCB27567B6}"/>
            </c:ext>
          </c:extLst>
        </c:ser>
        <c:ser>
          <c:idx val="3"/>
          <c:order val="3"/>
          <c:tx>
            <c:strRef>
              <c:f>ChromatogramData!$F$1</c:f>
              <c:strCache>
                <c:ptCount val="1"/>
                <c:pt idx="0">
                  <c:v>MS Neg</c:v>
                </c:pt>
              </c:strCache>
            </c:strRef>
          </c:tx>
          <c:spPr>
            <a:ln w="12700" cap="rnd">
              <a:noFill/>
              <a:round/>
            </a:ln>
            <a:effectLst/>
            <a:extLst>
              <a:ext uri="{91240B29-F687-4F45-9708-019B960494DF}">
                <a14:hiddenLine xmlns:a14="http://schemas.microsoft.com/office/drawing/2010/main" w="12700" cap="rnd">
                  <a:solidFill>
                    <a:srgbClr val="00B050"/>
                  </a:solidFill>
                  <a:round/>
                </a14:hiddenLine>
              </a:ext>
            </a:extLst>
          </c:spPr>
          <c:marker>
            <c:symbol val="none"/>
          </c:marker>
          <c:xVal>
            <c:numRef>
              <c:f>ChromatogramData!$D$2:$D$2000</c:f>
              <c:numCache>
                <c:formatCode>General</c:formatCode>
                <c:ptCount val="1999"/>
              </c:numCache>
            </c:numRef>
          </c:xVal>
          <c:yVal>
            <c:numRef>
              <c:f>ChromatogramData!$F$2:$F$2000</c:f>
              <c:numCache>
                <c:formatCode>General</c:formatCode>
                <c:ptCount val="1999"/>
              </c:numCache>
            </c:numRef>
          </c:yVal>
          <c:smooth val="1"/>
          <c:extLst>
            <c:ext xmlns:c16="http://schemas.microsoft.com/office/drawing/2014/chart" uri="{C3380CC4-5D6E-409C-BE32-E72D297353CC}">
              <c16:uniqueId val="{00000004-BC75-4D85-9A83-ACFCB27567B6}"/>
            </c:ext>
          </c:extLst>
        </c:ser>
        <c:dLbls>
          <c:showLegendKey val="0"/>
          <c:showVal val="0"/>
          <c:showCatName val="0"/>
          <c:showSerName val="0"/>
          <c:showPercent val="0"/>
          <c:showBubbleSize val="0"/>
        </c:dLbls>
        <c:axId val="1816209280"/>
        <c:axId val="1816207104"/>
      </c:scatterChart>
      <c:valAx>
        <c:axId val="1816206016"/>
        <c:scaling>
          <c:orientation val="minMax"/>
          <c:max val="10"/>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r>
                  <a:rPr lang="en-AU" sz="1200">
                    <a:solidFill>
                      <a:schemeClr val="tx1"/>
                    </a:solidFill>
                    <a:latin typeface="Arial" panose="020B0604020202020204" pitchFamily="34" charset="0"/>
                    <a:cs typeface="Arial" panose="020B0604020202020204" pitchFamily="34" charset="0"/>
                  </a:rPr>
                  <a:t>Retention</a:t>
                </a:r>
                <a:r>
                  <a:rPr lang="en-AU" sz="1200" baseline="0">
                    <a:solidFill>
                      <a:schemeClr val="tx1"/>
                    </a:solidFill>
                    <a:latin typeface="Arial" panose="020B0604020202020204" pitchFamily="34" charset="0"/>
                    <a:cs typeface="Arial" panose="020B0604020202020204" pitchFamily="34" charset="0"/>
                  </a:rPr>
                  <a:t> Time (min)</a:t>
                </a:r>
                <a:endParaRPr lang="en-AU" sz="1200">
                  <a:solidFill>
                    <a:schemeClr val="tx1"/>
                  </a:solidFill>
                  <a:latin typeface="Arial" panose="020B0604020202020204" pitchFamily="34" charset="0"/>
                  <a:cs typeface="Arial" panose="020B0604020202020204" pitchFamily="34" charset="0"/>
                </a:endParaRPr>
              </a:p>
            </c:rich>
          </c:tx>
          <c:layout>
            <c:manualLayout>
              <c:xMode val="edge"/>
              <c:yMode val="edge"/>
              <c:x val="0.42837352576358767"/>
              <c:y val="0.96208768544209855"/>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06560"/>
        <c:crosses val="autoZero"/>
        <c:crossBetween val="midCat"/>
        <c:majorUnit val="0.5"/>
      </c:valAx>
      <c:valAx>
        <c:axId val="1816206560"/>
        <c:scaling>
          <c:orientation val="minMax"/>
          <c:max val="10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06016"/>
        <c:crosses val="autoZero"/>
        <c:crossBetween val="midCat"/>
        <c:majorUnit val="20"/>
        <c:minorUnit val="5"/>
      </c:valAx>
      <c:valAx>
        <c:axId val="1816207104"/>
        <c:scaling>
          <c:orientation val="minMax"/>
          <c:max val="105"/>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209280"/>
        <c:crosses val="max"/>
        <c:crossBetween val="midCat"/>
        <c:minorUnit val="5"/>
      </c:valAx>
      <c:valAx>
        <c:axId val="1816209280"/>
        <c:scaling>
          <c:orientation val="minMax"/>
        </c:scaling>
        <c:delete val="1"/>
        <c:axPos val="b"/>
        <c:numFmt formatCode="General" sourceLinked="1"/>
        <c:majorTickMark val="out"/>
        <c:minorTickMark val="none"/>
        <c:tickLblPos val="nextTo"/>
        <c:crossAx val="1816207104"/>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1"/>
        <c:txPr>
          <a:bodyPr rot="0" spcFirstLastPara="1" vertOverflow="ellipsis" vert="horz" wrap="square" anchor="ctr" anchorCtr="1"/>
          <a:lstStyle/>
          <a:p>
            <a:pPr>
              <a:defRPr sz="12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2"/>
        <c:delete val="1"/>
      </c:legendEntry>
      <c:legendEntry>
        <c:idx val="3"/>
        <c:txPr>
          <a:bodyPr rot="0" spcFirstLastPara="1" vertOverflow="ellipsis" vert="horz" wrap="square" anchor="ctr" anchorCtr="1"/>
          <a:lstStyle/>
          <a:p>
            <a:pPr>
              <a:defRPr sz="1200" b="0" i="0" u="none" strike="noStrike" kern="1200" baseline="0">
                <a:noFill/>
                <a:latin typeface="Arial" panose="020B0604020202020204" pitchFamily="34" charset="0"/>
                <a:ea typeface="+mn-ea"/>
                <a:cs typeface="Arial" panose="020B0604020202020204" pitchFamily="34" charset="0"/>
              </a:defRPr>
            </a:pPr>
            <a:endParaRPr lang="en-US"/>
          </a:p>
        </c:txPr>
      </c:legendEntry>
      <c:legendEntry>
        <c:idx val="4"/>
        <c:txPr>
          <a:bodyPr rot="0" spcFirstLastPara="1" vertOverflow="ellipsis" vert="horz" wrap="square" anchor="ctr" anchorCtr="1"/>
          <a:lstStyle/>
          <a:p>
            <a:pPr>
              <a:defRPr sz="1200" b="0" i="0" u="none" strike="noStrike" kern="1200" baseline="0">
                <a:noFill/>
                <a:latin typeface="Arial" panose="020B0604020202020204" pitchFamily="34" charset="0"/>
                <a:ea typeface="+mn-ea"/>
                <a:cs typeface="Arial" panose="020B0604020202020204" pitchFamily="34" charset="0"/>
              </a:defRPr>
            </a:pPr>
            <a:endParaRPr lang="en-US"/>
          </a:p>
        </c:txPr>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r">
              <a:defRPr sz="1100" b="0" i="0" u="none" strike="noStrike" kern="1200" spc="0" baseline="0">
                <a:solidFill>
                  <a:schemeClr val="tx1"/>
                </a:solidFill>
                <a:latin typeface="Arial" panose="020B0604020202020204" pitchFamily="34" charset="0"/>
                <a:ea typeface="+mn-ea"/>
                <a:cs typeface="Arial" panose="020B0604020202020204" pitchFamily="34" charset="0"/>
              </a:defRPr>
            </a:pPr>
            <a:r>
              <a:rPr lang="en-US" sz="1100">
                <a:solidFill>
                  <a:schemeClr val="tx1"/>
                </a:solidFill>
                <a:latin typeface="Arial" panose="020B0604020202020204" pitchFamily="34" charset="0"/>
                <a:cs typeface="Arial" panose="020B0604020202020204" pitchFamily="34" charset="0"/>
              </a:rPr>
              <a:t>ID</a:t>
            </a:r>
          </a:p>
        </c:rich>
      </c:tx>
      <c:layout>
        <c:manualLayout>
          <c:xMode val="edge"/>
          <c:yMode val="edge"/>
          <c:x val="0.76368499125865907"/>
          <c:y val="0.10296010296010295"/>
        </c:manualLayout>
      </c:layout>
      <c:overlay val="0"/>
      <c:spPr>
        <a:noFill/>
        <a:ln>
          <a:noFill/>
        </a:ln>
        <a:effectLst/>
      </c:spPr>
      <c:txPr>
        <a:bodyPr rot="0" spcFirstLastPara="1" vertOverflow="ellipsis" vert="horz" wrap="square" anchor="ctr" anchorCtr="1"/>
        <a:lstStyle/>
        <a:p>
          <a:pPr algn="r">
            <a:defRPr sz="110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1.9240725553496058E-2"/>
          <c:y val="2.038452480418745E-2"/>
          <c:w val="0.7786186853225624"/>
          <c:h val="0.8918530894554404"/>
        </c:manualLayout>
      </c:layout>
      <c:scatterChart>
        <c:scatterStyle val="smoothMarker"/>
        <c:varyColors val="0"/>
        <c:ser>
          <c:idx val="0"/>
          <c:order val="0"/>
          <c:tx>
            <c:v>1</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51.147224426269531</c:v>
                </c:pt>
                <c:pt idx="1">
                  <c:v>51.914592742919922</c:v>
                </c:pt>
                <c:pt idx="2">
                  <c:v>52.879619598388672</c:v>
                </c:pt>
                <c:pt idx="3">
                  <c:v>54.41485595703125</c:v>
                </c:pt>
                <c:pt idx="4">
                  <c:v>56.209144592285156</c:v>
                </c:pt>
                <c:pt idx="5">
                  <c:v>58.149112701416016</c:v>
                </c:pt>
                <c:pt idx="6">
                  <c:v>60.186489105224609</c:v>
                </c:pt>
                <c:pt idx="7">
                  <c:v>61.865200042724609</c:v>
                </c:pt>
                <c:pt idx="8">
                  <c:v>62.730113983154297</c:v>
                </c:pt>
                <c:pt idx="9">
                  <c:v>62.431877136230469</c:v>
                </c:pt>
                <c:pt idx="10">
                  <c:v>60.813739776611328</c:v>
                </c:pt>
                <c:pt idx="11">
                  <c:v>57.899517059326172</c:v>
                </c:pt>
                <c:pt idx="12">
                  <c:v>53.935047149658203</c:v>
                </c:pt>
                <c:pt idx="13">
                  <c:v>49.235240936279297</c:v>
                </c:pt>
                <c:pt idx="14">
                  <c:v>44.469818115234375</c:v>
                </c:pt>
                <c:pt idx="15">
                  <c:v>40.764991760253906</c:v>
                </c:pt>
                <c:pt idx="16">
                  <c:v>39.193565368652344</c:v>
                </c:pt>
                <c:pt idx="17">
                  <c:v>39.993412017822266</c:v>
                </c:pt>
                <c:pt idx="18">
                  <c:v>43.224372863769531</c:v>
                </c:pt>
                <c:pt idx="19">
                  <c:v>48.777080535888672</c:v>
                </c:pt>
                <c:pt idx="20">
                  <c:v>55.945850372314453</c:v>
                </c:pt>
                <c:pt idx="21">
                  <c:v>64.365486145019531</c:v>
                </c:pt>
                <c:pt idx="22">
                  <c:v>73.684730529785156</c:v>
                </c:pt>
                <c:pt idx="23">
                  <c:v>82.599327087402344</c:v>
                </c:pt>
                <c:pt idx="24">
                  <c:v>90.781494140625</c:v>
                </c:pt>
                <c:pt idx="25">
                  <c:v>96.868125915527344</c:v>
                </c:pt>
                <c:pt idx="26">
                  <c:v>99.999992370605469</c:v>
                </c:pt>
                <c:pt idx="27">
                  <c:v>99.085899353027344</c:v>
                </c:pt>
                <c:pt idx="28">
                  <c:v>94.199806213378906</c:v>
                </c:pt>
                <c:pt idx="29">
                  <c:v>87.17010498046875</c:v>
                </c:pt>
                <c:pt idx="30">
                  <c:v>79.926483154296875</c:v>
                </c:pt>
                <c:pt idx="31">
                  <c:v>74.391304016113281</c:v>
                </c:pt>
                <c:pt idx="32">
                  <c:v>70.594200134277344</c:v>
                </c:pt>
                <c:pt idx="33">
                  <c:v>68.145980834960938</c:v>
                </c:pt>
                <c:pt idx="34">
                  <c:v>66.237640380859375</c:v>
                </c:pt>
                <c:pt idx="35">
                  <c:v>63.94769287109375</c:v>
                </c:pt>
                <c:pt idx="36">
                  <c:v>60.771083831787109</c:v>
                </c:pt>
                <c:pt idx="37">
                  <c:v>56.467079162597656</c:v>
                </c:pt>
                <c:pt idx="38">
                  <c:v>51.338409423828125</c:v>
                </c:pt>
                <c:pt idx="39">
                  <c:v>45.655143737792969</c:v>
                </c:pt>
                <c:pt idx="40">
                  <c:v>40.180019378662109</c:v>
                </c:pt>
                <c:pt idx="41">
                  <c:v>35.523960113525391</c:v>
                </c:pt>
                <c:pt idx="42">
                  <c:v>32.053863525390625</c:v>
                </c:pt>
                <c:pt idx="43">
                  <c:v>29.879817962646484</c:v>
                </c:pt>
                <c:pt idx="44">
                  <c:v>28.772052764892578</c:v>
                </c:pt>
                <c:pt idx="45">
                  <c:v>28.340429306030273</c:v>
                </c:pt>
                <c:pt idx="46">
                  <c:v>28.286367416381836</c:v>
                </c:pt>
                <c:pt idx="47">
                  <c:v>28.311105728149414</c:v>
                </c:pt>
                <c:pt idx="48">
                  <c:v>28.205278396606445</c:v>
                </c:pt>
                <c:pt idx="49">
                  <c:v>27.852521896362305</c:v>
                </c:pt>
                <c:pt idx="50">
                  <c:v>27.199579238891602</c:v>
                </c:pt>
                <c:pt idx="51">
                  <c:v>26.159137725830078</c:v>
                </c:pt>
                <c:pt idx="52">
                  <c:v>24.763402938842773</c:v>
                </c:pt>
                <c:pt idx="53">
                  <c:v>23.089195251464844</c:v>
                </c:pt>
                <c:pt idx="54">
                  <c:v>21.129951477050781</c:v>
                </c:pt>
                <c:pt idx="55">
                  <c:v>19.110858917236328</c:v>
                </c:pt>
                <c:pt idx="56">
                  <c:v>17.161832809448242</c:v>
                </c:pt>
                <c:pt idx="57">
                  <c:v>15.319568634033203</c:v>
                </c:pt>
                <c:pt idx="58">
                  <c:v>13.745458602905273</c:v>
                </c:pt>
                <c:pt idx="59">
                  <c:v>12.563267707824707</c:v>
                </c:pt>
                <c:pt idx="60">
                  <c:v>11.787467956542969</c:v>
                </c:pt>
                <c:pt idx="61">
                  <c:v>11.434780120849609</c:v>
                </c:pt>
                <c:pt idx="62">
                  <c:v>11.443497657775879</c:v>
                </c:pt>
                <c:pt idx="63">
                  <c:v>11.794060707092285</c:v>
                </c:pt>
                <c:pt idx="64">
                  <c:v>12.428475379943848</c:v>
                </c:pt>
                <c:pt idx="65">
                  <c:v>13.270581245422363</c:v>
                </c:pt>
                <c:pt idx="66">
                  <c:v>14.233791351318359</c:v>
                </c:pt>
                <c:pt idx="67">
                  <c:v>15.349346160888672</c:v>
                </c:pt>
                <c:pt idx="68">
                  <c:v>16.624540328979492</c:v>
                </c:pt>
                <c:pt idx="69">
                  <c:v>17.981010437011719</c:v>
                </c:pt>
                <c:pt idx="70">
                  <c:v>19.281280517578125</c:v>
                </c:pt>
                <c:pt idx="71">
                  <c:v>20.654903411865234</c:v>
                </c:pt>
                <c:pt idx="72">
                  <c:v>22.120161056518555</c:v>
                </c:pt>
                <c:pt idx="73">
                  <c:v>23.596042633056641</c:v>
                </c:pt>
                <c:pt idx="74">
                  <c:v>25.010244369506836</c:v>
                </c:pt>
                <c:pt idx="75">
                  <c:v>26.295038223266602</c:v>
                </c:pt>
                <c:pt idx="76">
                  <c:v>27.506160736083984</c:v>
                </c:pt>
                <c:pt idx="77">
                  <c:v>28.609058380126953</c:v>
                </c:pt>
                <c:pt idx="78">
                  <c:v>29.589078903198242</c:v>
                </c:pt>
                <c:pt idx="79">
                  <c:v>30.425601959228516</c:v>
                </c:pt>
                <c:pt idx="80">
                  <c:v>31.162521362304688</c:v>
                </c:pt>
                <c:pt idx="81">
                  <c:v>31.672840118408203</c:v>
                </c:pt>
                <c:pt idx="82">
                  <c:v>32.014762878417969</c:v>
                </c:pt>
                <c:pt idx="83">
                  <c:v>32.218204498291016</c:v>
                </c:pt>
                <c:pt idx="84">
                  <c:v>32.0792236328125</c:v>
                </c:pt>
                <c:pt idx="85">
                  <c:v>31.688751220703125</c:v>
                </c:pt>
                <c:pt idx="86">
                  <c:v>31.130336761474609</c:v>
                </c:pt>
                <c:pt idx="87">
                  <c:v>30.291194915771484</c:v>
                </c:pt>
                <c:pt idx="88">
                  <c:v>29.361166000366211</c:v>
                </c:pt>
                <c:pt idx="89">
                  <c:v>28.295017242431641</c:v>
                </c:pt>
                <c:pt idx="90">
                  <c:v>27.007562637329102</c:v>
                </c:pt>
                <c:pt idx="91">
                  <c:v>25.548101425170898</c:v>
                </c:pt>
                <c:pt idx="92">
                  <c:v>24.027853012084961</c:v>
                </c:pt>
                <c:pt idx="93">
                  <c:v>22.444005966186523</c:v>
                </c:pt>
                <c:pt idx="94">
                  <c:v>20.788705825805664</c:v>
                </c:pt>
                <c:pt idx="95">
                  <c:v>19.234477996826172</c:v>
                </c:pt>
                <c:pt idx="96">
                  <c:v>17.613918304443359</c:v>
                </c:pt>
                <c:pt idx="97">
                  <c:v>15.988002777099609</c:v>
                </c:pt>
                <c:pt idx="98">
                  <c:v>14.427251815795898</c:v>
                </c:pt>
                <c:pt idx="99">
                  <c:v>13.048355102539063</c:v>
                </c:pt>
                <c:pt idx="100">
                  <c:v>11.570459365844727</c:v>
                </c:pt>
                <c:pt idx="101">
                  <c:v>10.246091842651367</c:v>
                </c:pt>
                <c:pt idx="102">
                  <c:v>9.1353769302368164</c:v>
                </c:pt>
                <c:pt idx="103">
                  <c:v>7.936272144317627</c:v>
                </c:pt>
                <c:pt idx="104">
                  <c:v>6.8836817741394043</c:v>
                </c:pt>
                <c:pt idx="105">
                  <c:v>6.0307469367980957</c:v>
                </c:pt>
                <c:pt idx="106">
                  <c:v>5.2542800903320313</c:v>
                </c:pt>
                <c:pt idx="107">
                  <c:v>4.6104397773742676</c:v>
                </c:pt>
                <c:pt idx="108">
                  <c:v>4.1574535369873047</c:v>
                </c:pt>
                <c:pt idx="109">
                  <c:v>3.7185003757476807</c:v>
                </c:pt>
                <c:pt idx="110">
                  <c:v>3.3327696323394775</c:v>
                </c:pt>
                <c:pt idx="111">
                  <c:v>3.0685203075408936</c:v>
                </c:pt>
                <c:pt idx="112">
                  <c:v>2.8767790794372559</c:v>
                </c:pt>
                <c:pt idx="113">
                  <c:v>2.7157225608825684</c:v>
                </c:pt>
                <c:pt idx="114">
                  <c:v>2.576392650604248</c:v>
                </c:pt>
                <c:pt idx="115">
                  <c:v>2.4915571212768555</c:v>
                </c:pt>
                <c:pt idx="116">
                  <c:v>2.3960025310516357</c:v>
                </c:pt>
                <c:pt idx="117">
                  <c:v>2.2901902198791504</c:v>
                </c:pt>
                <c:pt idx="118">
                  <c:v>2.2094111442565918</c:v>
                </c:pt>
                <c:pt idx="119">
                  <c:v>2.1707437038421631</c:v>
                </c:pt>
                <c:pt idx="120">
                  <c:v>2.2183215618133545</c:v>
                </c:pt>
                <c:pt idx="121">
                  <c:v>2.2237050533294678</c:v>
                </c:pt>
                <c:pt idx="122">
                  <c:v>2.200115442276001</c:v>
                </c:pt>
                <c:pt idx="123">
                  <c:v>2.248896598815918</c:v>
                </c:pt>
                <c:pt idx="124">
                  <c:v>2.2171390056610107</c:v>
                </c:pt>
                <c:pt idx="125">
                  <c:v>2.157322883605957</c:v>
                </c:pt>
                <c:pt idx="126">
                  <c:v>2.1271262168884277</c:v>
                </c:pt>
                <c:pt idx="127">
                  <c:v>2.1460542678833008</c:v>
                </c:pt>
                <c:pt idx="128">
                  <c:v>2.1692862510681152</c:v>
                </c:pt>
                <c:pt idx="129">
                  <c:v>2.1323652267456055</c:v>
                </c:pt>
                <c:pt idx="130">
                  <c:v>2.116950511932373</c:v>
                </c:pt>
                <c:pt idx="131">
                  <c:v>2.1717751026153564</c:v>
                </c:pt>
                <c:pt idx="132">
                  <c:v>2.1593513488769531</c:v>
                </c:pt>
                <c:pt idx="133">
                  <c:v>2.133760929107666</c:v>
                </c:pt>
                <c:pt idx="134">
                  <c:v>2.193742036819458</c:v>
                </c:pt>
                <c:pt idx="135">
                  <c:v>2.1661233901977539</c:v>
                </c:pt>
                <c:pt idx="136">
                  <c:v>2.7484564781188965</c:v>
                </c:pt>
                <c:pt idx="137">
                  <c:v>3.1941201686859131</c:v>
                </c:pt>
                <c:pt idx="138">
                  <c:v>2.6279098987579346</c:v>
                </c:pt>
                <c:pt idx="139">
                  <c:v>2.2059526443481445</c:v>
                </c:pt>
                <c:pt idx="140">
                  <c:v>2.1791524887084961</c:v>
                </c:pt>
                <c:pt idx="141">
                  <c:v>2.1911087036132813</c:v>
                </c:pt>
                <c:pt idx="142">
                  <c:v>2.1845633983612061</c:v>
                </c:pt>
                <c:pt idx="143">
                  <c:v>2.1138086318969727</c:v>
                </c:pt>
                <c:pt idx="144">
                  <c:v>2.1767115592956543</c:v>
                </c:pt>
                <c:pt idx="145">
                  <c:v>2.2545549869537354</c:v>
                </c:pt>
                <c:pt idx="146">
                  <c:v>2.2693850994110107</c:v>
                </c:pt>
                <c:pt idx="147">
                  <c:v>2.2763018608093262</c:v>
                </c:pt>
                <c:pt idx="148">
                  <c:v>2.2455136775970459</c:v>
                </c:pt>
                <c:pt idx="149">
                  <c:v>2.2121613025665283</c:v>
                </c:pt>
                <c:pt idx="150">
                  <c:v>2.1270368099212646</c:v>
                </c:pt>
                <c:pt idx="151">
                  <c:v>2.0589909553527832</c:v>
                </c:pt>
                <c:pt idx="152">
                  <c:v>2.1514031887054443</c:v>
                </c:pt>
                <c:pt idx="153">
                  <c:v>2.1980528831481934</c:v>
                </c:pt>
                <c:pt idx="154">
                  <c:v>2.2096104621887207</c:v>
                </c:pt>
                <c:pt idx="155">
                  <c:v>2.1907787322998047</c:v>
                </c:pt>
                <c:pt idx="156">
                  <c:v>2.1061768531799316</c:v>
                </c:pt>
                <c:pt idx="157">
                  <c:v>2.1614139080047607</c:v>
                </c:pt>
                <c:pt idx="158">
                  <c:v>2.1803967952728271</c:v>
                </c:pt>
                <c:pt idx="159">
                  <c:v>2.1242110729217529</c:v>
                </c:pt>
                <c:pt idx="160">
                  <c:v>2.2092735767364502</c:v>
                </c:pt>
                <c:pt idx="161">
                  <c:v>2.2412922382354736</c:v>
                </c:pt>
                <c:pt idx="162">
                  <c:v>2.1737277507781982</c:v>
                </c:pt>
                <c:pt idx="163">
                  <c:v>2.1200857162475586</c:v>
                </c:pt>
                <c:pt idx="164">
                  <c:v>2.2416911125183105</c:v>
                </c:pt>
                <c:pt idx="165">
                  <c:v>2.2932083606719971</c:v>
                </c:pt>
                <c:pt idx="166">
                  <c:v>2.2688627243041992</c:v>
                </c:pt>
                <c:pt idx="167">
                  <c:v>2.330878734588623</c:v>
                </c:pt>
                <c:pt idx="168">
                  <c:v>2.3306174278259277</c:v>
                </c:pt>
                <c:pt idx="169">
                  <c:v>2.2999670505523682</c:v>
                </c:pt>
                <c:pt idx="170">
                  <c:v>2.2839884757995605</c:v>
                </c:pt>
                <c:pt idx="171">
                  <c:v>2.1725313663482666</c:v>
                </c:pt>
                <c:pt idx="172">
                  <c:v>2.1210551261901855</c:v>
                </c:pt>
                <c:pt idx="173">
                  <c:v>2.1292095184326172</c:v>
                </c:pt>
                <c:pt idx="174">
                  <c:v>2.1648995876312256</c:v>
                </c:pt>
                <c:pt idx="175">
                  <c:v>2.315244197845459</c:v>
                </c:pt>
                <c:pt idx="176">
                  <c:v>2.3161516189575195</c:v>
                </c:pt>
                <c:pt idx="177">
                  <c:v>2.1852095127105713</c:v>
                </c:pt>
                <c:pt idx="178">
                  <c:v>2.2204599380493164</c:v>
                </c:pt>
                <c:pt idx="179">
                  <c:v>2.1994004249572754</c:v>
                </c:pt>
                <c:pt idx="180">
                  <c:v>2.1496844291687012</c:v>
                </c:pt>
                <c:pt idx="181">
                  <c:v>2.2526230812072754</c:v>
                </c:pt>
                <c:pt idx="182">
                  <c:v>2.1720020771026611</c:v>
                </c:pt>
                <c:pt idx="183">
                  <c:v>2.2023911476135254</c:v>
                </c:pt>
                <c:pt idx="184">
                  <c:v>2.201958179473877</c:v>
                </c:pt>
                <c:pt idx="185">
                  <c:v>2.0606341361999512</c:v>
                </c:pt>
                <c:pt idx="186">
                  <c:v>2.0905697345733643</c:v>
                </c:pt>
                <c:pt idx="187">
                  <c:v>2.179640531539917</c:v>
                </c:pt>
                <c:pt idx="188">
                  <c:v>2.1810843944549561</c:v>
                </c:pt>
                <c:pt idx="189">
                  <c:v>2.1886680126190186</c:v>
                </c:pt>
                <c:pt idx="190">
                  <c:v>2.2091085910797119</c:v>
                </c:pt>
                <c:pt idx="191">
                  <c:v>2.2488758563995361</c:v>
                </c:pt>
                <c:pt idx="192">
                  <c:v>2.3099088668823242</c:v>
                </c:pt>
                <c:pt idx="193">
                  <c:v>2.2273008823394775</c:v>
                </c:pt>
                <c:pt idx="194">
                  <c:v>2.2245094776153564</c:v>
                </c:pt>
                <c:pt idx="195">
                  <c:v>2.2497766017913818</c:v>
                </c:pt>
                <c:pt idx="196">
                  <c:v>2.2641737461090088</c:v>
                </c:pt>
                <c:pt idx="197">
                  <c:v>2.2300853729248047</c:v>
                </c:pt>
                <c:pt idx="198">
                  <c:v>2.151348352432251</c:v>
                </c:pt>
                <c:pt idx="199">
                  <c:v>2.1664328575134277</c:v>
                </c:pt>
                <c:pt idx="200">
                  <c:v>2.1757490634918213</c:v>
                </c:pt>
                <c:pt idx="201">
                  <c:v>2.2105042934417725</c:v>
                </c:pt>
                <c:pt idx="202">
                  <c:v>2.2165133953094482</c:v>
                </c:pt>
                <c:pt idx="203">
                  <c:v>2.2392158508300781</c:v>
                </c:pt>
                <c:pt idx="204">
                  <c:v>2.1616613864898682</c:v>
                </c:pt>
                <c:pt idx="205">
                  <c:v>2.1915006637573242</c:v>
                </c:pt>
                <c:pt idx="206">
                  <c:v>2.1910192966461182</c:v>
                </c:pt>
                <c:pt idx="207">
                  <c:v>2.2384665012359619</c:v>
                </c:pt>
                <c:pt idx="208">
                  <c:v>2.1915900707244873</c:v>
                </c:pt>
                <c:pt idx="209">
                  <c:v>2.141681432723999</c:v>
                </c:pt>
                <c:pt idx="210">
                  <c:v>2.1693274974822998</c:v>
                </c:pt>
                <c:pt idx="211">
                  <c:v>2.1446516513824463</c:v>
                </c:pt>
                <c:pt idx="212">
                  <c:v>2.2701346874237061</c:v>
                </c:pt>
                <c:pt idx="213">
                  <c:v>2.2218418121337891</c:v>
                </c:pt>
                <c:pt idx="214">
                  <c:v>2.2377927303314209</c:v>
                </c:pt>
                <c:pt idx="215">
                  <c:v>2.2278509140014648</c:v>
                </c:pt>
                <c:pt idx="216">
                  <c:v>2.1235165596008301</c:v>
                </c:pt>
                <c:pt idx="217">
                  <c:v>2.073594331741333</c:v>
                </c:pt>
                <c:pt idx="218">
                  <c:v>2</c:v>
                </c:pt>
                <c:pt idx="219">
                  <c:v>2.2361631393432617</c:v>
                </c:pt>
                <c:pt idx="220">
                  <c:v>2.2926721572875977</c:v>
                </c:pt>
                <c:pt idx="221">
                  <c:v>2.2210304737091064</c:v>
                </c:pt>
                <c:pt idx="222">
                  <c:v>2.1621081829071045</c:v>
                </c:pt>
                <c:pt idx="223">
                  <c:v>2.0690429210662842</c:v>
                </c:pt>
                <c:pt idx="224">
                  <c:v>2.1351842880249023</c:v>
                </c:pt>
                <c:pt idx="225">
                  <c:v>2.085853099822998</c:v>
                </c:pt>
              </c:numCache>
            </c:numRef>
          </c:yVal>
          <c:smooth val="1"/>
          <c:extLst>
            <c:ext xmlns:c16="http://schemas.microsoft.com/office/drawing/2014/chart" uri="{C3380CC4-5D6E-409C-BE32-E72D297353CC}">
              <c16:uniqueId val="{00000000-58F6-4830-8941-1011DB88381F}"/>
            </c:ext>
          </c:extLst>
        </c:ser>
        <c:ser>
          <c:idx val="1"/>
          <c:order val="1"/>
          <c:tx>
            <c:v>2</c:v>
          </c:tx>
          <c:spPr>
            <a:ln w="19050" cap="rnd">
              <a:noFill/>
              <a:round/>
            </a:ln>
            <a:effectLst/>
            <a:extLst>
              <a:ext uri="{91240B29-F687-4F45-9708-019B960494DF}">
                <a14:hiddenLine xmlns:a14="http://schemas.microsoft.com/office/drawing/2010/main" w="19050" cap="rnd">
                  <a:solidFill>
                    <a:srgbClr val="ED7D31"/>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NormalisedUVVisData!$C$2:$C$300</c:f>
              <c:numCache>
                <c:formatCode>General</c:formatCode>
                <c:ptCount val="299"/>
                <c:pt idx="0">
                  <c:v>100</c:v>
                </c:pt>
                <c:pt idx="1">
                  <c:v>89.734306335449219</c:v>
                </c:pt>
                <c:pt idx="2">
                  <c:v>79.348594665527344</c:v>
                </c:pt>
                <c:pt idx="3">
                  <c:v>70.028099060058594</c:v>
                </c:pt>
                <c:pt idx="4">
                  <c:v>62.513442993164063</c:v>
                </c:pt>
                <c:pt idx="5">
                  <c:v>56.459903717041016</c:v>
                </c:pt>
                <c:pt idx="6">
                  <c:v>51.186012268066406</c:v>
                </c:pt>
                <c:pt idx="7">
                  <c:v>46.515048980712891</c:v>
                </c:pt>
                <c:pt idx="8">
                  <c:v>42.437423706054688</c:v>
                </c:pt>
                <c:pt idx="9">
                  <c:v>38.568698883056641</c:v>
                </c:pt>
                <c:pt idx="10">
                  <c:v>34.753643035888672</c:v>
                </c:pt>
                <c:pt idx="11">
                  <c:v>30.967535018920898</c:v>
                </c:pt>
                <c:pt idx="12">
                  <c:v>27.508005142211914</c:v>
                </c:pt>
                <c:pt idx="13">
                  <c:v>24.197362899780273</c:v>
                </c:pt>
                <c:pt idx="14">
                  <c:v>20.97303581237793</c:v>
                </c:pt>
                <c:pt idx="15">
                  <c:v>18.063694000244141</c:v>
                </c:pt>
                <c:pt idx="16">
                  <c:v>15.772623062133789</c:v>
                </c:pt>
                <c:pt idx="17">
                  <c:v>14.064847946166992</c:v>
                </c:pt>
                <c:pt idx="18">
                  <c:v>12.848609924316406</c:v>
                </c:pt>
                <c:pt idx="19">
                  <c:v>11.767313957214355</c:v>
                </c:pt>
                <c:pt idx="20">
                  <c:v>10.927786827087402</c:v>
                </c:pt>
                <c:pt idx="21">
                  <c:v>10.341829299926758</c:v>
                </c:pt>
                <c:pt idx="22">
                  <c:v>9.8054838180541992</c:v>
                </c:pt>
                <c:pt idx="23">
                  <c:v>9.2821340560913086</c:v>
                </c:pt>
                <c:pt idx="24">
                  <c:v>8.9129581451416016</c:v>
                </c:pt>
                <c:pt idx="25">
                  <c:v>8.7129039764404297</c:v>
                </c:pt>
                <c:pt idx="26">
                  <c:v>8.3235101699829102</c:v>
                </c:pt>
                <c:pt idx="27">
                  <c:v>7.9573931694030762</c:v>
                </c:pt>
                <c:pt idx="28">
                  <c:v>7.6797161102294922</c:v>
                </c:pt>
                <c:pt idx="29">
                  <c:v>7.4771571159362793</c:v>
                </c:pt>
                <c:pt idx="30">
                  <c:v>7.3091754913330078</c:v>
                </c:pt>
                <c:pt idx="31">
                  <c:v>7.0902862548828125</c:v>
                </c:pt>
                <c:pt idx="32">
                  <c:v>7.0159463882446289</c:v>
                </c:pt>
                <c:pt idx="33">
                  <c:v>6.9741969108581543</c:v>
                </c:pt>
                <c:pt idx="34">
                  <c:v>6.8441801071166992</c:v>
                </c:pt>
                <c:pt idx="35">
                  <c:v>6.7417426109313965</c:v>
                </c:pt>
                <c:pt idx="36">
                  <c:v>6.679844856262207</c:v>
                </c:pt>
                <c:pt idx="37">
                  <c:v>6.5522475242614746</c:v>
                </c:pt>
                <c:pt idx="38">
                  <c:v>6.3859939575195313</c:v>
                </c:pt>
                <c:pt idx="39">
                  <c:v>6.3166131973266602</c:v>
                </c:pt>
                <c:pt idx="40">
                  <c:v>6.0699892044067383</c:v>
                </c:pt>
                <c:pt idx="41">
                  <c:v>5.8752059936523438</c:v>
                </c:pt>
                <c:pt idx="42">
                  <c:v>5.6290311813354492</c:v>
                </c:pt>
                <c:pt idx="43">
                  <c:v>5.4258151054382324</c:v>
                </c:pt>
                <c:pt idx="44">
                  <c:v>5.2582135200500488</c:v>
                </c:pt>
                <c:pt idx="45">
                  <c:v>5.3005156517028809</c:v>
                </c:pt>
                <c:pt idx="46">
                  <c:v>5.5134778022766113</c:v>
                </c:pt>
                <c:pt idx="47">
                  <c:v>5.6517372131347656</c:v>
                </c:pt>
                <c:pt idx="48">
                  <c:v>5.8304157257080078</c:v>
                </c:pt>
                <c:pt idx="49">
                  <c:v>5.9462800025939941</c:v>
                </c:pt>
                <c:pt idx="50">
                  <c:v>5.9652533531188965</c:v>
                </c:pt>
                <c:pt idx="51">
                  <c:v>5.8907580375671387</c:v>
                </c:pt>
                <c:pt idx="52">
                  <c:v>5.8013672828674316</c:v>
                </c:pt>
                <c:pt idx="53">
                  <c:v>5.738311767578125</c:v>
                </c:pt>
                <c:pt idx="54">
                  <c:v>5.7224826812744141</c:v>
                </c:pt>
                <c:pt idx="55">
                  <c:v>5.7410244941711426</c:v>
                </c:pt>
                <c:pt idx="56">
                  <c:v>5.8445334434509277</c:v>
                </c:pt>
                <c:pt idx="57">
                  <c:v>5.8576145172119141</c:v>
                </c:pt>
                <c:pt idx="58">
                  <c:v>5.8896002769470215</c:v>
                </c:pt>
                <c:pt idx="59">
                  <c:v>5.899571418762207</c:v>
                </c:pt>
                <c:pt idx="60">
                  <c:v>6.0048942565917969</c:v>
                </c:pt>
                <c:pt idx="61">
                  <c:v>6.1440181732177734</c:v>
                </c:pt>
                <c:pt idx="62">
                  <c:v>6.1723747253417969</c:v>
                </c:pt>
                <c:pt idx="63">
                  <c:v>6.1076602935791016</c:v>
                </c:pt>
                <c:pt idx="64">
                  <c:v>6.1025452613830566</c:v>
                </c:pt>
                <c:pt idx="65">
                  <c:v>6.2001099586486816</c:v>
                </c:pt>
                <c:pt idx="66">
                  <c:v>6.2877554893493652</c:v>
                </c:pt>
                <c:pt idx="67">
                  <c:v>6.3660006523132324</c:v>
                </c:pt>
                <c:pt idx="68">
                  <c:v>6.4116206169128418</c:v>
                </c:pt>
                <c:pt idx="69">
                  <c:v>6.4403228759765625</c:v>
                </c:pt>
                <c:pt idx="70">
                  <c:v>6.4993696212768555</c:v>
                </c:pt>
                <c:pt idx="71">
                  <c:v>6.4433126449584961</c:v>
                </c:pt>
                <c:pt idx="72">
                  <c:v>6.2978296279907227</c:v>
                </c:pt>
                <c:pt idx="73">
                  <c:v>6.2193427085876465</c:v>
                </c:pt>
                <c:pt idx="74">
                  <c:v>6.308560848236084</c:v>
                </c:pt>
                <c:pt idx="75">
                  <c:v>6.3217973709106445</c:v>
                </c:pt>
                <c:pt idx="76">
                  <c:v>6.2562708854675293</c:v>
                </c:pt>
                <c:pt idx="77">
                  <c:v>6.2574629783630371</c:v>
                </c:pt>
                <c:pt idx="78">
                  <c:v>6.1875295639038086</c:v>
                </c:pt>
                <c:pt idx="79">
                  <c:v>6.0926265716552734</c:v>
                </c:pt>
                <c:pt idx="80">
                  <c:v>5.9736518859863281</c:v>
                </c:pt>
                <c:pt idx="81">
                  <c:v>5.8825674057006836</c:v>
                </c:pt>
                <c:pt idx="82">
                  <c:v>5.9168515205383301</c:v>
                </c:pt>
                <c:pt idx="83">
                  <c:v>5.9303994178771973</c:v>
                </c:pt>
                <c:pt idx="84">
                  <c:v>5.6155524253845215</c:v>
                </c:pt>
                <c:pt idx="85">
                  <c:v>5.6383452415466309</c:v>
                </c:pt>
                <c:pt idx="86">
                  <c:v>5.7504253387451172</c:v>
                </c:pt>
                <c:pt idx="87">
                  <c:v>5.6741151809692383</c:v>
                </c:pt>
                <c:pt idx="88">
                  <c:v>5.7232260704040527</c:v>
                </c:pt>
                <c:pt idx="89">
                  <c:v>5.9130668640136719</c:v>
                </c:pt>
                <c:pt idx="90">
                  <c:v>5.8481450080871582</c:v>
                </c:pt>
                <c:pt idx="91">
                  <c:v>5.7501311302185059</c:v>
                </c:pt>
                <c:pt idx="92">
                  <c:v>5.7506842613220215</c:v>
                </c:pt>
                <c:pt idx="93">
                  <c:v>5.5731639862060547</c:v>
                </c:pt>
                <c:pt idx="94">
                  <c:v>5.4655599594116211</c:v>
                </c:pt>
                <c:pt idx="95">
                  <c:v>5.4477090835571289</c:v>
                </c:pt>
                <c:pt idx="96">
                  <c:v>5.4140815734863281</c:v>
                </c:pt>
                <c:pt idx="97">
                  <c:v>5.4421448707580566</c:v>
                </c:pt>
                <c:pt idx="98">
                  <c:v>5.4735779762268066</c:v>
                </c:pt>
                <c:pt idx="99">
                  <c:v>5.5465521812438965</c:v>
                </c:pt>
                <c:pt idx="100">
                  <c:v>5.4913592338562012</c:v>
                </c:pt>
                <c:pt idx="101">
                  <c:v>5.0732455253601074</c:v>
                </c:pt>
                <c:pt idx="102">
                  <c:v>5.1619281768798828</c:v>
                </c:pt>
                <c:pt idx="103">
                  <c:v>5.4867105484008789</c:v>
                </c:pt>
                <c:pt idx="104">
                  <c:v>5.3651266098022461</c:v>
                </c:pt>
                <c:pt idx="105">
                  <c:v>5.3388781547546387</c:v>
                </c:pt>
                <c:pt idx="106">
                  <c:v>5.483893871307373</c:v>
                </c:pt>
                <c:pt idx="107">
                  <c:v>5.7251615524291992</c:v>
                </c:pt>
                <c:pt idx="108">
                  <c:v>5.705634593963623</c:v>
                </c:pt>
                <c:pt idx="109">
                  <c:v>5.4718151092529297</c:v>
                </c:pt>
                <c:pt idx="110">
                  <c:v>5.4493851661682129</c:v>
                </c:pt>
                <c:pt idx="111">
                  <c:v>5.4492988586425781</c:v>
                </c:pt>
                <c:pt idx="112">
                  <c:v>5.6683440208435059</c:v>
                </c:pt>
                <c:pt idx="113">
                  <c:v>5.6917414665222168</c:v>
                </c:pt>
                <c:pt idx="114">
                  <c:v>5.4030742645263672</c:v>
                </c:pt>
                <c:pt idx="115">
                  <c:v>5.3144783973693848</c:v>
                </c:pt>
                <c:pt idx="116">
                  <c:v>5.2370109558105469</c:v>
                </c:pt>
                <c:pt idx="117">
                  <c:v>5.3328819274902344</c:v>
                </c:pt>
                <c:pt idx="118">
                  <c:v>5.4180736541748047</c:v>
                </c:pt>
                <c:pt idx="119">
                  <c:v>5.5477619171142578</c:v>
                </c:pt>
                <c:pt idx="120">
                  <c:v>5.5874028205871582</c:v>
                </c:pt>
                <c:pt idx="121">
                  <c:v>5.4509062767028809</c:v>
                </c:pt>
                <c:pt idx="122">
                  <c:v>5.4790210723876953</c:v>
                </c:pt>
                <c:pt idx="123">
                  <c:v>5.2928953170776367</c:v>
                </c:pt>
                <c:pt idx="124">
                  <c:v>5.0153045654296875</c:v>
                </c:pt>
                <c:pt idx="125">
                  <c:v>5.2134575843811035</c:v>
                </c:pt>
                <c:pt idx="126">
                  <c:v>5.7136697769165039</c:v>
                </c:pt>
                <c:pt idx="127">
                  <c:v>5.8186130523681641</c:v>
                </c:pt>
                <c:pt idx="128">
                  <c:v>5.4510617256164551</c:v>
                </c:pt>
                <c:pt idx="129">
                  <c:v>5.3077216148376465</c:v>
                </c:pt>
                <c:pt idx="130">
                  <c:v>5.4226698875427246</c:v>
                </c:pt>
                <c:pt idx="131">
                  <c:v>5.3565211296081543</c:v>
                </c:pt>
                <c:pt idx="132">
                  <c:v>5.1156859397888184</c:v>
                </c:pt>
                <c:pt idx="133">
                  <c:v>5.0292501449584961</c:v>
                </c:pt>
                <c:pt idx="134">
                  <c:v>4.7403755187988281</c:v>
                </c:pt>
                <c:pt idx="135">
                  <c:v>4.6482372283935547</c:v>
                </c:pt>
                <c:pt idx="136">
                  <c:v>4.258601188659668</c:v>
                </c:pt>
                <c:pt idx="137">
                  <c:v>4.6635994911193848</c:v>
                </c:pt>
                <c:pt idx="138">
                  <c:v>5.4099516868591309</c:v>
                </c:pt>
                <c:pt idx="139">
                  <c:v>5.1403274536132813</c:v>
                </c:pt>
                <c:pt idx="140">
                  <c:v>5.6906871795654297</c:v>
                </c:pt>
                <c:pt idx="141">
                  <c:v>6.2174935340881348</c:v>
                </c:pt>
                <c:pt idx="142">
                  <c:v>5.5392775535583496</c:v>
                </c:pt>
                <c:pt idx="143">
                  <c:v>4.8855643272399902</c:v>
                </c:pt>
                <c:pt idx="144">
                  <c:v>5.1737303733825684</c:v>
                </c:pt>
                <c:pt idx="145">
                  <c:v>5.1566057205200195</c:v>
                </c:pt>
                <c:pt idx="146">
                  <c:v>2.5902597904205322</c:v>
                </c:pt>
                <c:pt idx="147">
                  <c:v>2</c:v>
                </c:pt>
                <c:pt idx="148">
                  <c:v>3.1504344940185547</c:v>
                </c:pt>
                <c:pt idx="149">
                  <c:v>4.0851073265075684</c:v>
                </c:pt>
                <c:pt idx="150">
                  <c:v>5.4453072547912598</c:v>
                </c:pt>
                <c:pt idx="151">
                  <c:v>5.9647006988525391</c:v>
                </c:pt>
                <c:pt idx="152">
                  <c:v>5.8290505409240723</c:v>
                </c:pt>
                <c:pt idx="153">
                  <c:v>5.2996172904968262</c:v>
                </c:pt>
                <c:pt idx="154">
                  <c:v>5.1085491180419922</c:v>
                </c:pt>
                <c:pt idx="155">
                  <c:v>5.1064753532409668</c:v>
                </c:pt>
                <c:pt idx="156">
                  <c:v>5.041069507598877</c:v>
                </c:pt>
                <c:pt idx="157">
                  <c:v>5.3941574096679688</c:v>
                </c:pt>
                <c:pt idx="158">
                  <c:v>4.7506747245788574</c:v>
                </c:pt>
                <c:pt idx="159">
                  <c:v>4.3466100692749023</c:v>
                </c:pt>
                <c:pt idx="160">
                  <c:v>4.9763031005859375</c:v>
                </c:pt>
                <c:pt idx="161">
                  <c:v>4.808840274810791</c:v>
                </c:pt>
                <c:pt idx="162">
                  <c:v>5.0814881324768066</c:v>
                </c:pt>
                <c:pt idx="163">
                  <c:v>5.3904075622558594</c:v>
                </c:pt>
                <c:pt idx="164">
                  <c:v>4.7777180671691895</c:v>
                </c:pt>
                <c:pt idx="165">
                  <c:v>5.2119369506835938</c:v>
                </c:pt>
                <c:pt idx="166">
                  <c:v>4.8520750999450684</c:v>
                </c:pt>
                <c:pt idx="167">
                  <c:v>5.0148730278015137</c:v>
                </c:pt>
                <c:pt idx="168">
                  <c:v>5.8746013641357422</c:v>
                </c:pt>
                <c:pt idx="169">
                  <c:v>5.0253100395202637</c:v>
                </c:pt>
                <c:pt idx="170">
                  <c:v>5.3165345191955566</c:v>
                </c:pt>
                <c:pt idx="171">
                  <c:v>4.5505342483520508</c:v>
                </c:pt>
                <c:pt idx="172">
                  <c:v>4.8623743057250977</c:v>
                </c:pt>
                <c:pt idx="173">
                  <c:v>5.0513858795166016</c:v>
                </c:pt>
                <c:pt idx="174">
                  <c:v>5.2691173553466797</c:v>
                </c:pt>
                <c:pt idx="175">
                  <c:v>5.4460501670837402</c:v>
                </c:pt>
                <c:pt idx="176">
                  <c:v>5.1804003715515137</c:v>
                </c:pt>
                <c:pt idx="177">
                  <c:v>5.4909272193908691</c:v>
                </c:pt>
                <c:pt idx="178">
                  <c:v>5.3091387748718262</c:v>
                </c:pt>
                <c:pt idx="179">
                  <c:v>5.3168454170227051</c:v>
                </c:pt>
                <c:pt idx="180">
                  <c:v>5.2130084037780762</c:v>
                </c:pt>
                <c:pt idx="181">
                  <c:v>5.3760132789611816</c:v>
                </c:pt>
                <c:pt idx="182">
                  <c:v>5.4575071334838867</c:v>
                </c:pt>
                <c:pt idx="183">
                  <c:v>4.6382665634155273</c:v>
                </c:pt>
                <c:pt idx="184">
                  <c:v>4.6230945587158203</c:v>
                </c:pt>
                <c:pt idx="185">
                  <c:v>4.9048147201538086</c:v>
                </c:pt>
                <c:pt idx="186">
                  <c:v>5.115720272064209</c:v>
                </c:pt>
                <c:pt idx="187">
                  <c:v>5.5618453025817871</c:v>
                </c:pt>
                <c:pt idx="188">
                  <c:v>4.7763876914978027</c:v>
                </c:pt>
                <c:pt idx="189">
                  <c:v>5.2302021980285645</c:v>
                </c:pt>
                <c:pt idx="190">
                  <c:v>4.8760604858398438</c:v>
                </c:pt>
                <c:pt idx="191">
                  <c:v>4.0297412872314453</c:v>
                </c:pt>
                <c:pt idx="192">
                  <c:v>4.4292440414428711</c:v>
                </c:pt>
                <c:pt idx="193">
                  <c:v>4.3779392242431641</c:v>
                </c:pt>
                <c:pt idx="194">
                  <c:v>5.0792765617370605</c:v>
                </c:pt>
                <c:pt idx="195">
                  <c:v>4.5168380737304688</c:v>
                </c:pt>
                <c:pt idx="196">
                  <c:v>6.1716666221618652</c:v>
                </c:pt>
                <c:pt idx="197">
                  <c:v>6.0809793472290039</c:v>
                </c:pt>
                <c:pt idx="198">
                  <c:v>5.9423050880432129</c:v>
                </c:pt>
                <c:pt idx="199">
                  <c:v>5.3219952583312988</c:v>
                </c:pt>
                <c:pt idx="200">
                  <c:v>5.9291725158691406</c:v>
                </c:pt>
                <c:pt idx="201">
                  <c:v>5.2829761505126953</c:v>
                </c:pt>
                <c:pt idx="202">
                  <c:v>4.0633859634399414</c:v>
                </c:pt>
                <c:pt idx="203">
                  <c:v>4.9726223945617676</c:v>
                </c:pt>
                <c:pt idx="204">
                  <c:v>4.6151628494262695</c:v>
                </c:pt>
                <c:pt idx="205">
                  <c:v>6.1983642578125</c:v>
                </c:pt>
                <c:pt idx="206">
                  <c:v>4.716252326965332</c:v>
                </c:pt>
                <c:pt idx="207">
                  <c:v>6.5277266502380371</c:v>
                </c:pt>
                <c:pt idx="208">
                  <c:v>4.8614931106567383</c:v>
                </c:pt>
                <c:pt idx="209">
                  <c:v>5.1080827713012695</c:v>
                </c:pt>
                <c:pt idx="210">
                  <c:v>4.4163703918457031</c:v>
                </c:pt>
                <c:pt idx="211">
                  <c:v>4.0841741561889648</c:v>
                </c:pt>
                <c:pt idx="212">
                  <c:v>5.6034564971923828</c:v>
                </c:pt>
                <c:pt idx="213">
                  <c:v>4.7700114250183105</c:v>
                </c:pt>
                <c:pt idx="214">
                  <c:v>6.2118778228759766</c:v>
                </c:pt>
                <c:pt idx="215">
                  <c:v>4.3723058700561523</c:v>
                </c:pt>
                <c:pt idx="216">
                  <c:v>5.6250567436218262</c:v>
                </c:pt>
                <c:pt idx="217">
                  <c:v>5.5150332450866699</c:v>
                </c:pt>
                <c:pt idx="218">
                  <c:v>4.8460788726806641</c:v>
                </c:pt>
                <c:pt idx="219">
                  <c:v>6.1725306510925293</c:v>
                </c:pt>
                <c:pt idx="220">
                  <c:v>3.4551894664764404</c:v>
                </c:pt>
                <c:pt idx="221">
                  <c:v>6.2914533615112305</c:v>
                </c:pt>
                <c:pt idx="222">
                  <c:v>4.4533848762512207</c:v>
                </c:pt>
                <c:pt idx="223">
                  <c:v>4.1845898628234863</c:v>
                </c:pt>
                <c:pt idx="224">
                  <c:v>6.5840258598327637</c:v>
                </c:pt>
                <c:pt idx="225">
                  <c:v>3.7137024402618408</c:v>
                </c:pt>
              </c:numCache>
            </c:numRef>
          </c:yVal>
          <c:smooth val="1"/>
          <c:extLst>
            <c:ext xmlns:c16="http://schemas.microsoft.com/office/drawing/2014/chart" uri="{C3380CC4-5D6E-409C-BE32-E72D297353CC}">
              <c16:uniqueId val="{00000001-58F6-4830-8941-1011DB88381F}"/>
            </c:ext>
          </c:extLst>
        </c:ser>
        <c:ser>
          <c:idx val="2"/>
          <c:order val="2"/>
          <c:tx>
            <c:v>3</c:v>
          </c:tx>
          <c:spPr>
            <a:ln w="19050" cap="rnd">
              <a:noFill/>
              <a:round/>
            </a:ln>
            <a:effectLst/>
            <a:extLst>
              <a:ext uri="{91240B29-F687-4F45-9708-019B960494DF}">
                <a14:hiddenLine xmlns:a14="http://schemas.microsoft.com/office/drawing/2010/main" w="19050" cap="rnd">
                  <a:solidFill>
                    <a:srgbClr val="A5A5A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NormalisedUVVisData!$D$2:$D$300</c:f>
              <c:numCache>
                <c:formatCode>General</c:formatCode>
                <c:ptCount val="299"/>
                <c:pt idx="0">
                  <c:v>60.024539947509766</c:v>
                </c:pt>
                <c:pt idx="1">
                  <c:v>65.150405883789063</c:v>
                </c:pt>
                <c:pt idx="2">
                  <c:v>68.896530151367188</c:v>
                </c:pt>
                <c:pt idx="3">
                  <c:v>72.470664978027344</c:v>
                </c:pt>
                <c:pt idx="4">
                  <c:v>76.143646240234375</c:v>
                </c:pt>
                <c:pt idx="5">
                  <c:v>79.448135375976563</c:v>
                </c:pt>
                <c:pt idx="6">
                  <c:v>83.236541748046875</c:v>
                </c:pt>
                <c:pt idx="7">
                  <c:v>86.973892211914063</c:v>
                </c:pt>
                <c:pt idx="8">
                  <c:v>89.587852478027344</c:v>
                </c:pt>
                <c:pt idx="9">
                  <c:v>91.480072021484375</c:v>
                </c:pt>
                <c:pt idx="10">
                  <c:v>91.148979187011719</c:v>
                </c:pt>
                <c:pt idx="11">
                  <c:v>88.798126220703125</c:v>
                </c:pt>
                <c:pt idx="12">
                  <c:v>85.403083801269531</c:v>
                </c:pt>
                <c:pt idx="13">
                  <c:v>81.486503601074219</c:v>
                </c:pt>
                <c:pt idx="14">
                  <c:v>76.627845764160156</c:v>
                </c:pt>
                <c:pt idx="15">
                  <c:v>72.259666442871094</c:v>
                </c:pt>
                <c:pt idx="16">
                  <c:v>70.919914245605469</c:v>
                </c:pt>
                <c:pt idx="17">
                  <c:v>70.947151184082031</c:v>
                </c:pt>
                <c:pt idx="18">
                  <c:v>72.138740539550781</c:v>
                </c:pt>
                <c:pt idx="19">
                  <c:v>74.377998352050781</c:v>
                </c:pt>
                <c:pt idx="20">
                  <c:v>77.164779663085938</c:v>
                </c:pt>
                <c:pt idx="21">
                  <c:v>80.668769836425781</c:v>
                </c:pt>
                <c:pt idx="22">
                  <c:v>84.940193176269531</c:v>
                </c:pt>
                <c:pt idx="23">
                  <c:v>90.327423095703125</c:v>
                </c:pt>
                <c:pt idx="24">
                  <c:v>95.198959350585938</c:v>
                </c:pt>
                <c:pt idx="25">
                  <c:v>98.116279602050781</c:v>
                </c:pt>
                <c:pt idx="26">
                  <c:v>100</c:v>
                </c:pt>
                <c:pt idx="27">
                  <c:v>99.547142028808594</c:v>
                </c:pt>
                <c:pt idx="28">
                  <c:v>95.042778015136719</c:v>
                </c:pt>
                <c:pt idx="29">
                  <c:v>87.061317443847656</c:v>
                </c:pt>
                <c:pt idx="30">
                  <c:v>76.481773376464844</c:v>
                </c:pt>
                <c:pt idx="31">
                  <c:v>65.85186767578125</c:v>
                </c:pt>
                <c:pt idx="32">
                  <c:v>56.719287872314453</c:v>
                </c:pt>
                <c:pt idx="33">
                  <c:v>50.425312042236328</c:v>
                </c:pt>
                <c:pt idx="34">
                  <c:v>46.979415893554688</c:v>
                </c:pt>
                <c:pt idx="35">
                  <c:v>45.371059417724609</c:v>
                </c:pt>
                <c:pt idx="36">
                  <c:v>44.341358184814453</c:v>
                </c:pt>
                <c:pt idx="37">
                  <c:v>43.7281494140625</c:v>
                </c:pt>
                <c:pt idx="38">
                  <c:v>43.845733642578125</c:v>
                </c:pt>
                <c:pt idx="39">
                  <c:v>44.105979919433594</c:v>
                </c:pt>
                <c:pt idx="40">
                  <c:v>43.558948516845703</c:v>
                </c:pt>
                <c:pt idx="41">
                  <c:v>42.701583862304688</c:v>
                </c:pt>
                <c:pt idx="42">
                  <c:v>42.2510986328125</c:v>
                </c:pt>
                <c:pt idx="43">
                  <c:v>42.007919311523438</c:v>
                </c:pt>
                <c:pt idx="44">
                  <c:v>40.885852813720703</c:v>
                </c:pt>
                <c:pt idx="45">
                  <c:v>39.480617523193359</c:v>
                </c:pt>
                <c:pt idx="46">
                  <c:v>38.232955932617188</c:v>
                </c:pt>
                <c:pt idx="47">
                  <c:v>36.925106048583984</c:v>
                </c:pt>
                <c:pt idx="48">
                  <c:v>35.573650360107422</c:v>
                </c:pt>
                <c:pt idx="49">
                  <c:v>34.409996032714844</c:v>
                </c:pt>
                <c:pt idx="50">
                  <c:v>33.691184997558594</c:v>
                </c:pt>
                <c:pt idx="51">
                  <c:v>33.146240234375</c:v>
                </c:pt>
                <c:pt idx="52">
                  <c:v>32.376022338867188</c:v>
                </c:pt>
                <c:pt idx="53">
                  <c:v>32.472846984863281</c:v>
                </c:pt>
                <c:pt idx="54">
                  <c:v>32.510463714599609</c:v>
                </c:pt>
                <c:pt idx="55">
                  <c:v>31.998468399047852</c:v>
                </c:pt>
                <c:pt idx="56">
                  <c:v>31.879142761230469</c:v>
                </c:pt>
                <c:pt idx="57">
                  <c:v>31.589500427246094</c:v>
                </c:pt>
                <c:pt idx="58">
                  <c:v>30.522462844848633</c:v>
                </c:pt>
                <c:pt idx="59">
                  <c:v>29.751754760742188</c:v>
                </c:pt>
                <c:pt idx="60">
                  <c:v>29.432785034179688</c:v>
                </c:pt>
                <c:pt idx="61">
                  <c:v>28.808431625366211</c:v>
                </c:pt>
                <c:pt idx="62">
                  <c:v>26.948604583740234</c:v>
                </c:pt>
                <c:pt idx="63">
                  <c:v>24.903484344482422</c:v>
                </c:pt>
                <c:pt idx="64">
                  <c:v>23.907497406005859</c:v>
                </c:pt>
                <c:pt idx="65">
                  <c:v>22.587181091308594</c:v>
                </c:pt>
                <c:pt idx="66">
                  <c:v>21.278495788574219</c:v>
                </c:pt>
                <c:pt idx="67">
                  <c:v>20.559682846069336</c:v>
                </c:pt>
                <c:pt idx="68">
                  <c:v>20.230125427246094</c:v>
                </c:pt>
                <c:pt idx="69">
                  <c:v>19.569967269897461</c:v>
                </c:pt>
                <c:pt idx="70">
                  <c:v>19.101858139038086</c:v>
                </c:pt>
                <c:pt idx="71">
                  <c:v>19.150897979736328</c:v>
                </c:pt>
                <c:pt idx="72">
                  <c:v>19.186702728271484</c:v>
                </c:pt>
                <c:pt idx="73">
                  <c:v>19.602149963378906</c:v>
                </c:pt>
                <c:pt idx="74">
                  <c:v>19.821714401245117</c:v>
                </c:pt>
                <c:pt idx="75">
                  <c:v>20.333917617797852</c:v>
                </c:pt>
                <c:pt idx="76">
                  <c:v>21.435297012329102</c:v>
                </c:pt>
                <c:pt idx="77">
                  <c:v>22.251144409179688</c:v>
                </c:pt>
                <c:pt idx="78">
                  <c:v>23.499296188354492</c:v>
                </c:pt>
                <c:pt idx="79">
                  <c:v>24.610498428344727</c:v>
                </c:pt>
                <c:pt idx="80">
                  <c:v>25.578411102294922</c:v>
                </c:pt>
                <c:pt idx="81">
                  <c:v>26.234737396240234</c:v>
                </c:pt>
                <c:pt idx="82">
                  <c:v>27.41984748840332</c:v>
                </c:pt>
                <c:pt idx="83">
                  <c:v>28.703872680664063</c:v>
                </c:pt>
                <c:pt idx="84">
                  <c:v>29.195108413696289</c:v>
                </c:pt>
                <c:pt idx="85">
                  <c:v>30.10673713684082</c:v>
                </c:pt>
                <c:pt idx="86">
                  <c:v>31.987323760986328</c:v>
                </c:pt>
                <c:pt idx="87">
                  <c:v>32.652427673339844</c:v>
                </c:pt>
                <c:pt idx="88">
                  <c:v>32.847541809082031</c:v>
                </c:pt>
                <c:pt idx="89">
                  <c:v>34.374469757080078</c:v>
                </c:pt>
                <c:pt idx="90">
                  <c:v>36.093654632568359</c:v>
                </c:pt>
                <c:pt idx="91">
                  <c:v>37.45758056640625</c:v>
                </c:pt>
                <c:pt idx="92">
                  <c:v>38.300941467285156</c:v>
                </c:pt>
                <c:pt idx="93">
                  <c:v>38.908439636230469</c:v>
                </c:pt>
                <c:pt idx="94">
                  <c:v>39.058971405029297</c:v>
                </c:pt>
                <c:pt idx="95">
                  <c:v>40.280445098876953</c:v>
                </c:pt>
                <c:pt idx="96">
                  <c:v>41.550189971923828</c:v>
                </c:pt>
                <c:pt idx="97">
                  <c:v>41.290920257568359</c:v>
                </c:pt>
                <c:pt idx="98">
                  <c:v>41.294540405273438</c:v>
                </c:pt>
                <c:pt idx="99">
                  <c:v>40.713027954101563</c:v>
                </c:pt>
                <c:pt idx="100">
                  <c:v>39.842636108398438</c:v>
                </c:pt>
                <c:pt idx="101">
                  <c:v>39.482986450195313</c:v>
                </c:pt>
                <c:pt idx="102">
                  <c:v>38.747806549072266</c:v>
                </c:pt>
                <c:pt idx="103">
                  <c:v>37.828655242919922</c:v>
                </c:pt>
                <c:pt idx="104">
                  <c:v>36.667160034179688</c:v>
                </c:pt>
                <c:pt idx="105">
                  <c:v>36.152587890625</c:v>
                </c:pt>
                <c:pt idx="106">
                  <c:v>35.200695037841797</c:v>
                </c:pt>
                <c:pt idx="107">
                  <c:v>33.065017700195313</c:v>
                </c:pt>
                <c:pt idx="108">
                  <c:v>31.211669921875</c:v>
                </c:pt>
                <c:pt idx="109">
                  <c:v>29.511919021606445</c:v>
                </c:pt>
                <c:pt idx="110">
                  <c:v>28.431367874145508</c:v>
                </c:pt>
                <c:pt idx="111">
                  <c:v>26.912799835205078</c:v>
                </c:pt>
                <c:pt idx="112">
                  <c:v>24.35826301574707</c:v>
                </c:pt>
                <c:pt idx="113">
                  <c:v>21.952445983886719</c:v>
                </c:pt>
                <c:pt idx="114">
                  <c:v>19.770029067993164</c:v>
                </c:pt>
                <c:pt idx="115">
                  <c:v>17.818321228027344</c:v>
                </c:pt>
                <c:pt idx="116">
                  <c:v>16.179868698120117</c:v>
                </c:pt>
                <c:pt idx="117">
                  <c:v>15.135889053344727</c:v>
                </c:pt>
                <c:pt idx="118">
                  <c:v>13.677019119262695</c:v>
                </c:pt>
                <c:pt idx="119">
                  <c:v>12.242738723754883</c:v>
                </c:pt>
                <c:pt idx="120">
                  <c:v>11.758748054504395</c:v>
                </c:pt>
                <c:pt idx="121">
                  <c:v>11.158774375915527</c:v>
                </c:pt>
                <c:pt idx="122">
                  <c:v>12.083428382873535</c:v>
                </c:pt>
                <c:pt idx="123">
                  <c:v>11.634684562683105</c:v>
                </c:pt>
                <c:pt idx="124">
                  <c:v>9.7598114013671875</c:v>
                </c:pt>
                <c:pt idx="125">
                  <c:v>9.5872659683227539</c:v>
                </c:pt>
                <c:pt idx="126">
                  <c:v>9.9705295562744141</c:v>
                </c:pt>
                <c:pt idx="127">
                  <c:v>10.214197158813477</c:v>
                </c:pt>
                <c:pt idx="128">
                  <c:v>10.57468318939209</c:v>
                </c:pt>
                <c:pt idx="129">
                  <c:v>10.25285816192627</c:v>
                </c:pt>
                <c:pt idx="130">
                  <c:v>9.3861598968505859</c:v>
                </c:pt>
                <c:pt idx="131">
                  <c:v>9.0885066986083984</c:v>
                </c:pt>
                <c:pt idx="132">
                  <c:v>8.9353961944580078</c:v>
                </c:pt>
                <c:pt idx="133">
                  <c:v>9.1679182052612305</c:v>
                </c:pt>
                <c:pt idx="134">
                  <c:v>9.0269975662231445</c:v>
                </c:pt>
                <c:pt idx="135">
                  <c:v>8.5557537078857422</c:v>
                </c:pt>
                <c:pt idx="136">
                  <c:v>8.6745929718017578</c:v>
                </c:pt>
                <c:pt idx="137">
                  <c:v>10.64469051361084</c:v>
                </c:pt>
                <c:pt idx="138">
                  <c:v>10.497361183166504</c:v>
                </c:pt>
                <c:pt idx="139">
                  <c:v>8.1747884750366211</c:v>
                </c:pt>
                <c:pt idx="140">
                  <c:v>8.5209941864013672</c:v>
                </c:pt>
                <c:pt idx="141">
                  <c:v>9.334263801574707</c:v>
                </c:pt>
                <c:pt idx="142">
                  <c:v>8.4892997741699219</c:v>
                </c:pt>
                <c:pt idx="143">
                  <c:v>7.7006893157958984</c:v>
                </c:pt>
                <c:pt idx="144">
                  <c:v>8.974614143371582</c:v>
                </c:pt>
                <c:pt idx="145">
                  <c:v>8.9657678604125977</c:v>
                </c:pt>
                <c:pt idx="146">
                  <c:v>1.9999998807907104</c:v>
                </c:pt>
                <c:pt idx="147">
                  <c:v>2.5381858348846436</c:v>
                </c:pt>
                <c:pt idx="148">
                  <c:v>6.5682415962219238</c:v>
                </c:pt>
                <c:pt idx="149">
                  <c:v>7.4946374893188477</c:v>
                </c:pt>
                <c:pt idx="150">
                  <c:v>8.3400897979736328</c:v>
                </c:pt>
                <c:pt idx="151">
                  <c:v>8.131739616394043</c:v>
                </c:pt>
                <c:pt idx="152">
                  <c:v>8.803044319152832</c:v>
                </c:pt>
                <c:pt idx="153">
                  <c:v>9.1479263305664063</c:v>
                </c:pt>
                <c:pt idx="154">
                  <c:v>8.068140983581543</c:v>
                </c:pt>
                <c:pt idx="155">
                  <c:v>8.6852502822875977</c:v>
                </c:pt>
                <c:pt idx="156">
                  <c:v>9.0360536575317383</c:v>
                </c:pt>
                <c:pt idx="157">
                  <c:v>8.166499137878418</c:v>
                </c:pt>
                <c:pt idx="158">
                  <c:v>7.6931657791137695</c:v>
                </c:pt>
                <c:pt idx="159">
                  <c:v>7.857421875</c:v>
                </c:pt>
                <c:pt idx="160">
                  <c:v>8.4155998229980469</c:v>
                </c:pt>
                <c:pt idx="161">
                  <c:v>8.2702913284301758</c:v>
                </c:pt>
                <c:pt idx="162">
                  <c:v>8.9294052124023438</c:v>
                </c:pt>
                <c:pt idx="163">
                  <c:v>8.9847145080566406</c:v>
                </c:pt>
                <c:pt idx="164">
                  <c:v>8.2445869445800781</c:v>
                </c:pt>
                <c:pt idx="165">
                  <c:v>9.0057516098022461</c:v>
                </c:pt>
                <c:pt idx="166">
                  <c:v>6.9528293609619141</c:v>
                </c:pt>
                <c:pt idx="167">
                  <c:v>7.7009677886962891</c:v>
                </c:pt>
                <c:pt idx="168">
                  <c:v>9.5880317687988281</c:v>
                </c:pt>
                <c:pt idx="169">
                  <c:v>8.5264272689819336</c:v>
                </c:pt>
                <c:pt idx="170">
                  <c:v>8.3961648941040039</c:v>
                </c:pt>
                <c:pt idx="171">
                  <c:v>6.5449056625366211</c:v>
                </c:pt>
                <c:pt idx="172">
                  <c:v>7.222200870513916</c:v>
                </c:pt>
                <c:pt idx="173">
                  <c:v>8.472163200378418</c:v>
                </c:pt>
                <c:pt idx="174">
                  <c:v>9.5054855346679688</c:v>
                </c:pt>
                <c:pt idx="175">
                  <c:v>10.322935104370117</c:v>
                </c:pt>
                <c:pt idx="176">
                  <c:v>10.21210765838623</c:v>
                </c:pt>
                <c:pt idx="177">
                  <c:v>9.5958337783813477</c:v>
                </c:pt>
                <c:pt idx="178">
                  <c:v>9.0620365142822266</c:v>
                </c:pt>
                <c:pt idx="179">
                  <c:v>9.0506124496459961</c:v>
                </c:pt>
                <c:pt idx="180">
                  <c:v>9.0895519256591797</c:v>
                </c:pt>
                <c:pt idx="181">
                  <c:v>8.8580741882324219</c:v>
                </c:pt>
                <c:pt idx="182">
                  <c:v>8.8204584121704102</c:v>
                </c:pt>
                <c:pt idx="183">
                  <c:v>8.0333805084228516</c:v>
                </c:pt>
                <c:pt idx="184">
                  <c:v>6.9613971710205078</c:v>
                </c:pt>
                <c:pt idx="185">
                  <c:v>7.0630998611450195</c:v>
                </c:pt>
                <c:pt idx="186">
                  <c:v>8.18231201171875</c:v>
                </c:pt>
                <c:pt idx="187">
                  <c:v>7.8823599815368652</c:v>
                </c:pt>
                <c:pt idx="188">
                  <c:v>8.0458498001098633</c:v>
                </c:pt>
                <c:pt idx="189">
                  <c:v>9.8327445983886719</c:v>
                </c:pt>
                <c:pt idx="190">
                  <c:v>10.301898002624512</c:v>
                </c:pt>
                <c:pt idx="191">
                  <c:v>9.0596675872802734</c:v>
                </c:pt>
                <c:pt idx="192">
                  <c:v>9.137059211730957</c:v>
                </c:pt>
                <c:pt idx="193">
                  <c:v>8.6888723373413086</c:v>
                </c:pt>
                <c:pt idx="194">
                  <c:v>9.5206022262573242</c:v>
                </c:pt>
                <c:pt idx="195">
                  <c:v>8.8001880645751953</c:v>
                </c:pt>
                <c:pt idx="196">
                  <c:v>10.944154739379883</c:v>
                </c:pt>
                <c:pt idx="197">
                  <c:v>10.009957313537598</c:v>
                </c:pt>
                <c:pt idx="198">
                  <c:v>6.8323888778686523</c:v>
                </c:pt>
                <c:pt idx="199">
                  <c:v>8.1392621994018555</c:v>
                </c:pt>
                <c:pt idx="200">
                  <c:v>7.7134366035461426</c:v>
                </c:pt>
                <c:pt idx="201">
                  <c:v>7.9277777671813965</c:v>
                </c:pt>
                <c:pt idx="202">
                  <c:v>7.3384618759155273</c:v>
                </c:pt>
                <c:pt idx="203">
                  <c:v>9.4694719314575195</c:v>
                </c:pt>
                <c:pt idx="204">
                  <c:v>7.9298672676086426</c:v>
                </c:pt>
                <c:pt idx="205">
                  <c:v>9.9632854461669922</c:v>
                </c:pt>
                <c:pt idx="206">
                  <c:v>9.1385917663574219</c:v>
                </c:pt>
                <c:pt idx="207">
                  <c:v>8.0409040451049805</c:v>
                </c:pt>
                <c:pt idx="208">
                  <c:v>6.6574749946594238</c:v>
                </c:pt>
                <c:pt idx="209">
                  <c:v>7.1012725830078125</c:v>
                </c:pt>
                <c:pt idx="210">
                  <c:v>8.9948148727416992</c:v>
                </c:pt>
                <c:pt idx="211">
                  <c:v>8.4456930160522461</c:v>
                </c:pt>
                <c:pt idx="212">
                  <c:v>9.4510126113891602</c:v>
                </c:pt>
                <c:pt idx="213">
                  <c:v>6.5375914573669434</c:v>
                </c:pt>
                <c:pt idx="214">
                  <c:v>7.4087481498718262</c:v>
                </c:pt>
                <c:pt idx="215">
                  <c:v>8.3969316482543945</c:v>
                </c:pt>
                <c:pt idx="216">
                  <c:v>8.4511957168579102</c:v>
                </c:pt>
                <c:pt idx="217">
                  <c:v>8.5448179244995117</c:v>
                </c:pt>
                <c:pt idx="218">
                  <c:v>8.2308645248413086</c:v>
                </c:pt>
                <c:pt idx="219">
                  <c:v>9.5369024276733398</c:v>
                </c:pt>
                <c:pt idx="220">
                  <c:v>8.1197576522827148</c:v>
                </c:pt>
                <c:pt idx="221">
                  <c:v>9.4066400527954102</c:v>
                </c:pt>
                <c:pt idx="222">
                  <c:v>10.436897277832031</c:v>
                </c:pt>
                <c:pt idx="223">
                  <c:v>6.2085919380187988</c:v>
                </c:pt>
                <c:pt idx="224">
                  <c:v>8.2000055313110352</c:v>
                </c:pt>
                <c:pt idx="225">
                  <c:v>8.1771574020385742</c:v>
                </c:pt>
              </c:numCache>
            </c:numRef>
          </c:yVal>
          <c:smooth val="1"/>
          <c:extLst>
            <c:ext xmlns:c16="http://schemas.microsoft.com/office/drawing/2014/chart" uri="{C3380CC4-5D6E-409C-BE32-E72D297353CC}">
              <c16:uniqueId val="{00000002-58F6-4830-8941-1011DB88381F}"/>
            </c:ext>
          </c:extLst>
        </c:ser>
        <c:ser>
          <c:idx val="3"/>
          <c:order val="3"/>
          <c:tx>
            <c:v>4</c:v>
          </c:tx>
          <c:spPr>
            <a:ln w="19050" cap="rnd">
              <a:noFill/>
              <a:round/>
            </a:ln>
            <a:effectLst/>
            <a:extLst>
              <a:ext uri="{91240B29-F687-4F45-9708-019B960494DF}">
                <a14:hiddenLine xmlns:a14="http://schemas.microsoft.com/office/drawing/2010/main" w="19050" cap="rnd">
                  <a:solidFill>
                    <a:srgbClr val="FFC000"/>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NormalisedUVVisData!$E$2:$E$300</c:f>
              <c:numCache>
                <c:formatCode>General</c:formatCode>
                <c:ptCount val="299"/>
                <c:pt idx="0">
                  <c:v>76.740341186523438</c:v>
                </c:pt>
                <c:pt idx="1">
                  <c:v>77.255760192871094</c:v>
                </c:pt>
                <c:pt idx="2">
                  <c:v>76.80072021484375</c:v>
                </c:pt>
                <c:pt idx="3">
                  <c:v>76.42767333984375</c:v>
                </c:pt>
                <c:pt idx="4">
                  <c:v>76.766021728515625</c:v>
                </c:pt>
                <c:pt idx="5">
                  <c:v>77.823455810546875</c:v>
                </c:pt>
                <c:pt idx="6">
                  <c:v>80.170188903808594</c:v>
                </c:pt>
                <c:pt idx="7">
                  <c:v>83.92852783203125</c:v>
                </c:pt>
                <c:pt idx="8">
                  <c:v>88.408676147460938</c:v>
                </c:pt>
                <c:pt idx="9">
                  <c:v>92.944725036621094</c:v>
                </c:pt>
                <c:pt idx="10">
                  <c:v>96.748298645019531</c:v>
                </c:pt>
                <c:pt idx="11">
                  <c:v>99.261642456054688</c:v>
                </c:pt>
                <c:pt idx="12">
                  <c:v>100</c:v>
                </c:pt>
                <c:pt idx="13">
                  <c:v>98.783065795898438</c:v>
                </c:pt>
                <c:pt idx="14">
                  <c:v>95.331756591796875</c:v>
                </c:pt>
                <c:pt idx="15">
                  <c:v>89.327255249023438</c:v>
                </c:pt>
                <c:pt idx="16">
                  <c:v>81.023849487304688</c:v>
                </c:pt>
                <c:pt idx="17">
                  <c:v>71.08056640625</c:v>
                </c:pt>
                <c:pt idx="18">
                  <c:v>61.553375244140625</c:v>
                </c:pt>
                <c:pt idx="19">
                  <c:v>54.125541687011719</c:v>
                </c:pt>
                <c:pt idx="20">
                  <c:v>49.884075164794922</c:v>
                </c:pt>
                <c:pt idx="21">
                  <c:v>48.081798553466797</c:v>
                </c:pt>
                <c:pt idx="22">
                  <c:v>48.019054412841797</c:v>
                </c:pt>
                <c:pt idx="23">
                  <c:v>49.0919189453125</c:v>
                </c:pt>
                <c:pt idx="24">
                  <c:v>50.93524169921875</c:v>
                </c:pt>
                <c:pt idx="25">
                  <c:v>53.13616943359375</c:v>
                </c:pt>
                <c:pt idx="26">
                  <c:v>55.291027069091797</c:v>
                </c:pt>
                <c:pt idx="27">
                  <c:v>56.615615844726563</c:v>
                </c:pt>
                <c:pt idx="28">
                  <c:v>56.316944122314453</c:v>
                </c:pt>
                <c:pt idx="29">
                  <c:v>54.209014892578125</c:v>
                </c:pt>
                <c:pt idx="30">
                  <c:v>50.606418609619141</c:v>
                </c:pt>
                <c:pt idx="31">
                  <c:v>46.442974090576172</c:v>
                </c:pt>
                <c:pt idx="32">
                  <c:v>42.2818603515625</c:v>
                </c:pt>
                <c:pt idx="33">
                  <c:v>38.641349792480469</c:v>
                </c:pt>
                <c:pt idx="34">
                  <c:v>35.662174224853516</c:v>
                </c:pt>
                <c:pt idx="35">
                  <c:v>32.768951416015625</c:v>
                </c:pt>
                <c:pt idx="36">
                  <c:v>29.627992630004883</c:v>
                </c:pt>
                <c:pt idx="37">
                  <c:v>26.191368103027344</c:v>
                </c:pt>
                <c:pt idx="38">
                  <c:v>22.756008148193359</c:v>
                </c:pt>
                <c:pt idx="39">
                  <c:v>19.873527526855469</c:v>
                </c:pt>
                <c:pt idx="40">
                  <c:v>18.080690383911133</c:v>
                </c:pt>
                <c:pt idx="41">
                  <c:v>17.188783645629883</c:v>
                </c:pt>
                <c:pt idx="42">
                  <c:v>16.824844360351563</c:v>
                </c:pt>
                <c:pt idx="43">
                  <c:v>16.684749603271484</c:v>
                </c:pt>
                <c:pt idx="44">
                  <c:v>16.547147750854492</c:v>
                </c:pt>
                <c:pt idx="45">
                  <c:v>16.367446899414063</c:v>
                </c:pt>
                <c:pt idx="46">
                  <c:v>16.128786087036133</c:v>
                </c:pt>
                <c:pt idx="47">
                  <c:v>15.858226776123047</c:v>
                </c:pt>
                <c:pt idx="48">
                  <c:v>15.654297828674316</c:v>
                </c:pt>
                <c:pt idx="49">
                  <c:v>15.551616668701172</c:v>
                </c:pt>
                <c:pt idx="50">
                  <c:v>15.610878944396973</c:v>
                </c:pt>
                <c:pt idx="51">
                  <c:v>15.868099212646484</c:v>
                </c:pt>
                <c:pt idx="52">
                  <c:v>16.236724853515625</c:v>
                </c:pt>
                <c:pt idx="53">
                  <c:v>16.660745620727539</c:v>
                </c:pt>
                <c:pt idx="54">
                  <c:v>17.239055633544922</c:v>
                </c:pt>
                <c:pt idx="55">
                  <c:v>17.838420867919922</c:v>
                </c:pt>
                <c:pt idx="56">
                  <c:v>18.35798454284668</c:v>
                </c:pt>
                <c:pt idx="57">
                  <c:v>18.828659057617188</c:v>
                </c:pt>
                <c:pt idx="58">
                  <c:v>19.199939727783203</c:v>
                </c:pt>
                <c:pt idx="59">
                  <c:v>19.398014068603516</c:v>
                </c:pt>
                <c:pt idx="60">
                  <c:v>19.484186172485352</c:v>
                </c:pt>
                <c:pt idx="61">
                  <c:v>19.429788589477539</c:v>
                </c:pt>
                <c:pt idx="62">
                  <c:v>19.12030029296875</c:v>
                </c:pt>
                <c:pt idx="63">
                  <c:v>18.667499542236328</c:v>
                </c:pt>
                <c:pt idx="64">
                  <c:v>18.125499725341797</c:v>
                </c:pt>
                <c:pt idx="65">
                  <c:v>17.413330078125</c:v>
                </c:pt>
                <c:pt idx="66">
                  <c:v>16.681951522827148</c:v>
                </c:pt>
                <c:pt idx="67">
                  <c:v>15.943657875061035</c:v>
                </c:pt>
                <c:pt idx="68">
                  <c:v>15.26246166229248</c:v>
                </c:pt>
                <c:pt idx="69">
                  <c:v>14.439271926879883</c:v>
                </c:pt>
                <c:pt idx="70">
                  <c:v>13.588985443115234</c:v>
                </c:pt>
                <c:pt idx="71">
                  <c:v>12.81798267364502</c:v>
                </c:pt>
                <c:pt idx="72">
                  <c:v>12.063713073730469</c:v>
                </c:pt>
                <c:pt idx="73">
                  <c:v>11.40253734588623</c:v>
                </c:pt>
                <c:pt idx="74">
                  <c:v>10.756269454956055</c:v>
                </c:pt>
                <c:pt idx="75">
                  <c:v>10.294950485229492</c:v>
                </c:pt>
                <c:pt idx="76">
                  <c:v>9.9614048004150391</c:v>
                </c:pt>
                <c:pt idx="77">
                  <c:v>9.7769985198974609</c:v>
                </c:pt>
                <c:pt idx="78">
                  <c:v>9.747309684753418</c:v>
                </c:pt>
                <c:pt idx="79">
                  <c:v>9.768712043762207</c:v>
                </c:pt>
                <c:pt idx="80">
                  <c:v>9.9870567321777344</c:v>
                </c:pt>
                <c:pt idx="81">
                  <c:v>10.295770645141602</c:v>
                </c:pt>
                <c:pt idx="82">
                  <c:v>10.633512496948242</c:v>
                </c:pt>
                <c:pt idx="83">
                  <c:v>11.13609504699707</c:v>
                </c:pt>
                <c:pt idx="84">
                  <c:v>11.573774337768555</c:v>
                </c:pt>
                <c:pt idx="85">
                  <c:v>12.05439281463623</c:v>
                </c:pt>
                <c:pt idx="86">
                  <c:v>12.63590145111084</c:v>
                </c:pt>
                <c:pt idx="87">
                  <c:v>13.266568183898926</c:v>
                </c:pt>
                <c:pt idx="88">
                  <c:v>13.837767601013184</c:v>
                </c:pt>
                <c:pt idx="89">
                  <c:v>14.374734878540039</c:v>
                </c:pt>
                <c:pt idx="90">
                  <c:v>14.979766845703125</c:v>
                </c:pt>
                <c:pt idx="91">
                  <c:v>15.390582084655762</c:v>
                </c:pt>
                <c:pt idx="92">
                  <c:v>15.755679130554199</c:v>
                </c:pt>
                <c:pt idx="93">
                  <c:v>16.322423934936523</c:v>
                </c:pt>
                <c:pt idx="94">
                  <c:v>16.701322555541992</c:v>
                </c:pt>
                <c:pt idx="95">
                  <c:v>17.057741165161133</c:v>
                </c:pt>
                <c:pt idx="96">
                  <c:v>17.383712768554688</c:v>
                </c:pt>
                <c:pt idx="97">
                  <c:v>17.623416900634766</c:v>
                </c:pt>
                <c:pt idx="98">
                  <c:v>17.81243896484375</c:v>
                </c:pt>
                <c:pt idx="99">
                  <c:v>17.88801383972168</c:v>
                </c:pt>
                <c:pt idx="100">
                  <c:v>17.744390487670898</c:v>
                </c:pt>
                <c:pt idx="101">
                  <c:v>17.446859359741211</c:v>
                </c:pt>
                <c:pt idx="102">
                  <c:v>17.105384826660156</c:v>
                </c:pt>
                <c:pt idx="103">
                  <c:v>16.704645156860352</c:v>
                </c:pt>
                <c:pt idx="104">
                  <c:v>16.295398712158203</c:v>
                </c:pt>
                <c:pt idx="105">
                  <c:v>15.872893333435059</c:v>
                </c:pt>
                <c:pt idx="106">
                  <c:v>15.448097229003906</c:v>
                </c:pt>
                <c:pt idx="107">
                  <c:v>14.912253379821777</c:v>
                </c:pt>
                <c:pt idx="108">
                  <c:v>14.438576698303223</c:v>
                </c:pt>
                <c:pt idx="109">
                  <c:v>13.825338363647461</c:v>
                </c:pt>
                <c:pt idx="110">
                  <c:v>13.041388511657715</c:v>
                </c:pt>
                <c:pt idx="111">
                  <c:v>12.202133178710938</c:v>
                </c:pt>
                <c:pt idx="112">
                  <c:v>11.231710433959961</c:v>
                </c:pt>
                <c:pt idx="113">
                  <c:v>10.091093063354492</c:v>
                </c:pt>
                <c:pt idx="114">
                  <c:v>8.8055238723754883</c:v>
                </c:pt>
                <c:pt idx="115">
                  <c:v>7.7717761993408203</c:v>
                </c:pt>
                <c:pt idx="116">
                  <c:v>6.9847345352172852</c:v>
                </c:pt>
                <c:pt idx="117">
                  <c:v>6.2594857215881348</c:v>
                </c:pt>
                <c:pt idx="118">
                  <c:v>5.6115331649780273</c:v>
                </c:pt>
                <c:pt idx="119">
                  <c:v>5.0730695724487305</c:v>
                </c:pt>
                <c:pt idx="120">
                  <c:v>4.7121782302856445</c:v>
                </c:pt>
                <c:pt idx="121">
                  <c:v>4.5564632415771484</c:v>
                </c:pt>
                <c:pt idx="122">
                  <c:v>4.4368610382080078</c:v>
                </c:pt>
                <c:pt idx="123">
                  <c:v>4.2589144706726074</c:v>
                </c:pt>
                <c:pt idx="124">
                  <c:v>4.1901898384094238</c:v>
                </c:pt>
                <c:pt idx="125">
                  <c:v>4.0615081787109375</c:v>
                </c:pt>
                <c:pt idx="126">
                  <c:v>3.8941295146942139</c:v>
                </c:pt>
                <c:pt idx="127">
                  <c:v>3.9455771446228027</c:v>
                </c:pt>
                <c:pt idx="128">
                  <c:v>4.0008029937744141</c:v>
                </c:pt>
                <c:pt idx="129">
                  <c:v>3.971808910369873</c:v>
                </c:pt>
                <c:pt idx="130">
                  <c:v>4.0440530776977539</c:v>
                </c:pt>
                <c:pt idx="131">
                  <c:v>4.0620875358581543</c:v>
                </c:pt>
                <c:pt idx="132">
                  <c:v>4.0249404907226563</c:v>
                </c:pt>
                <c:pt idx="133">
                  <c:v>3.9401953220367432</c:v>
                </c:pt>
                <c:pt idx="134">
                  <c:v>4.0006871223449707</c:v>
                </c:pt>
                <c:pt idx="135">
                  <c:v>4.1165556907653809</c:v>
                </c:pt>
                <c:pt idx="136">
                  <c:v>2.7849652767181396</c:v>
                </c:pt>
                <c:pt idx="137">
                  <c:v>2</c:v>
                </c:pt>
                <c:pt idx="138">
                  <c:v>3.1245431900024414</c:v>
                </c:pt>
                <c:pt idx="139">
                  <c:v>3.8213329315185547</c:v>
                </c:pt>
                <c:pt idx="140">
                  <c:v>3.6697251796722412</c:v>
                </c:pt>
                <c:pt idx="141">
                  <c:v>3.7967851161956787</c:v>
                </c:pt>
                <c:pt idx="142">
                  <c:v>3.9236135482788086</c:v>
                </c:pt>
                <c:pt idx="143">
                  <c:v>3.7555930614471436</c:v>
                </c:pt>
                <c:pt idx="144">
                  <c:v>3.7243449687957764</c:v>
                </c:pt>
                <c:pt idx="145">
                  <c:v>3.9340028762817383</c:v>
                </c:pt>
                <c:pt idx="146">
                  <c:v>4.0919365882873535</c:v>
                </c:pt>
                <c:pt idx="147">
                  <c:v>4.4329137802124023</c:v>
                </c:pt>
                <c:pt idx="148">
                  <c:v>4.849663257598877</c:v>
                </c:pt>
                <c:pt idx="149">
                  <c:v>4.5880856513977051</c:v>
                </c:pt>
                <c:pt idx="150">
                  <c:v>3.7015881538391113</c:v>
                </c:pt>
                <c:pt idx="151">
                  <c:v>3.5218329429626465</c:v>
                </c:pt>
                <c:pt idx="152">
                  <c:v>3.4238026142120361</c:v>
                </c:pt>
                <c:pt idx="153">
                  <c:v>3.5565917491912842</c:v>
                </c:pt>
                <c:pt idx="154">
                  <c:v>3.6130204200744629</c:v>
                </c:pt>
                <c:pt idx="155">
                  <c:v>3.6987547874450684</c:v>
                </c:pt>
                <c:pt idx="156">
                  <c:v>3.707923412322998</c:v>
                </c:pt>
                <c:pt idx="157">
                  <c:v>3.6055357456207275</c:v>
                </c:pt>
                <c:pt idx="158">
                  <c:v>3.7850949764251709</c:v>
                </c:pt>
                <c:pt idx="159">
                  <c:v>3.6459527015686035</c:v>
                </c:pt>
                <c:pt idx="160">
                  <c:v>3.5837502479553223</c:v>
                </c:pt>
                <c:pt idx="161">
                  <c:v>3.5797674655914307</c:v>
                </c:pt>
                <c:pt idx="162">
                  <c:v>3.4606196880340576</c:v>
                </c:pt>
                <c:pt idx="163">
                  <c:v>3.6658937931060791</c:v>
                </c:pt>
                <c:pt idx="164">
                  <c:v>3.6676845550537109</c:v>
                </c:pt>
                <c:pt idx="165">
                  <c:v>3.6031122207641602</c:v>
                </c:pt>
                <c:pt idx="166">
                  <c:v>3.9040377140045166</c:v>
                </c:pt>
                <c:pt idx="167">
                  <c:v>3.6835894584655762</c:v>
                </c:pt>
                <c:pt idx="168">
                  <c:v>3.7400445938110352</c:v>
                </c:pt>
                <c:pt idx="169">
                  <c:v>3.6776998043060303</c:v>
                </c:pt>
                <c:pt idx="170">
                  <c:v>3.4672756195068359</c:v>
                </c:pt>
                <c:pt idx="171">
                  <c:v>3.7492311000823975</c:v>
                </c:pt>
                <c:pt idx="172">
                  <c:v>3.8610634803771973</c:v>
                </c:pt>
                <c:pt idx="173">
                  <c:v>3.9580872058868408</c:v>
                </c:pt>
                <c:pt idx="174">
                  <c:v>3.7240774631500244</c:v>
                </c:pt>
                <c:pt idx="175">
                  <c:v>3.790147066116333</c:v>
                </c:pt>
                <c:pt idx="176">
                  <c:v>3.7404546737670898</c:v>
                </c:pt>
                <c:pt idx="177">
                  <c:v>3.6612515449523926</c:v>
                </c:pt>
                <c:pt idx="178">
                  <c:v>3.8339674472808838</c:v>
                </c:pt>
                <c:pt idx="179">
                  <c:v>3.8630950450897217</c:v>
                </c:pt>
                <c:pt idx="180">
                  <c:v>3.7969188690185547</c:v>
                </c:pt>
                <c:pt idx="181">
                  <c:v>3.8240058422088623</c:v>
                </c:pt>
                <c:pt idx="182">
                  <c:v>3.8208694458007813</c:v>
                </c:pt>
                <c:pt idx="183">
                  <c:v>3.8499436378479004</c:v>
                </c:pt>
                <c:pt idx="184">
                  <c:v>3.9004557132720947</c:v>
                </c:pt>
                <c:pt idx="185">
                  <c:v>3.8750793933868408</c:v>
                </c:pt>
                <c:pt idx="186">
                  <c:v>3.7243716716766357</c:v>
                </c:pt>
                <c:pt idx="187">
                  <c:v>3.7676129341125488</c:v>
                </c:pt>
                <c:pt idx="188">
                  <c:v>3.8244156837463379</c:v>
                </c:pt>
                <c:pt idx="189">
                  <c:v>3.7328720092773438</c:v>
                </c:pt>
                <c:pt idx="190">
                  <c:v>3.3644158840179443</c:v>
                </c:pt>
                <c:pt idx="191">
                  <c:v>3.7480194568634033</c:v>
                </c:pt>
                <c:pt idx="192">
                  <c:v>3.6342000961303711</c:v>
                </c:pt>
                <c:pt idx="193">
                  <c:v>3.4539725780487061</c:v>
                </c:pt>
                <c:pt idx="194">
                  <c:v>3.2197401523590088</c:v>
                </c:pt>
                <c:pt idx="195">
                  <c:v>3.179448127746582</c:v>
                </c:pt>
                <c:pt idx="196">
                  <c:v>3.2668218612670898</c:v>
                </c:pt>
                <c:pt idx="197">
                  <c:v>3.6222424507141113</c:v>
                </c:pt>
                <c:pt idx="198">
                  <c:v>4.2486767768859863</c:v>
                </c:pt>
                <c:pt idx="199">
                  <c:v>3.6844091415405273</c:v>
                </c:pt>
                <c:pt idx="200">
                  <c:v>3.4742345809936523</c:v>
                </c:pt>
                <c:pt idx="201">
                  <c:v>3.3358495235443115</c:v>
                </c:pt>
                <c:pt idx="202">
                  <c:v>3.6688251495361328</c:v>
                </c:pt>
                <c:pt idx="203">
                  <c:v>3.3979628086090088</c:v>
                </c:pt>
                <c:pt idx="204">
                  <c:v>3.82846999168396</c:v>
                </c:pt>
                <c:pt idx="205">
                  <c:v>3.8536324501037598</c:v>
                </c:pt>
                <c:pt idx="206">
                  <c:v>3.8603951930999756</c:v>
                </c:pt>
                <c:pt idx="207">
                  <c:v>4.0242815017700195</c:v>
                </c:pt>
                <c:pt idx="208">
                  <c:v>3.8165657520294189</c:v>
                </c:pt>
                <c:pt idx="209">
                  <c:v>4.0564742088317871</c:v>
                </c:pt>
                <c:pt idx="210">
                  <c:v>3.5750715732574463</c:v>
                </c:pt>
                <c:pt idx="211">
                  <c:v>3.795029878616333</c:v>
                </c:pt>
                <c:pt idx="212">
                  <c:v>3.4744927883148193</c:v>
                </c:pt>
                <c:pt idx="213">
                  <c:v>3.7563681602478027</c:v>
                </c:pt>
                <c:pt idx="214">
                  <c:v>3.8111751079559326</c:v>
                </c:pt>
                <c:pt idx="215">
                  <c:v>3.8225357532501221</c:v>
                </c:pt>
                <c:pt idx="216">
                  <c:v>3.9839267730712891</c:v>
                </c:pt>
                <c:pt idx="217">
                  <c:v>3.4754552841186523</c:v>
                </c:pt>
                <c:pt idx="218">
                  <c:v>3.9980406761169434</c:v>
                </c:pt>
                <c:pt idx="219">
                  <c:v>4.078312873840332</c:v>
                </c:pt>
                <c:pt idx="220">
                  <c:v>3.9226334095001221</c:v>
                </c:pt>
                <c:pt idx="221">
                  <c:v>3.8838915824890137</c:v>
                </c:pt>
                <c:pt idx="222">
                  <c:v>3.0369467735290527</c:v>
                </c:pt>
                <c:pt idx="223">
                  <c:v>3.6284706592559814</c:v>
                </c:pt>
                <c:pt idx="224">
                  <c:v>3.2817378044128418</c:v>
                </c:pt>
                <c:pt idx="225">
                  <c:v>3.4974100589752197</c:v>
                </c:pt>
              </c:numCache>
            </c:numRef>
          </c:yVal>
          <c:smooth val="1"/>
          <c:extLst>
            <c:ext xmlns:c16="http://schemas.microsoft.com/office/drawing/2014/chart" uri="{C3380CC4-5D6E-409C-BE32-E72D297353CC}">
              <c16:uniqueId val="{00000003-58F6-4830-8941-1011DB88381F}"/>
            </c:ext>
          </c:extLst>
        </c:ser>
        <c:ser>
          <c:idx val="4"/>
          <c:order val="4"/>
          <c:tx>
            <c:v>5</c:v>
          </c:tx>
          <c:spPr>
            <a:ln w="19050" cap="rnd">
              <a:noFill/>
              <a:round/>
            </a:ln>
            <a:effectLst/>
            <a:extLst>
              <a:ext uri="{91240B29-F687-4F45-9708-019B960494DF}">
                <a14:hiddenLine xmlns:a14="http://schemas.microsoft.com/office/drawing/2010/main" w="19050" cap="rnd">
                  <a:solidFill>
                    <a:srgbClr val="4472C4"/>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NormalisedUVVisData!$F$2:$F$300</c:f>
              <c:numCache>
                <c:formatCode>General</c:formatCode>
                <c:ptCount val="299"/>
                <c:pt idx="0">
                  <c:v>81.868721008300781</c:v>
                </c:pt>
                <c:pt idx="1">
                  <c:v>85.572586059570313</c:v>
                </c:pt>
                <c:pt idx="2">
                  <c:v>86.207466125488281</c:v>
                </c:pt>
                <c:pt idx="3">
                  <c:v>85.407417297363281</c:v>
                </c:pt>
                <c:pt idx="4">
                  <c:v>83.912506103515625</c:v>
                </c:pt>
                <c:pt idx="5">
                  <c:v>81.435371398925781</c:v>
                </c:pt>
                <c:pt idx="6">
                  <c:v>78.415359497070313</c:v>
                </c:pt>
                <c:pt idx="7">
                  <c:v>75.8935546875</c:v>
                </c:pt>
                <c:pt idx="8">
                  <c:v>73.554824829101563</c:v>
                </c:pt>
                <c:pt idx="9">
                  <c:v>71.28985595703125</c:v>
                </c:pt>
                <c:pt idx="10">
                  <c:v>69.282669067382813</c:v>
                </c:pt>
                <c:pt idx="11">
                  <c:v>66.866722106933594</c:v>
                </c:pt>
                <c:pt idx="12">
                  <c:v>64.085845947265625</c:v>
                </c:pt>
                <c:pt idx="13">
                  <c:v>61.471183776855469</c:v>
                </c:pt>
                <c:pt idx="14">
                  <c:v>60.385330200195313</c:v>
                </c:pt>
                <c:pt idx="15">
                  <c:v>62.239654541015625</c:v>
                </c:pt>
                <c:pt idx="16">
                  <c:v>66.977226257324219</c:v>
                </c:pt>
                <c:pt idx="17">
                  <c:v>74.039154052734375</c:v>
                </c:pt>
                <c:pt idx="18">
                  <c:v>82.116256713867188</c:v>
                </c:pt>
                <c:pt idx="19">
                  <c:v>90.123687744140625</c:v>
                </c:pt>
                <c:pt idx="20">
                  <c:v>96.445838928222656</c:v>
                </c:pt>
                <c:pt idx="21">
                  <c:v>100.00000762939453</c:v>
                </c:pt>
                <c:pt idx="22">
                  <c:v>99.806037902832031</c:v>
                </c:pt>
                <c:pt idx="23">
                  <c:v>96.122673034667969</c:v>
                </c:pt>
                <c:pt idx="24">
                  <c:v>90.204086303710938</c:v>
                </c:pt>
                <c:pt idx="25">
                  <c:v>83.984939575195313</c:v>
                </c:pt>
                <c:pt idx="26">
                  <c:v>77.621597290039063</c:v>
                </c:pt>
                <c:pt idx="27">
                  <c:v>71.195549011230469</c:v>
                </c:pt>
                <c:pt idx="28">
                  <c:v>63.648468017578125</c:v>
                </c:pt>
                <c:pt idx="29">
                  <c:v>55.299911499023438</c:v>
                </c:pt>
                <c:pt idx="30">
                  <c:v>46.469234466552734</c:v>
                </c:pt>
                <c:pt idx="31">
                  <c:v>38.766708374023438</c:v>
                </c:pt>
                <c:pt idx="32">
                  <c:v>32.267189025878906</c:v>
                </c:pt>
                <c:pt idx="33">
                  <c:v>27.346918106079102</c:v>
                </c:pt>
                <c:pt idx="34">
                  <c:v>24.010398864746094</c:v>
                </c:pt>
                <c:pt idx="35">
                  <c:v>21.838642120361328</c:v>
                </c:pt>
                <c:pt idx="36">
                  <c:v>20.449901580810547</c:v>
                </c:pt>
                <c:pt idx="37">
                  <c:v>19.669044494628906</c:v>
                </c:pt>
                <c:pt idx="38">
                  <c:v>19.22407341003418</c:v>
                </c:pt>
                <c:pt idx="39">
                  <c:v>18.783349990844727</c:v>
                </c:pt>
                <c:pt idx="40">
                  <c:v>18.413181304931641</c:v>
                </c:pt>
                <c:pt idx="41">
                  <c:v>18.165098190307617</c:v>
                </c:pt>
                <c:pt idx="42">
                  <c:v>17.999265670776367</c:v>
                </c:pt>
                <c:pt idx="43">
                  <c:v>17.523715972900391</c:v>
                </c:pt>
                <c:pt idx="44">
                  <c:v>17.175634384155273</c:v>
                </c:pt>
                <c:pt idx="45">
                  <c:v>17.171175003051758</c:v>
                </c:pt>
                <c:pt idx="46">
                  <c:v>17.294065475463867</c:v>
                </c:pt>
                <c:pt idx="47">
                  <c:v>17.433588027954102</c:v>
                </c:pt>
                <c:pt idx="48">
                  <c:v>17.795547485351563</c:v>
                </c:pt>
                <c:pt idx="49">
                  <c:v>18.532371520996094</c:v>
                </c:pt>
                <c:pt idx="50">
                  <c:v>19.607006072998047</c:v>
                </c:pt>
                <c:pt idx="51">
                  <c:v>20.897481918334961</c:v>
                </c:pt>
                <c:pt idx="52">
                  <c:v>22.429895401000977</c:v>
                </c:pt>
                <c:pt idx="53">
                  <c:v>24.311151504516602</c:v>
                </c:pt>
                <c:pt idx="54">
                  <c:v>26.445352554321289</c:v>
                </c:pt>
                <c:pt idx="55">
                  <c:v>28.679740905761719</c:v>
                </c:pt>
                <c:pt idx="56">
                  <c:v>31.035005569458008</c:v>
                </c:pt>
                <c:pt idx="57">
                  <c:v>33.522602081298828</c:v>
                </c:pt>
                <c:pt idx="58">
                  <c:v>36.130577087402344</c:v>
                </c:pt>
                <c:pt idx="59">
                  <c:v>38.384109497070313</c:v>
                </c:pt>
                <c:pt idx="60">
                  <c:v>40.331272125244141</c:v>
                </c:pt>
                <c:pt idx="61">
                  <c:v>41.970989227294922</c:v>
                </c:pt>
                <c:pt idx="62">
                  <c:v>42.959529876708984</c:v>
                </c:pt>
                <c:pt idx="63">
                  <c:v>43.419563293457031</c:v>
                </c:pt>
                <c:pt idx="64">
                  <c:v>43.414176940917969</c:v>
                </c:pt>
                <c:pt idx="65">
                  <c:v>42.700981140136719</c:v>
                </c:pt>
                <c:pt idx="66">
                  <c:v>41.366901397705078</c:v>
                </c:pt>
                <c:pt idx="67">
                  <c:v>39.587162017822266</c:v>
                </c:pt>
                <c:pt idx="68">
                  <c:v>37.428382873535156</c:v>
                </c:pt>
                <c:pt idx="69">
                  <c:v>34.681835174560547</c:v>
                </c:pt>
                <c:pt idx="70">
                  <c:v>31.900510787963867</c:v>
                </c:pt>
                <c:pt idx="71">
                  <c:v>28.915464401245117</c:v>
                </c:pt>
                <c:pt idx="72">
                  <c:v>25.427349090576172</c:v>
                </c:pt>
                <c:pt idx="73">
                  <c:v>22.322734832763672</c:v>
                </c:pt>
                <c:pt idx="74">
                  <c:v>19.25897216796875</c:v>
                </c:pt>
                <c:pt idx="75">
                  <c:v>16.560182571411133</c:v>
                </c:pt>
                <c:pt idx="76">
                  <c:v>14.224230766296387</c:v>
                </c:pt>
                <c:pt idx="77">
                  <c:v>12.267200469970703</c:v>
                </c:pt>
                <c:pt idx="78">
                  <c:v>10.518706321716309</c:v>
                </c:pt>
                <c:pt idx="79">
                  <c:v>9.0744028091430664</c:v>
                </c:pt>
                <c:pt idx="80">
                  <c:v>8.0053920745849609</c:v>
                </c:pt>
                <c:pt idx="81">
                  <c:v>7.0885953903198242</c:v>
                </c:pt>
                <c:pt idx="82">
                  <c:v>6.4077358245849609</c:v>
                </c:pt>
                <c:pt idx="83">
                  <c:v>6.2404093742370605</c:v>
                </c:pt>
                <c:pt idx="84">
                  <c:v>6.1301155090332031</c:v>
                </c:pt>
                <c:pt idx="85">
                  <c:v>5.9732990264892578</c:v>
                </c:pt>
                <c:pt idx="86">
                  <c:v>5.9012961387634277</c:v>
                </c:pt>
                <c:pt idx="87">
                  <c:v>5.9532995223999023</c:v>
                </c:pt>
                <c:pt idx="88">
                  <c:v>6.199580192565918</c:v>
                </c:pt>
                <c:pt idx="89">
                  <c:v>6.2359018325805664</c:v>
                </c:pt>
                <c:pt idx="90">
                  <c:v>6.2680244445800781</c:v>
                </c:pt>
                <c:pt idx="91">
                  <c:v>6.4941153526306152</c:v>
                </c:pt>
                <c:pt idx="92">
                  <c:v>6.7224369049072266</c:v>
                </c:pt>
                <c:pt idx="93">
                  <c:v>6.9136300086975098</c:v>
                </c:pt>
                <c:pt idx="94">
                  <c:v>6.9793219566345215</c:v>
                </c:pt>
                <c:pt idx="95">
                  <c:v>7.265388011932373</c:v>
                </c:pt>
                <c:pt idx="96">
                  <c:v>7.782717227935791</c:v>
                </c:pt>
                <c:pt idx="97">
                  <c:v>8.0092830657958984</c:v>
                </c:pt>
                <c:pt idx="98">
                  <c:v>8.2586708068847656</c:v>
                </c:pt>
                <c:pt idx="99">
                  <c:v>8.6020307540893555</c:v>
                </c:pt>
                <c:pt idx="100">
                  <c:v>9.0169191360473633</c:v>
                </c:pt>
                <c:pt idx="101">
                  <c:v>9.1858348846435547</c:v>
                </c:pt>
                <c:pt idx="102">
                  <c:v>9.3038387298583984</c:v>
                </c:pt>
                <c:pt idx="103">
                  <c:v>9.9521493911743164</c:v>
                </c:pt>
                <c:pt idx="104">
                  <c:v>10.480771064758301</c:v>
                </c:pt>
                <c:pt idx="105">
                  <c:v>11.076033592224121</c:v>
                </c:pt>
                <c:pt idx="106">
                  <c:v>11.634310722351074</c:v>
                </c:pt>
                <c:pt idx="107">
                  <c:v>11.817176818847656</c:v>
                </c:pt>
                <c:pt idx="108">
                  <c:v>12.129528999328613</c:v>
                </c:pt>
                <c:pt idx="109">
                  <c:v>12.647475242614746</c:v>
                </c:pt>
                <c:pt idx="110">
                  <c:v>13.160795211791992</c:v>
                </c:pt>
                <c:pt idx="111">
                  <c:v>13.776009559631348</c:v>
                </c:pt>
                <c:pt idx="112">
                  <c:v>14.504294395446777</c:v>
                </c:pt>
                <c:pt idx="113">
                  <c:v>14.992561340332031</c:v>
                </c:pt>
                <c:pt idx="114">
                  <c:v>15.485027313232422</c:v>
                </c:pt>
                <c:pt idx="115">
                  <c:v>16.093955993652344</c:v>
                </c:pt>
                <c:pt idx="116">
                  <c:v>16.6190185546875</c:v>
                </c:pt>
                <c:pt idx="117">
                  <c:v>17.198575973510742</c:v>
                </c:pt>
                <c:pt idx="118">
                  <c:v>17.964748382568359</c:v>
                </c:pt>
                <c:pt idx="119">
                  <c:v>18.881330490112305</c:v>
                </c:pt>
                <c:pt idx="120">
                  <c:v>19.694120407104492</c:v>
                </c:pt>
                <c:pt idx="121">
                  <c:v>20.493387222290039</c:v>
                </c:pt>
                <c:pt idx="122">
                  <c:v>21.029481887817383</c:v>
                </c:pt>
                <c:pt idx="123">
                  <c:v>21.479909896850586</c:v>
                </c:pt>
                <c:pt idx="124">
                  <c:v>22.346481323242188</c:v>
                </c:pt>
                <c:pt idx="125">
                  <c:v>22.992656707763672</c:v>
                </c:pt>
                <c:pt idx="126">
                  <c:v>23.655012130737305</c:v>
                </c:pt>
                <c:pt idx="127">
                  <c:v>24.685447692871094</c:v>
                </c:pt>
                <c:pt idx="128">
                  <c:v>25.131082534790039</c:v>
                </c:pt>
                <c:pt idx="129">
                  <c:v>25.872888565063477</c:v>
                </c:pt>
                <c:pt idx="130">
                  <c:v>27.13722038269043</c:v>
                </c:pt>
                <c:pt idx="131">
                  <c:v>28.213064193725586</c:v>
                </c:pt>
                <c:pt idx="132">
                  <c:v>29.554712295532227</c:v>
                </c:pt>
                <c:pt idx="133">
                  <c:v>30.695014953613281</c:v>
                </c:pt>
                <c:pt idx="134">
                  <c:v>31.671785354614258</c:v>
                </c:pt>
                <c:pt idx="135">
                  <c:v>32.426048278808594</c:v>
                </c:pt>
                <c:pt idx="136">
                  <c:v>33.194732666015625</c:v>
                </c:pt>
                <c:pt idx="137">
                  <c:v>33.573230743408203</c:v>
                </c:pt>
                <c:pt idx="138">
                  <c:v>32.991584777832031</c:v>
                </c:pt>
                <c:pt idx="139">
                  <c:v>32.573184967041016</c:v>
                </c:pt>
                <c:pt idx="140">
                  <c:v>32.568534851074219</c:v>
                </c:pt>
                <c:pt idx="141">
                  <c:v>32.757190704345703</c:v>
                </c:pt>
                <c:pt idx="142">
                  <c:v>33.149753570556641</c:v>
                </c:pt>
                <c:pt idx="143">
                  <c:v>33.627723693847656</c:v>
                </c:pt>
                <c:pt idx="144">
                  <c:v>34.646583557128906</c:v>
                </c:pt>
                <c:pt idx="145">
                  <c:v>35.600105285644531</c:v>
                </c:pt>
                <c:pt idx="146">
                  <c:v>37.328811645507813</c:v>
                </c:pt>
                <c:pt idx="147">
                  <c:v>38.355712890625</c:v>
                </c:pt>
                <c:pt idx="148">
                  <c:v>38.053512573242188</c:v>
                </c:pt>
                <c:pt idx="149">
                  <c:v>38.293933868408203</c:v>
                </c:pt>
                <c:pt idx="150">
                  <c:v>39.319267272949219</c:v>
                </c:pt>
                <c:pt idx="151">
                  <c:v>39.292224884033203</c:v>
                </c:pt>
                <c:pt idx="152">
                  <c:v>38.5462646484375</c:v>
                </c:pt>
                <c:pt idx="153">
                  <c:v>37.016387939453125</c:v>
                </c:pt>
                <c:pt idx="154">
                  <c:v>35.205783843994141</c:v>
                </c:pt>
                <c:pt idx="155">
                  <c:v>33.454963684082031</c:v>
                </c:pt>
                <c:pt idx="156">
                  <c:v>31.867532730102539</c:v>
                </c:pt>
                <c:pt idx="157">
                  <c:v>30.028200149536133</c:v>
                </c:pt>
                <c:pt idx="158">
                  <c:v>28.529804229736328</c:v>
                </c:pt>
                <c:pt idx="159">
                  <c:v>27.860950469970703</c:v>
                </c:pt>
                <c:pt idx="160">
                  <c:v>26.736448287963867</c:v>
                </c:pt>
                <c:pt idx="161">
                  <c:v>26.418331146240234</c:v>
                </c:pt>
                <c:pt idx="162">
                  <c:v>26.784656524658203</c:v>
                </c:pt>
                <c:pt idx="163">
                  <c:v>26.57481575012207</c:v>
                </c:pt>
                <c:pt idx="164">
                  <c:v>26.772603988647461</c:v>
                </c:pt>
                <c:pt idx="165">
                  <c:v>27.408149719238281</c:v>
                </c:pt>
                <c:pt idx="166">
                  <c:v>28.117265701293945</c:v>
                </c:pt>
                <c:pt idx="167">
                  <c:v>28.847257614135742</c:v>
                </c:pt>
                <c:pt idx="168">
                  <c:v>28.59684944152832</c:v>
                </c:pt>
                <c:pt idx="169">
                  <c:v>27.464044570922852</c:v>
                </c:pt>
                <c:pt idx="170">
                  <c:v>25.860622406005859</c:v>
                </c:pt>
                <c:pt idx="171">
                  <c:v>24.036235809326172</c:v>
                </c:pt>
                <c:pt idx="172">
                  <c:v>21.958995819091797</c:v>
                </c:pt>
                <c:pt idx="173">
                  <c:v>19.458942413330078</c:v>
                </c:pt>
                <c:pt idx="174">
                  <c:v>16.863922119140625</c:v>
                </c:pt>
                <c:pt idx="175">
                  <c:v>14.2733154296875</c:v>
                </c:pt>
                <c:pt idx="176">
                  <c:v>11.646244049072266</c:v>
                </c:pt>
                <c:pt idx="177">
                  <c:v>9.2439355850219727</c:v>
                </c:pt>
                <c:pt idx="178">
                  <c:v>7.5059986114501953</c:v>
                </c:pt>
                <c:pt idx="179">
                  <c:v>6.2757582664489746</c:v>
                </c:pt>
                <c:pt idx="180">
                  <c:v>5.3182272911071777</c:v>
                </c:pt>
                <c:pt idx="181">
                  <c:v>4.8298182487487793</c:v>
                </c:pt>
                <c:pt idx="182">
                  <c:v>4.1844735145568848</c:v>
                </c:pt>
                <c:pt idx="183">
                  <c:v>3.8589541912078857</c:v>
                </c:pt>
                <c:pt idx="184">
                  <c:v>3.5928165912628174</c:v>
                </c:pt>
                <c:pt idx="185">
                  <c:v>3.492795467376709</c:v>
                </c:pt>
                <c:pt idx="186">
                  <c:v>3.5356888771057129</c:v>
                </c:pt>
                <c:pt idx="187">
                  <c:v>3.2438814640045166</c:v>
                </c:pt>
                <c:pt idx="188">
                  <c:v>3.3181619644165039</c:v>
                </c:pt>
                <c:pt idx="189">
                  <c:v>3.3805091381072998</c:v>
                </c:pt>
                <c:pt idx="190">
                  <c:v>3.4930801391601563</c:v>
                </c:pt>
                <c:pt idx="191">
                  <c:v>3.4952154159545898</c:v>
                </c:pt>
                <c:pt idx="192">
                  <c:v>3.1967415809631348</c:v>
                </c:pt>
                <c:pt idx="193">
                  <c:v>3.2924923896789551</c:v>
                </c:pt>
                <c:pt idx="194">
                  <c:v>3.2440237998962402</c:v>
                </c:pt>
                <c:pt idx="195">
                  <c:v>3.3575677871704102</c:v>
                </c:pt>
                <c:pt idx="196">
                  <c:v>2.8108208179473877</c:v>
                </c:pt>
                <c:pt idx="197">
                  <c:v>2.4571170806884766</c:v>
                </c:pt>
                <c:pt idx="198">
                  <c:v>2.6475272178649902</c:v>
                </c:pt>
                <c:pt idx="199">
                  <c:v>2.8102512359619141</c:v>
                </c:pt>
                <c:pt idx="200">
                  <c:v>2.8050558567047119</c:v>
                </c:pt>
                <c:pt idx="201">
                  <c:v>2.8429431915283203</c:v>
                </c:pt>
                <c:pt idx="202">
                  <c:v>2.9985263347625732</c:v>
                </c:pt>
                <c:pt idx="203">
                  <c:v>2.720123291015625</c:v>
                </c:pt>
                <c:pt idx="204">
                  <c:v>2.7995755672454834</c:v>
                </c:pt>
                <c:pt idx="205">
                  <c:v>2.5583720207214355</c:v>
                </c:pt>
                <c:pt idx="206">
                  <c:v>2.8098006248474121</c:v>
                </c:pt>
                <c:pt idx="207">
                  <c:v>2.5216705799102783</c:v>
                </c:pt>
                <c:pt idx="208">
                  <c:v>2.7455556392669678</c:v>
                </c:pt>
                <c:pt idx="209">
                  <c:v>3.0347530841827393</c:v>
                </c:pt>
                <c:pt idx="210">
                  <c:v>3.1496255397796631</c:v>
                </c:pt>
                <c:pt idx="211">
                  <c:v>3.0967681407928467</c:v>
                </c:pt>
                <c:pt idx="212">
                  <c:v>2.7383670806884766</c:v>
                </c:pt>
                <c:pt idx="213">
                  <c:v>2.6533870697021484</c:v>
                </c:pt>
                <c:pt idx="214">
                  <c:v>2.0934021472930908</c:v>
                </c:pt>
                <c:pt idx="215">
                  <c:v>2.66690993309021</c:v>
                </c:pt>
                <c:pt idx="216">
                  <c:v>2.8536903858184814</c:v>
                </c:pt>
                <c:pt idx="217">
                  <c:v>3.0325703620910645</c:v>
                </c:pt>
                <c:pt idx="218">
                  <c:v>3.1924238204956055</c:v>
                </c:pt>
                <c:pt idx="219">
                  <c:v>2.304499626159668</c:v>
                </c:pt>
                <c:pt idx="220">
                  <c:v>2.6791279315948486</c:v>
                </c:pt>
                <c:pt idx="221">
                  <c:v>2.8052692413330078</c:v>
                </c:pt>
                <c:pt idx="222">
                  <c:v>3.4476721286773682</c:v>
                </c:pt>
                <c:pt idx="223">
                  <c:v>3.3536295890808105</c:v>
                </c:pt>
                <c:pt idx="224">
                  <c:v>2</c:v>
                </c:pt>
                <c:pt idx="225">
                  <c:v>2.2963860034942627</c:v>
                </c:pt>
              </c:numCache>
            </c:numRef>
          </c:yVal>
          <c:smooth val="1"/>
          <c:extLst>
            <c:ext xmlns:c16="http://schemas.microsoft.com/office/drawing/2014/chart" uri="{C3380CC4-5D6E-409C-BE32-E72D297353CC}">
              <c16:uniqueId val="{00000004-58F6-4830-8941-1011DB88381F}"/>
            </c:ext>
          </c:extLst>
        </c:ser>
        <c:ser>
          <c:idx val="5"/>
          <c:order val="5"/>
          <c:tx>
            <c:v>6</c:v>
          </c:tx>
          <c:spPr>
            <a:ln w="19050" cap="rnd">
              <a:noFill/>
              <a:round/>
            </a:ln>
            <a:effectLst/>
            <a:extLst>
              <a:ext uri="{91240B29-F687-4F45-9708-019B960494DF}">
                <a14:hiddenLine xmlns:a14="http://schemas.microsoft.com/office/drawing/2010/main" w="19050" cap="rnd">
                  <a:solidFill>
                    <a:srgbClr val="70AD47"/>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NormalisedUVVisData!$G$2:$G$300</c:f>
              <c:numCache>
                <c:formatCode>General</c:formatCode>
                <c:ptCount val="299"/>
                <c:pt idx="0">
                  <c:v>68.4962158203125</c:v>
                </c:pt>
                <c:pt idx="1">
                  <c:v>68.585983276367188</c:v>
                </c:pt>
                <c:pt idx="2">
                  <c:v>67.259529113769531</c:v>
                </c:pt>
                <c:pt idx="3">
                  <c:v>65.660972595214844</c:v>
                </c:pt>
                <c:pt idx="4">
                  <c:v>63.728919982910156</c:v>
                </c:pt>
                <c:pt idx="5">
                  <c:v>61.444927215576172</c:v>
                </c:pt>
                <c:pt idx="6">
                  <c:v>59.020839691162109</c:v>
                </c:pt>
                <c:pt idx="7">
                  <c:v>57.003910064697266</c:v>
                </c:pt>
                <c:pt idx="8">
                  <c:v>55.977565765380859</c:v>
                </c:pt>
                <c:pt idx="9">
                  <c:v>56.172382354736328</c:v>
                </c:pt>
                <c:pt idx="10">
                  <c:v>57.518207550048828</c:v>
                </c:pt>
                <c:pt idx="11">
                  <c:v>60.209396362304688</c:v>
                </c:pt>
                <c:pt idx="12">
                  <c:v>64.501976013183594</c:v>
                </c:pt>
                <c:pt idx="13">
                  <c:v>71.001113891601563</c:v>
                </c:pt>
                <c:pt idx="14">
                  <c:v>79.408920288085938</c:v>
                </c:pt>
                <c:pt idx="15">
                  <c:v>88.733871459960938</c:v>
                </c:pt>
                <c:pt idx="16">
                  <c:v>96.296112060546875</c:v>
                </c:pt>
                <c:pt idx="17">
                  <c:v>100</c:v>
                </c:pt>
                <c:pt idx="18">
                  <c:v>97.800285339355469</c:v>
                </c:pt>
                <c:pt idx="19">
                  <c:v>89.241737365722656</c:v>
                </c:pt>
                <c:pt idx="20">
                  <c:v>77.416343688964844</c:v>
                </c:pt>
                <c:pt idx="21">
                  <c:v>65.51318359375</c:v>
                </c:pt>
                <c:pt idx="22">
                  <c:v>55.280071258544922</c:v>
                </c:pt>
                <c:pt idx="23">
                  <c:v>47.635585784912109</c:v>
                </c:pt>
                <c:pt idx="24">
                  <c:v>41.983291625976563</c:v>
                </c:pt>
                <c:pt idx="25">
                  <c:v>38.206863403320313</c:v>
                </c:pt>
                <c:pt idx="26">
                  <c:v>35.692768096923828</c:v>
                </c:pt>
                <c:pt idx="27">
                  <c:v>34.271625518798828</c:v>
                </c:pt>
                <c:pt idx="28">
                  <c:v>33.553718566894531</c:v>
                </c:pt>
                <c:pt idx="29">
                  <c:v>33.227664947509766</c:v>
                </c:pt>
                <c:pt idx="30">
                  <c:v>33.226428985595703</c:v>
                </c:pt>
                <c:pt idx="31">
                  <c:v>33.6287841796875</c:v>
                </c:pt>
                <c:pt idx="32">
                  <c:v>34.212154388427734</c:v>
                </c:pt>
                <c:pt idx="33">
                  <c:v>34.767337799072266</c:v>
                </c:pt>
                <c:pt idx="34">
                  <c:v>35.271720886230469</c:v>
                </c:pt>
                <c:pt idx="35">
                  <c:v>35.600444793701172</c:v>
                </c:pt>
                <c:pt idx="36">
                  <c:v>35.704456329345703</c:v>
                </c:pt>
                <c:pt idx="37">
                  <c:v>35.407810211181641</c:v>
                </c:pt>
                <c:pt idx="38">
                  <c:v>34.622234344482422</c:v>
                </c:pt>
                <c:pt idx="39">
                  <c:v>33.538112640380859</c:v>
                </c:pt>
                <c:pt idx="40">
                  <c:v>32.395236968994141</c:v>
                </c:pt>
                <c:pt idx="41">
                  <c:v>31.667413711547852</c:v>
                </c:pt>
                <c:pt idx="42">
                  <c:v>31.48582649230957</c:v>
                </c:pt>
                <c:pt idx="43">
                  <c:v>31.55517578125</c:v>
                </c:pt>
                <c:pt idx="44">
                  <c:v>31.918615341186523</c:v>
                </c:pt>
                <c:pt idx="45">
                  <c:v>32.295177459716797</c:v>
                </c:pt>
                <c:pt idx="46">
                  <c:v>32.591621398925781</c:v>
                </c:pt>
                <c:pt idx="47">
                  <c:v>32.809581756591797</c:v>
                </c:pt>
                <c:pt idx="48">
                  <c:v>32.987686157226563</c:v>
                </c:pt>
                <c:pt idx="49">
                  <c:v>33.142589569091797</c:v>
                </c:pt>
                <c:pt idx="50">
                  <c:v>33.176494598388672</c:v>
                </c:pt>
                <c:pt idx="51">
                  <c:v>33.016471862792969</c:v>
                </c:pt>
                <c:pt idx="52">
                  <c:v>32.698410034179688</c:v>
                </c:pt>
                <c:pt idx="53">
                  <c:v>32.084514617919922</c:v>
                </c:pt>
                <c:pt idx="54">
                  <c:v>31.223138809204102</c:v>
                </c:pt>
                <c:pt idx="55">
                  <c:v>30.107719421386719</c:v>
                </c:pt>
                <c:pt idx="56">
                  <c:v>28.706092834472656</c:v>
                </c:pt>
                <c:pt idx="57">
                  <c:v>27.244903564453125</c:v>
                </c:pt>
                <c:pt idx="58">
                  <c:v>25.693532943725586</c:v>
                </c:pt>
                <c:pt idx="59">
                  <c:v>24.13994026184082</c:v>
                </c:pt>
                <c:pt idx="60">
                  <c:v>22.580060958862305</c:v>
                </c:pt>
                <c:pt idx="61">
                  <c:v>20.997684478759766</c:v>
                </c:pt>
                <c:pt idx="62">
                  <c:v>19.433496475219727</c:v>
                </c:pt>
                <c:pt idx="63">
                  <c:v>17.732181549072266</c:v>
                </c:pt>
                <c:pt idx="64">
                  <c:v>16.052642822265625</c:v>
                </c:pt>
                <c:pt idx="65">
                  <c:v>14.399018287658691</c:v>
                </c:pt>
                <c:pt idx="66">
                  <c:v>12.765641212463379</c:v>
                </c:pt>
                <c:pt idx="67">
                  <c:v>11.211997032165527</c:v>
                </c:pt>
                <c:pt idx="68">
                  <c:v>10.018879890441895</c:v>
                </c:pt>
                <c:pt idx="69">
                  <c:v>8.9419097900390625</c:v>
                </c:pt>
                <c:pt idx="70">
                  <c:v>7.9853954315185547</c:v>
                </c:pt>
                <c:pt idx="71">
                  <c:v>7.2952914237976074</c:v>
                </c:pt>
                <c:pt idx="72">
                  <c:v>6.7612872123718262</c:v>
                </c:pt>
                <c:pt idx="73">
                  <c:v>6.4391827583312988</c:v>
                </c:pt>
                <c:pt idx="74">
                  <c:v>6.2272562980651855</c:v>
                </c:pt>
                <c:pt idx="75">
                  <c:v>6.0598821640014648</c:v>
                </c:pt>
                <c:pt idx="76">
                  <c:v>6.0037097930908203</c:v>
                </c:pt>
                <c:pt idx="77">
                  <c:v>6.0299544334411621</c:v>
                </c:pt>
                <c:pt idx="78">
                  <c:v>6.0590577125549316</c:v>
                </c:pt>
                <c:pt idx="79">
                  <c:v>6.0237455368041992</c:v>
                </c:pt>
                <c:pt idx="80">
                  <c:v>6.1484551429748535</c:v>
                </c:pt>
                <c:pt idx="81">
                  <c:v>6.3433237075805664</c:v>
                </c:pt>
                <c:pt idx="82">
                  <c:v>6.4451656341552734</c:v>
                </c:pt>
                <c:pt idx="83">
                  <c:v>6.5533356666564941</c:v>
                </c:pt>
                <c:pt idx="84">
                  <c:v>6.7338590621948242</c:v>
                </c:pt>
                <c:pt idx="85">
                  <c:v>6.852226734161377</c:v>
                </c:pt>
                <c:pt idx="86">
                  <c:v>7.1348972320556641</c:v>
                </c:pt>
                <c:pt idx="87">
                  <c:v>7.3831467628479004</c:v>
                </c:pt>
                <c:pt idx="88">
                  <c:v>7.4385743141174316</c:v>
                </c:pt>
                <c:pt idx="89">
                  <c:v>7.6812000274658203</c:v>
                </c:pt>
                <c:pt idx="90">
                  <c:v>7.9794526100158691</c:v>
                </c:pt>
                <c:pt idx="91">
                  <c:v>8.0799646377563477</c:v>
                </c:pt>
                <c:pt idx="92">
                  <c:v>8.3616113662719727</c:v>
                </c:pt>
                <c:pt idx="93">
                  <c:v>8.6465024948120117</c:v>
                </c:pt>
                <c:pt idx="94">
                  <c:v>8.9493551254272461</c:v>
                </c:pt>
                <c:pt idx="95">
                  <c:v>9.3668670654296875</c:v>
                </c:pt>
                <c:pt idx="96">
                  <c:v>9.7407426834106445</c:v>
                </c:pt>
                <c:pt idx="97">
                  <c:v>10.13020133972168</c:v>
                </c:pt>
                <c:pt idx="98">
                  <c:v>10.572162628173828</c:v>
                </c:pt>
                <c:pt idx="99">
                  <c:v>10.878830909729004</c:v>
                </c:pt>
                <c:pt idx="100">
                  <c:v>11.217620849609375</c:v>
                </c:pt>
                <c:pt idx="101">
                  <c:v>11.561050415039063</c:v>
                </c:pt>
                <c:pt idx="102">
                  <c:v>11.900199890136719</c:v>
                </c:pt>
                <c:pt idx="103">
                  <c:v>12.30626392364502</c:v>
                </c:pt>
                <c:pt idx="104">
                  <c:v>12.736577987670898</c:v>
                </c:pt>
                <c:pt idx="105">
                  <c:v>13.206751823425293</c:v>
                </c:pt>
                <c:pt idx="106">
                  <c:v>13.688359260559082</c:v>
                </c:pt>
                <c:pt idx="107">
                  <c:v>14.047079086303711</c:v>
                </c:pt>
                <c:pt idx="108">
                  <c:v>14.351540565490723</c:v>
                </c:pt>
                <c:pt idx="109">
                  <c:v>14.81472110748291</c:v>
                </c:pt>
                <c:pt idx="110">
                  <c:v>15.277342796325684</c:v>
                </c:pt>
                <c:pt idx="111">
                  <c:v>15.704014778137207</c:v>
                </c:pt>
                <c:pt idx="112">
                  <c:v>16.169761657714844</c:v>
                </c:pt>
                <c:pt idx="113">
                  <c:v>16.628208160400391</c:v>
                </c:pt>
                <c:pt idx="114">
                  <c:v>17.110773086547852</c:v>
                </c:pt>
                <c:pt idx="115">
                  <c:v>17.402923583984375</c:v>
                </c:pt>
                <c:pt idx="116">
                  <c:v>17.535877227783203</c:v>
                </c:pt>
                <c:pt idx="117">
                  <c:v>17.785043716430664</c:v>
                </c:pt>
                <c:pt idx="118">
                  <c:v>18.161046981811523</c:v>
                </c:pt>
                <c:pt idx="119">
                  <c:v>18.465932846069336</c:v>
                </c:pt>
                <c:pt idx="120">
                  <c:v>18.736013412475586</c:v>
                </c:pt>
                <c:pt idx="121">
                  <c:v>19.04798698425293</c:v>
                </c:pt>
                <c:pt idx="122">
                  <c:v>19.21946907043457</c:v>
                </c:pt>
                <c:pt idx="123">
                  <c:v>19.51344108581543</c:v>
                </c:pt>
                <c:pt idx="124">
                  <c:v>19.777551651000977</c:v>
                </c:pt>
                <c:pt idx="125">
                  <c:v>19.735977172851563</c:v>
                </c:pt>
                <c:pt idx="126">
                  <c:v>19.725925445556641</c:v>
                </c:pt>
                <c:pt idx="127">
                  <c:v>19.680948257446289</c:v>
                </c:pt>
                <c:pt idx="128">
                  <c:v>19.681678771972656</c:v>
                </c:pt>
                <c:pt idx="129">
                  <c:v>19.629348754882813</c:v>
                </c:pt>
                <c:pt idx="130">
                  <c:v>19.384729385375977</c:v>
                </c:pt>
                <c:pt idx="131">
                  <c:v>19.214178085327148</c:v>
                </c:pt>
                <c:pt idx="132">
                  <c:v>19.103933334350586</c:v>
                </c:pt>
                <c:pt idx="133">
                  <c:v>19.069404602050781</c:v>
                </c:pt>
                <c:pt idx="134">
                  <c:v>18.958536148071289</c:v>
                </c:pt>
                <c:pt idx="135">
                  <c:v>18.827564239501953</c:v>
                </c:pt>
                <c:pt idx="136">
                  <c:v>17.38463020324707</c:v>
                </c:pt>
                <c:pt idx="137">
                  <c:v>16.685884475708008</c:v>
                </c:pt>
                <c:pt idx="138">
                  <c:v>18.054603576660156</c:v>
                </c:pt>
                <c:pt idx="139">
                  <c:v>18.81593132019043</c:v>
                </c:pt>
                <c:pt idx="140">
                  <c:v>18.745824813842773</c:v>
                </c:pt>
                <c:pt idx="141">
                  <c:v>18.661054611206055</c:v>
                </c:pt>
                <c:pt idx="142">
                  <c:v>18.256546020507813</c:v>
                </c:pt>
                <c:pt idx="143">
                  <c:v>17.864004135131836</c:v>
                </c:pt>
                <c:pt idx="144">
                  <c:v>17.918354034423828</c:v>
                </c:pt>
                <c:pt idx="145">
                  <c:v>17.838529586791992</c:v>
                </c:pt>
                <c:pt idx="146">
                  <c:v>17.387302398681641</c:v>
                </c:pt>
                <c:pt idx="147">
                  <c:v>17.610475540161133</c:v>
                </c:pt>
                <c:pt idx="148">
                  <c:v>17.83892822265625</c:v>
                </c:pt>
                <c:pt idx="149">
                  <c:v>17.843196868896484</c:v>
                </c:pt>
                <c:pt idx="150">
                  <c:v>18.177160263061523</c:v>
                </c:pt>
                <c:pt idx="151">
                  <c:v>18.200054168701172</c:v>
                </c:pt>
                <c:pt idx="152">
                  <c:v>18.362216949462891</c:v>
                </c:pt>
                <c:pt idx="153">
                  <c:v>18.528619766235352</c:v>
                </c:pt>
                <c:pt idx="154">
                  <c:v>18.389446258544922</c:v>
                </c:pt>
                <c:pt idx="155">
                  <c:v>18.510551452636719</c:v>
                </c:pt>
                <c:pt idx="156">
                  <c:v>18.391613006591797</c:v>
                </c:pt>
                <c:pt idx="157">
                  <c:v>17.756763458251953</c:v>
                </c:pt>
                <c:pt idx="158">
                  <c:v>17.004623413085938</c:v>
                </c:pt>
                <c:pt idx="159">
                  <c:v>16.397708892822266</c:v>
                </c:pt>
                <c:pt idx="160">
                  <c:v>15.695785522460938</c:v>
                </c:pt>
                <c:pt idx="161">
                  <c:v>14.937648773193359</c:v>
                </c:pt>
                <c:pt idx="162">
                  <c:v>14.446881294250488</c:v>
                </c:pt>
                <c:pt idx="163">
                  <c:v>14.043901443481445</c:v>
                </c:pt>
                <c:pt idx="164">
                  <c:v>13.385839462280273</c:v>
                </c:pt>
                <c:pt idx="165">
                  <c:v>12.814315795898438</c:v>
                </c:pt>
                <c:pt idx="166">
                  <c:v>12.65864086151123</c:v>
                </c:pt>
                <c:pt idx="167">
                  <c:v>12.831319808959961</c:v>
                </c:pt>
                <c:pt idx="168">
                  <c:v>12.535207748413086</c:v>
                </c:pt>
                <c:pt idx="169">
                  <c:v>12.308989524841309</c:v>
                </c:pt>
                <c:pt idx="170">
                  <c:v>12.320263862609863</c:v>
                </c:pt>
                <c:pt idx="171">
                  <c:v>12.161824226379395</c:v>
                </c:pt>
                <c:pt idx="172">
                  <c:v>12.083766937255859</c:v>
                </c:pt>
                <c:pt idx="173">
                  <c:v>11.681918144226074</c:v>
                </c:pt>
                <c:pt idx="174">
                  <c:v>11.209497451782227</c:v>
                </c:pt>
                <c:pt idx="175">
                  <c:v>10.801692008972168</c:v>
                </c:pt>
                <c:pt idx="176">
                  <c:v>10.170418739318848</c:v>
                </c:pt>
                <c:pt idx="177">
                  <c:v>9.1021976470947266</c:v>
                </c:pt>
                <c:pt idx="178">
                  <c:v>8.3376665115356445</c:v>
                </c:pt>
                <c:pt idx="179">
                  <c:v>7.613274097442627</c:v>
                </c:pt>
                <c:pt idx="180">
                  <c:v>6.9902849197387695</c:v>
                </c:pt>
                <c:pt idx="181">
                  <c:v>6.5229825973510742</c:v>
                </c:pt>
                <c:pt idx="182">
                  <c:v>5.5860519409179688</c:v>
                </c:pt>
                <c:pt idx="183">
                  <c:v>4.781954288482666</c:v>
                </c:pt>
                <c:pt idx="184">
                  <c:v>4.3399133682250977</c:v>
                </c:pt>
                <c:pt idx="185">
                  <c:v>3.8910653591156006</c:v>
                </c:pt>
                <c:pt idx="186">
                  <c:v>3.3306167125701904</c:v>
                </c:pt>
                <c:pt idx="187">
                  <c:v>2.884746789932251</c:v>
                </c:pt>
                <c:pt idx="188">
                  <c:v>2.6582086086273193</c:v>
                </c:pt>
                <c:pt idx="189">
                  <c:v>2.4875905513763428</c:v>
                </c:pt>
                <c:pt idx="190">
                  <c:v>2.5186748504638672</c:v>
                </c:pt>
                <c:pt idx="191">
                  <c:v>2.2896904945373535</c:v>
                </c:pt>
                <c:pt idx="192">
                  <c:v>2.385310173034668</c:v>
                </c:pt>
                <c:pt idx="193">
                  <c:v>2.4029262065887451</c:v>
                </c:pt>
                <c:pt idx="194">
                  <c:v>2.4337978363037109</c:v>
                </c:pt>
                <c:pt idx="195">
                  <c:v>2.4982001781463623</c:v>
                </c:pt>
                <c:pt idx="196">
                  <c:v>2.251812219619751</c:v>
                </c:pt>
                <c:pt idx="197">
                  <c:v>2.3001008033752441</c:v>
                </c:pt>
                <c:pt idx="198">
                  <c:v>2.183168888092041</c:v>
                </c:pt>
                <c:pt idx="199">
                  <c:v>2.1885402202606201</c:v>
                </c:pt>
                <c:pt idx="200">
                  <c:v>2.2928149700164795</c:v>
                </c:pt>
                <c:pt idx="201">
                  <c:v>2.2872176170349121</c:v>
                </c:pt>
                <c:pt idx="202">
                  <c:v>2.090221643447876</c:v>
                </c:pt>
                <c:pt idx="203">
                  <c:v>2.3503170013427734</c:v>
                </c:pt>
                <c:pt idx="204">
                  <c:v>2.3455307483673096</c:v>
                </c:pt>
                <c:pt idx="205">
                  <c:v>2.1817729473114014</c:v>
                </c:pt>
                <c:pt idx="206">
                  <c:v>2.2676470279693604</c:v>
                </c:pt>
                <c:pt idx="207">
                  <c:v>2.1581206321716309</c:v>
                </c:pt>
                <c:pt idx="208">
                  <c:v>2.167360782623291</c:v>
                </c:pt>
                <c:pt idx="209">
                  <c:v>2</c:v>
                </c:pt>
                <c:pt idx="210">
                  <c:v>2.2541389465332031</c:v>
                </c:pt>
                <c:pt idx="211">
                  <c:v>2.1916379928588867</c:v>
                </c:pt>
                <c:pt idx="212">
                  <c:v>2.2782168388366699</c:v>
                </c:pt>
                <c:pt idx="213">
                  <c:v>2.3477110862731934</c:v>
                </c:pt>
                <c:pt idx="214">
                  <c:v>2.2004127502441406</c:v>
                </c:pt>
                <c:pt idx="215">
                  <c:v>2.328951358795166</c:v>
                </c:pt>
                <c:pt idx="216">
                  <c:v>2.2655463218688965</c:v>
                </c:pt>
                <c:pt idx="217">
                  <c:v>2.2097725868225098</c:v>
                </c:pt>
                <c:pt idx="218">
                  <c:v>2.1570701599121094</c:v>
                </c:pt>
                <c:pt idx="219">
                  <c:v>2.2769670486450195</c:v>
                </c:pt>
                <c:pt idx="220">
                  <c:v>2.1683447360992432</c:v>
                </c:pt>
                <c:pt idx="221">
                  <c:v>2.0148773193359375</c:v>
                </c:pt>
                <c:pt idx="222">
                  <c:v>2.4073138236999512</c:v>
                </c:pt>
                <c:pt idx="223">
                  <c:v>2.2118732929229736</c:v>
                </c:pt>
                <c:pt idx="224">
                  <c:v>2.3210008144378662</c:v>
                </c:pt>
                <c:pt idx="225">
                  <c:v>2.4189338684082031</c:v>
                </c:pt>
              </c:numCache>
            </c:numRef>
          </c:yVal>
          <c:smooth val="1"/>
          <c:extLst>
            <c:ext xmlns:c16="http://schemas.microsoft.com/office/drawing/2014/chart" uri="{C3380CC4-5D6E-409C-BE32-E72D297353CC}">
              <c16:uniqueId val="{00000005-58F6-4830-8941-1011DB88381F}"/>
            </c:ext>
          </c:extLst>
        </c:ser>
        <c:ser>
          <c:idx val="6"/>
          <c:order val="6"/>
          <c:tx>
            <c:v>7</c:v>
          </c:tx>
          <c:spPr>
            <a:ln w="19050" cap="rnd">
              <a:noFill/>
              <a:round/>
            </a:ln>
            <a:effectLst/>
            <a:extLst>
              <a:ext uri="{91240B29-F687-4F45-9708-019B960494DF}">
                <a14:hiddenLine xmlns:a14="http://schemas.microsoft.com/office/drawing/2010/main" w="19050" cap="rnd">
                  <a:solidFill>
                    <a:srgbClr val="5B9BD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NormalisedUVVisData!$H$2:$H$300</c:f>
              <c:numCache>
                <c:formatCode>General</c:formatCode>
                <c:ptCount val="299"/>
                <c:pt idx="0">
                  <c:v>90.394149780273438</c:v>
                </c:pt>
                <c:pt idx="1">
                  <c:v>93.320083618164063</c:v>
                </c:pt>
                <c:pt idx="2">
                  <c:v>94.866859436035156</c:v>
                </c:pt>
                <c:pt idx="3">
                  <c:v>95.8671875</c:v>
                </c:pt>
                <c:pt idx="4">
                  <c:v>96.437400817871094</c:v>
                </c:pt>
                <c:pt idx="5">
                  <c:v>97.178993225097656</c:v>
                </c:pt>
                <c:pt idx="6">
                  <c:v>98.390640258789063</c:v>
                </c:pt>
                <c:pt idx="7">
                  <c:v>99.509269714355469</c:v>
                </c:pt>
                <c:pt idx="8">
                  <c:v>100</c:v>
                </c:pt>
                <c:pt idx="9">
                  <c:v>98.860023498535156</c:v>
                </c:pt>
                <c:pt idx="10">
                  <c:v>96.200698852539063</c:v>
                </c:pt>
                <c:pt idx="11">
                  <c:v>92.840461730957031</c:v>
                </c:pt>
                <c:pt idx="12">
                  <c:v>89.54364013671875</c:v>
                </c:pt>
                <c:pt idx="13">
                  <c:v>86.480445861816406</c:v>
                </c:pt>
                <c:pt idx="14">
                  <c:v>83.208969116210938</c:v>
                </c:pt>
                <c:pt idx="15">
                  <c:v>79.066162109375</c:v>
                </c:pt>
                <c:pt idx="16">
                  <c:v>73.863471984863281</c:v>
                </c:pt>
                <c:pt idx="17">
                  <c:v>67.778587341308594</c:v>
                </c:pt>
                <c:pt idx="18">
                  <c:v>61.435512542724609</c:v>
                </c:pt>
                <c:pt idx="19">
                  <c:v>55.121910095214844</c:v>
                </c:pt>
                <c:pt idx="20">
                  <c:v>49.276252746582031</c:v>
                </c:pt>
                <c:pt idx="21">
                  <c:v>43.4290771484375</c:v>
                </c:pt>
                <c:pt idx="22">
                  <c:v>37.084255218505859</c:v>
                </c:pt>
                <c:pt idx="23">
                  <c:v>30.799930572509766</c:v>
                </c:pt>
                <c:pt idx="24">
                  <c:v>25.081060409545898</c:v>
                </c:pt>
                <c:pt idx="25">
                  <c:v>21.001379013061523</c:v>
                </c:pt>
                <c:pt idx="26">
                  <c:v>18.744604110717773</c:v>
                </c:pt>
                <c:pt idx="27">
                  <c:v>18.115453720092773</c:v>
                </c:pt>
                <c:pt idx="28">
                  <c:v>18.33213996887207</c:v>
                </c:pt>
                <c:pt idx="29">
                  <c:v>18.981075286865234</c:v>
                </c:pt>
                <c:pt idx="30">
                  <c:v>19.960384368896484</c:v>
                </c:pt>
                <c:pt idx="31">
                  <c:v>20.974390029907227</c:v>
                </c:pt>
                <c:pt idx="32">
                  <c:v>21.831501007080078</c:v>
                </c:pt>
                <c:pt idx="33">
                  <c:v>22.676996231079102</c:v>
                </c:pt>
                <c:pt idx="34">
                  <c:v>23.669929504394531</c:v>
                </c:pt>
                <c:pt idx="35">
                  <c:v>24.619977951049805</c:v>
                </c:pt>
                <c:pt idx="36">
                  <c:v>25.549068450927734</c:v>
                </c:pt>
                <c:pt idx="37">
                  <c:v>26.554302215576172</c:v>
                </c:pt>
                <c:pt idx="38">
                  <c:v>27.790517807006836</c:v>
                </c:pt>
                <c:pt idx="39">
                  <c:v>29.250576019287109</c:v>
                </c:pt>
                <c:pt idx="40">
                  <c:v>30.922046661376953</c:v>
                </c:pt>
                <c:pt idx="41">
                  <c:v>32.688758850097656</c:v>
                </c:pt>
                <c:pt idx="42">
                  <c:v>34.3167724609375</c:v>
                </c:pt>
                <c:pt idx="43">
                  <c:v>35.993728637695313</c:v>
                </c:pt>
                <c:pt idx="44">
                  <c:v>37.495658874511719</c:v>
                </c:pt>
                <c:pt idx="45">
                  <c:v>38.600921630859375</c:v>
                </c:pt>
                <c:pt idx="46">
                  <c:v>39.176586151123047</c:v>
                </c:pt>
                <c:pt idx="47">
                  <c:v>39.210174560546875</c:v>
                </c:pt>
                <c:pt idx="48">
                  <c:v>38.658279418945313</c:v>
                </c:pt>
                <c:pt idx="49">
                  <c:v>37.662158966064453</c:v>
                </c:pt>
                <c:pt idx="50">
                  <c:v>36.242778778076172</c:v>
                </c:pt>
                <c:pt idx="51">
                  <c:v>34.415866851806641</c:v>
                </c:pt>
                <c:pt idx="52">
                  <c:v>32.453804016113281</c:v>
                </c:pt>
                <c:pt idx="53">
                  <c:v>30.408622741699219</c:v>
                </c:pt>
                <c:pt idx="54">
                  <c:v>28.275369644165039</c:v>
                </c:pt>
                <c:pt idx="55">
                  <c:v>26.398223876953125</c:v>
                </c:pt>
                <c:pt idx="56">
                  <c:v>24.780288696289063</c:v>
                </c:pt>
                <c:pt idx="57">
                  <c:v>23.345224380493164</c:v>
                </c:pt>
                <c:pt idx="58">
                  <c:v>22.154260635375977</c:v>
                </c:pt>
                <c:pt idx="59">
                  <c:v>21.415132522583008</c:v>
                </c:pt>
                <c:pt idx="60">
                  <c:v>20.897167205810547</c:v>
                </c:pt>
                <c:pt idx="61">
                  <c:v>20.304479598999023</c:v>
                </c:pt>
                <c:pt idx="62">
                  <c:v>19.950647354125977</c:v>
                </c:pt>
                <c:pt idx="63">
                  <c:v>19.733747482299805</c:v>
                </c:pt>
                <c:pt idx="64">
                  <c:v>19.484371185302734</c:v>
                </c:pt>
                <c:pt idx="65">
                  <c:v>19.281585693359375</c:v>
                </c:pt>
                <c:pt idx="66">
                  <c:v>19.012538909912109</c:v>
                </c:pt>
                <c:pt idx="67">
                  <c:v>18.714675903320313</c:v>
                </c:pt>
                <c:pt idx="68">
                  <c:v>18.432086944580078</c:v>
                </c:pt>
                <c:pt idx="69">
                  <c:v>18.059091567993164</c:v>
                </c:pt>
                <c:pt idx="70">
                  <c:v>17.513322830200195</c:v>
                </c:pt>
                <c:pt idx="71">
                  <c:v>17.031526565551758</c:v>
                </c:pt>
                <c:pt idx="72">
                  <c:v>16.566753387451172</c:v>
                </c:pt>
                <c:pt idx="73">
                  <c:v>15.950507164001465</c:v>
                </c:pt>
                <c:pt idx="74">
                  <c:v>15.354159355163574</c:v>
                </c:pt>
                <c:pt idx="75">
                  <c:v>14.816835403442383</c:v>
                </c:pt>
                <c:pt idx="76">
                  <c:v>14.233116149902344</c:v>
                </c:pt>
                <c:pt idx="77">
                  <c:v>13.693864822387695</c:v>
                </c:pt>
                <c:pt idx="78">
                  <c:v>13.26279354095459</c:v>
                </c:pt>
                <c:pt idx="79">
                  <c:v>12.780817031860352</c:v>
                </c:pt>
                <c:pt idx="80">
                  <c:v>12.353536605834961</c:v>
                </c:pt>
                <c:pt idx="81">
                  <c:v>11.891866683959961</c:v>
                </c:pt>
                <c:pt idx="82">
                  <c:v>11.502747535705566</c:v>
                </c:pt>
                <c:pt idx="83">
                  <c:v>10.930267333984375</c:v>
                </c:pt>
                <c:pt idx="84">
                  <c:v>10.292899131774902</c:v>
                </c:pt>
                <c:pt idx="85">
                  <c:v>9.8635263442993164</c:v>
                </c:pt>
                <c:pt idx="86">
                  <c:v>9.2296543121337891</c:v>
                </c:pt>
                <c:pt idx="87">
                  <c:v>8.732386589050293</c:v>
                </c:pt>
                <c:pt idx="88">
                  <c:v>8.2386817932128906</c:v>
                </c:pt>
                <c:pt idx="89">
                  <c:v>7.7108163833618164</c:v>
                </c:pt>
                <c:pt idx="90">
                  <c:v>7.2679667472839355</c:v>
                </c:pt>
                <c:pt idx="91">
                  <c:v>6.7109570503234863</c:v>
                </c:pt>
                <c:pt idx="92">
                  <c:v>6.4065756797790527</c:v>
                </c:pt>
                <c:pt idx="93">
                  <c:v>6.0938949584960938</c:v>
                </c:pt>
                <c:pt idx="94">
                  <c:v>5.6861686706542969</c:v>
                </c:pt>
                <c:pt idx="95">
                  <c:v>5.1782174110412598</c:v>
                </c:pt>
                <c:pt idx="96">
                  <c:v>4.6773896217346191</c:v>
                </c:pt>
                <c:pt idx="97">
                  <c:v>4.3818130493164063</c:v>
                </c:pt>
                <c:pt idx="98">
                  <c:v>4.2224669456481934</c:v>
                </c:pt>
                <c:pt idx="99">
                  <c:v>3.9612462520599365</c:v>
                </c:pt>
                <c:pt idx="100">
                  <c:v>3.6402175426483154</c:v>
                </c:pt>
                <c:pt idx="101">
                  <c:v>3.4732258319854736</c:v>
                </c:pt>
                <c:pt idx="102">
                  <c:v>3.3145167827606201</c:v>
                </c:pt>
                <c:pt idx="103">
                  <c:v>3.2048008441925049</c:v>
                </c:pt>
                <c:pt idx="104">
                  <c:v>3.0701389312744141</c:v>
                </c:pt>
                <c:pt idx="105">
                  <c:v>2.907656192779541</c:v>
                </c:pt>
                <c:pt idx="106">
                  <c:v>2.7819139957427979</c:v>
                </c:pt>
                <c:pt idx="107">
                  <c:v>2.749910831451416</c:v>
                </c:pt>
                <c:pt idx="108">
                  <c:v>2.6803827285766602</c:v>
                </c:pt>
                <c:pt idx="109">
                  <c:v>2.6387898921966553</c:v>
                </c:pt>
                <c:pt idx="110">
                  <c:v>2.7116997241973877</c:v>
                </c:pt>
                <c:pt idx="111">
                  <c:v>2.5593945980072021</c:v>
                </c:pt>
                <c:pt idx="112">
                  <c:v>2.4408242702484131</c:v>
                </c:pt>
                <c:pt idx="113">
                  <c:v>2.5107934474945068</c:v>
                </c:pt>
                <c:pt idx="114">
                  <c:v>2.5429272651672363</c:v>
                </c:pt>
                <c:pt idx="115">
                  <c:v>2.4555597305297852</c:v>
                </c:pt>
                <c:pt idx="116">
                  <c:v>2.4007835388183594</c:v>
                </c:pt>
                <c:pt idx="117">
                  <c:v>2.4282450675964355</c:v>
                </c:pt>
                <c:pt idx="118">
                  <c:v>2.3990354537963867</c:v>
                </c:pt>
                <c:pt idx="119">
                  <c:v>2.2890090942382813</c:v>
                </c:pt>
                <c:pt idx="120">
                  <c:v>2.2693400382995605</c:v>
                </c:pt>
                <c:pt idx="121">
                  <c:v>2.3698258399963379</c:v>
                </c:pt>
                <c:pt idx="122">
                  <c:v>2.4521944522857666</c:v>
                </c:pt>
                <c:pt idx="123">
                  <c:v>2.3987576961517334</c:v>
                </c:pt>
                <c:pt idx="124">
                  <c:v>2.3592724800109863</c:v>
                </c:pt>
                <c:pt idx="125">
                  <c:v>2.4510998725891113</c:v>
                </c:pt>
                <c:pt idx="126">
                  <c:v>2.4630908966064453</c:v>
                </c:pt>
                <c:pt idx="127">
                  <c:v>2.3417596817016602</c:v>
                </c:pt>
                <c:pt idx="128">
                  <c:v>2.4662110805511475</c:v>
                </c:pt>
                <c:pt idx="129">
                  <c:v>2.559459924697876</c:v>
                </c:pt>
                <c:pt idx="130">
                  <c:v>2.5016777515411377</c:v>
                </c:pt>
                <c:pt idx="131">
                  <c:v>2.5399868488311768</c:v>
                </c:pt>
                <c:pt idx="132">
                  <c:v>2.5236666202545166</c:v>
                </c:pt>
                <c:pt idx="133">
                  <c:v>2.4389455318450928</c:v>
                </c:pt>
                <c:pt idx="134">
                  <c:v>2.3488659858703613</c:v>
                </c:pt>
                <c:pt idx="135">
                  <c:v>2.350614070892334</c:v>
                </c:pt>
                <c:pt idx="136">
                  <c:v>4.0296635627746582</c:v>
                </c:pt>
                <c:pt idx="137">
                  <c:v>5.0518383979797363</c:v>
                </c:pt>
                <c:pt idx="138">
                  <c:v>3.4636034965515137</c:v>
                </c:pt>
                <c:pt idx="139">
                  <c:v>2.4116144180297852</c:v>
                </c:pt>
                <c:pt idx="140">
                  <c:v>2.384528636932373</c:v>
                </c:pt>
                <c:pt idx="141">
                  <c:v>2.3810489177703857</c:v>
                </c:pt>
                <c:pt idx="142">
                  <c:v>2.4571115970611572</c:v>
                </c:pt>
                <c:pt idx="143">
                  <c:v>2.4389944076538086</c:v>
                </c:pt>
                <c:pt idx="144">
                  <c:v>2.5480897426605225</c:v>
                </c:pt>
                <c:pt idx="145">
                  <c:v>2.6696169376373291</c:v>
                </c:pt>
                <c:pt idx="146">
                  <c:v>2.4357924461364746</c:v>
                </c:pt>
                <c:pt idx="147">
                  <c:v>2.1763525009155273</c:v>
                </c:pt>
                <c:pt idx="148">
                  <c:v>2.4361355304718018</c:v>
                </c:pt>
                <c:pt idx="149">
                  <c:v>2.6790430545806885</c:v>
                </c:pt>
                <c:pt idx="150">
                  <c:v>2.5786063671112061</c:v>
                </c:pt>
                <c:pt idx="151">
                  <c:v>2.6389205455780029</c:v>
                </c:pt>
                <c:pt idx="152">
                  <c:v>2.6981568336486816</c:v>
                </c:pt>
                <c:pt idx="153">
                  <c:v>2.6053981781005859</c:v>
                </c:pt>
                <c:pt idx="154">
                  <c:v>2.5445935726165771</c:v>
                </c:pt>
                <c:pt idx="155">
                  <c:v>2.4430623054504395</c:v>
                </c:pt>
                <c:pt idx="156">
                  <c:v>2.5038013458251953</c:v>
                </c:pt>
                <c:pt idx="157">
                  <c:v>2.6386919021606445</c:v>
                </c:pt>
                <c:pt idx="158">
                  <c:v>2.5234215259552002</c:v>
                </c:pt>
                <c:pt idx="159">
                  <c:v>2.4742159843444824</c:v>
                </c:pt>
                <c:pt idx="160">
                  <c:v>2.4363644123077393</c:v>
                </c:pt>
                <c:pt idx="161">
                  <c:v>2.6376299858093262</c:v>
                </c:pt>
                <c:pt idx="162">
                  <c:v>2.8461980819702148</c:v>
                </c:pt>
                <c:pt idx="163">
                  <c:v>2.7149996757507324</c:v>
                </c:pt>
                <c:pt idx="164">
                  <c:v>2.5619266033172607</c:v>
                </c:pt>
                <c:pt idx="165">
                  <c:v>2.5964946746826172</c:v>
                </c:pt>
                <c:pt idx="166">
                  <c:v>2.6251652240753174</c:v>
                </c:pt>
                <c:pt idx="167">
                  <c:v>2.7503354549407959</c:v>
                </c:pt>
                <c:pt idx="168">
                  <c:v>2.769906759262085</c:v>
                </c:pt>
                <c:pt idx="169">
                  <c:v>2.7446830272674561</c:v>
                </c:pt>
                <c:pt idx="170">
                  <c:v>3.0275170803070068</c:v>
                </c:pt>
                <c:pt idx="171">
                  <c:v>2.7818160057067871</c:v>
                </c:pt>
                <c:pt idx="172">
                  <c:v>2.5638217926025391</c:v>
                </c:pt>
                <c:pt idx="173">
                  <c:v>2.6772787570953369</c:v>
                </c:pt>
                <c:pt idx="174">
                  <c:v>2.6788632869720459</c:v>
                </c:pt>
                <c:pt idx="175">
                  <c:v>2.7329862117767334</c:v>
                </c:pt>
                <c:pt idx="176">
                  <c:v>2.8054549694061279</c:v>
                </c:pt>
                <c:pt idx="177">
                  <c:v>2.5682816505432129</c:v>
                </c:pt>
                <c:pt idx="178">
                  <c:v>2.410912036895752</c:v>
                </c:pt>
                <c:pt idx="179">
                  <c:v>2.5565357208251953</c:v>
                </c:pt>
                <c:pt idx="180">
                  <c:v>2.6023104190826416</c:v>
                </c:pt>
                <c:pt idx="181">
                  <c:v>2.5742771625518799</c:v>
                </c:pt>
                <c:pt idx="182">
                  <c:v>2.6708095073699951</c:v>
                </c:pt>
                <c:pt idx="183">
                  <c:v>2.7118303775787354</c:v>
                </c:pt>
                <c:pt idx="184">
                  <c:v>2.3611836433410645</c:v>
                </c:pt>
                <c:pt idx="185">
                  <c:v>2.2522518634796143</c:v>
                </c:pt>
                <c:pt idx="186">
                  <c:v>2.2085027694702148</c:v>
                </c:pt>
                <c:pt idx="187">
                  <c:v>2.3150331974029541</c:v>
                </c:pt>
                <c:pt idx="188">
                  <c:v>2.4656229019165039</c:v>
                </c:pt>
                <c:pt idx="189">
                  <c:v>2.5158741474151611</c:v>
                </c:pt>
                <c:pt idx="190">
                  <c:v>2.6440339088439941</c:v>
                </c:pt>
                <c:pt idx="191">
                  <c:v>2.5898456573486328</c:v>
                </c:pt>
                <c:pt idx="192">
                  <c:v>2.5966253280639648</c:v>
                </c:pt>
                <c:pt idx="193">
                  <c:v>2.4849979877471924</c:v>
                </c:pt>
                <c:pt idx="194">
                  <c:v>2.3951637744903564</c:v>
                </c:pt>
                <c:pt idx="195">
                  <c:v>2.350614070892334</c:v>
                </c:pt>
                <c:pt idx="196">
                  <c:v>2.3903608322143555</c:v>
                </c:pt>
                <c:pt idx="197">
                  <c:v>2.5041770935058594</c:v>
                </c:pt>
                <c:pt idx="198">
                  <c:v>2.3329215049743652</c:v>
                </c:pt>
                <c:pt idx="199">
                  <c:v>2.2478573322296143</c:v>
                </c:pt>
                <c:pt idx="200">
                  <c:v>2.3138079643249512</c:v>
                </c:pt>
                <c:pt idx="201">
                  <c:v>2.5932600498199463</c:v>
                </c:pt>
                <c:pt idx="202">
                  <c:v>2.5208404064178467</c:v>
                </c:pt>
                <c:pt idx="203">
                  <c:v>2.289874792098999</c:v>
                </c:pt>
                <c:pt idx="204">
                  <c:v>2.2904140949249268</c:v>
                </c:pt>
                <c:pt idx="205">
                  <c:v>2.4058966636657715</c:v>
                </c:pt>
                <c:pt idx="206">
                  <c:v>2.3297686576843262</c:v>
                </c:pt>
                <c:pt idx="207">
                  <c:v>2.333411693572998</c:v>
                </c:pt>
                <c:pt idx="208">
                  <c:v>2.4358580112457275</c:v>
                </c:pt>
                <c:pt idx="209">
                  <c:v>2.3378880023956299</c:v>
                </c:pt>
                <c:pt idx="210">
                  <c:v>2.5209383964538574</c:v>
                </c:pt>
                <c:pt idx="211">
                  <c:v>2.4031195640563965</c:v>
                </c:pt>
                <c:pt idx="212">
                  <c:v>2.1923460960388184</c:v>
                </c:pt>
                <c:pt idx="213">
                  <c:v>2.213599681854248</c:v>
                </c:pt>
                <c:pt idx="214">
                  <c:v>2.3674895763397217</c:v>
                </c:pt>
                <c:pt idx="215">
                  <c:v>2.3534729480743408</c:v>
                </c:pt>
                <c:pt idx="216">
                  <c:v>2.246795654296875</c:v>
                </c:pt>
                <c:pt idx="217">
                  <c:v>2.2673795223236084</c:v>
                </c:pt>
                <c:pt idx="218">
                  <c:v>2.0339798927307129</c:v>
                </c:pt>
                <c:pt idx="219">
                  <c:v>2.2980759143829346</c:v>
                </c:pt>
                <c:pt idx="220">
                  <c:v>2.4209589958190918</c:v>
                </c:pt>
                <c:pt idx="221">
                  <c:v>2.1580228805541992</c:v>
                </c:pt>
                <c:pt idx="222">
                  <c:v>2.2474489212036133</c:v>
                </c:pt>
                <c:pt idx="223">
                  <c:v>2.0414783954620361</c:v>
                </c:pt>
                <c:pt idx="224">
                  <c:v>2</c:v>
                </c:pt>
                <c:pt idx="225">
                  <c:v>2.4889025688171387</c:v>
                </c:pt>
              </c:numCache>
            </c:numRef>
          </c:yVal>
          <c:smooth val="1"/>
          <c:extLst>
            <c:ext xmlns:c16="http://schemas.microsoft.com/office/drawing/2014/chart" uri="{C3380CC4-5D6E-409C-BE32-E72D297353CC}">
              <c16:uniqueId val="{00000006-58F6-4830-8941-1011DB88381F}"/>
            </c:ext>
          </c:extLst>
        </c:ser>
        <c:ser>
          <c:idx val="7"/>
          <c:order val="7"/>
          <c:tx>
            <c:v>8</c:v>
          </c:tx>
          <c:spPr>
            <a:ln w="19050" cap="rnd">
              <a:noFill/>
              <a:round/>
            </a:ln>
            <a:effectLst/>
            <a:extLst>
              <a:ext uri="{91240B29-F687-4F45-9708-019B960494DF}">
                <a14:hiddenLine xmlns:a14="http://schemas.microsoft.com/office/drawing/2010/main" w="19050" cap="rnd">
                  <a:solidFill>
                    <a:srgbClr val="ED7D31">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NormalisedUVVisData!$I$2:$I$300</c:f>
              <c:numCache>
                <c:formatCode>General</c:formatCode>
                <c:ptCount val="299"/>
                <c:pt idx="0">
                  <c:v>54.164005279541016</c:v>
                </c:pt>
                <c:pt idx="1">
                  <c:v>53.949668884277344</c:v>
                </c:pt>
                <c:pt idx="2">
                  <c:v>52.864204406738281</c:v>
                </c:pt>
                <c:pt idx="3">
                  <c:v>51.233280181884766</c:v>
                </c:pt>
                <c:pt idx="4">
                  <c:v>49.16363525390625</c:v>
                </c:pt>
                <c:pt idx="5">
                  <c:v>46.565719604492188</c:v>
                </c:pt>
                <c:pt idx="6">
                  <c:v>43.290908813476563</c:v>
                </c:pt>
                <c:pt idx="7">
                  <c:v>39.948677062988281</c:v>
                </c:pt>
                <c:pt idx="8">
                  <c:v>37.099700927734375</c:v>
                </c:pt>
                <c:pt idx="9">
                  <c:v>34.9962158203125</c:v>
                </c:pt>
                <c:pt idx="10">
                  <c:v>33.717365264892578</c:v>
                </c:pt>
                <c:pt idx="11">
                  <c:v>32.946029663085938</c:v>
                </c:pt>
                <c:pt idx="12">
                  <c:v>32.36846923828125</c:v>
                </c:pt>
                <c:pt idx="13">
                  <c:v>31.760971069335938</c:v>
                </c:pt>
                <c:pt idx="14">
                  <c:v>30.98682975769043</c:v>
                </c:pt>
                <c:pt idx="15">
                  <c:v>30.010280609130859</c:v>
                </c:pt>
                <c:pt idx="16">
                  <c:v>28.954708099365234</c:v>
                </c:pt>
                <c:pt idx="17">
                  <c:v>27.87205696105957</c:v>
                </c:pt>
                <c:pt idx="18">
                  <c:v>26.810188293457031</c:v>
                </c:pt>
                <c:pt idx="19">
                  <c:v>25.891267776489258</c:v>
                </c:pt>
                <c:pt idx="20">
                  <c:v>25.344776153564453</c:v>
                </c:pt>
                <c:pt idx="21">
                  <c:v>25.254352569580078</c:v>
                </c:pt>
                <c:pt idx="22">
                  <c:v>25.741758346557617</c:v>
                </c:pt>
                <c:pt idx="23">
                  <c:v>26.817569732666016</c:v>
                </c:pt>
                <c:pt idx="24">
                  <c:v>28.549182891845703</c:v>
                </c:pt>
                <c:pt idx="25">
                  <c:v>30.855724334716797</c:v>
                </c:pt>
                <c:pt idx="26">
                  <c:v>33.820491790771484</c:v>
                </c:pt>
                <c:pt idx="27">
                  <c:v>37.243244171142578</c:v>
                </c:pt>
                <c:pt idx="28">
                  <c:v>41.241611480712891</c:v>
                </c:pt>
                <c:pt idx="29">
                  <c:v>45.498077392578125</c:v>
                </c:pt>
                <c:pt idx="30">
                  <c:v>50.174705505371094</c:v>
                </c:pt>
                <c:pt idx="31">
                  <c:v>54.941329956054688</c:v>
                </c:pt>
                <c:pt idx="32">
                  <c:v>60.015174865722656</c:v>
                </c:pt>
                <c:pt idx="33">
                  <c:v>65.149581909179688</c:v>
                </c:pt>
                <c:pt idx="34">
                  <c:v>70.139739990234375</c:v>
                </c:pt>
                <c:pt idx="35">
                  <c:v>75.176078796386719</c:v>
                </c:pt>
                <c:pt idx="36">
                  <c:v>80.034400939941406</c:v>
                </c:pt>
                <c:pt idx="37">
                  <c:v>84.621856689453125</c:v>
                </c:pt>
                <c:pt idx="38">
                  <c:v>88.722236633300781</c:v>
                </c:pt>
                <c:pt idx="39">
                  <c:v>92.483711242675781</c:v>
                </c:pt>
                <c:pt idx="40">
                  <c:v>95.61865234375</c:v>
                </c:pt>
                <c:pt idx="41">
                  <c:v>97.987922668457031</c:v>
                </c:pt>
                <c:pt idx="42">
                  <c:v>99.473175048828125</c:v>
                </c:pt>
                <c:pt idx="43">
                  <c:v>99.999992370605469</c:v>
                </c:pt>
                <c:pt idx="44">
                  <c:v>99.503463745117188</c:v>
                </c:pt>
                <c:pt idx="45">
                  <c:v>98.032730102539063</c:v>
                </c:pt>
                <c:pt idx="46">
                  <c:v>95.651832580566406</c:v>
                </c:pt>
                <c:pt idx="47">
                  <c:v>92.373428344726563</c:v>
                </c:pt>
                <c:pt idx="48">
                  <c:v>88.252113342285156</c:v>
                </c:pt>
                <c:pt idx="49">
                  <c:v>83.416946411132813</c:v>
                </c:pt>
                <c:pt idx="50">
                  <c:v>77.971595764160156</c:v>
                </c:pt>
                <c:pt idx="51">
                  <c:v>72.061119079589844</c:v>
                </c:pt>
                <c:pt idx="52">
                  <c:v>65.793121337890625</c:v>
                </c:pt>
                <c:pt idx="53">
                  <c:v>59.364280700683594</c:v>
                </c:pt>
                <c:pt idx="54">
                  <c:v>52.700260162353516</c:v>
                </c:pt>
                <c:pt idx="55">
                  <c:v>46.263179779052734</c:v>
                </c:pt>
                <c:pt idx="56">
                  <c:v>40.11279296875</c:v>
                </c:pt>
                <c:pt idx="57">
                  <c:v>34.315505981445313</c:v>
                </c:pt>
                <c:pt idx="58">
                  <c:v>28.845478057861328</c:v>
                </c:pt>
                <c:pt idx="59">
                  <c:v>24.051870346069336</c:v>
                </c:pt>
                <c:pt idx="60">
                  <c:v>19.892852783203125</c:v>
                </c:pt>
                <c:pt idx="61">
                  <c:v>16.245519638061523</c:v>
                </c:pt>
                <c:pt idx="62">
                  <c:v>13.263455390930176</c:v>
                </c:pt>
                <c:pt idx="63">
                  <c:v>10.813292503356934</c:v>
                </c:pt>
                <c:pt idx="64">
                  <c:v>8.9083471298217773</c:v>
                </c:pt>
                <c:pt idx="65">
                  <c:v>7.3913211822509766</c:v>
                </c:pt>
                <c:pt idx="66">
                  <c:v>6.3024849891662598</c:v>
                </c:pt>
                <c:pt idx="67">
                  <c:v>5.4438619613647461</c:v>
                </c:pt>
                <c:pt idx="68">
                  <c:v>4.8650102615356445</c:v>
                </c:pt>
                <c:pt idx="69">
                  <c:v>4.4629788398742676</c:v>
                </c:pt>
                <c:pt idx="70">
                  <c:v>4.1496071815490723</c:v>
                </c:pt>
                <c:pt idx="71">
                  <c:v>3.8975455760955811</c:v>
                </c:pt>
                <c:pt idx="72">
                  <c:v>3.7614214420318604</c:v>
                </c:pt>
                <c:pt idx="73">
                  <c:v>3.7014164924621582</c:v>
                </c:pt>
                <c:pt idx="74">
                  <c:v>3.5970320701599121</c:v>
                </c:pt>
                <c:pt idx="75">
                  <c:v>3.5111398696899414</c:v>
                </c:pt>
                <c:pt idx="76">
                  <c:v>3.4823429584503174</c:v>
                </c:pt>
                <c:pt idx="77">
                  <c:v>3.4174683094024658</c:v>
                </c:pt>
                <c:pt idx="78">
                  <c:v>3.3806784152984619</c:v>
                </c:pt>
                <c:pt idx="79">
                  <c:v>3.3742659091949463</c:v>
                </c:pt>
                <c:pt idx="80">
                  <c:v>3.3405942916870117</c:v>
                </c:pt>
                <c:pt idx="81">
                  <c:v>3.3087360858917236</c:v>
                </c:pt>
                <c:pt idx="82">
                  <c:v>3.3132641315460205</c:v>
                </c:pt>
                <c:pt idx="83">
                  <c:v>3.2857820987701416</c:v>
                </c:pt>
                <c:pt idx="84">
                  <c:v>3.2456979751586914</c:v>
                </c:pt>
                <c:pt idx="85">
                  <c:v>3.2667155265808105</c:v>
                </c:pt>
                <c:pt idx="86">
                  <c:v>3.2308559417724609</c:v>
                </c:pt>
                <c:pt idx="87">
                  <c:v>3.1708462238311768</c:v>
                </c:pt>
                <c:pt idx="88">
                  <c:v>3.1510770320892334</c:v>
                </c:pt>
                <c:pt idx="89">
                  <c:v>3.1898226737976074</c:v>
                </c:pt>
                <c:pt idx="90">
                  <c:v>3.1943268775939941</c:v>
                </c:pt>
                <c:pt idx="91">
                  <c:v>3.1674666404724121</c:v>
                </c:pt>
                <c:pt idx="92">
                  <c:v>3.2134125232696533</c:v>
                </c:pt>
                <c:pt idx="93">
                  <c:v>3.2506628036499023</c:v>
                </c:pt>
                <c:pt idx="94">
                  <c:v>3.2068102359771729</c:v>
                </c:pt>
                <c:pt idx="95">
                  <c:v>3.2023484706878662</c:v>
                </c:pt>
                <c:pt idx="96">
                  <c:v>3.1998898983001709</c:v>
                </c:pt>
                <c:pt idx="97">
                  <c:v>3.1863908767700195</c:v>
                </c:pt>
                <c:pt idx="98">
                  <c:v>3.1960024833679199</c:v>
                </c:pt>
                <c:pt idx="99">
                  <c:v>3.1828453540802002</c:v>
                </c:pt>
                <c:pt idx="100">
                  <c:v>3.166365385055542</c:v>
                </c:pt>
                <c:pt idx="101">
                  <c:v>3.1759533882141113</c:v>
                </c:pt>
                <c:pt idx="102">
                  <c:v>3.2083384990692139</c:v>
                </c:pt>
                <c:pt idx="103">
                  <c:v>3.2266883850097656</c:v>
                </c:pt>
                <c:pt idx="104">
                  <c:v>3.2235841751098633</c:v>
                </c:pt>
                <c:pt idx="105">
                  <c:v>3.2022774219512939</c:v>
                </c:pt>
                <c:pt idx="106">
                  <c:v>3.2065205574035645</c:v>
                </c:pt>
                <c:pt idx="107">
                  <c:v>3.226337194442749</c:v>
                </c:pt>
                <c:pt idx="108">
                  <c:v>3.2625954151153564</c:v>
                </c:pt>
                <c:pt idx="109">
                  <c:v>3.271594762802124</c:v>
                </c:pt>
                <c:pt idx="110">
                  <c:v>3.2504825592041016</c:v>
                </c:pt>
                <c:pt idx="111">
                  <c:v>3.278501033782959</c:v>
                </c:pt>
                <c:pt idx="112">
                  <c:v>3.3015687465667725</c:v>
                </c:pt>
                <c:pt idx="113">
                  <c:v>3.3224248886108398</c:v>
                </c:pt>
                <c:pt idx="114">
                  <c:v>3.3101077079772949</c:v>
                </c:pt>
                <c:pt idx="115">
                  <c:v>3.2656426429748535</c:v>
                </c:pt>
                <c:pt idx="116">
                  <c:v>3.2906138896942139</c:v>
                </c:pt>
                <c:pt idx="117">
                  <c:v>3.3383824825286865</c:v>
                </c:pt>
                <c:pt idx="118">
                  <c:v>3.3294875621795654</c:v>
                </c:pt>
                <c:pt idx="119">
                  <c:v>3.2976956367492676</c:v>
                </c:pt>
                <c:pt idx="120">
                  <c:v>3.2541420459747314</c:v>
                </c:pt>
                <c:pt idx="121">
                  <c:v>3.2370309829711914</c:v>
                </c:pt>
                <c:pt idx="122">
                  <c:v>3.2676410675048828</c:v>
                </c:pt>
                <c:pt idx="123">
                  <c:v>3.2802712917327881</c:v>
                </c:pt>
                <c:pt idx="124">
                  <c:v>3.2749505043029785</c:v>
                </c:pt>
                <c:pt idx="125">
                  <c:v>3.215287446975708</c:v>
                </c:pt>
                <c:pt idx="126">
                  <c:v>3.1989548206329346</c:v>
                </c:pt>
                <c:pt idx="127">
                  <c:v>3.2258388996124268</c:v>
                </c:pt>
                <c:pt idx="128">
                  <c:v>3.2417917251586914</c:v>
                </c:pt>
                <c:pt idx="129">
                  <c:v>3.2425179481506348</c:v>
                </c:pt>
                <c:pt idx="130">
                  <c:v>3.204674243927002</c:v>
                </c:pt>
                <c:pt idx="131">
                  <c:v>3.2113051414489746</c:v>
                </c:pt>
                <c:pt idx="132">
                  <c:v>3.217670202255249</c:v>
                </c:pt>
                <c:pt idx="133">
                  <c:v>3.1987981796264648</c:v>
                </c:pt>
                <c:pt idx="134">
                  <c:v>3.2090599536895752</c:v>
                </c:pt>
                <c:pt idx="135">
                  <c:v>3.1303586959838867</c:v>
                </c:pt>
                <c:pt idx="136">
                  <c:v>2.3984191417694092</c:v>
                </c:pt>
                <c:pt idx="137">
                  <c:v>2</c:v>
                </c:pt>
                <c:pt idx="138">
                  <c:v>2.6009368896484375</c:v>
                </c:pt>
                <c:pt idx="139">
                  <c:v>3.054861307144165</c:v>
                </c:pt>
                <c:pt idx="140">
                  <c:v>3.0270516872406006</c:v>
                </c:pt>
                <c:pt idx="141">
                  <c:v>2.9647257328033447</c:v>
                </c:pt>
                <c:pt idx="142">
                  <c:v>2.9914627075195313</c:v>
                </c:pt>
                <c:pt idx="143">
                  <c:v>2.9447953701019287</c:v>
                </c:pt>
                <c:pt idx="144">
                  <c:v>2.8919196128845215</c:v>
                </c:pt>
                <c:pt idx="145">
                  <c:v>2.9365410804748535</c:v>
                </c:pt>
                <c:pt idx="146">
                  <c:v>3.0025172233581543</c:v>
                </c:pt>
                <c:pt idx="147">
                  <c:v>2.9195961952209473</c:v>
                </c:pt>
                <c:pt idx="148">
                  <c:v>2.8580629825592041</c:v>
                </c:pt>
                <c:pt idx="149">
                  <c:v>2.8682537078857422</c:v>
                </c:pt>
                <c:pt idx="150">
                  <c:v>2.9096286296844482</c:v>
                </c:pt>
                <c:pt idx="151">
                  <c:v>2.9201231002807617</c:v>
                </c:pt>
                <c:pt idx="152">
                  <c:v>2.8486080169677734</c:v>
                </c:pt>
                <c:pt idx="153">
                  <c:v>2.8138589859008789</c:v>
                </c:pt>
                <c:pt idx="154">
                  <c:v>2.8368415832519531</c:v>
                </c:pt>
                <c:pt idx="155">
                  <c:v>2.8205230236053467</c:v>
                </c:pt>
                <c:pt idx="156">
                  <c:v>2.8181402683258057</c:v>
                </c:pt>
                <c:pt idx="157">
                  <c:v>2.8458406925201416</c:v>
                </c:pt>
                <c:pt idx="158">
                  <c:v>2.81884765625</c:v>
                </c:pt>
                <c:pt idx="159">
                  <c:v>2.7856745719909668</c:v>
                </c:pt>
                <c:pt idx="160">
                  <c:v>2.8138210773468018</c:v>
                </c:pt>
                <c:pt idx="161">
                  <c:v>2.8847522735595703</c:v>
                </c:pt>
                <c:pt idx="162">
                  <c:v>2.8527278900146484</c:v>
                </c:pt>
                <c:pt idx="163">
                  <c:v>2.8077075481414795</c:v>
                </c:pt>
                <c:pt idx="164">
                  <c:v>2.7719762325286865</c:v>
                </c:pt>
                <c:pt idx="165">
                  <c:v>2.790050745010376</c:v>
                </c:pt>
                <c:pt idx="166">
                  <c:v>2.7866427898406982</c:v>
                </c:pt>
                <c:pt idx="167">
                  <c:v>2.8113718032836914</c:v>
                </c:pt>
                <c:pt idx="168">
                  <c:v>2.870816707611084</c:v>
                </c:pt>
                <c:pt idx="169">
                  <c:v>2.7490365505218506</c:v>
                </c:pt>
                <c:pt idx="170">
                  <c:v>2.7575278282165527</c:v>
                </c:pt>
                <c:pt idx="171">
                  <c:v>2.8696396350860596</c:v>
                </c:pt>
                <c:pt idx="172">
                  <c:v>2.8767404556274414</c:v>
                </c:pt>
                <c:pt idx="173">
                  <c:v>2.821230411529541</c:v>
                </c:pt>
                <c:pt idx="174">
                  <c:v>2.7232441902160645</c:v>
                </c:pt>
                <c:pt idx="175">
                  <c:v>2.7292294502258301</c:v>
                </c:pt>
                <c:pt idx="176">
                  <c:v>2.767338752746582</c:v>
                </c:pt>
                <c:pt idx="177">
                  <c:v>2.7655067443847656</c:v>
                </c:pt>
                <c:pt idx="178">
                  <c:v>2.7545993328094482</c:v>
                </c:pt>
                <c:pt idx="179">
                  <c:v>2.7312371730804443</c:v>
                </c:pt>
                <c:pt idx="180">
                  <c:v>2.7324855327606201</c:v>
                </c:pt>
                <c:pt idx="181">
                  <c:v>2.7106375694274902</c:v>
                </c:pt>
                <c:pt idx="182">
                  <c:v>2.6916515827178955</c:v>
                </c:pt>
                <c:pt idx="183">
                  <c:v>2.6920406818389893</c:v>
                </c:pt>
                <c:pt idx="184">
                  <c:v>2.6634955406188965</c:v>
                </c:pt>
                <c:pt idx="185">
                  <c:v>2.6697561740875244</c:v>
                </c:pt>
                <c:pt idx="186">
                  <c:v>2.7498624324798584</c:v>
                </c:pt>
                <c:pt idx="187">
                  <c:v>2.7625827789306641</c:v>
                </c:pt>
                <c:pt idx="188">
                  <c:v>2.7003564834594727</c:v>
                </c:pt>
                <c:pt idx="189">
                  <c:v>2.7631571292877197</c:v>
                </c:pt>
                <c:pt idx="190">
                  <c:v>2.8276143074035645</c:v>
                </c:pt>
                <c:pt idx="191">
                  <c:v>2.8413887023925781</c:v>
                </c:pt>
                <c:pt idx="192">
                  <c:v>2.8146231174468994</c:v>
                </c:pt>
                <c:pt idx="193">
                  <c:v>2.8135316371917725</c:v>
                </c:pt>
                <c:pt idx="194">
                  <c:v>2.8076744079589844</c:v>
                </c:pt>
                <c:pt idx="195">
                  <c:v>2.7830734252929688</c:v>
                </c:pt>
                <c:pt idx="196">
                  <c:v>2.8579680919647217</c:v>
                </c:pt>
                <c:pt idx="197">
                  <c:v>2.8403110504150391</c:v>
                </c:pt>
                <c:pt idx="198">
                  <c:v>2.8049118518829346</c:v>
                </c:pt>
                <c:pt idx="199">
                  <c:v>2.8222177028656006</c:v>
                </c:pt>
                <c:pt idx="200">
                  <c:v>2.8574221134185791</c:v>
                </c:pt>
                <c:pt idx="201">
                  <c:v>2.8462395668029785</c:v>
                </c:pt>
                <c:pt idx="202">
                  <c:v>2.80607008934021</c:v>
                </c:pt>
                <c:pt idx="203">
                  <c:v>2.8001084327697754</c:v>
                </c:pt>
                <c:pt idx="204">
                  <c:v>2.7899131774902344</c:v>
                </c:pt>
                <c:pt idx="205">
                  <c:v>2.85479736328125</c:v>
                </c:pt>
                <c:pt idx="206">
                  <c:v>2.8204994201660156</c:v>
                </c:pt>
                <c:pt idx="207">
                  <c:v>2.8412034511566162</c:v>
                </c:pt>
                <c:pt idx="208">
                  <c:v>2.8242728710174561</c:v>
                </c:pt>
                <c:pt idx="209">
                  <c:v>2.7965772151947021</c:v>
                </c:pt>
                <c:pt idx="210">
                  <c:v>2.8137879371643066</c:v>
                </c:pt>
                <c:pt idx="211">
                  <c:v>2.8607685565948486</c:v>
                </c:pt>
                <c:pt idx="212">
                  <c:v>2.9061875343322754</c:v>
                </c:pt>
                <c:pt idx="213">
                  <c:v>2.8740823268890381</c:v>
                </c:pt>
                <c:pt idx="214">
                  <c:v>2.8738212585449219</c:v>
                </c:pt>
                <c:pt idx="215">
                  <c:v>2.80413818359375</c:v>
                </c:pt>
                <c:pt idx="216">
                  <c:v>2.8538527488708496</c:v>
                </c:pt>
                <c:pt idx="217">
                  <c:v>2.8873913288116455</c:v>
                </c:pt>
                <c:pt idx="218">
                  <c:v>2.8988113403320313</c:v>
                </c:pt>
                <c:pt idx="219">
                  <c:v>3.063946008682251</c:v>
                </c:pt>
                <c:pt idx="220">
                  <c:v>2.9601976871490479</c:v>
                </c:pt>
                <c:pt idx="221">
                  <c:v>2.94248366355896</c:v>
                </c:pt>
                <c:pt idx="222">
                  <c:v>3.0297713279724121</c:v>
                </c:pt>
                <c:pt idx="223">
                  <c:v>2.9079437255859375</c:v>
                </c:pt>
                <c:pt idx="224">
                  <c:v>2.8642427921295166</c:v>
                </c:pt>
                <c:pt idx="225">
                  <c:v>2.9067049026489258</c:v>
                </c:pt>
              </c:numCache>
            </c:numRef>
          </c:yVal>
          <c:smooth val="1"/>
          <c:extLst>
            <c:ext xmlns:c16="http://schemas.microsoft.com/office/drawing/2014/chart" uri="{C3380CC4-5D6E-409C-BE32-E72D297353CC}">
              <c16:uniqueId val="{00000007-58F6-4830-8941-1011DB88381F}"/>
            </c:ext>
          </c:extLst>
        </c:ser>
        <c:ser>
          <c:idx val="8"/>
          <c:order val="8"/>
          <c:tx>
            <c:v>9</c:v>
          </c:tx>
          <c:spPr>
            <a:ln w="19050" cap="rnd">
              <a:noFill/>
              <a:round/>
            </a:ln>
            <a:effectLst/>
            <a:extLst>
              <a:ext uri="{91240B29-F687-4F45-9708-019B960494DF}">
                <a14:hiddenLine xmlns:a14="http://schemas.microsoft.com/office/drawing/2010/main" w="19050" cap="rnd">
                  <a:solidFill>
                    <a:srgbClr val="A5A5A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NormalisedUVVisData!$J$2:$J$300</c:f>
              <c:numCache>
                <c:formatCode>General</c:formatCode>
                <c:ptCount val="299"/>
                <c:pt idx="0">
                  <c:v>85.706321716308594</c:v>
                </c:pt>
                <c:pt idx="1">
                  <c:v>82.322235107421875</c:v>
                </c:pt>
                <c:pt idx="2">
                  <c:v>83.28570556640625</c:v>
                </c:pt>
                <c:pt idx="3">
                  <c:v>85.857162475585938</c:v>
                </c:pt>
                <c:pt idx="4">
                  <c:v>88.922981262207031</c:v>
                </c:pt>
                <c:pt idx="5">
                  <c:v>91.148361206054688</c:v>
                </c:pt>
                <c:pt idx="6">
                  <c:v>93.065414428710938</c:v>
                </c:pt>
                <c:pt idx="7">
                  <c:v>95.316642761230469</c:v>
                </c:pt>
                <c:pt idx="8">
                  <c:v>97.875717163085938</c:v>
                </c:pt>
                <c:pt idx="9">
                  <c:v>99.769630432128906</c:v>
                </c:pt>
                <c:pt idx="10">
                  <c:v>99.999992370605469</c:v>
                </c:pt>
                <c:pt idx="11">
                  <c:v>99.462799072265625</c:v>
                </c:pt>
                <c:pt idx="12">
                  <c:v>97.926139831542969</c:v>
                </c:pt>
                <c:pt idx="13">
                  <c:v>94.762535095214844</c:v>
                </c:pt>
                <c:pt idx="14">
                  <c:v>90.137451171875</c:v>
                </c:pt>
                <c:pt idx="15">
                  <c:v>85.135696411132813</c:v>
                </c:pt>
                <c:pt idx="16">
                  <c:v>80.506759643554688</c:v>
                </c:pt>
                <c:pt idx="17">
                  <c:v>75.618690490722656</c:v>
                </c:pt>
                <c:pt idx="18">
                  <c:v>71.046127319335938</c:v>
                </c:pt>
                <c:pt idx="19">
                  <c:v>66.003562927246094</c:v>
                </c:pt>
                <c:pt idx="20">
                  <c:v>60.251853942871094</c:v>
                </c:pt>
                <c:pt idx="21">
                  <c:v>54.003753662109375</c:v>
                </c:pt>
                <c:pt idx="22">
                  <c:v>47.595542907714844</c:v>
                </c:pt>
                <c:pt idx="23">
                  <c:v>41.832935333251953</c:v>
                </c:pt>
                <c:pt idx="24">
                  <c:v>37.20758056640625</c:v>
                </c:pt>
                <c:pt idx="25">
                  <c:v>34.155704498291016</c:v>
                </c:pt>
                <c:pt idx="26">
                  <c:v>32.442481994628906</c:v>
                </c:pt>
                <c:pt idx="27">
                  <c:v>31.391443252563477</c:v>
                </c:pt>
                <c:pt idx="28">
                  <c:v>31.142202377319336</c:v>
                </c:pt>
                <c:pt idx="29">
                  <c:v>31.143421173095703</c:v>
                </c:pt>
                <c:pt idx="30">
                  <c:v>31.164939880371094</c:v>
                </c:pt>
                <c:pt idx="31">
                  <c:v>31.645490646362305</c:v>
                </c:pt>
                <c:pt idx="32">
                  <c:v>32.846424102783203</c:v>
                </c:pt>
                <c:pt idx="33">
                  <c:v>34.149345397949219</c:v>
                </c:pt>
                <c:pt idx="34">
                  <c:v>35.668956756591797</c:v>
                </c:pt>
                <c:pt idx="35">
                  <c:v>37.481254577636719</c:v>
                </c:pt>
                <c:pt idx="36">
                  <c:v>39.019271850585938</c:v>
                </c:pt>
                <c:pt idx="37">
                  <c:v>40.868789672851563</c:v>
                </c:pt>
                <c:pt idx="38">
                  <c:v>42.722572326660156</c:v>
                </c:pt>
                <c:pt idx="39">
                  <c:v>44.729228973388672</c:v>
                </c:pt>
                <c:pt idx="40">
                  <c:v>46.511478424072266</c:v>
                </c:pt>
                <c:pt idx="41">
                  <c:v>48.246292114257813</c:v>
                </c:pt>
                <c:pt idx="42">
                  <c:v>49.475513458251953</c:v>
                </c:pt>
                <c:pt idx="43">
                  <c:v>50.647483825683594</c:v>
                </c:pt>
                <c:pt idx="44">
                  <c:v>51.672264099121094</c:v>
                </c:pt>
                <c:pt idx="45">
                  <c:v>51.029705047607422</c:v>
                </c:pt>
                <c:pt idx="46">
                  <c:v>49.900775909423828</c:v>
                </c:pt>
                <c:pt idx="47">
                  <c:v>49.076580047607422</c:v>
                </c:pt>
                <c:pt idx="48">
                  <c:v>48.138893127441406</c:v>
                </c:pt>
                <c:pt idx="49">
                  <c:v>46.245048522949219</c:v>
                </c:pt>
                <c:pt idx="50">
                  <c:v>44.210170745849609</c:v>
                </c:pt>
                <c:pt idx="51">
                  <c:v>42.207847595214844</c:v>
                </c:pt>
                <c:pt idx="52">
                  <c:v>39.399188995361328</c:v>
                </c:pt>
                <c:pt idx="53">
                  <c:v>36.651779174804688</c:v>
                </c:pt>
                <c:pt idx="54">
                  <c:v>34.029293060302734</c:v>
                </c:pt>
                <c:pt idx="55">
                  <c:v>31.588644027709961</c:v>
                </c:pt>
                <c:pt idx="56">
                  <c:v>29.542263031005859</c:v>
                </c:pt>
                <c:pt idx="57">
                  <c:v>27.250972747802734</c:v>
                </c:pt>
                <c:pt idx="58">
                  <c:v>24.952844619750977</c:v>
                </c:pt>
                <c:pt idx="59">
                  <c:v>22.835880279541016</c:v>
                </c:pt>
                <c:pt idx="60">
                  <c:v>20.357538223266602</c:v>
                </c:pt>
                <c:pt idx="61">
                  <c:v>17.890499114990234</c:v>
                </c:pt>
                <c:pt idx="62">
                  <c:v>16.241767883300781</c:v>
                </c:pt>
                <c:pt idx="63">
                  <c:v>15.700716972351074</c:v>
                </c:pt>
                <c:pt idx="64">
                  <c:v>14.97214412689209</c:v>
                </c:pt>
                <c:pt idx="65">
                  <c:v>13.028017044067383</c:v>
                </c:pt>
                <c:pt idx="66">
                  <c:v>11.553342819213867</c:v>
                </c:pt>
                <c:pt idx="67">
                  <c:v>10.068449020385742</c:v>
                </c:pt>
                <c:pt idx="68">
                  <c:v>8.8612203598022461</c:v>
                </c:pt>
                <c:pt idx="69">
                  <c:v>8.0632810592651367</c:v>
                </c:pt>
                <c:pt idx="70">
                  <c:v>7.1092190742492676</c:v>
                </c:pt>
                <c:pt idx="71">
                  <c:v>6.7197580337524414</c:v>
                </c:pt>
                <c:pt idx="72">
                  <c:v>6.5203237533569336</c:v>
                </c:pt>
                <c:pt idx="73">
                  <c:v>6.688018798828125</c:v>
                </c:pt>
                <c:pt idx="74">
                  <c:v>6.7697687149047852</c:v>
                </c:pt>
                <c:pt idx="75">
                  <c:v>6.7050728797912598</c:v>
                </c:pt>
                <c:pt idx="76">
                  <c:v>6.3543205261230469</c:v>
                </c:pt>
                <c:pt idx="77">
                  <c:v>5.8431820869445801</c:v>
                </c:pt>
                <c:pt idx="78">
                  <c:v>6.1096806526184082</c:v>
                </c:pt>
                <c:pt idx="79">
                  <c:v>6.535888671875</c:v>
                </c:pt>
                <c:pt idx="80">
                  <c:v>6.6290073394775391</c:v>
                </c:pt>
                <c:pt idx="81">
                  <c:v>7.3694238662719727</c:v>
                </c:pt>
                <c:pt idx="82">
                  <c:v>7.1794643402099609</c:v>
                </c:pt>
                <c:pt idx="83">
                  <c:v>6.738368034362793</c:v>
                </c:pt>
                <c:pt idx="84">
                  <c:v>6.8486762046813965</c:v>
                </c:pt>
                <c:pt idx="85">
                  <c:v>7.0895938873291016</c:v>
                </c:pt>
                <c:pt idx="86">
                  <c:v>7.0083856582641602</c:v>
                </c:pt>
                <c:pt idx="87">
                  <c:v>6.6476178169250488</c:v>
                </c:pt>
                <c:pt idx="88">
                  <c:v>7.3287525177001953</c:v>
                </c:pt>
                <c:pt idx="89">
                  <c:v>7.9279341697692871</c:v>
                </c:pt>
                <c:pt idx="90">
                  <c:v>8.0335721969604492</c:v>
                </c:pt>
                <c:pt idx="91">
                  <c:v>7.8070693016052246</c:v>
                </c:pt>
                <c:pt idx="92">
                  <c:v>7.0409364700317383</c:v>
                </c:pt>
                <c:pt idx="93">
                  <c:v>6.9501862525939941</c:v>
                </c:pt>
                <c:pt idx="94">
                  <c:v>6.8389987945556641</c:v>
                </c:pt>
                <c:pt idx="95">
                  <c:v>6.8567290306091309</c:v>
                </c:pt>
                <c:pt idx="96">
                  <c:v>7.3555512428283691</c:v>
                </c:pt>
                <c:pt idx="97">
                  <c:v>6.9068074226379395</c:v>
                </c:pt>
                <c:pt idx="98">
                  <c:v>6.0512104034423828</c:v>
                </c:pt>
                <c:pt idx="99">
                  <c:v>6.1848659515380859</c:v>
                </c:pt>
                <c:pt idx="100">
                  <c:v>6.7351198196411133</c:v>
                </c:pt>
                <c:pt idx="101">
                  <c:v>6.3677201271057129</c:v>
                </c:pt>
                <c:pt idx="102">
                  <c:v>5.5029191970825195</c:v>
                </c:pt>
                <c:pt idx="103">
                  <c:v>6.2809624671936035</c:v>
                </c:pt>
                <c:pt idx="104">
                  <c:v>6.6131043434143066</c:v>
                </c:pt>
                <c:pt idx="105">
                  <c:v>6.1664586067199707</c:v>
                </c:pt>
                <c:pt idx="106">
                  <c:v>6.2932791709899902</c:v>
                </c:pt>
                <c:pt idx="107">
                  <c:v>6.0081024169921875</c:v>
                </c:pt>
                <c:pt idx="108">
                  <c:v>5.8297824859619141</c:v>
                </c:pt>
                <c:pt idx="109">
                  <c:v>6.0042452812194824</c:v>
                </c:pt>
                <c:pt idx="110">
                  <c:v>5.806300163269043</c:v>
                </c:pt>
                <c:pt idx="111">
                  <c:v>6.1929192543029785</c:v>
                </c:pt>
                <c:pt idx="112">
                  <c:v>6.4212498664855957</c:v>
                </c:pt>
                <c:pt idx="113">
                  <c:v>5.989018440246582</c:v>
                </c:pt>
                <c:pt idx="114">
                  <c:v>5.918705940246582</c:v>
                </c:pt>
                <c:pt idx="115">
                  <c:v>6.1489310264587402</c:v>
                </c:pt>
                <c:pt idx="116">
                  <c:v>6.0616321563720703</c:v>
                </c:pt>
                <c:pt idx="117">
                  <c:v>6.1400661468505859</c:v>
                </c:pt>
                <c:pt idx="118">
                  <c:v>6.8954381942749023</c:v>
                </c:pt>
                <c:pt idx="119">
                  <c:v>6.7537298202514648</c:v>
                </c:pt>
                <c:pt idx="120">
                  <c:v>6.3060693740844727</c:v>
                </c:pt>
                <c:pt idx="121">
                  <c:v>6.4437174797058105</c:v>
                </c:pt>
                <c:pt idx="122">
                  <c:v>7.1538839340209961</c:v>
                </c:pt>
                <c:pt idx="123">
                  <c:v>7.187720775604248</c:v>
                </c:pt>
                <c:pt idx="124">
                  <c:v>6.4008798599243164</c:v>
                </c:pt>
                <c:pt idx="125">
                  <c:v>6.3009262084960938</c:v>
                </c:pt>
                <c:pt idx="126">
                  <c:v>6.7016215324401855</c:v>
                </c:pt>
                <c:pt idx="127">
                  <c:v>7.1019105911254883</c:v>
                </c:pt>
                <c:pt idx="128">
                  <c:v>7.1313486099243164</c:v>
                </c:pt>
                <c:pt idx="129">
                  <c:v>6.5624842643737793</c:v>
                </c:pt>
                <c:pt idx="130">
                  <c:v>6.7232093811035156</c:v>
                </c:pt>
                <c:pt idx="131">
                  <c:v>7.2341446876525879</c:v>
                </c:pt>
                <c:pt idx="132">
                  <c:v>7.1766219139099121</c:v>
                </c:pt>
                <c:pt idx="133">
                  <c:v>6.5894861221313477</c:v>
                </c:pt>
                <c:pt idx="134">
                  <c:v>6.7158327102661133</c:v>
                </c:pt>
                <c:pt idx="135">
                  <c:v>7.2208127975463867</c:v>
                </c:pt>
                <c:pt idx="136">
                  <c:v>5.8565139770507813</c:v>
                </c:pt>
                <c:pt idx="137">
                  <c:v>5.4091916084289551</c:v>
                </c:pt>
                <c:pt idx="138">
                  <c:v>6.3713741302490234</c:v>
                </c:pt>
                <c:pt idx="139">
                  <c:v>6.8369007110595703</c:v>
                </c:pt>
                <c:pt idx="140">
                  <c:v>6.7237505912780762</c:v>
                </c:pt>
                <c:pt idx="141">
                  <c:v>7.3535885810852051</c:v>
                </c:pt>
                <c:pt idx="142">
                  <c:v>7.2886896133422852</c:v>
                </c:pt>
                <c:pt idx="143">
                  <c:v>6.9318466186523438</c:v>
                </c:pt>
                <c:pt idx="144">
                  <c:v>6.3723893165588379</c:v>
                </c:pt>
                <c:pt idx="145">
                  <c:v>6.1699099540710449</c:v>
                </c:pt>
                <c:pt idx="146">
                  <c:v>6.0658283233642578</c:v>
                </c:pt>
                <c:pt idx="147">
                  <c:v>7.1601095199584961</c:v>
                </c:pt>
                <c:pt idx="148">
                  <c:v>8.6108283996582031</c:v>
                </c:pt>
                <c:pt idx="149">
                  <c:v>8.1891536712646484</c:v>
                </c:pt>
                <c:pt idx="150">
                  <c:v>6.7716636657714844</c:v>
                </c:pt>
                <c:pt idx="151">
                  <c:v>6.116447925567627</c:v>
                </c:pt>
                <c:pt idx="152">
                  <c:v>5.6696672439575195</c:v>
                </c:pt>
                <c:pt idx="153">
                  <c:v>6.1952877044677734</c:v>
                </c:pt>
                <c:pt idx="154">
                  <c:v>6.2221541404724121</c:v>
                </c:pt>
                <c:pt idx="155">
                  <c:v>5.7763204574584961</c:v>
                </c:pt>
                <c:pt idx="156">
                  <c:v>5.9928760528564453</c:v>
                </c:pt>
                <c:pt idx="157">
                  <c:v>5.9767694473266602</c:v>
                </c:pt>
                <c:pt idx="158">
                  <c:v>6.4126553535461426</c:v>
                </c:pt>
                <c:pt idx="159">
                  <c:v>5.7564244270324707</c:v>
                </c:pt>
                <c:pt idx="160">
                  <c:v>5.2968535423278809</c:v>
                </c:pt>
                <c:pt idx="161">
                  <c:v>6.2814359664916992</c:v>
                </c:pt>
                <c:pt idx="162">
                  <c:v>6.0705652236938477</c:v>
                </c:pt>
                <c:pt idx="163">
                  <c:v>5.875056266784668</c:v>
                </c:pt>
                <c:pt idx="164">
                  <c:v>5.3315019607543945</c:v>
                </c:pt>
                <c:pt idx="165">
                  <c:v>3.8614969253540039</c:v>
                </c:pt>
                <c:pt idx="166">
                  <c:v>4.0601863861083984</c:v>
                </c:pt>
                <c:pt idx="167">
                  <c:v>3.0514442920684814</c:v>
                </c:pt>
                <c:pt idx="168">
                  <c:v>2</c:v>
                </c:pt>
                <c:pt idx="169">
                  <c:v>3.5818018913269043</c:v>
                </c:pt>
                <c:pt idx="170">
                  <c:v>4.1332740783691406</c:v>
                </c:pt>
                <c:pt idx="171">
                  <c:v>4.428736686706543</c:v>
                </c:pt>
                <c:pt idx="172">
                  <c:v>4.2402658462524414</c:v>
                </c:pt>
                <c:pt idx="173">
                  <c:v>3.8483681678771973</c:v>
                </c:pt>
                <c:pt idx="174">
                  <c:v>5.0049095153808594</c:v>
                </c:pt>
                <c:pt idx="175">
                  <c:v>5.4108834266662598</c:v>
                </c:pt>
                <c:pt idx="176">
                  <c:v>3.5662369728088379</c:v>
                </c:pt>
                <c:pt idx="177">
                  <c:v>4.3604540824890137</c:v>
                </c:pt>
                <c:pt idx="178">
                  <c:v>5.4945278167724609</c:v>
                </c:pt>
                <c:pt idx="179">
                  <c:v>3.7552492618560791</c:v>
                </c:pt>
                <c:pt idx="180">
                  <c:v>3.7597157955169678</c:v>
                </c:pt>
                <c:pt idx="181">
                  <c:v>3.742729663848877</c:v>
                </c:pt>
                <c:pt idx="182">
                  <c:v>4.1775999069213867</c:v>
                </c:pt>
                <c:pt idx="183">
                  <c:v>5.2493462562561035</c:v>
                </c:pt>
                <c:pt idx="184">
                  <c:v>3.651911735534668</c:v>
                </c:pt>
                <c:pt idx="185">
                  <c:v>3.1978898048400879</c:v>
                </c:pt>
                <c:pt idx="186">
                  <c:v>4.4225783348083496</c:v>
                </c:pt>
                <c:pt idx="187">
                  <c:v>4.2525148391723633</c:v>
                </c:pt>
                <c:pt idx="188">
                  <c:v>4.528961181640625</c:v>
                </c:pt>
                <c:pt idx="189">
                  <c:v>4.0584945678710938</c:v>
                </c:pt>
                <c:pt idx="190">
                  <c:v>4.0448923110961914</c:v>
                </c:pt>
                <c:pt idx="191">
                  <c:v>4.7106647491455078</c:v>
                </c:pt>
                <c:pt idx="192">
                  <c:v>4.3714170455932617</c:v>
                </c:pt>
                <c:pt idx="193">
                  <c:v>4.507779598236084</c:v>
                </c:pt>
                <c:pt idx="194">
                  <c:v>4.3779816627502441</c:v>
                </c:pt>
                <c:pt idx="195">
                  <c:v>4.5694975852966309</c:v>
                </c:pt>
                <c:pt idx="196">
                  <c:v>5.375760555267334</c:v>
                </c:pt>
                <c:pt idx="197">
                  <c:v>4.8534560203552246</c:v>
                </c:pt>
                <c:pt idx="198">
                  <c:v>5.2257962226867676</c:v>
                </c:pt>
                <c:pt idx="199">
                  <c:v>5.0594544410705566</c:v>
                </c:pt>
                <c:pt idx="200">
                  <c:v>5.5413579940795898</c:v>
                </c:pt>
                <c:pt idx="201">
                  <c:v>5.0576949119567871</c:v>
                </c:pt>
                <c:pt idx="202">
                  <c:v>4.5167121887207031</c:v>
                </c:pt>
                <c:pt idx="203">
                  <c:v>5.0618906021118164</c:v>
                </c:pt>
                <c:pt idx="204">
                  <c:v>5.6444249153137207</c:v>
                </c:pt>
                <c:pt idx="205">
                  <c:v>5.7273249626159668</c:v>
                </c:pt>
                <c:pt idx="206">
                  <c:v>5.8199024200439453</c:v>
                </c:pt>
                <c:pt idx="207">
                  <c:v>6.3953309059143066</c:v>
                </c:pt>
                <c:pt idx="208">
                  <c:v>5.7116246223449707</c:v>
                </c:pt>
                <c:pt idx="209">
                  <c:v>5.7566275596618652</c:v>
                </c:pt>
                <c:pt idx="210">
                  <c:v>5.5622692108154297</c:v>
                </c:pt>
                <c:pt idx="211">
                  <c:v>6.6168937683105469</c:v>
                </c:pt>
                <c:pt idx="212">
                  <c:v>6.8704667091369629</c:v>
                </c:pt>
                <c:pt idx="213">
                  <c:v>6.2935495376586914</c:v>
                </c:pt>
                <c:pt idx="214">
                  <c:v>6.0049896240234375</c:v>
                </c:pt>
                <c:pt idx="215">
                  <c:v>4.8544712066650391</c:v>
                </c:pt>
                <c:pt idx="216">
                  <c:v>4.7191915512084961</c:v>
                </c:pt>
                <c:pt idx="217">
                  <c:v>4.7014613151550293</c:v>
                </c:pt>
                <c:pt idx="218">
                  <c:v>5.7931036949157715</c:v>
                </c:pt>
                <c:pt idx="219">
                  <c:v>8.7874565124511719</c:v>
                </c:pt>
                <c:pt idx="220">
                  <c:v>8.0481224060058594</c:v>
                </c:pt>
                <c:pt idx="221">
                  <c:v>8.0601005554199219</c:v>
                </c:pt>
                <c:pt idx="222">
                  <c:v>6.7901382446289063</c:v>
                </c:pt>
                <c:pt idx="223">
                  <c:v>5.1322712898254395</c:v>
                </c:pt>
                <c:pt idx="224">
                  <c:v>5.564908504486084</c:v>
                </c:pt>
                <c:pt idx="225">
                  <c:v>4.7432160377502441</c:v>
                </c:pt>
              </c:numCache>
            </c:numRef>
          </c:yVal>
          <c:smooth val="1"/>
          <c:extLst>
            <c:ext xmlns:c16="http://schemas.microsoft.com/office/drawing/2014/chart" uri="{C3380CC4-5D6E-409C-BE32-E72D297353CC}">
              <c16:uniqueId val="{00000008-58F6-4830-8941-1011DB88381F}"/>
            </c:ext>
          </c:extLst>
        </c:ser>
        <c:ser>
          <c:idx val="9"/>
          <c:order val="9"/>
          <c:tx>
            <c:v>10</c:v>
          </c:tx>
          <c:spPr>
            <a:ln w="19050" cap="rnd">
              <a:noFill/>
              <a:round/>
            </a:ln>
            <a:effectLst/>
            <a:extLst>
              <a:ext uri="{91240B29-F687-4F45-9708-019B960494DF}">
                <a14:hiddenLine xmlns:a14="http://schemas.microsoft.com/office/drawing/2010/main" w="19050" cap="rnd">
                  <a:solidFill>
                    <a:srgbClr val="FFC000">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NormalisedUVVisData!$K$2:$K$300</c:f>
              <c:numCache>
                <c:formatCode>General</c:formatCode>
                <c:ptCount val="299"/>
                <c:pt idx="0">
                  <c:v>97.231666564941406</c:v>
                </c:pt>
                <c:pt idx="1">
                  <c:v>97.702461242675781</c:v>
                </c:pt>
                <c:pt idx="2">
                  <c:v>99.214935302734375</c:v>
                </c:pt>
                <c:pt idx="3">
                  <c:v>99.824020385742188</c:v>
                </c:pt>
                <c:pt idx="4">
                  <c:v>100</c:v>
                </c:pt>
                <c:pt idx="5">
                  <c:v>99.652313232421875</c:v>
                </c:pt>
                <c:pt idx="6">
                  <c:v>98.9683837890625</c:v>
                </c:pt>
                <c:pt idx="7">
                  <c:v>98.498405456542969</c:v>
                </c:pt>
                <c:pt idx="8">
                  <c:v>98.147186279296875</c:v>
                </c:pt>
                <c:pt idx="9">
                  <c:v>97.258232116699219</c:v>
                </c:pt>
                <c:pt idx="10">
                  <c:v>95.807289123535156</c:v>
                </c:pt>
                <c:pt idx="11">
                  <c:v>93.949874877929688</c:v>
                </c:pt>
                <c:pt idx="12">
                  <c:v>91.768722534179688</c:v>
                </c:pt>
                <c:pt idx="13">
                  <c:v>89.120590209960938</c:v>
                </c:pt>
                <c:pt idx="14">
                  <c:v>85.748291015625</c:v>
                </c:pt>
                <c:pt idx="15">
                  <c:v>81.723762512207031</c:v>
                </c:pt>
                <c:pt idx="16">
                  <c:v>76.905647277832031</c:v>
                </c:pt>
                <c:pt idx="17">
                  <c:v>71.357810974121094</c:v>
                </c:pt>
                <c:pt idx="18">
                  <c:v>65.578315734863281</c:v>
                </c:pt>
                <c:pt idx="19">
                  <c:v>60.135082244873047</c:v>
                </c:pt>
                <c:pt idx="20">
                  <c:v>55.504207611083984</c:v>
                </c:pt>
                <c:pt idx="21">
                  <c:v>51.397102355957031</c:v>
                </c:pt>
                <c:pt idx="22">
                  <c:v>47.146720886230469</c:v>
                </c:pt>
                <c:pt idx="23">
                  <c:v>42.575309753417969</c:v>
                </c:pt>
                <c:pt idx="24">
                  <c:v>37.582221984863281</c:v>
                </c:pt>
                <c:pt idx="25">
                  <c:v>32.808620452880859</c:v>
                </c:pt>
                <c:pt idx="26">
                  <c:v>28.587545394897461</c:v>
                </c:pt>
                <c:pt idx="27">
                  <c:v>25.615516662597656</c:v>
                </c:pt>
                <c:pt idx="28">
                  <c:v>23.879838943481445</c:v>
                </c:pt>
                <c:pt idx="29">
                  <c:v>23.204858779907227</c:v>
                </c:pt>
                <c:pt idx="30">
                  <c:v>23.225648880004883</c:v>
                </c:pt>
                <c:pt idx="31">
                  <c:v>23.510608673095703</c:v>
                </c:pt>
                <c:pt idx="32">
                  <c:v>23.856014251708984</c:v>
                </c:pt>
                <c:pt idx="33">
                  <c:v>24.337192535400391</c:v>
                </c:pt>
                <c:pt idx="34">
                  <c:v>24.892753601074219</c:v>
                </c:pt>
                <c:pt idx="35">
                  <c:v>25.785102844238281</c:v>
                </c:pt>
                <c:pt idx="36">
                  <c:v>26.789627075195313</c:v>
                </c:pt>
                <c:pt idx="37">
                  <c:v>27.775093078613281</c:v>
                </c:pt>
                <c:pt idx="38">
                  <c:v>28.960758209228516</c:v>
                </c:pt>
                <c:pt idx="39">
                  <c:v>30.224231719970703</c:v>
                </c:pt>
                <c:pt idx="40">
                  <c:v>31.290050506591797</c:v>
                </c:pt>
                <c:pt idx="41">
                  <c:v>32.472843170166016</c:v>
                </c:pt>
                <c:pt idx="42">
                  <c:v>33.637065887451172</c:v>
                </c:pt>
                <c:pt idx="43">
                  <c:v>34.506175994873047</c:v>
                </c:pt>
                <c:pt idx="44">
                  <c:v>35.017837524414063</c:v>
                </c:pt>
                <c:pt idx="45">
                  <c:v>35.357044219970703</c:v>
                </c:pt>
                <c:pt idx="46">
                  <c:v>35.226329803466797</c:v>
                </c:pt>
                <c:pt idx="47">
                  <c:v>34.560222625732422</c:v>
                </c:pt>
                <c:pt idx="48">
                  <c:v>33.566829681396484</c:v>
                </c:pt>
                <c:pt idx="49">
                  <c:v>32.086181640625</c:v>
                </c:pt>
                <c:pt idx="50">
                  <c:v>30.36065673828125</c:v>
                </c:pt>
                <c:pt idx="51">
                  <c:v>28.61890983581543</c:v>
                </c:pt>
                <c:pt idx="52">
                  <c:v>26.873800277709961</c:v>
                </c:pt>
                <c:pt idx="53">
                  <c:v>25.270437240600586</c:v>
                </c:pt>
                <c:pt idx="54">
                  <c:v>23.721807479858398</c:v>
                </c:pt>
                <c:pt idx="55">
                  <c:v>22.41779899597168</c:v>
                </c:pt>
                <c:pt idx="56">
                  <c:v>21.288400650024414</c:v>
                </c:pt>
                <c:pt idx="57">
                  <c:v>20.456888198852539</c:v>
                </c:pt>
                <c:pt idx="58">
                  <c:v>19.873813629150391</c:v>
                </c:pt>
                <c:pt idx="59">
                  <c:v>19.463459014892578</c:v>
                </c:pt>
                <c:pt idx="60">
                  <c:v>19.045696258544922</c:v>
                </c:pt>
                <c:pt idx="61">
                  <c:v>18.761030197143555</c:v>
                </c:pt>
                <c:pt idx="62">
                  <c:v>18.8035888671875</c:v>
                </c:pt>
                <c:pt idx="63">
                  <c:v>18.808191299438477</c:v>
                </c:pt>
                <c:pt idx="64">
                  <c:v>18.647026062011719</c:v>
                </c:pt>
                <c:pt idx="65">
                  <c:v>18.388763427734375</c:v>
                </c:pt>
                <c:pt idx="66">
                  <c:v>18.357038497924805</c:v>
                </c:pt>
                <c:pt idx="67">
                  <c:v>18.289022445678711</c:v>
                </c:pt>
                <c:pt idx="68">
                  <c:v>18.130435943603516</c:v>
                </c:pt>
                <c:pt idx="69">
                  <c:v>17.972795486450195</c:v>
                </c:pt>
                <c:pt idx="70">
                  <c:v>17.610809326171875</c:v>
                </c:pt>
                <c:pt idx="71">
                  <c:v>17.46632194519043</c:v>
                </c:pt>
                <c:pt idx="72">
                  <c:v>17.511623382568359</c:v>
                </c:pt>
                <c:pt idx="73">
                  <c:v>17.362043380737305</c:v>
                </c:pt>
                <c:pt idx="74">
                  <c:v>17.071338653564453</c:v>
                </c:pt>
                <c:pt idx="75">
                  <c:v>16.858737945556641</c:v>
                </c:pt>
                <c:pt idx="76">
                  <c:v>16.738956451416016</c:v>
                </c:pt>
                <c:pt idx="77">
                  <c:v>16.849664688110352</c:v>
                </c:pt>
                <c:pt idx="78">
                  <c:v>16.942485809326172</c:v>
                </c:pt>
                <c:pt idx="79">
                  <c:v>17.072254180908203</c:v>
                </c:pt>
                <c:pt idx="80">
                  <c:v>17.106718063354492</c:v>
                </c:pt>
                <c:pt idx="81">
                  <c:v>17.219058990478516</c:v>
                </c:pt>
                <c:pt idx="82">
                  <c:v>17.247747421264648</c:v>
                </c:pt>
                <c:pt idx="83">
                  <c:v>17.143436431884766</c:v>
                </c:pt>
                <c:pt idx="84">
                  <c:v>17.12907600402832</c:v>
                </c:pt>
                <c:pt idx="85">
                  <c:v>16.710136413574219</c:v>
                </c:pt>
                <c:pt idx="86">
                  <c:v>16.398740768432617</c:v>
                </c:pt>
                <c:pt idx="87">
                  <c:v>16.240968704223633</c:v>
                </c:pt>
                <c:pt idx="88">
                  <c:v>16.102716445922852</c:v>
                </c:pt>
                <c:pt idx="89">
                  <c:v>15.984012603759766</c:v>
                </c:pt>
                <c:pt idx="90">
                  <c:v>15.830516815185547</c:v>
                </c:pt>
                <c:pt idx="91">
                  <c:v>15.27730655670166</c:v>
                </c:pt>
                <c:pt idx="92">
                  <c:v>14.904093742370605</c:v>
                </c:pt>
                <c:pt idx="93">
                  <c:v>14.786467552185059</c:v>
                </c:pt>
                <c:pt idx="94">
                  <c:v>14.213968276977539</c:v>
                </c:pt>
                <c:pt idx="95">
                  <c:v>13.574724197387695</c:v>
                </c:pt>
                <c:pt idx="96">
                  <c:v>13.053140640258789</c:v>
                </c:pt>
                <c:pt idx="97">
                  <c:v>12.517848014831543</c:v>
                </c:pt>
                <c:pt idx="98">
                  <c:v>11.938136100769043</c:v>
                </c:pt>
                <c:pt idx="99">
                  <c:v>11.373307228088379</c:v>
                </c:pt>
                <c:pt idx="100">
                  <c:v>10.69218921661377</c:v>
                </c:pt>
                <c:pt idx="101">
                  <c:v>10.142210006713867</c:v>
                </c:pt>
                <c:pt idx="102">
                  <c:v>9.7845001220703125</c:v>
                </c:pt>
                <c:pt idx="103">
                  <c:v>9.2223796844482422</c:v>
                </c:pt>
                <c:pt idx="104">
                  <c:v>8.6328763961791992</c:v>
                </c:pt>
                <c:pt idx="105">
                  <c:v>8.3471651077270508</c:v>
                </c:pt>
                <c:pt idx="106">
                  <c:v>8.2401456832885742</c:v>
                </c:pt>
                <c:pt idx="107">
                  <c:v>7.9139313697814941</c:v>
                </c:pt>
                <c:pt idx="108">
                  <c:v>7.4252133369445801</c:v>
                </c:pt>
                <c:pt idx="109">
                  <c:v>7.0598335266113281</c:v>
                </c:pt>
                <c:pt idx="110">
                  <c:v>6.6328988075256348</c:v>
                </c:pt>
                <c:pt idx="111">
                  <c:v>6.2564873695373535</c:v>
                </c:pt>
                <c:pt idx="112">
                  <c:v>6.2353057861328125</c:v>
                </c:pt>
                <c:pt idx="113">
                  <c:v>6.2979702949523926</c:v>
                </c:pt>
                <c:pt idx="114">
                  <c:v>5.948615550994873</c:v>
                </c:pt>
                <c:pt idx="115">
                  <c:v>5.4371490478515625</c:v>
                </c:pt>
                <c:pt idx="116">
                  <c:v>5.2496776580810547</c:v>
                </c:pt>
                <c:pt idx="117">
                  <c:v>5.0568537712097168</c:v>
                </c:pt>
                <c:pt idx="118">
                  <c:v>4.808382511138916</c:v>
                </c:pt>
                <c:pt idx="119">
                  <c:v>4.4883036613464355</c:v>
                </c:pt>
                <c:pt idx="120">
                  <c:v>4.3023338317871094</c:v>
                </c:pt>
                <c:pt idx="121">
                  <c:v>4.4201235771179199</c:v>
                </c:pt>
                <c:pt idx="122">
                  <c:v>4.3619956970214844</c:v>
                </c:pt>
                <c:pt idx="123">
                  <c:v>4.3252453804016113</c:v>
                </c:pt>
                <c:pt idx="124">
                  <c:v>4.4388246536254883</c:v>
                </c:pt>
                <c:pt idx="125">
                  <c:v>4.101872444152832</c:v>
                </c:pt>
                <c:pt idx="126">
                  <c:v>3.6715109348297119</c:v>
                </c:pt>
                <c:pt idx="127">
                  <c:v>3.917860746383667</c:v>
                </c:pt>
                <c:pt idx="128">
                  <c:v>4.1043205261230469</c:v>
                </c:pt>
                <c:pt idx="129">
                  <c:v>3.7930212020874023</c:v>
                </c:pt>
                <c:pt idx="130">
                  <c:v>3.687340259552002</c:v>
                </c:pt>
                <c:pt idx="131">
                  <c:v>3.5194840431213379</c:v>
                </c:pt>
                <c:pt idx="132">
                  <c:v>3.333416223526001</c:v>
                </c:pt>
                <c:pt idx="133">
                  <c:v>3.5486295223236084</c:v>
                </c:pt>
                <c:pt idx="134">
                  <c:v>3.6051583290100098</c:v>
                </c:pt>
                <c:pt idx="135">
                  <c:v>3.5984022617340088</c:v>
                </c:pt>
                <c:pt idx="136">
                  <c:v>4.1617302894592285</c:v>
                </c:pt>
                <c:pt idx="137">
                  <c:v>4.1027536392211914</c:v>
                </c:pt>
                <c:pt idx="138">
                  <c:v>3.8185439109802246</c:v>
                </c:pt>
                <c:pt idx="139">
                  <c:v>3.9476916790008545</c:v>
                </c:pt>
                <c:pt idx="140">
                  <c:v>4.1719455718994141</c:v>
                </c:pt>
                <c:pt idx="141">
                  <c:v>3.7993528842926025</c:v>
                </c:pt>
                <c:pt idx="142">
                  <c:v>3.2564237117767334</c:v>
                </c:pt>
                <c:pt idx="143">
                  <c:v>3.7926621437072754</c:v>
                </c:pt>
                <c:pt idx="144">
                  <c:v>3.9826793670654297</c:v>
                </c:pt>
                <c:pt idx="145">
                  <c:v>3.6331288814544678</c:v>
                </c:pt>
                <c:pt idx="146">
                  <c:v>3.4542412757873535</c:v>
                </c:pt>
                <c:pt idx="147">
                  <c:v>3.5993814468383789</c:v>
                </c:pt>
                <c:pt idx="148">
                  <c:v>3.3593957424163818</c:v>
                </c:pt>
                <c:pt idx="149">
                  <c:v>3.0830192565917969</c:v>
                </c:pt>
                <c:pt idx="150">
                  <c:v>3.3406291007995605</c:v>
                </c:pt>
                <c:pt idx="151">
                  <c:v>3.1787784099578857</c:v>
                </c:pt>
                <c:pt idx="152">
                  <c:v>3.086348295211792</c:v>
                </c:pt>
                <c:pt idx="153">
                  <c:v>3.2509078979492188</c:v>
                </c:pt>
                <c:pt idx="154">
                  <c:v>3.174959659576416</c:v>
                </c:pt>
                <c:pt idx="155">
                  <c:v>3.1427788734436035</c:v>
                </c:pt>
                <c:pt idx="156">
                  <c:v>3.1988179683685303</c:v>
                </c:pt>
                <c:pt idx="157">
                  <c:v>2.7466542720794678</c:v>
                </c:pt>
                <c:pt idx="158">
                  <c:v>2.6136553287506104</c:v>
                </c:pt>
                <c:pt idx="159">
                  <c:v>2.9338645935058594</c:v>
                </c:pt>
                <c:pt idx="160">
                  <c:v>3.2337076663970947</c:v>
                </c:pt>
                <c:pt idx="161">
                  <c:v>3.5418083667755127</c:v>
                </c:pt>
                <c:pt idx="162">
                  <c:v>3.6252632141113281</c:v>
                </c:pt>
                <c:pt idx="163">
                  <c:v>3.502936840057373</c:v>
                </c:pt>
                <c:pt idx="164">
                  <c:v>3.5811042785644531</c:v>
                </c:pt>
                <c:pt idx="165">
                  <c:v>3.2467303276062012</c:v>
                </c:pt>
                <c:pt idx="166">
                  <c:v>2.9486167430877686</c:v>
                </c:pt>
                <c:pt idx="167">
                  <c:v>2.8564150333404541</c:v>
                </c:pt>
                <c:pt idx="168">
                  <c:v>2.8006699085235596</c:v>
                </c:pt>
                <c:pt idx="169">
                  <c:v>2.5803649425506592</c:v>
                </c:pt>
                <c:pt idx="170">
                  <c:v>2</c:v>
                </c:pt>
                <c:pt idx="171">
                  <c:v>2.463456392288208</c:v>
                </c:pt>
                <c:pt idx="172">
                  <c:v>3.1695091724395752</c:v>
                </c:pt>
                <c:pt idx="173">
                  <c:v>2.6614696979522705</c:v>
                </c:pt>
                <c:pt idx="174">
                  <c:v>2.3222653865814209</c:v>
                </c:pt>
                <c:pt idx="175">
                  <c:v>2.7849709987640381</c:v>
                </c:pt>
                <c:pt idx="176">
                  <c:v>2.5205070972442627</c:v>
                </c:pt>
                <c:pt idx="177">
                  <c:v>2.606703519821167</c:v>
                </c:pt>
                <c:pt idx="178">
                  <c:v>2.8529882431030273</c:v>
                </c:pt>
                <c:pt idx="179">
                  <c:v>2.5725970268249512</c:v>
                </c:pt>
                <c:pt idx="180">
                  <c:v>2.5561149120330811</c:v>
                </c:pt>
                <c:pt idx="181">
                  <c:v>2.4559171199798584</c:v>
                </c:pt>
                <c:pt idx="182">
                  <c:v>2.7225348949432373</c:v>
                </c:pt>
                <c:pt idx="183">
                  <c:v>3.0972819328308105</c:v>
                </c:pt>
                <c:pt idx="184">
                  <c:v>2.5455403327941895</c:v>
                </c:pt>
                <c:pt idx="185">
                  <c:v>2.6264820098876953</c:v>
                </c:pt>
                <c:pt idx="186">
                  <c:v>2.9829516410827637</c:v>
                </c:pt>
                <c:pt idx="187">
                  <c:v>2.2280726432800293</c:v>
                </c:pt>
                <c:pt idx="188">
                  <c:v>2.4169802665710449</c:v>
                </c:pt>
                <c:pt idx="189">
                  <c:v>3.0156874656677246</c:v>
                </c:pt>
                <c:pt idx="190">
                  <c:v>2.7931630611419678</c:v>
                </c:pt>
                <c:pt idx="191">
                  <c:v>3.0464649200439453</c:v>
                </c:pt>
                <c:pt idx="192">
                  <c:v>3.0317778587341309</c:v>
                </c:pt>
                <c:pt idx="193">
                  <c:v>2.7420849800109863</c:v>
                </c:pt>
                <c:pt idx="194">
                  <c:v>2.5857174396514893</c:v>
                </c:pt>
                <c:pt idx="195">
                  <c:v>2.3986704349517822</c:v>
                </c:pt>
                <c:pt idx="196">
                  <c:v>2.3572204113006592</c:v>
                </c:pt>
                <c:pt idx="197">
                  <c:v>2.5208334922790527</c:v>
                </c:pt>
                <c:pt idx="198">
                  <c:v>2.7708389759063721</c:v>
                </c:pt>
                <c:pt idx="199">
                  <c:v>2.760394811630249</c:v>
                </c:pt>
                <c:pt idx="200">
                  <c:v>2.6030480861663818</c:v>
                </c:pt>
                <c:pt idx="201">
                  <c:v>2.3898909091949463</c:v>
                </c:pt>
                <c:pt idx="202">
                  <c:v>2.6144061088562012</c:v>
                </c:pt>
                <c:pt idx="203">
                  <c:v>2.7558255195617676</c:v>
                </c:pt>
                <c:pt idx="204">
                  <c:v>2.5553643703460693</c:v>
                </c:pt>
                <c:pt idx="205">
                  <c:v>2.713559627532959</c:v>
                </c:pt>
                <c:pt idx="206">
                  <c:v>2.8396391868591309</c:v>
                </c:pt>
                <c:pt idx="207">
                  <c:v>2.8014857769012451</c:v>
                </c:pt>
                <c:pt idx="208">
                  <c:v>2.9529249668121338</c:v>
                </c:pt>
                <c:pt idx="209">
                  <c:v>2.9069383144378662</c:v>
                </c:pt>
                <c:pt idx="210">
                  <c:v>2.5465195178985596</c:v>
                </c:pt>
                <c:pt idx="211">
                  <c:v>2.7389190196990967</c:v>
                </c:pt>
                <c:pt idx="212">
                  <c:v>3.0371303558349609</c:v>
                </c:pt>
                <c:pt idx="213">
                  <c:v>2.7800099849700928</c:v>
                </c:pt>
                <c:pt idx="214">
                  <c:v>2.4499442577362061</c:v>
                </c:pt>
                <c:pt idx="215">
                  <c:v>2.676842212677002</c:v>
                </c:pt>
                <c:pt idx="216">
                  <c:v>2.8554685115814209</c:v>
                </c:pt>
                <c:pt idx="217">
                  <c:v>2.6787350177764893</c:v>
                </c:pt>
                <c:pt idx="218">
                  <c:v>2.5608475208282471</c:v>
                </c:pt>
                <c:pt idx="219">
                  <c:v>2.7011246681213379</c:v>
                </c:pt>
                <c:pt idx="220">
                  <c:v>2.8363754749298096</c:v>
                </c:pt>
                <c:pt idx="221">
                  <c:v>3.5270559787750244</c:v>
                </c:pt>
                <c:pt idx="222">
                  <c:v>2.7721443176269531</c:v>
                </c:pt>
                <c:pt idx="223">
                  <c:v>2.3537607192993164</c:v>
                </c:pt>
                <c:pt idx="224">
                  <c:v>2.3345046043395996</c:v>
                </c:pt>
                <c:pt idx="225">
                  <c:v>2.4427640438079834</c:v>
                </c:pt>
              </c:numCache>
            </c:numRef>
          </c:yVal>
          <c:smooth val="1"/>
          <c:extLst>
            <c:ext xmlns:c16="http://schemas.microsoft.com/office/drawing/2014/chart" uri="{C3380CC4-5D6E-409C-BE32-E72D297353CC}">
              <c16:uniqueId val="{00000009-58F6-4830-8941-1011DB88381F}"/>
            </c:ext>
          </c:extLst>
        </c:ser>
        <c:ser>
          <c:idx val="10"/>
          <c:order val="10"/>
          <c:tx>
            <c:v>11</c:v>
          </c:tx>
          <c:spPr>
            <a:ln w="19050" cap="rnd">
              <a:noFill/>
              <a:round/>
            </a:ln>
            <a:effectLst/>
            <a:extLst>
              <a:ext uri="{91240B29-F687-4F45-9708-019B960494DF}">
                <a14:hiddenLine xmlns:a14="http://schemas.microsoft.com/office/drawing/2010/main" w="19050" cap="rnd">
                  <a:solidFill>
                    <a:srgbClr val="4472C4">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NormalisedUVVisData!$L$2:$L$300</c:f>
              <c:numCache>
                <c:formatCode>General</c:formatCode>
                <c:ptCount val="299"/>
                <c:pt idx="0">
                  <c:v>52.531784057617188</c:v>
                </c:pt>
                <c:pt idx="1">
                  <c:v>52.958042144775391</c:v>
                </c:pt>
                <c:pt idx="2">
                  <c:v>52.071174621582031</c:v>
                </c:pt>
                <c:pt idx="3">
                  <c:v>50.556400299072266</c:v>
                </c:pt>
                <c:pt idx="4">
                  <c:v>48.53857421875</c:v>
                </c:pt>
                <c:pt idx="5">
                  <c:v>45.942245483398438</c:v>
                </c:pt>
                <c:pt idx="6">
                  <c:v>42.592998504638672</c:v>
                </c:pt>
                <c:pt idx="7">
                  <c:v>39.09637451171875</c:v>
                </c:pt>
                <c:pt idx="8">
                  <c:v>36.137229919433594</c:v>
                </c:pt>
                <c:pt idx="9">
                  <c:v>33.921806335449219</c:v>
                </c:pt>
                <c:pt idx="10">
                  <c:v>32.528396606445313</c:v>
                </c:pt>
                <c:pt idx="11">
                  <c:v>31.609642028808594</c:v>
                </c:pt>
                <c:pt idx="12">
                  <c:v>30.864564895629883</c:v>
                </c:pt>
                <c:pt idx="13">
                  <c:v>30.075672149658203</c:v>
                </c:pt>
                <c:pt idx="14">
                  <c:v>29.124544143676758</c:v>
                </c:pt>
                <c:pt idx="15">
                  <c:v>28.004611968994141</c:v>
                </c:pt>
                <c:pt idx="16">
                  <c:v>26.875757217407227</c:v>
                </c:pt>
                <c:pt idx="17">
                  <c:v>25.812459945678711</c:v>
                </c:pt>
                <c:pt idx="18">
                  <c:v>24.908525466918945</c:v>
                </c:pt>
                <c:pt idx="19">
                  <c:v>24.278602600097656</c:v>
                </c:pt>
                <c:pt idx="20">
                  <c:v>24.034311294555664</c:v>
                </c:pt>
                <c:pt idx="21">
                  <c:v>24.248275756835938</c:v>
                </c:pt>
                <c:pt idx="22">
                  <c:v>25.020360946655273</c:v>
                </c:pt>
                <c:pt idx="23">
                  <c:v>26.341651916503906</c:v>
                </c:pt>
                <c:pt idx="24">
                  <c:v>28.37896728515625</c:v>
                </c:pt>
                <c:pt idx="25">
                  <c:v>31.020999908447266</c:v>
                </c:pt>
                <c:pt idx="26">
                  <c:v>34.361564636230469</c:v>
                </c:pt>
                <c:pt idx="27">
                  <c:v>38.150665283203125</c:v>
                </c:pt>
                <c:pt idx="28">
                  <c:v>42.489936828613281</c:v>
                </c:pt>
                <c:pt idx="29">
                  <c:v>47.058032989501953</c:v>
                </c:pt>
                <c:pt idx="30">
                  <c:v>52.013545989990234</c:v>
                </c:pt>
                <c:pt idx="31">
                  <c:v>57.027557373046875</c:v>
                </c:pt>
                <c:pt idx="32">
                  <c:v>62.276668548583984</c:v>
                </c:pt>
                <c:pt idx="33">
                  <c:v>67.57147216796875</c:v>
                </c:pt>
                <c:pt idx="34">
                  <c:v>72.654548645019531</c:v>
                </c:pt>
                <c:pt idx="35">
                  <c:v>77.709991455078125</c:v>
                </c:pt>
                <c:pt idx="36">
                  <c:v>82.522804260253906</c:v>
                </c:pt>
                <c:pt idx="37">
                  <c:v>87.012611389160156</c:v>
                </c:pt>
                <c:pt idx="38">
                  <c:v>90.965606689453125</c:v>
                </c:pt>
                <c:pt idx="39">
                  <c:v>94.438179016113281</c:v>
                </c:pt>
                <c:pt idx="40">
                  <c:v>97.165351867675781</c:v>
                </c:pt>
                <c:pt idx="41">
                  <c:v>99.05780029296875</c:v>
                </c:pt>
                <c:pt idx="42">
                  <c:v>100</c:v>
                </c:pt>
                <c:pt idx="43">
                  <c:v>99.881492614746094</c:v>
                </c:pt>
                <c:pt idx="44">
                  <c:v>98.713821411132813</c:v>
                </c:pt>
                <c:pt idx="45">
                  <c:v>96.549057006835938</c:v>
                </c:pt>
                <c:pt idx="46">
                  <c:v>93.426254272460938</c:v>
                </c:pt>
                <c:pt idx="47">
                  <c:v>89.423294067382813</c:v>
                </c:pt>
                <c:pt idx="48">
                  <c:v>84.664344787597656</c:v>
                </c:pt>
                <c:pt idx="49">
                  <c:v>79.251838684082031</c:v>
                </c:pt>
                <c:pt idx="50">
                  <c:v>73.302139282226563</c:v>
                </c:pt>
                <c:pt idx="51">
                  <c:v>66.963798522949219</c:v>
                </c:pt>
                <c:pt idx="52">
                  <c:v>60.387386322021484</c:v>
                </c:pt>
                <c:pt idx="53">
                  <c:v>53.736747741699219</c:v>
                </c:pt>
                <c:pt idx="54">
                  <c:v>46.966091156005859</c:v>
                </c:pt>
                <c:pt idx="55">
                  <c:v>40.597061157226563</c:v>
                </c:pt>
                <c:pt idx="56">
                  <c:v>34.578884124755859</c:v>
                </c:pt>
                <c:pt idx="57">
                  <c:v>29.016437530517578</c:v>
                </c:pt>
                <c:pt idx="58">
                  <c:v>23.88599967956543</c:v>
                </c:pt>
                <c:pt idx="59">
                  <c:v>19.505626678466797</c:v>
                </c:pt>
                <c:pt idx="60">
                  <c:v>15.737251281738281</c:v>
                </c:pt>
                <c:pt idx="61">
                  <c:v>12.481522560119629</c:v>
                </c:pt>
                <c:pt idx="62">
                  <c:v>9.9079465866088867</c:v>
                </c:pt>
                <c:pt idx="63">
                  <c:v>7.8379354476928711</c:v>
                </c:pt>
                <c:pt idx="64">
                  <c:v>6.2668619155883789</c:v>
                </c:pt>
                <c:pt idx="65">
                  <c:v>5.016913890838623</c:v>
                </c:pt>
                <c:pt idx="66">
                  <c:v>4.1270284652709961</c:v>
                </c:pt>
                <c:pt idx="67">
                  <c:v>3.4808735847473145</c:v>
                </c:pt>
                <c:pt idx="68">
                  <c:v>3.0223970413208008</c:v>
                </c:pt>
                <c:pt idx="69">
                  <c:v>2.6769640445709229</c:v>
                </c:pt>
                <c:pt idx="70">
                  <c:v>2.458946704864502</c:v>
                </c:pt>
                <c:pt idx="71">
                  <c:v>2.3236968517303467</c:v>
                </c:pt>
                <c:pt idx="72">
                  <c:v>2.1958327293395996</c:v>
                </c:pt>
                <c:pt idx="73">
                  <c:v>2.116408109664917</c:v>
                </c:pt>
                <c:pt idx="74">
                  <c:v>2.0837113857269287</c:v>
                </c:pt>
                <c:pt idx="75">
                  <c:v>2.0734219551086426</c:v>
                </c:pt>
                <c:pt idx="76">
                  <c:v>2.0825824737548828</c:v>
                </c:pt>
                <c:pt idx="77">
                  <c:v>2.1020543575286865</c:v>
                </c:pt>
                <c:pt idx="78">
                  <c:v>2.0880517959594727</c:v>
                </c:pt>
                <c:pt idx="79">
                  <c:v>2.0825071334838867</c:v>
                </c:pt>
                <c:pt idx="80">
                  <c:v>2.0716750621795654</c:v>
                </c:pt>
                <c:pt idx="81">
                  <c:v>2.0841693878173828</c:v>
                </c:pt>
                <c:pt idx="82">
                  <c:v>2.1286890506744385</c:v>
                </c:pt>
                <c:pt idx="83">
                  <c:v>2.1351902484893799</c:v>
                </c:pt>
                <c:pt idx="84">
                  <c:v>2.1428580284118652</c:v>
                </c:pt>
                <c:pt idx="85">
                  <c:v>2.1112337112426758</c:v>
                </c:pt>
                <c:pt idx="86">
                  <c:v>2.1147429943084717</c:v>
                </c:pt>
                <c:pt idx="87">
                  <c:v>2.1434569358825684</c:v>
                </c:pt>
                <c:pt idx="88">
                  <c:v>2.1279804706573486</c:v>
                </c:pt>
                <c:pt idx="89">
                  <c:v>2.1071159839630127</c:v>
                </c:pt>
                <c:pt idx="90">
                  <c:v>2.0701322555541992</c:v>
                </c:pt>
                <c:pt idx="91">
                  <c:v>2.0772228240966797</c:v>
                </c:pt>
                <c:pt idx="92">
                  <c:v>2.0915391445159912</c:v>
                </c:pt>
                <c:pt idx="93">
                  <c:v>2.0640263557434082</c:v>
                </c:pt>
                <c:pt idx="94">
                  <c:v>2.0384767055511475</c:v>
                </c:pt>
                <c:pt idx="95">
                  <c:v>2.0607740879058838</c:v>
                </c:pt>
                <c:pt idx="96">
                  <c:v>2.0832033157348633</c:v>
                </c:pt>
                <c:pt idx="97">
                  <c:v>2.0789854526519775</c:v>
                </c:pt>
                <c:pt idx="98">
                  <c:v>2.0677018165588379</c:v>
                </c:pt>
                <c:pt idx="99">
                  <c:v>2.0672721862792969</c:v>
                </c:pt>
                <c:pt idx="100">
                  <c:v>2.0852513313293457</c:v>
                </c:pt>
                <c:pt idx="101">
                  <c:v>2.0798509120941162</c:v>
                </c:pt>
                <c:pt idx="102">
                  <c:v>2.0530281066894531</c:v>
                </c:pt>
                <c:pt idx="103">
                  <c:v>2.0594789981842041</c:v>
                </c:pt>
                <c:pt idx="104">
                  <c:v>2.0811429023742676</c:v>
                </c:pt>
                <c:pt idx="105">
                  <c:v>2.0840282440185547</c:v>
                </c:pt>
                <c:pt idx="106">
                  <c:v>2.0567348003387451</c:v>
                </c:pt>
                <c:pt idx="107">
                  <c:v>2.0513942241668701</c:v>
                </c:pt>
                <c:pt idx="108">
                  <c:v>2.0926995277404785</c:v>
                </c:pt>
                <c:pt idx="109">
                  <c:v>2.0910749435424805</c:v>
                </c:pt>
                <c:pt idx="110">
                  <c:v>2.0664348602294922</c:v>
                </c:pt>
                <c:pt idx="111">
                  <c:v>2.0518770217895508</c:v>
                </c:pt>
                <c:pt idx="112">
                  <c:v>2.0399222373962402</c:v>
                </c:pt>
                <c:pt idx="113">
                  <c:v>2.0429046154022217</c:v>
                </c:pt>
                <c:pt idx="114">
                  <c:v>2.0551478862762451</c:v>
                </c:pt>
                <c:pt idx="115">
                  <c:v>2.0654687881469727</c:v>
                </c:pt>
                <c:pt idx="116">
                  <c:v>2.0749523639678955</c:v>
                </c:pt>
                <c:pt idx="117">
                  <c:v>2.0809578895568848</c:v>
                </c:pt>
                <c:pt idx="118">
                  <c:v>2.053746223449707</c:v>
                </c:pt>
                <c:pt idx="119">
                  <c:v>2.0347447395324707</c:v>
                </c:pt>
                <c:pt idx="120">
                  <c:v>2.0552701950073242</c:v>
                </c:pt>
                <c:pt idx="121">
                  <c:v>2.0675575733184814</c:v>
                </c:pt>
                <c:pt idx="122">
                  <c:v>2.0620975494384766</c:v>
                </c:pt>
                <c:pt idx="123">
                  <c:v>2.0515539646148682</c:v>
                </c:pt>
                <c:pt idx="124">
                  <c:v>2.0157525539398193</c:v>
                </c:pt>
                <c:pt idx="125">
                  <c:v>2.0286669731140137</c:v>
                </c:pt>
                <c:pt idx="126">
                  <c:v>2.0707342624664307</c:v>
                </c:pt>
                <c:pt idx="127">
                  <c:v>2.0515477657318115</c:v>
                </c:pt>
                <c:pt idx="128">
                  <c:v>2.0297205448150635</c:v>
                </c:pt>
                <c:pt idx="129">
                  <c:v>2.0386617183685303</c:v>
                </c:pt>
                <c:pt idx="130">
                  <c:v>2.0392606258392334</c:v>
                </c:pt>
                <c:pt idx="131">
                  <c:v>2.0119829177856445</c:v>
                </c:pt>
                <c:pt idx="132">
                  <c:v>2.0173549652099609</c:v>
                </c:pt>
                <c:pt idx="133">
                  <c:v>2.0470883846282959</c:v>
                </c:pt>
                <c:pt idx="134">
                  <c:v>2.0363597869873047</c:v>
                </c:pt>
                <c:pt idx="135">
                  <c:v>2.0283312797546387</c:v>
                </c:pt>
                <c:pt idx="136">
                  <c:v>2.09897780418396</c:v>
                </c:pt>
                <c:pt idx="137">
                  <c:v>2.1715312004089355</c:v>
                </c:pt>
                <c:pt idx="138">
                  <c:v>2.1147994995117188</c:v>
                </c:pt>
                <c:pt idx="139">
                  <c:v>2.0558755397796631</c:v>
                </c:pt>
                <c:pt idx="140">
                  <c:v>2.0417788028717041</c:v>
                </c:pt>
                <c:pt idx="141">
                  <c:v>2</c:v>
                </c:pt>
                <c:pt idx="142">
                  <c:v>2.0113964080810547</c:v>
                </c:pt>
                <c:pt idx="143">
                  <c:v>2.0665979385375977</c:v>
                </c:pt>
                <c:pt idx="144">
                  <c:v>2.0858783721923828</c:v>
                </c:pt>
                <c:pt idx="145">
                  <c:v>2.0395522117614746</c:v>
                </c:pt>
                <c:pt idx="146">
                  <c:v>2.0294039249420166</c:v>
                </c:pt>
                <c:pt idx="147">
                  <c:v>2.050898551940918</c:v>
                </c:pt>
                <c:pt idx="148">
                  <c:v>2.0479695796966553</c:v>
                </c:pt>
                <c:pt idx="149">
                  <c:v>2.0529747009277344</c:v>
                </c:pt>
                <c:pt idx="150">
                  <c:v>2.0730488300323486</c:v>
                </c:pt>
                <c:pt idx="151">
                  <c:v>2.0992443561553955</c:v>
                </c:pt>
                <c:pt idx="152">
                  <c:v>2.1036694049835205</c:v>
                </c:pt>
                <c:pt idx="153">
                  <c:v>2.1015682220458984</c:v>
                </c:pt>
                <c:pt idx="154">
                  <c:v>2.118330717086792</c:v>
                </c:pt>
                <c:pt idx="155">
                  <c:v>2.0954842567443848</c:v>
                </c:pt>
                <c:pt idx="156">
                  <c:v>2.1039831638336182</c:v>
                </c:pt>
                <c:pt idx="157">
                  <c:v>2.1285104751586914</c:v>
                </c:pt>
                <c:pt idx="158">
                  <c:v>2.0696618556976318</c:v>
                </c:pt>
                <c:pt idx="159">
                  <c:v>2.0894818305969238</c:v>
                </c:pt>
                <c:pt idx="160">
                  <c:v>2.1297709941864014</c:v>
                </c:pt>
                <c:pt idx="161">
                  <c:v>2.1062567234039307</c:v>
                </c:pt>
                <c:pt idx="162">
                  <c:v>2.1143760681152344</c:v>
                </c:pt>
                <c:pt idx="163">
                  <c:v>2.1282970905303955</c:v>
                </c:pt>
                <c:pt idx="164">
                  <c:v>2.1294825077056885</c:v>
                </c:pt>
                <c:pt idx="165">
                  <c:v>2.1280620098114014</c:v>
                </c:pt>
                <c:pt idx="166">
                  <c:v>2.1156930923461914</c:v>
                </c:pt>
                <c:pt idx="167">
                  <c:v>2.0311851501464844</c:v>
                </c:pt>
                <c:pt idx="168">
                  <c:v>2.0573494434356689</c:v>
                </c:pt>
                <c:pt idx="169">
                  <c:v>2.1677772998809814</c:v>
                </c:pt>
                <c:pt idx="170">
                  <c:v>2.13938307762146</c:v>
                </c:pt>
                <c:pt idx="171">
                  <c:v>2.1093206405639648</c:v>
                </c:pt>
                <c:pt idx="172">
                  <c:v>2.1492993831634521</c:v>
                </c:pt>
                <c:pt idx="173">
                  <c:v>2.1245620250701904</c:v>
                </c:pt>
                <c:pt idx="174">
                  <c:v>2.0606393814086914</c:v>
                </c:pt>
                <c:pt idx="175">
                  <c:v>2.0899615287780762</c:v>
                </c:pt>
                <c:pt idx="176">
                  <c:v>2.1332521438598633</c:v>
                </c:pt>
                <c:pt idx="177">
                  <c:v>2.1412177085876465</c:v>
                </c:pt>
                <c:pt idx="178">
                  <c:v>2.1025528907775879</c:v>
                </c:pt>
                <c:pt idx="179">
                  <c:v>2.0993447303771973</c:v>
                </c:pt>
                <c:pt idx="180">
                  <c:v>2.1359210014343262</c:v>
                </c:pt>
                <c:pt idx="181">
                  <c:v>2.1207611560821533</c:v>
                </c:pt>
                <c:pt idx="182">
                  <c:v>2.0908429622650146</c:v>
                </c:pt>
                <c:pt idx="183">
                  <c:v>2.0780508518218994</c:v>
                </c:pt>
                <c:pt idx="184">
                  <c:v>2.0549724102020264</c:v>
                </c:pt>
                <c:pt idx="185">
                  <c:v>2.0846960544586182</c:v>
                </c:pt>
                <c:pt idx="186">
                  <c:v>2.0865151882171631</c:v>
                </c:pt>
                <c:pt idx="187">
                  <c:v>2.0732338428497314</c:v>
                </c:pt>
                <c:pt idx="188">
                  <c:v>2.1259105205535889</c:v>
                </c:pt>
                <c:pt idx="189">
                  <c:v>2.1364383697509766</c:v>
                </c:pt>
                <c:pt idx="190">
                  <c:v>2.1223134994506836</c:v>
                </c:pt>
                <c:pt idx="191">
                  <c:v>2.1198172569274902</c:v>
                </c:pt>
                <c:pt idx="192">
                  <c:v>2.1069810390472412</c:v>
                </c:pt>
                <c:pt idx="193">
                  <c:v>2.1141595840454102</c:v>
                </c:pt>
                <c:pt idx="194">
                  <c:v>2.1293320655822754</c:v>
                </c:pt>
                <c:pt idx="195">
                  <c:v>2.1273186206817627</c:v>
                </c:pt>
                <c:pt idx="196">
                  <c:v>2.0993103981018066</c:v>
                </c:pt>
                <c:pt idx="197">
                  <c:v>2.0934896469116211</c:v>
                </c:pt>
                <c:pt idx="198">
                  <c:v>2.092947244644165</c:v>
                </c:pt>
                <c:pt idx="199">
                  <c:v>2.0912003517150879</c:v>
                </c:pt>
                <c:pt idx="200">
                  <c:v>2.1073513031005859</c:v>
                </c:pt>
                <c:pt idx="201">
                  <c:v>2.1403050422668457</c:v>
                </c:pt>
                <c:pt idx="202">
                  <c:v>2.1484370231628418</c:v>
                </c:pt>
                <c:pt idx="203">
                  <c:v>2.1226396560668945</c:v>
                </c:pt>
                <c:pt idx="204">
                  <c:v>2.0889360904693604</c:v>
                </c:pt>
                <c:pt idx="205">
                  <c:v>2.0764293670654297</c:v>
                </c:pt>
                <c:pt idx="206">
                  <c:v>2.1012389659881592</c:v>
                </c:pt>
                <c:pt idx="207">
                  <c:v>2.0689656734466553</c:v>
                </c:pt>
                <c:pt idx="208">
                  <c:v>2.0827329158782959</c:v>
                </c:pt>
                <c:pt idx="209">
                  <c:v>2.1064071655273438</c:v>
                </c:pt>
                <c:pt idx="210">
                  <c:v>2.1008470058441162</c:v>
                </c:pt>
                <c:pt idx="211">
                  <c:v>2.1051340103149414</c:v>
                </c:pt>
                <c:pt idx="212">
                  <c:v>2.0877444744110107</c:v>
                </c:pt>
                <c:pt idx="213">
                  <c:v>2.1130118370056152</c:v>
                </c:pt>
                <c:pt idx="214">
                  <c:v>2.1173458099365234</c:v>
                </c:pt>
                <c:pt idx="215">
                  <c:v>2.146702766418457</c:v>
                </c:pt>
                <c:pt idx="216">
                  <c:v>2.1576821804046631</c:v>
                </c:pt>
                <c:pt idx="217">
                  <c:v>2.0956223011016846</c:v>
                </c:pt>
                <c:pt idx="218">
                  <c:v>2.0135228633880615</c:v>
                </c:pt>
                <c:pt idx="219">
                  <c:v>2.0510115623474121</c:v>
                </c:pt>
                <c:pt idx="220">
                  <c:v>2.1399257183074951</c:v>
                </c:pt>
                <c:pt idx="221">
                  <c:v>2.1353030204772949</c:v>
                </c:pt>
                <c:pt idx="222">
                  <c:v>2.1721835136413574</c:v>
                </c:pt>
                <c:pt idx="223">
                  <c:v>2.1422808170318604</c:v>
                </c:pt>
                <c:pt idx="224">
                  <c:v>2.0854268074035645</c:v>
                </c:pt>
                <c:pt idx="225">
                  <c:v>2.0944807529449463</c:v>
                </c:pt>
              </c:numCache>
            </c:numRef>
          </c:yVal>
          <c:smooth val="1"/>
          <c:extLst>
            <c:ext xmlns:c16="http://schemas.microsoft.com/office/drawing/2014/chart" uri="{C3380CC4-5D6E-409C-BE32-E72D297353CC}">
              <c16:uniqueId val="{0000000A-58F6-4830-8941-1011DB88381F}"/>
            </c:ext>
          </c:extLst>
        </c:ser>
        <c:ser>
          <c:idx val="11"/>
          <c:order val="11"/>
          <c:tx>
            <c:v>12</c:v>
          </c:tx>
          <c:spPr>
            <a:ln w="19050" cap="rnd">
              <a:noFill/>
              <a:round/>
            </a:ln>
            <a:effectLst/>
            <a:extLst>
              <a:ext uri="{91240B29-F687-4F45-9708-019B960494DF}">
                <a14:hiddenLine xmlns:a14="http://schemas.microsoft.com/office/drawing/2010/main" w="19050" cap="rnd">
                  <a:solidFill>
                    <a:srgbClr val="70AD47">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NormalisedUVVisData!$M$2:$M$300</c:f>
              <c:numCache>
                <c:formatCode>General</c:formatCode>
                <c:ptCount val="299"/>
                <c:pt idx="0">
                  <c:v>94.029273986816406</c:v>
                </c:pt>
                <c:pt idx="1">
                  <c:v>97.191650390625</c:v>
                </c:pt>
                <c:pt idx="2">
                  <c:v>98.87939453125</c:v>
                </c:pt>
                <c:pt idx="3">
                  <c:v>99.864234924316406</c:v>
                </c:pt>
                <c:pt idx="4">
                  <c:v>100</c:v>
                </c:pt>
                <c:pt idx="5">
                  <c:v>99.600433349609375</c:v>
                </c:pt>
                <c:pt idx="6">
                  <c:v>98.891098022460938</c:v>
                </c:pt>
                <c:pt idx="7">
                  <c:v>98.044090270996094</c:v>
                </c:pt>
                <c:pt idx="8">
                  <c:v>97.0032958984375</c:v>
                </c:pt>
                <c:pt idx="9">
                  <c:v>95.450347900390625</c:v>
                </c:pt>
                <c:pt idx="10">
                  <c:v>93.404472351074219</c:v>
                </c:pt>
                <c:pt idx="11">
                  <c:v>91.321556091308594</c:v>
                </c:pt>
                <c:pt idx="12">
                  <c:v>89.394485473632813</c:v>
                </c:pt>
                <c:pt idx="13">
                  <c:v>87.477798461914063</c:v>
                </c:pt>
                <c:pt idx="14">
                  <c:v>85.07098388671875</c:v>
                </c:pt>
                <c:pt idx="15">
                  <c:v>81.552314758300781</c:v>
                </c:pt>
                <c:pt idx="16">
                  <c:v>77.001152038574219</c:v>
                </c:pt>
                <c:pt idx="17">
                  <c:v>71.440994262695313</c:v>
                </c:pt>
                <c:pt idx="18">
                  <c:v>65.43695068359375</c:v>
                </c:pt>
                <c:pt idx="19">
                  <c:v>59.354000091552734</c:v>
                </c:pt>
                <c:pt idx="20">
                  <c:v>53.856410980224609</c:v>
                </c:pt>
                <c:pt idx="21">
                  <c:v>48.825004577636719</c:v>
                </c:pt>
                <c:pt idx="22">
                  <c:v>44.170108795166016</c:v>
                </c:pt>
                <c:pt idx="23">
                  <c:v>39.910789489746094</c:v>
                </c:pt>
                <c:pt idx="24">
                  <c:v>35.751029968261719</c:v>
                </c:pt>
                <c:pt idx="25">
                  <c:v>31.920854568481445</c:v>
                </c:pt>
                <c:pt idx="26">
                  <c:v>28.433889389038086</c:v>
                </c:pt>
                <c:pt idx="27">
                  <c:v>25.764743804931641</c:v>
                </c:pt>
                <c:pt idx="28">
                  <c:v>23.860185623168945</c:v>
                </c:pt>
                <c:pt idx="29">
                  <c:v>22.741676330566406</c:v>
                </c:pt>
                <c:pt idx="30">
                  <c:v>21.981056213378906</c:v>
                </c:pt>
                <c:pt idx="31">
                  <c:v>21.558774948120117</c:v>
                </c:pt>
                <c:pt idx="32">
                  <c:v>21.533344268798828</c:v>
                </c:pt>
                <c:pt idx="33">
                  <c:v>21.892133712768555</c:v>
                </c:pt>
                <c:pt idx="34">
                  <c:v>22.434337615966797</c:v>
                </c:pt>
                <c:pt idx="35">
                  <c:v>23.170217514038086</c:v>
                </c:pt>
                <c:pt idx="36">
                  <c:v>24.096231460571289</c:v>
                </c:pt>
                <c:pt idx="37">
                  <c:v>25.239612579345703</c:v>
                </c:pt>
                <c:pt idx="38">
                  <c:v>26.463478088378906</c:v>
                </c:pt>
                <c:pt idx="39">
                  <c:v>27.720867156982422</c:v>
                </c:pt>
                <c:pt idx="40">
                  <c:v>29.083024978637695</c:v>
                </c:pt>
                <c:pt idx="41">
                  <c:v>30.467973709106445</c:v>
                </c:pt>
                <c:pt idx="42">
                  <c:v>31.695770263671875</c:v>
                </c:pt>
                <c:pt idx="43">
                  <c:v>32.582099914550781</c:v>
                </c:pt>
                <c:pt idx="44">
                  <c:v>33.200740814208984</c:v>
                </c:pt>
                <c:pt idx="45">
                  <c:v>33.353584289550781</c:v>
                </c:pt>
                <c:pt idx="46">
                  <c:v>32.946392059326172</c:v>
                </c:pt>
                <c:pt idx="47">
                  <c:v>32.053184509277344</c:v>
                </c:pt>
                <c:pt idx="48">
                  <c:v>30.666316986083984</c:v>
                </c:pt>
                <c:pt idx="49">
                  <c:v>28.975881576538086</c:v>
                </c:pt>
                <c:pt idx="50">
                  <c:v>27.101863861083984</c:v>
                </c:pt>
                <c:pt idx="51">
                  <c:v>25.087114334106445</c:v>
                </c:pt>
                <c:pt idx="52">
                  <c:v>23.12904167175293</c:v>
                </c:pt>
                <c:pt idx="53">
                  <c:v>21.457792282104492</c:v>
                </c:pt>
                <c:pt idx="54">
                  <c:v>19.872467041015625</c:v>
                </c:pt>
                <c:pt idx="55">
                  <c:v>18.504150390625</c:v>
                </c:pt>
                <c:pt idx="56">
                  <c:v>17.496702194213867</c:v>
                </c:pt>
                <c:pt idx="57">
                  <c:v>16.704326629638672</c:v>
                </c:pt>
                <c:pt idx="58">
                  <c:v>16.092533111572266</c:v>
                </c:pt>
                <c:pt idx="59">
                  <c:v>15.705676078796387</c:v>
                </c:pt>
                <c:pt idx="60">
                  <c:v>15.372465133666992</c:v>
                </c:pt>
                <c:pt idx="61">
                  <c:v>15.285213470458984</c:v>
                </c:pt>
                <c:pt idx="62">
                  <c:v>15.184329032897949</c:v>
                </c:pt>
                <c:pt idx="63">
                  <c:v>14.938140869140625</c:v>
                </c:pt>
                <c:pt idx="64">
                  <c:v>14.748333930969238</c:v>
                </c:pt>
                <c:pt idx="65">
                  <c:v>14.550808906555176</c:v>
                </c:pt>
                <c:pt idx="66">
                  <c:v>14.416236877441406</c:v>
                </c:pt>
                <c:pt idx="67">
                  <c:v>14.264132499694824</c:v>
                </c:pt>
                <c:pt idx="68">
                  <c:v>13.949994087219238</c:v>
                </c:pt>
                <c:pt idx="69">
                  <c:v>13.540640830993652</c:v>
                </c:pt>
                <c:pt idx="70">
                  <c:v>13.111608505249023</c:v>
                </c:pt>
                <c:pt idx="71">
                  <c:v>12.798469543457031</c:v>
                </c:pt>
                <c:pt idx="72">
                  <c:v>12.621049880981445</c:v>
                </c:pt>
                <c:pt idx="73">
                  <c:v>12.421182632446289</c:v>
                </c:pt>
                <c:pt idx="74">
                  <c:v>12.316103935241699</c:v>
                </c:pt>
                <c:pt idx="75">
                  <c:v>12.222838401794434</c:v>
                </c:pt>
                <c:pt idx="76">
                  <c:v>12.167112350463867</c:v>
                </c:pt>
                <c:pt idx="77">
                  <c:v>12.106109619140625</c:v>
                </c:pt>
                <c:pt idx="78">
                  <c:v>12.004717826843262</c:v>
                </c:pt>
                <c:pt idx="79">
                  <c:v>12.038569450378418</c:v>
                </c:pt>
                <c:pt idx="80">
                  <c:v>12.015253067016602</c:v>
                </c:pt>
                <c:pt idx="81">
                  <c:v>11.93657112121582</c:v>
                </c:pt>
                <c:pt idx="82">
                  <c:v>11.822808265686035</c:v>
                </c:pt>
                <c:pt idx="83">
                  <c:v>11.794363975524902</c:v>
                </c:pt>
                <c:pt idx="84">
                  <c:v>11.695019721984863</c:v>
                </c:pt>
                <c:pt idx="85">
                  <c:v>11.495086669921875</c:v>
                </c:pt>
                <c:pt idx="86">
                  <c:v>11.326908111572266</c:v>
                </c:pt>
                <c:pt idx="87">
                  <c:v>11.054780960083008</c:v>
                </c:pt>
                <c:pt idx="88">
                  <c:v>10.781344413757324</c:v>
                </c:pt>
                <c:pt idx="89">
                  <c:v>10.492209434509277</c:v>
                </c:pt>
                <c:pt idx="90">
                  <c:v>10.115151405334473</c:v>
                </c:pt>
                <c:pt idx="91">
                  <c:v>9.7756481170654297</c:v>
                </c:pt>
                <c:pt idx="92">
                  <c:v>9.2240715026855469</c:v>
                </c:pt>
                <c:pt idx="93">
                  <c:v>8.7307920455932617</c:v>
                </c:pt>
                <c:pt idx="94">
                  <c:v>8.4076747894287109</c:v>
                </c:pt>
                <c:pt idx="95">
                  <c:v>8.1870145797729492</c:v>
                </c:pt>
                <c:pt idx="96">
                  <c:v>7.7228851318359375</c:v>
                </c:pt>
                <c:pt idx="97">
                  <c:v>7.0474839210510254</c:v>
                </c:pt>
                <c:pt idx="98">
                  <c:v>6.7018036842346191</c:v>
                </c:pt>
                <c:pt idx="99">
                  <c:v>6.4331507682800293</c:v>
                </c:pt>
                <c:pt idx="100">
                  <c:v>6.0609593391418457</c:v>
                </c:pt>
                <c:pt idx="101">
                  <c:v>5.6356630325317383</c:v>
                </c:pt>
                <c:pt idx="102">
                  <c:v>5.124049186706543</c:v>
                </c:pt>
                <c:pt idx="103">
                  <c:v>4.8548064231872559</c:v>
                </c:pt>
                <c:pt idx="104">
                  <c:v>4.5224967002868652</c:v>
                </c:pt>
                <c:pt idx="105">
                  <c:v>4.2401127815246582</c:v>
                </c:pt>
                <c:pt idx="106">
                  <c:v>4.2292003631591797</c:v>
                </c:pt>
                <c:pt idx="107">
                  <c:v>3.9650039672851563</c:v>
                </c:pt>
                <c:pt idx="108">
                  <c:v>3.7878792285919189</c:v>
                </c:pt>
                <c:pt idx="109">
                  <c:v>3.7002017498016357</c:v>
                </c:pt>
                <c:pt idx="110">
                  <c:v>3.4956150054931641</c:v>
                </c:pt>
                <c:pt idx="111">
                  <c:v>3.3813934326171875</c:v>
                </c:pt>
                <c:pt idx="112">
                  <c:v>3.2509009838104248</c:v>
                </c:pt>
                <c:pt idx="113">
                  <c:v>3.153080940246582</c:v>
                </c:pt>
                <c:pt idx="114">
                  <c:v>3.1292240619659424</c:v>
                </c:pt>
                <c:pt idx="115">
                  <c:v>3.0224575996398926</c:v>
                </c:pt>
                <c:pt idx="116">
                  <c:v>2.9555399417877197</c:v>
                </c:pt>
                <c:pt idx="117">
                  <c:v>2.9339442253112793</c:v>
                </c:pt>
                <c:pt idx="118">
                  <c:v>2.9305033683776855</c:v>
                </c:pt>
                <c:pt idx="119">
                  <c:v>2.9757921695709229</c:v>
                </c:pt>
                <c:pt idx="120">
                  <c:v>2.866666316986084</c:v>
                </c:pt>
                <c:pt idx="121">
                  <c:v>2.8519523143768311</c:v>
                </c:pt>
                <c:pt idx="122">
                  <c:v>2.8418591022491455</c:v>
                </c:pt>
                <c:pt idx="123">
                  <c:v>2.6860842704772949</c:v>
                </c:pt>
                <c:pt idx="124">
                  <c:v>2.7037804126739502</c:v>
                </c:pt>
                <c:pt idx="125">
                  <c:v>2.8417444229125977</c:v>
                </c:pt>
                <c:pt idx="126">
                  <c:v>2.8853292465209961</c:v>
                </c:pt>
                <c:pt idx="127">
                  <c:v>2.8043694496154785</c:v>
                </c:pt>
                <c:pt idx="128">
                  <c:v>2.8125622272491455</c:v>
                </c:pt>
                <c:pt idx="129">
                  <c:v>2.7952756881713867</c:v>
                </c:pt>
                <c:pt idx="130">
                  <c:v>2.831634521484375</c:v>
                </c:pt>
                <c:pt idx="131">
                  <c:v>2.8590798377990723</c:v>
                </c:pt>
                <c:pt idx="132">
                  <c:v>2.6812176704406738</c:v>
                </c:pt>
                <c:pt idx="133">
                  <c:v>2.6957352161407471</c:v>
                </c:pt>
                <c:pt idx="134">
                  <c:v>2.7514941692352295</c:v>
                </c:pt>
                <c:pt idx="135">
                  <c:v>2.6150047779083252</c:v>
                </c:pt>
                <c:pt idx="136">
                  <c:v>2.1608378887176514</c:v>
                </c:pt>
                <c:pt idx="137">
                  <c:v>2</c:v>
                </c:pt>
                <c:pt idx="138">
                  <c:v>2.249826192855835</c:v>
                </c:pt>
                <c:pt idx="139">
                  <c:v>2.4922628402709961</c:v>
                </c:pt>
                <c:pt idx="140">
                  <c:v>2.6254913806915283</c:v>
                </c:pt>
                <c:pt idx="141">
                  <c:v>2.8118574619293213</c:v>
                </c:pt>
                <c:pt idx="142">
                  <c:v>2.8278660774230957</c:v>
                </c:pt>
                <c:pt idx="143">
                  <c:v>2.657557487487793</c:v>
                </c:pt>
                <c:pt idx="144">
                  <c:v>2.5768435001373291</c:v>
                </c:pt>
                <c:pt idx="145">
                  <c:v>2.4661283493041992</c:v>
                </c:pt>
                <c:pt idx="146">
                  <c:v>2.560671329498291</c:v>
                </c:pt>
                <c:pt idx="147">
                  <c:v>2.7631113529205322</c:v>
                </c:pt>
                <c:pt idx="148">
                  <c:v>2.7581138610839844</c:v>
                </c:pt>
                <c:pt idx="149">
                  <c:v>2.6593434810638428</c:v>
                </c:pt>
                <c:pt idx="150">
                  <c:v>2.7630457878112793</c:v>
                </c:pt>
                <c:pt idx="151">
                  <c:v>2.8521981239318848</c:v>
                </c:pt>
                <c:pt idx="152">
                  <c:v>2.7707960605621338</c:v>
                </c:pt>
                <c:pt idx="153">
                  <c:v>2.8897695541381836</c:v>
                </c:pt>
                <c:pt idx="154">
                  <c:v>2.8892288208007813</c:v>
                </c:pt>
                <c:pt idx="155">
                  <c:v>2.7776286602020264</c:v>
                </c:pt>
                <c:pt idx="156">
                  <c:v>2.900846004486084</c:v>
                </c:pt>
                <c:pt idx="157">
                  <c:v>2.7872469425201416</c:v>
                </c:pt>
                <c:pt idx="158">
                  <c:v>2.7080569267272949</c:v>
                </c:pt>
                <c:pt idx="159">
                  <c:v>2.8468074798583984</c:v>
                </c:pt>
                <c:pt idx="160">
                  <c:v>2.7891311645507813</c:v>
                </c:pt>
                <c:pt idx="161">
                  <c:v>2.6769411563873291</c:v>
                </c:pt>
                <c:pt idx="162">
                  <c:v>2.7664213180541992</c:v>
                </c:pt>
                <c:pt idx="163">
                  <c:v>2.8688948154449463</c:v>
                </c:pt>
                <c:pt idx="164">
                  <c:v>2.6588354110717773</c:v>
                </c:pt>
                <c:pt idx="165">
                  <c:v>2.4526104927062988</c:v>
                </c:pt>
                <c:pt idx="166">
                  <c:v>2.7847070693969727</c:v>
                </c:pt>
                <c:pt idx="167">
                  <c:v>2.9897851943969727</c:v>
                </c:pt>
                <c:pt idx="168">
                  <c:v>2.6621289253234863</c:v>
                </c:pt>
                <c:pt idx="169">
                  <c:v>2.6847078800201416</c:v>
                </c:pt>
                <c:pt idx="170">
                  <c:v>2.5936057567596436</c:v>
                </c:pt>
                <c:pt idx="171">
                  <c:v>2.4302282333374023</c:v>
                </c:pt>
                <c:pt idx="172">
                  <c:v>2.67946457862854</c:v>
                </c:pt>
                <c:pt idx="173">
                  <c:v>2.7078766822814941</c:v>
                </c:pt>
                <c:pt idx="174">
                  <c:v>2.4569690227508545</c:v>
                </c:pt>
                <c:pt idx="175">
                  <c:v>2.6427614688873291</c:v>
                </c:pt>
                <c:pt idx="176">
                  <c:v>2.7075326442718506</c:v>
                </c:pt>
                <c:pt idx="177">
                  <c:v>2.5335044860839844</c:v>
                </c:pt>
                <c:pt idx="178">
                  <c:v>2.4502346515655518</c:v>
                </c:pt>
                <c:pt idx="179">
                  <c:v>2.5425982475280762</c:v>
                </c:pt>
                <c:pt idx="180">
                  <c:v>2.5823161602020264</c:v>
                </c:pt>
                <c:pt idx="181">
                  <c:v>2.5760898590087891</c:v>
                </c:pt>
                <c:pt idx="182">
                  <c:v>2.7684528827667236</c:v>
                </c:pt>
                <c:pt idx="183">
                  <c:v>2.7121531963348389</c:v>
                </c:pt>
                <c:pt idx="184">
                  <c:v>2.6270480155944824</c:v>
                </c:pt>
                <c:pt idx="185">
                  <c:v>2.6878046989440918</c:v>
                </c:pt>
                <c:pt idx="186">
                  <c:v>2.6494958400726318</c:v>
                </c:pt>
                <c:pt idx="187">
                  <c:v>2.9362709522247314</c:v>
                </c:pt>
                <c:pt idx="188">
                  <c:v>2.8734006881713867</c:v>
                </c:pt>
                <c:pt idx="189">
                  <c:v>2.693310022354126</c:v>
                </c:pt>
                <c:pt idx="190">
                  <c:v>2.6055996417999268</c:v>
                </c:pt>
                <c:pt idx="191">
                  <c:v>2.6763348579406738</c:v>
                </c:pt>
                <c:pt idx="192">
                  <c:v>2.7686660289764404</c:v>
                </c:pt>
                <c:pt idx="193">
                  <c:v>2.8346331119537354</c:v>
                </c:pt>
                <c:pt idx="194">
                  <c:v>2.7510519027709961</c:v>
                </c:pt>
                <c:pt idx="195">
                  <c:v>2.6387143135070801</c:v>
                </c:pt>
                <c:pt idx="196">
                  <c:v>2.6742048263549805</c:v>
                </c:pt>
                <c:pt idx="197">
                  <c:v>2.6560990810394287</c:v>
                </c:pt>
                <c:pt idx="198">
                  <c:v>2.5454821586608887</c:v>
                </c:pt>
                <c:pt idx="199">
                  <c:v>2.662456750869751</c:v>
                </c:pt>
                <c:pt idx="200">
                  <c:v>2.7086794376373291</c:v>
                </c:pt>
                <c:pt idx="201">
                  <c:v>2.8127095699310303</c:v>
                </c:pt>
                <c:pt idx="202">
                  <c:v>2.9231791496276855</c:v>
                </c:pt>
                <c:pt idx="203">
                  <c:v>2.8657979965209961</c:v>
                </c:pt>
                <c:pt idx="204">
                  <c:v>2.8285214900970459</c:v>
                </c:pt>
                <c:pt idx="205">
                  <c:v>2.6460549831390381</c:v>
                </c:pt>
                <c:pt idx="206">
                  <c:v>2.7354202270507813</c:v>
                </c:pt>
                <c:pt idx="207">
                  <c:v>2.708745002746582</c:v>
                </c:pt>
                <c:pt idx="208">
                  <c:v>2.6025848388671875</c:v>
                </c:pt>
                <c:pt idx="209">
                  <c:v>2.7563278675079346</c:v>
                </c:pt>
                <c:pt idx="210">
                  <c:v>2.7440881729125977</c:v>
                </c:pt>
                <c:pt idx="211">
                  <c:v>2.6940639019012451</c:v>
                </c:pt>
                <c:pt idx="212">
                  <c:v>2.5772860050201416</c:v>
                </c:pt>
                <c:pt idx="213">
                  <c:v>2.6731889247894287</c:v>
                </c:pt>
                <c:pt idx="214">
                  <c:v>2.7059266567230225</c:v>
                </c:pt>
                <c:pt idx="215">
                  <c:v>2.7381730079650879</c:v>
                </c:pt>
                <c:pt idx="216">
                  <c:v>2.932584285736084</c:v>
                </c:pt>
                <c:pt idx="217">
                  <c:v>2.7447926998138428</c:v>
                </c:pt>
                <c:pt idx="218">
                  <c:v>2.3081250190734863</c:v>
                </c:pt>
                <c:pt idx="219">
                  <c:v>2.5653738975524902</c:v>
                </c:pt>
                <c:pt idx="220">
                  <c:v>2.9947500228881836</c:v>
                </c:pt>
                <c:pt idx="221">
                  <c:v>3.1664021015167236</c:v>
                </c:pt>
                <c:pt idx="222">
                  <c:v>3.141709566116333</c:v>
                </c:pt>
                <c:pt idx="223">
                  <c:v>2.7507405281066895</c:v>
                </c:pt>
                <c:pt idx="224">
                  <c:v>2.2631967067718506</c:v>
                </c:pt>
                <c:pt idx="225">
                  <c:v>2.4576897621154785</c:v>
                </c:pt>
              </c:numCache>
            </c:numRef>
          </c:yVal>
          <c:smooth val="1"/>
          <c:extLst>
            <c:ext xmlns:c16="http://schemas.microsoft.com/office/drawing/2014/chart" uri="{C3380CC4-5D6E-409C-BE32-E72D297353CC}">
              <c16:uniqueId val="{0000000B-58F6-4830-8941-1011DB88381F}"/>
            </c:ext>
          </c:extLst>
        </c:ser>
        <c:ser>
          <c:idx val="12"/>
          <c:order val="12"/>
          <c:tx>
            <c:v>13</c:v>
          </c:tx>
          <c:spPr>
            <a:ln w="19050" cap="rnd">
              <a:noFill/>
              <a:round/>
            </a:ln>
            <a:effectLst/>
            <a:extLst>
              <a:ext uri="{91240B29-F687-4F45-9708-019B960494DF}">
                <a14:hiddenLine xmlns:a14="http://schemas.microsoft.com/office/drawing/2010/main" w="19050" cap="rnd">
                  <a:solidFill>
                    <a:srgbClr val="5B9BD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NormalisedUVVisData!$N$2:$N$300</c:f>
              <c:numCache>
                <c:formatCode>General</c:formatCode>
                <c:ptCount val="299"/>
                <c:pt idx="0">
                  <c:v>100</c:v>
                </c:pt>
                <c:pt idx="1">
                  <c:v>91.421432495117188</c:v>
                </c:pt>
                <c:pt idx="2">
                  <c:v>80.550758361816406</c:v>
                </c:pt>
                <c:pt idx="3">
                  <c:v>69.759574890136719</c:v>
                </c:pt>
                <c:pt idx="4">
                  <c:v>59.900325775146484</c:v>
                </c:pt>
                <c:pt idx="5">
                  <c:v>50.77691650390625</c:v>
                </c:pt>
                <c:pt idx="6">
                  <c:v>41.583873748779297</c:v>
                </c:pt>
                <c:pt idx="7">
                  <c:v>33.072803497314453</c:v>
                </c:pt>
                <c:pt idx="8">
                  <c:v>25.406515121459961</c:v>
                </c:pt>
                <c:pt idx="9">
                  <c:v>18.375341415405273</c:v>
                </c:pt>
                <c:pt idx="10">
                  <c:v>12.764898300170898</c:v>
                </c:pt>
                <c:pt idx="11">
                  <c:v>8.6845178604125977</c:v>
                </c:pt>
                <c:pt idx="12">
                  <c:v>5.9766960144042969</c:v>
                </c:pt>
                <c:pt idx="13">
                  <c:v>4.2338089942932129</c:v>
                </c:pt>
                <c:pt idx="14">
                  <c:v>3.1886086463928223</c:v>
                </c:pt>
                <c:pt idx="15">
                  <c:v>2.5860898494720459</c:v>
                </c:pt>
                <c:pt idx="16">
                  <c:v>2.2741076946258545</c:v>
                </c:pt>
                <c:pt idx="17">
                  <c:v>2.1181759834289551</c:v>
                </c:pt>
                <c:pt idx="18">
                  <c:v>2.0463161468505859</c:v>
                </c:pt>
                <c:pt idx="19">
                  <c:v>2.0105953216552734</c:v>
                </c:pt>
                <c:pt idx="20">
                  <c:v>2</c:v>
                </c:pt>
                <c:pt idx="21">
                  <c:v>2.0070235729217529</c:v>
                </c:pt>
                <c:pt idx="22">
                  <c:v>2.0188179016113281</c:v>
                </c:pt>
                <c:pt idx="23">
                  <c:v>2.0368413925170898</c:v>
                </c:pt>
                <c:pt idx="24">
                  <c:v>2.0648050308227539</c:v>
                </c:pt>
                <c:pt idx="25">
                  <c:v>2.0910141468048096</c:v>
                </c:pt>
                <c:pt idx="26">
                  <c:v>2.1242880821228027</c:v>
                </c:pt>
                <c:pt idx="27">
                  <c:v>2.1460344791412354</c:v>
                </c:pt>
                <c:pt idx="28">
                  <c:v>2.1581757068634033</c:v>
                </c:pt>
                <c:pt idx="29">
                  <c:v>2.1745362281799316</c:v>
                </c:pt>
                <c:pt idx="30">
                  <c:v>2.1868937015533447</c:v>
                </c:pt>
                <c:pt idx="31">
                  <c:v>2.1881239414215088</c:v>
                </c:pt>
                <c:pt idx="32">
                  <c:v>2.1840126514434814</c:v>
                </c:pt>
                <c:pt idx="33">
                  <c:v>2.1836066246032715</c:v>
                </c:pt>
                <c:pt idx="34">
                  <c:v>2.1812648773193359</c:v>
                </c:pt>
                <c:pt idx="35">
                  <c:v>2.180661678314209</c:v>
                </c:pt>
                <c:pt idx="36">
                  <c:v>2.1792032718658447</c:v>
                </c:pt>
                <c:pt idx="37">
                  <c:v>2.1834554672241211</c:v>
                </c:pt>
                <c:pt idx="38">
                  <c:v>2.1867249011993408</c:v>
                </c:pt>
                <c:pt idx="39">
                  <c:v>2.1788668632507324</c:v>
                </c:pt>
                <c:pt idx="40">
                  <c:v>2.1879711151123047</c:v>
                </c:pt>
                <c:pt idx="41">
                  <c:v>2.1890990734100342</c:v>
                </c:pt>
                <c:pt idx="42">
                  <c:v>2.1848070621490479</c:v>
                </c:pt>
                <c:pt idx="43">
                  <c:v>2.1805059909820557</c:v>
                </c:pt>
                <c:pt idx="44">
                  <c:v>2.1722924709320068</c:v>
                </c:pt>
                <c:pt idx="45">
                  <c:v>2.1720197200775146</c:v>
                </c:pt>
                <c:pt idx="46">
                  <c:v>2.1756062507629395</c:v>
                </c:pt>
                <c:pt idx="47">
                  <c:v>2.1826832294464111</c:v>
                </c:pt>
                <c:pt idx="48">
                  <c:v>2.1915504932403564</c:v>
                </c:pt>
                <c:pt idx="49">
                  <c:v>2.1986184120178223</c:v>
                </c:pt>
                <c:pt idx="50">
                  <c:v>2.2021679878234863</c:v>
                </c:pt>
                <c:pt idx="51">
                  <c:v>2.2130286693572998</c:v>
                </c:pt>
                <c:pt idx="52">
                  <c:v>2.2129974365234375</c:v>
                </c:pt>
                <c:pt idx="53">
                  <c:v>2.2034263610839844</c:v>
                </c:pt>
                <c:pt idx="54">
                  <c:v>2.2138023376464844</c:v>
                </c:pt>
                <c:pt idx="55">
                  <c:v>2.2276639938354492</c:v>
                </c:pt>
                <c:pt idx="56">
                  <c:v>2.232682466506958</c:v>
                </c:pt>
                <c:pt idx="57">
                  <c:v>2.2352981567382813</c:v>
                </c:pt>
                <c:pt idx="58">
                  <c:v>2.235299825668335</c:v>
                </c:pt>
                <c:pt idx="59">
                  <c:v>2.2397503852844238</c:v>
                </c:pt>
                <c:pt idx="60">
                  <c:v>2.2494876384735107</c:v>
                </c:pt>
                <c:pt idx="61">
                  <c:v>2.2641897201538086</c:v>
                </c:pt>
                <c:pt idx="62">
                  <c:v>2.2596442699432373</c:v>
                </c:pt>
                <c:pt idx="63">
                  <c:v>2.2487034797668457</c:v>
                </c:pt>
                <c:pt idx="64">
                  <c:v>2.2398674488067627</c:v>
                </c:pt>
                <c:pt idx="65">
                  <c:v>2.239199161529541</c:v>
                </c:pt>
                <c:pt idx="66">
                  <c:v>2.2384994029998779</c:v>
                </c:pt>
                <c:pt idx="67">
                  <c:v>2.2377200126647949</c:v>
                </c:pt>
                <c:pt idx="68">
                  <c:v>2.2379186153411865</c:v>
                </c:pt>
                <c:pt idx="69">
                  <c:v>2.2493393421173096</c:v>
                </c:pt>
                <c:pt idx="70">
                  <c:v>2.2557077407836914</c:v>
                </c:pt>
                <c:pt idx="71">
                  <c:v>2.2587921619415283</c:v>
                </c:pt>
                <c:pt idx="72">
                  <c:v>2.2609705924987793</c:v>
                </c:pt>
                <c:pt idx="73">
                  <c:v>2.2426166534423828</c:v>
                </c:pt>
                <c:pt idx="74">
                  <c:v>2.2370827198028564</c:v>
                </c:pt>
                <c:pt idx="75">
                  <c:v>2.2403848171234131</c:v>
                </c:pt>
                <c:pt idx="76">
                  <c:v>2.2389011383056641</c:v>
                </c:pt>
                <c:pt idx="77">
                  <c:v>2.2438957691192627</c:v>
                </c:pt>
                <c:pt idx="78">
                  <c:v>2.2442722320556641</c:v>
                </c:pt>
                <c:pt idx="79">
                  <c:v>2.2424211502075195</c:v>
                </c:pt>
                <c:pt idx="80">
                  <c:v>2.2406337261199951</c:v>
                </c:pt>
                <c:pt idx="81">
                  <c:v>2.251516580581665</c:v>
                </c:pt>
                <c:pt idx="82">
                  <c:v>2.2618613243103027</c:v>
                </c:pt>
                <c:pt idx="83">
                  <c:v>2.2657859325408936</c:v>
                </c:pt>
                <c:pt idx="84">
                  <c:v>2.2639584541320801</c:v>
                </c:pt>
                <c:pt idx="85">
                  <c:v>2.2679276466369629</c:v>
                </c:pt>
                <c:pt idx="86">
                  <c:v>2.2533454895019531</c:v>
                </c:pt>
                <c:pt idx="87">
                  <c:v>2.2546451091766357</c:v>
                </c:pt>
                <c:pt idx="88">
                  <c:v>2.2502672672271729</c:v>
                </c:pt>
                <c:pt idx="89">
                  <c:v>2.234849214553833</c:v>
                </c:pt>
                <c:pt idx="90">
                  <c:v>2.2403507232666016</c:v>
                </c:pt>
                <c:pt idx="91">
                  <c:v>2.2455527782440186</c:v>
                </c:pt>
                <c:pt idx="92">
                  <c:v>2.2540597915649414</c:v>
                </c:pt>
                <c:pt idx="93">
                  <c:v>2.2525644302368164</c:v>
                </c:pt>
                <c:pt idx="94">
                  <c:v>2.2389960289001465</c:v>
                </c:pt>
                <c:pt idx="95">
                  <c:v>2.2462048530578613</c:v>
                </c:pt>
                <c:pt idx="96">
                  <c:v>2.2640089988708496</c:v>
                </c:pt>
                <c:pt idx="97">
                  <c:v>2.2451865673065186</c:v>
                </c:pt>
                <c:pt idx="98">
                  <c:v>2.2327194213867188</c:v>
                </c:pt>
                <c:pt idx="99">
                  <c:v>2.2387735843658447</c:v>
                </c:pt>
                <c:pt idx="100">
                  <c:v>2.2359340190887451</c:v>
                </c:pt>
                <c:pt idx="101">
                  <c:v>2.2367491722106934</c:v>
                </c:pt>
                <c:pt idx="102">
                  <c:v>2.235255241394043</c:v>
                </c:pt>
                <c:pt idx="103">
                  <c:v>2.2375330924987793</c:v>
                </c:pt>
                <c:pt idx="104">
                  <c:v>2.2431709766387939</c:v>
                </c:pt>
                <c:pt idx="105">
                  <c:v>2.2384653091430664</c:v>
                </c:pt>
                <c:pt idx="106">
                  <c:v>2.2353916168212891</c:v>
                </c:pt>
                <c:pt idx="107">
                  <c:v>2.2334959506988525</c:v>
                </c:pt>
                <c:pt idx="108">
                  <c:v>2.2368574142456055</c:v>
                </c:pt>
                <c:pt idx="109">
                  <c:v>2.2459542751312256</c:v>
                </c:pt>
                <c:pt idx="110">
                  <c:v>2.2508540153503418</c:v>
                </c:pt>
                <c:pt idx="111">
                  <c:v>2.2507798671722412</c:v>
                </c:pt>
                <c:pt idx="112">
                  <c:v>2.2458744049072266</c:v>
                </c:pt>
                <c:pt idx="113">
                  <c:v>2.2489140033721924</c:v>
                </c:pt>
                <c:pt idx="114">
                  <c:v>2.2487301826477051</c:v>
                </c:pt>
                <c:pt idx="115">
                  <c:v>2.2381348609924316</c:v>
                </c:pt>
                <c:pt idx="116">
                  <c:v>2.2297968864440918</c:v>
                </c:pt>
                <c:pt idx="117">
                  <c:v>2.2418031692504883</c:v>
                </c:pt>
                <c:pt idx="118">
                  <c:v>2.2494328022003174</c:v>
                </c:pt>
                <c:pt idx="119">
                  <c:v>2.2551670074462891</c:v>
                </c:pt>
                <c:pt idx="120">
                  <c:v>2.2603332996368408</c:v>
                </c:pt>
                <c:pt idx="121">
                  <c:v>2.2463767528533936</c:v>
                </c:pt>
                <c:pt idx="122">
                  <c:v>2.2369863986968994</c:v>
                </c:pt>
                <c:pt idx="123">
                  <c:v>2.2513964176177979</c:v>
                </c:pt>
                <c:pt idx="124">
                  <c:v>2.2564356327056885</c:v>
                </c:pt>
                <c:pt idx="125">
                  <c:v>2.2500226497650146</c:v>
                </c:pt>
                <c:pt idx="126">
                  <c:v>2.2438778877258301</c:v>
                </c:pt>
                <c:pt idx="127">
                  <c:v>2.2430005073547363</c:v>
                </c:pt>
                <c:pt idx="128">
                  <c:v>2.2393577098846436</c:v>
                </c:pt>
                <c:pt idx="129">
                  <c:v>2.2305660247802734</c:v>
                </c:pt>
                <c:pt idx="130">
                  <c:v>2.2373702526092529</c:v>
                </c:pt>
                <c:pt idx="131">
                  <c:v>2.2398614883422852</c:v>
                </c:pt>
                <c:pt idx="132">
                  <c:v>2.2359592914581299</c:v>
                </c:pt>
                <c:pt idx="133">
                  <c:v>2.2423396110534668</c:v>
                </c:pt>
                <c:pt idx="134">
                  <c:v>2.24149489402771</c:v>
                </c:pt>
                <c:pt idx="135">
                  <c:v>2.2287623882293701</c:v>
                </c:pt>
                <c:pt idx="136">
                  <c:v>2.1758005619049072</c:v>
                </c:pt>
                <c:pt idx="137">
                  <c:v>2.1226904392242432</c:v>
                </c:pt>
                <c:pt idx="138">
                  <c:v>2.1666724681854248</c:v>
                </c:pt>
                <c:pt idx="139">
                  <c:v>2.2176127433776855</c:v>
                </c:pt>
                <c:pt idx="140">
                  <c:v>2.2054493427276611</c:v>
                </c:pt>
                <c:pt idx="141">
                  <c:v>2.231391429901123</c:v>
                </c:pt>
                <c:pt idx="142">
                  <c:v>2.2606534957885742</c:v>
                </c:pt>
                <c:pt idx="143">
                  <c:v>2.2435133457183838</c:v>
                </c:pt>
                <c:pt idx="144">
                  <c:v>2.2377688884735107</c:v>
                </c:pt>
                <c:pt idx="145">
                  <c:v>2.2364661693572998</c:v>
                </c:pt>
                <c:pt idx="146">
                  <c:v>2.2014656066894531</c:v>
                </c:pt>
                <c:pt idx="147">
                  <c:v>2.2223877906799316</c:v>
                </c:pt>
                <c:pt idx="148">
                  <c:v>2.3054625988006592</c:v>
                </c:pt>
                <c:pt idx="149">
                  <c:v>2.3154160976409912</c:v>
                </c:pt>
                <c:pt idx="150">
                  <c:v>2.2210733890533447</c:v>
                </c:pt>
                <c:pt idx="151">
                  <c:v>2.2164506912231445</c:v>
                </c:pt>
                <c:pt idx="152">
                  <c:v>2.2459750175476074</c:v>
                </c:pt>
                <c:pt idx="153">
                  <c:v>2.2438156604766846</c:v>
                </c:pt>
                <c:pt idx="154">
                  <c:v>2.2337851524353027</c:v>
                </c:pt>
                <c:pt idx="155">
                  <c:v>2.2542836666107178</c:v>
                </c:pt>
                <c:pt idx="156">
                  <c:v>2.2460877895355225</c:v>
                </c:pt>
                <c:pt idx="157">
                  <c:v>2.2323591709136963</c:v>
                </c:pt>
                <c:pt idx="158">
                  <c:v>2.2565066814422607</c:v>
                </c:pt>
                <c:pt idx="159">
                  <c:v>2.2526843547821045</c:v>
                </c:pt>
                <c:pt idx="160">
                  <c:v>2.2599360942840576</c:v>
                </c:pt>
                <c:pt idx="161">
                  <c:v>2.261655330657959</c:v>
                </c:pt>
                <c:pt idx="162">
                  <c:v>2.2519123554229736</c:v>
                </c:pt>
                <c:pt idx="163">
                  <c:v>2.2778055667877197</c:v>
                </c:pt>
                <c:pt idx="164">
                  <c:v>2.261418342590332</c:v>
                </c:pt>
                <c:pt idx="165">
                  <c:v>2.2609381675720215</c:v>
                </c:pt>
                <c:pt idx="166">
                  <c:v>2.2604031562805176</c:v>
                </c:pt>
                <c:pt idx="167">
                  <c:v>2.2471089363098145</c:v>
                </c:pt>
                <c:pt idx="168">
                  <c:v>2.2725191116333008</c:v>
                </c:pt>
                <c:pt idx="169">
                  <c:v>2.2457854747772217</c:v>
                </c:pt>
                <c:pt idx="170">
                  <c:v>2.2494297027587891</c:v>
                </c:pt>
                <c:pt idx="171">
                  <c:v>2.2458713054656982</c:v>
                </c:pt>
                <c:pt idx="172">
                  <c:v>2.2265450954437256</c:v>
                </c:pt>
                <c:pt idx="173">
                  <c:v>2.2474675178527832</c:v>
                </c:pt>
                <c:pt idx="174">
                  <c:v>2.2225983142852783</c:v>
                </c:pt>
                <c:pt idx="175">
                  <c:v>2.2099711894989014</c:v>
                </c:pt>
                <c:pt idx="176">
                  <c:v>2.2317752838134766</c:v>
                </c:pt>
                <c:pt idx="177">
                  <c:v>2.2548527717590332</c:v>
                </c:pt>
                <c:pt idx="178">
                  <c:v>2.2276017665863037</c:v>
                </c:pt>
                <c:pt idx="179">
                  <c:v>2.2327771186828613</c:v>
                </c:pt>
                <c:pt idx="180">
                  <c:v>2.2546408176422119</c:v>
                </c:pt>
                <c:pt idx="181">
                  <c:v>2.2294661998748779</c:v>
                </c:pt>
                <c:pt idx="182">
                  <c:v>2.2769756317138672</c:v>
                </c:pt>
                <c:pt idx="183">
                  <c:v>2.2705819606781006</c:v>
                </c:pt>
                <c:pt idx="184">
                  <c:v>2.2364156246185303</c:v>
                </c:pt>
                <c:pt idx="185">
                  <c:v>2.2487583160400391</c:v>
                </c:pt>
                <c:pt idx="186">
                  <c:v>2.2236225605010986</c:v>
                </c:pt>
                <c:pt idx="187">
                  <c:v>2.2296397686004639</c:v>
                </c:pt>
                <c:pt idx="188">
                  <c:v>2.2211549282073975</c:v>
                </c:pt>
                <c:pt idx="189">
                  <c:v>2.2498550415039063</c:v>
                </c:pt>
                <c:pt idx="190">
                  <c:v>2.2413094043731689</c:v>
                </c:pt>
                <c:pt idx="191">
                  <c:v>2.2194340229034424</c:v>
                </c:pt>
                <c:pt idx="192">
                  <c:v>2.2297389507293701</c:v>
                </c:pt>
                <c:pt idx="193">
                  <c:v>2.2161157131195068</c:v>
                </c:pt>
                <c:pt idx="194">
                  <c:v>2.2520382404327393</c:v>
                </c:pt>
                <c:pt idx="195">
                  <c:v>2.2507309913635254</c:v>
                </c:pt>
                <c:pt idx="196">
                  <c:v>2.2855997085571289</c:v>
                </c:pt>
                <c:pt idx="197">
                  <c:v>2.2740826606750488</c:v>
                </c:pt>
                <c:pt idx="198">
                  <c:v>2.2488887310028076</c:v>
                </c:pt>
                <c:pt idx="199">
                  <c:v>2.2444500923156738</c:v>
                </c:pt>
                <c:pt idx="200">
                  <c:v>2.2640223503112793</c:v>
                </c:pt>
                <c:pt idx="201">
                  <c:v>2.2627091407775879</c:v>
                </c:pt>
                <c:pt idx="202">
                  <c:v>2.2067520618438721</c:v>
                </c:pt>
                <c:pt idx="203">
                  <c:v>2.2538418769836426</c:v>
                </c:pt>
                <c:pt idx="204">
                  <c:v>2.2506866455078125</c:v>
                </c:pt>
                <c:pt idx="205">
                  <c:v>2.2757558822631836</c:v>
                </c:pt>
                <c:pt idx="206">
                  <c:v>2.2497913837432861</c:v>
                </c:pt>
                <c:pt idx="207">
                  <c:v>2.2755692005157471</c:v>
                </c:pt>
                <c:pt idx="208">
                  <c:v>2.2247710227966309</c:v>
                </c:pt>
                <c:pt idx="209">
                  <c:v>2.226837158203125</c:v>
                </c:pt>
                <c:pt idx="210">
                  <c:v>2.2406470775604248</c:v>
                </c:pt>
                <c:pt idx="211">
                  <c:v>2.2089307308197021</c:v>
                </c:pt>
                <c:pt idx="212">
                  <c:v>2.2835426330566406</c:v>
                </c:pt>
                <c:pt idx="213">
                  <c:v>2.249434232711792</c:v>
                </c:pt>
                <c:pt idx="214">
                  <c:v>2.2535173892974854</c:v>
                </c:pt>
                <c:pt idx="215">
                  <c:v>2.2198388576507568</c:v>
                </c:pt>
                <c:pt idx="216">
                  <c:v>2.2594351768493652</c:v>
                </c:pt>
                <c:pt idx="217">
                  <c:v>2.2758181095123291</c:v>
                </c:pt>
                <c:pt idx="218">
                  <c:v>2.2138674259185791</c:v>
                </c:pt>
                <c:pt idx="219">
                  <c:v>2.2683038711547852</c:v>
                </c:pt>
                <c:pt idx="220">
                  <c:v>2.2487034797668457</c:v>
                </c:pt>
                <c:pt idx="221">
                  <c:v>2.3244211673736572</c:v>
                </c:pt>
                <c:pt idx="222">
                  <c:v>2.3255031108856201</c:v>
                </c:pt>
                <c:pt idx="223">
                  <c:v>2.2038085460662842</c:v>
                </c:pt>
                <c:pt idx="224">
                  <c:v>2.2349884510040283</c:v>
                </c:pt>
                <c:pt idx="225">
                  <c:v>2.1932532787322998</c:v>
                </c:pt>
              </c:numCache>
            </c:numRef>
          </c:yVal>
          <c:smooth val="1"/>
          <c:extLst>
            <c:ext xmlns:c16="http://schemas.microsoft.com/office/drawing/2014/chart" uri="{C3380CC4-5D6E-409C-BE32-E72D297353CC}">
              <c16:uniqueId val="{0000000C-58F6-4830-8941-1011DB88381F}"/>
            </c:ext>
          </c:extLst>
        </c:ser>
        <c:ser>
          <c:idx val="13"/>
          <c:order val="13"/>
          <c:tx>
            <c:v>14</c:v>
          </c:tx>
          <c:spPr>
            <a:ln w="19050" cap="rnd">
              <a:noFill/>
              <a:round/>
            </a:ln>
            <a:effectLst/>
            <a:extLst>
              <a:ext uri="{91240B29-F687-4F45-9708-019B960494DF}">
                <a14:hiddenLine xmlns:a14="http://schemas.microsoft.com/office/drawing/2010/main" w="19050" cap="rnd">
                  <a:solidFill>
                    <a:srgbClr val="ED7D31">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NormalisedUVVisData!$O$2:$O$300</c:f>
              <c:numCache>
                <c:formatCode>General</c:formatCode>
                <c:ptCount val="299"/>
              </c:numCache>
            </c:numRef>
          </c:yVal>
          <c:smooth val="1"/>
          <c:extLst>
            <c:ext xmlns:c16="http://schemas.microsoft.com/office/drawing/2014/chart" uri="{C3380CC4-5D6E-409C-BE32-E72D297353CC}">
              <c16:uniqueId val="{0000000D-58F6-4830-8941-1011DB88381F}"/>
            </c:ext>
          </c:extLst>
        </c:ser>
        <c:ser>
          <c:idx val="14"/>
          <c:order val="14"/>
          <c:tx>
            <c:v>15</c:v>
          </c:tx>
          <c:spPr>
            <a:ln w="19050" cap="rnd">
              <a:noFill/>
              <a:round/>
            </a:ln>
            <a:effectLst/>
            <a:extLst>
              <a:ext uri="{91240B29-F687-4F45-9708-019B960494DF}">
                <a14:hiddenLine xmlns:a14="http://schemas.microsoft.com/office/drawing/2010/main" w="19050" cap="rnd">
                  <a:solidFill>
                    <a:srgbClr val="A5A5A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NormalisedUVVisData!$P$2:$P$300</c:f>
              <c:numCache>
                <c:formatCode>General</c:formatCode>
                <c:ptCount val="299"/>
              </c:numCache>
            </c:numRef>
          </c:yVal>
          <c:smooth val="1"/>
          <c:extLst>
            <c:ext xmlns:c16="http://schemas.microsoft.com/office/drawing/2014/chart" uri="{C3380CC4-5D6E-409C-BE32-E72D297353CC}">
              <c16:uniqueId val="{0000000E-58F6-4830-8941-1011DB88381F}"/>
            </c:ext>
          </c:extLst>
        </c:ser>
        <c:ser>
          <c:idx val="15"/>
          <c:order val="15"/>
          <c:tx>
            <c:v>16</c:v>
          </c:tx>
          <c:spPr>
            <a:ln w="19050" cap="rnd">
              <a:noFill/>
              <a:round/>
            </a:ln>
            <a:effectLst/>
            <a:extLst>
              <a:ext uri="{91240B29-F687-4F45-9708-019B960494DF}">
                <a14:hiddenLine xmlns:a14="http://schemas.microsoft.com/office/drawing/2010/main" w="19050" cap="rnd">
                  <a:solidFill>
                    <a:srgbClr val="FFC000">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NormalisedUVVisData!$Q$2:$Q$300</c:f>
              <c:numCache>
                <c:formatCode>General</c:formatCode>
                <c:ptCount val="299"/>
              </c:numCache>
            </c:numRef>
          </c:yVal>
          <c:smooth val="1"/>
          <c:extLst>
            <c:ext xmlns:c16="http://schemas.microsoft.com/office/drawing/2014/chart" uri="{C3380CC4-5D6E-409C-BE32-E72D297353CC}">
              <c16:uniqueId val="{0000000F-58F6-4830-8941-1011DB88381F}"/>
            </c:ext>
          </c:extLst>
        </c:ser>
        <c:ser>
          <c:idx val="16"/>
          <c:order val="16"/>
          <c:tx>
            <c:v>17</c:v>
          </c:tx>
          <c:spPr>
            <a:ln w="19050" cap="rnd">
              <a:noFill/>
              <a:round/>
            </a:ln>
            <a:effectLst/>
            <a:extLst>
              <a:ext uri="{91240B29-F687-4F45-9708-019B960494DF}">
                <a14:hiddenLine xmlns:a14="http://schemas.microsoft.com/office/drawing/2010/main" w="19050" cap="rnd">
                  <a:solidFill>
                    <a:srgbClr val="4472C4">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NormalisedUVVisData!$R$2:$R$300</c:f>
              <c:numCache>
                <c:formatCode>General</c:formatCode>
                <c:ptCount val="299"/>
              </c:numCache>
            </c:numRef>
          </c:yVal>
          <c:smooth val="1"/>
          <c:extLst>
            <c:ext xmlns:c16="http://schemas.microsoft.com/office/drawing/2014/chart" uri="{C3380CC4-5D6E-409C-BE32-E72D297353CC}">
              <c16:uniqueId val="{00000010-58F6-4830-8941-1011DB88381F}"/>
            </c:ext>
          </c:extLst>
        </c:ser>
        <c:ser>
          <c:idx val="17"/>
          <c:order val="17"/>
          <c:tx>
            <c:v>18</c:v>
          </c:tx>
          <c:spPr>
            <a:ln w="19050" cap="rnd">
              <a:noFill/>
              <a:round/>
            </a:ln>
            <a:effectLst/>
            <a:extLst>
              <a:ext uri="{91240B29-F687-4F45-9708-019B960494DF}">
                <a14:hiddenLine xmlns:a14="http://schemas.microsoft.com/office/drawing/2010/main" w="19050" cap="rnd">
                  <a:solidFill>
                    <a:srgbClr val="70AD47">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NormalisedUVVisData!$S$2:$S$300</c:f>
              <c:numCache>
                <c:formatCode>General</c:formatCode>
                <c:ptCount val="299"/>
              </c:numCache>
            </c:numRef>
          </c:yVal>
          <c:smooth val="1"/>
          <c:extLst>
            <c:ext xmlns:c16="http://schemas.microsoft.com/office/drawing/2014/chart" uri="{C3380CC4-5D6E-409C-BE32-E72D297353CC}">
              <c16:uniqueId val="{00000011-58F6-4830-8941-1011DB88381F}"/>
            </c:ext>
          </c:extLst>
        </c:ser>
        <c:ser>
          <c:idx val="18"/>
          <c:order val="18"/>
          <c:tx>
            <c:v>19</c:v>
          </c:tx>
          <c:spPr>
            <a:ln w="19050" cap="rnd">
              <a:noFill/>
              <a:round/>
            </a:ln>
            <a:effectLst/>
            <a:extLst>
              <a:ext uri="{91240B29-F687-4F45-9708-019B960494DF}">
                <a14:hiddenLine xmlns:a14="http://schemas.microsoft.com/office/drawing/2010/main" w="19050" cap="rnd">
                  <a:solidFill>
                    <a:srgbClr val="5B9BD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NormalisedUVVisData!$T$2:$T$300</c:f>
              <c:numCache>
                <c:formatCode>General</c:formatCode>
                <c:ptCount val="299"/>
              </c:numCache>
            </c:numRef>
          </c:yVal>
          <c:smooth val="1"/>
          <c:extLst>
            <c:ext xmlns:c16="http://schemas.microsoft.com/office/drawing/2014/chart" uri="{C3380CC4-5D6E-409C-BE32-E72D297353CC}">
              <c16:uniqueId val="{00000012-58F6-4830-8941-1011DB88381F}"/>
            </c:ext>
          </c:extLst>
        </c:ser>
        <c:ser>
          <c:idx val="19"/>
          <c:order val="19"/>
          <c:tx>
            <c:v>20</c:v>
          </c:tx>
          <c:spPr>
            <a:ln w="19050" cap="rnd">
              <a:noFill/>
              <a:round/>
            </a:ln>
            <a:effectLst/>
            <a:extLst>
              <a:ext uri="{91240B29-F687-4F45-9708-019B960494DF}">
                <a14:hiddenLine xmlns:a14="http://schemas.microsoft.com/office/drawing/2010/main" w="19050" cap="rnd">
                  <a:solidFill>
                    <a:srgbClr val="ED7D31">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NormalisedUVVisData!$U$2:$U$300</c:f>
              <c:numCache>
                <c:formatCode>General</c:formatCode>
                <c:ptCount val="299"/>
              </c:numCache>
            </c:numRef>
          </c:yVal>
          <c:smooth val="1"/>
          <c:extLst>
            <c:ext xmlns:c16="http://schemas.microsoft.com/office/drawing/2014/chart" uri="{C3380CC4-5D6E-409C-BE32-E72D297353CC}">
              <c16:uniqueId val="{00000013-58F6-4830-8941-1011DB88381F}"/>
            </c:ext>
          </c:extLst>
        </c:ser>
        <c:ser>
          <c:idx val="20"/>
          <c:order val="20"/>
          <c:tx>
            <c:v>21</c:v>
          </c:tx>
          <c:spPr>
            <a:ln w="19050" cap="rnd">
              <a:noFill/>
              <a:round/>
            </a:ln>
            <a:effectLst/>
            <a:extLst>
              <a:ext uri="{91240B29-F687-4F45-9708-019B960494DF}">
                <a14:hiddenLine xmlns:a14="http://schemas.microsoft.com/office/drawing/2010/main" w="19050" cap="rnd">
                  <a:solidFill>
                    <a:srgbClr val="A5A5A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NormalisedUVVisData!$V$2:$V$300</c:f>
              <c:numCache>
                <c:formatCode>General</c:formatCode>
                <c:ptCount val="299"/>
              </c:numCache>
            </c:numRef>
          </c:yVal>
          <c:smooth val="1"/>
          <c:extLst>
            <c:ext xmlns:c16="http://schemas.microsoft.com/office/drawing/2014/chart" uri="{C3380CC4-5D6E-409C-BE32-E72D297353CC}">
              <c16:uniqueId val="{00000014-58F6-4830-8941-1011DB88381F}"/>
            </c:ext>
          </c:extLst>
        </c:ser>
        <c:ser>
          <c:idx val="21"/>
          <c:order val="21"/>
          <c:tx>
            <c:v>22</c:v>
          </c:tx>
          <c:spPr>
            <a:ln w="19050" cap="rnd">
              <a:noFill/>
              <a:round/>
            </a:ln>
            <a:effectLst/>
            <a:extLst>
              <a:ext uri="{91240B29-F687-4F45-9708-019B960494DF}">
                <a14:hiddenLine xmlns:a14="http://schemas.microsoft.com/office/drawing/2010/main" w="19050" cap="rnd">
                  <a:solidFill>
                    <a:srgbClr val="FFC000">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NormalisedUVVisData!$W$2:$W$300</c:f>
              <c:numCache>
                <c:formatCode>General</c:formatCode>
                <c:ptCount val="299"/>
              </c:numCache>
            </c:numRef>
          </c:yVal>
          <c:smooth val="1"/>
          <c:extLst>
            <c:ext xmlns:c16="http://schemas.microsoft.com/office/drawing/2014/chart" uri="{C3380CC4-5D6E-409C-BE32-E72D297353CC}">
              <c16:uniqueId val="{00000015-58F6-4830-8941-1011DB88381F}"/>
            </c:ext>
          </c:extLst>
        </c:ser>
        <c:ser>
          <c:idx val="22"/>
          <c:order val="22"/>
          <c:tx>
            <c:v>23</c:v>
          </c:tx>
          <c:spPr>
            <a:ln w="19050" cap="rnd">
              <a:noFill/>
              <a:round/>
            </a:ln>
            <a:effectLst/>
            <a:extLst>
              <a:ext uri="{91240B29-F687-4F45-9708-019B960494DF}">
                <a14:hiddenLine xmlns:a14="http://schemas.microsoft.com/office/drawing/2010/main" w="19050" cap="rnd">
                  <a:solidFill>
                    <a:srgbClr val="4472C4">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NormalisedUVVisData!$X$2:$X$300</c:f>
              <c:numCache>
                <c:formatCode>General</c:formatCode>
                <c:ptCount val="299"/>
              </c:numCache>
            </c:numRef>
          </c:yVal>
          <c:smooth val="1"/>
          <c:extLst>
            <c:ext xmlns:c16="http://schemas.microsoft.com/office/drawing/2014/chart" uri="{C3380CC4-5D6E-409C-BE32-E72D297353CC}">
              <c16:uniqueId val="{00000016-58F6-4830-8941-1011DB88381F}"/>
            </c:ext>
          </c:extLst>
        </c:ser>
        <c:ser>
          <c:idx val="23"/>
          <c:order val="23"/>
          <c:tx>
            <c:v>24</c:v>
          </c:tx>
          <c:spPr>
            <a:ln w="19050" cap="rnd">
              <a:noFill/>
              <a:round/>
            </a:ln>
            <a:effectLst/>
            <a:extLst>
              <a:ext uri="{91240B29-F687-4F45-9708-019B960494DF}">
                <a14:hiddenLine xmlns:a14="http://schemas.microsoft.com/office/drawing/2010/main" w="19050" cap="rnd">
                  <a:solidFill>
                    <a:srgbClr val="70AD47">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NormalisedUVVisData!$Y$2:$Y$300</c:f>
              <c:numCache>
                <c:formatCode>General</c:formatCode>
                <c:ptCount val="299"/>
              </c:numCache>
            </c:numRef>
          </c:yVal>
          <c:smooth val="1"/>
          <c:extLst>
            <c:ext xmlns:c16="http://schemas.microsoft.com/office/drawing/2014/chart" uri="{C3380CC4-5D6E-409C-BE32-E72D297353CC}">
              <c16:uniqueId val="{00000017-58F6-4830-8941-1011DB88381F}"/>
            </c:ext>
          </c:extLst>
        </c:ser>
        <c:ser>
          <c:idx val="24"/>
          <c:order val="24"/>
          <c:tx>
            <c:v>25</c:v>
          </c:tx>
          <c:spPr>
            <a:ln w="19050" cap="rnd">
              <a:noFill/>
              <a:round/>
            </a:ln>
            <a:effectLst/>
            <a:extLst>
              <a:ext uri="{91240B29-F687-4F45-9708-019B960494DF}">
                <a14:hiddenLine xmlns:a14="http://schemas.microsoft.com/office/drawing/2010/main" w="19050" cap="rnd">
                  <a:solidFill>
                    <a:srgbClr val="5B9BD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NormalisedUVVisData!$Z$2:$Z$300</c:f>
              <c:numCache>
                <c:formatCode>General</c:formatCode>
                <c:ptCount val="299"/>
              </c:numCache>
            </c:numRef>
          </c:yVal>
          <c:smooth val="1"/>
          <c:extLst>
            <c:ext xmlns:c16="http://schemas.microsoft.com/office/drawing/2014/chart" uri="{C3380CC4-5D6E-409C-BE32-E72D297353CC}">
              <c16:uniqueId val="{00000018-58F6-4830-8941-1011DB88381F}"/>
            </c:ext>
          </c:extLst>
        </c:ser>
        <c:ser>
          <c:idx val="25"/>
          <c:order val="25"/>
          <c:tx>
            <c:v>26</c:v>
          </c:tx>
          <c:spPr>
            <a:ln w="19050" cap="rnd">
              <a:noFill/>
              <a:round/>
            </a:ln>
            <a:effectLst/>
            <a:extLst>
              <a:ext uri="{91240B29-F687-4F45-9708-019B960494DF}">
                <a14:hiddenLine xmlns:a14="http://schemas.microsoft.com/office/drawing/2010/main" w="19050" cap="rnd">
                  <a:solidFill>
                    <a:srgbClr val="ED7D31">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NormalisedUVVisData!$AA$2:$AA$300</c:f>
              <c:numCache>
                <c:formatCode>General</c:formatCode>
                <c:ptCount val="299"/>
              </c:numCache>
            </c:numRef>
          </c:yVal>
          <c:smooth val="1"/>
          <c:extLst>
            <c:ext xmlns:c16="http://schemas.microsoft.com/office/drawing/2014/chart" uri="{C3380CC4-5D6E-409C-BE32-E72D297353CC}">
              <c16:uniqueId val="{00000019-58F6-4830-8941-1011DB88381F}"/>
            </c:ext>
          </c:extLst>
        </c:ser>
        <c:ser>
          <c:idx val="26"/>
          <c:order val="26"/>
          <c:tx>
            <c:v>27</c:v>
          </c:tx>
          <c:spPr>
            <a:ln w="19050" cap="rnd">
              <a:noFill/>
              <a:round/>
            </a:ln>
            <a:effectLst/>
            <a:extLst>
              <a:ext uri="{91240B29-F687-4F45-9708-019B960494DF}">
                <a14:hiddenLine xmlns:a14="http://schemas.microsoft.com/office/drawing/2010/main" w="19050" cap="rnd">
                  <a:solidFill>
                    <a:srgbClr val="A5A5A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NormalisedUVVisData!$AB$2:$AB$300</c:f>
              <c:numCache>
                <c:formatCode>General</c:formatCode>
                <c:ptCount val="299"/>
              </c:numCache>
            </c:numRef>
          </c:yVal>
          <c:smooth val="1"/>
          <c:extLst>
            <c:ext xmlns:c16="http://schemas.microsoft.com/office/drawing/2014/chart" uri="{C3380CC4-5D6E-409C-BE32-E72D297353CC}">
              <c16:uniqueId val="{0000001A-58F6-4830-8941-1011DB88381F}"/>
            </c:ext>
          </c:extLst>
        </c:ser>
        <c:ser>
          <c:idx val="27"/>
          <c:order val="27"/>
          <c:tx>
            <c:v>28</c:v>
          </c:tx>
          <c:spPr>
            <a:ln w="19050" cap="rnd">
              <a:noFill/>
              <a:round/>
            </a:ln>
            <a:effectLst/>
            <a:extLst>
              <a:ext uri="{91240B29-F687-4F45-9708-019B960494DF}">
                <a14:hiddenLine xmlns:a14="http://schemas.microsoft.com/office/drawing/2010/main" w="19050" cap="rnd">
                  <a:solidFill>
                    <a:srgbClr val="FFC000">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NormalisedUVVisData!$AC$2:$AC$300</c:f>
              <c:numCache>
                <c:formatCode>General</c:formatCode>
                <c:ptCount val="299"/>
              </c:numCache>
            </c:numRef>
          </c:yVal>
          <c:smooth val="1"/>
          <c:extLst>
            <c:ext xmlns:c16="http://schemas.microsoft.com/office/drawing/2014/chart" uri="{C3380CC4-5D6E-409C-BE32-E72D297353CC}">
              <c16:uniqueId val="{0000001B-58F6-4830-8941-1011DB88381F}"/>
            </c:ext>
          </c:extLst>
        </c:ser>
        <c:ser>
          <c:idx val="28"/>
          <c:order val="28"/>
          <c:tx>
            <c:v>29</c:v>
          </c:tx>
          <c:spPr>
            <a:ln w="19050" cap="rnd">
              <a:noFill/>
              <a:round/>
            </a:ln>
            <a:effectLst/>
            <a:extLst>
              <a:ext uri="{91240B29-F687-4F45-9708-019B960494DF}">
                <a14:hiddenLine xmlns:a14="http://schemas.microsoft.com/office/drawing/2010/main" w="19050" cap="rnd">
                  <a:solidFill>
                    <a:srgbClr val="4472C4">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NormalisedUVVisData!$AD$2:$AD$300</c:f>
              <c:numCache>
                <c:formatCode>General</c:formatCode>
                <c:ptCount val="299"/>
              </c:numCache>
            </c:numRef>
          </c:yVal>
          <c:smooth val="1"/>
          <c:extLst>
            <c:ext xmlns:c16="http://schemas.microsoft.com/office/drawing/2014/chart" uri="{C3380CC4-5D6E-409C-BE32-E72D297353CC}">
              <c16:uniqueId val="{0000001C-58F6-4830-8941-1011DB88381F}"/>
            </c:ext>
          </c:extLst>
        </c:ser>
        <c:ser>
          <c:idx val="29"/>
          <c:order val="29"/>
          <c:tx>
            <c:v>30</c:v>
          </c:tx>
          <c:spPr>
            <a:ln w="19050" cap="rnd">
              <a:noFill/>
              <a:round/>
            </a:ln>
            <a:effectLst/>
            <a:extLst>
              <a:ext uri="{91240B29-F687-4F45-9708-019B960494DF}">
                <a14:hiddenLine xmlns:a14="http://schemas.microsoft.com/office/drawing/2010/main" w="19050" cap="rnd">
                  <a:solidFill>
                    <a:srgbClr val="70AD47">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NormalisedUVVisData!$AE$2:$AE$300</c:f>
              <c:numCache>
                <c:formatCode>General</c:formatCode>
                <c:ptCount val="299"/>
              </c:numCache>
            </c:numRef>
          </c:yVal>
          <c:smooth val="1"/>
          <c:extLst>
            <c:ext xmlns:c16="http://schemas.microsoft.com/office/drawing/2014/chart" uri="{C3380CC4-5D6E-409C-BE32-E72D297353CC}">
              <c16:uniqueId val="{0000001D-58F6-4830-8941-1011DB88381F}"/>
            </c:ext>
          </c:extLst>
        </c:ser>
        <c:ser>
          <c:idx val="30"/>
          <c:order val="30"/>
          <c:tx>
            <c:v>31</c:v>
          </c:tx>
          <c:spPr>
            <a:ln w="19050" cap="rnd">
              <a:noFill/>
              <a:round/>
            </a:ln>
            <a:effectLst/>
            <a:extLst>
              <a:ext uri="{91240B29-F687-4F45-9708-019B960494DF}">
                <a14:hiddenLine xmlns:a14="http://schemas.microsoft.com/office/drawing/2010/main" w="19050" cap="rnd">
                  <a:solidFill>
                    <a:srgbClr val="5B9BD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NormalisedUVVisData!$AF$2:$AF$300</c:f>
              <c:numCache>
                <c:formatCode>General</c:formatCode>
                <c:ptCount val="299"/>
              </c:numCache>
            </c:numRef>
          </c:yVal>
          <c:smooth val="1"/>
          <c:extLst>
            <c:ext xmlns:c16="http://schemas.microsoft.com/office/drawing/2014/chart" uri="{C3380CC4-5D6E-409C-BE32-E72D297353CC}">
              <c16:uniqueId val="{0000001E-58F6-4830-8941-1011DB88381F}"/>
            </c:ext>
          </c:extLst>
        </c:ser>
        <c:ser>
          <c:idx val="31"/>
          <c:order val="31"/>
          <c:tx>
            <c:v>32</c:v>
          </c:tx>
          <c:spPr>
            <a:ln w="19050" cap="rnd">
              <a:noFill/>
              <a:round/>
            </a:ln>
            <a:effectLst/>
            <a:extLst>
              <a:ext uri="{91240B29-F687-4F45-9708-019B960494DF}">
                <a14:hiddenLine xmlns:a14="http://schemas.microsoft.com/office/drawing/2010/main" w="19050" cap="rnd">
                  <a:solidFill>
                    <a:srgbClr val="ED7D31">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NormalisedUVVisData!$AG$2:$AG$300</c:f>
              <c:numCache>
                <c:formatCode>General</c:formatCode>
                <c:ptCount val="299"/>
              </c:numCache>
            </c:numRef>
          </c:yVal>
          <c:smooth val="1"/>
          <c:extLst>
            <c:ext xmlns:c16="http://schemas.microsoft.com/office/drawing/2014/chart" uri="{C3380CC4-5D6E-409C-BE32-E72D297353CC}">
              <c16:uniqueId val="{0000001F-58F6-4830-8941-1011DB88381F}"/>
            </c:ext>
          </c:extLst>
        </c:ser>
        <c:ser>
          <c:idx val="32"/>
          <c:order val="32"/>
          <c:tx>
            <c:v>33</c:v>
          </c:tx>
          <c:spPr>
            <a:ln w="19050" cap="rnd">
              <a:noFill/>
              <a:round/>
            </a:ln>
            <a:effectLst/>
            <a:extLst>
              <a:ext uri="{91240B29-F687-4F45-9708-019B960494DF}">
                <a14:hiddenLine xmlns:a14="http://schemas.microsoft.com/office/drawing/2010/main" w="19050" cap="rnd">
                  <a:solidFill>
                    <a:srgbClr val="A5A5A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NormalisedUVVisData!$AH$2:$AH$300</c:f>
              <c:numCache>
                <c:formatCode>General</c:formatCode>
                <c:ptCount val="299"/>
              </c:numCache>
            </c:numRef>
          </c:yVal>
          <c:smooth val="1"/>
          <c:extLst>
            <c:ext xmlns:c16="http://schemas.microsoft.com/office/drawing/2014/chart" uri="{C3380CC4-5D6E-409C-BE32-E72D297353CC}">
              <c16:uniqueId val="{00000020-58F6-4830-8941-1011DB88381F}"/>
            </c:ext>
          </c:extLst>
        </c:ser>
        <c:ser>
          <c:idx val="33"/>
          <c:order val="33"/>
          <c:tx>
            <c:v>34</c:v>
          </c:tx>
          <c:spPr>
            <a:ln w="19050" cap="rnd">
              <a:noFill/>
              <a:round/>
            </a:ln>
            <a:effectLst/>
            <a:extLst>
              <a:ext uri="{91240B29-F687-4F45-9708-019B960494DF}">
                <a14:hiddenLine xmlns:a14="http://schemas.microsoft.com/office/drawing/2010/main" w="19050" cap="rnd">
                  <a:solidFill>
                    <a:srgbClr val="FFC000">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NormalisedUVVisData!$AI$2:$AI$300</c:f>
              <c:numCache>
                <c:formatCode>General</c:formatCode>
                <c:ptCount val="299"/>
              </c:numCache>
            </c:numRef>
          </c:yVal>
          <c:smooth val="1"/>
          <c:extLst>
            <c:ext xmlns:c16="http://schemas.microsoft.com/office/drawing/2014/chart" uri="{C3380CC4-5D6E-409C-BE32-E72D297353CC}">
              <c16:uniqueId val="{00000021-58F6-4830-8941-1011DB88381F}"/>
            </c:ext>
          </c:extLst>
        </c:ser>
        <c:ser>
          <c:idx val="34"/>
          <c:order val="34"/>
          <c:tx>
            <c:v>35</c:v>
          </c:tx>
          <c:spPr>
            <a:ln w="19050" cap="rnd">
              <a:noFill/>
              <a:round/>
            </a:ln>
            <a:effectLst/>
            <a:extLst>
              <a:ext uri="{91240B29-F687-4F45-9708-019B960494DF}">
                <a14:hiddenLine xmlns:a14="http://schemas.microsoft.com/office/drawing/2010/main" w="19050" cap="rnd">
                  <a:solidFill>
                    <a:srgbClr val="4472C4">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NormalisedUVVisData!$AJ$2:$AJ$300</c:f>
              <c:numCache>
                <c:formatCode>General</c:formatCode>
                <c:ptCount val="299"/>
              </c:numCache>
            </c:numRef>
          </c:yVal>
          <c:smooth val="1"/>
          <c:extLst>
            <c:ext xmlns:c16="http://schemas.microsoft.com/office/drawing/2014/chart" uri="{C3380CC4-5D6E-409C-BE32-E72D297353CC}">
              <c16:uniqueId val="{00000022-58F6-4830-8941-1011DB88381F}"/>
            </c:ext>
          </c:extLst>
        </c:ser>
        <c:ser>
          <c:idx val="35"/>
          <c:order val="35"/>
          <c:tx>
            <c:v>36</c:v>
          </c:tx>
          <c:spPr>
            <a:ln w="19050" cap="rnd">
              <a:noFill/>
              <a:round/>
            </a:ln>
            <a:effectLst/>
            <a:extLst>
              <a:ext uri="{91240B29-F687-4F45-9708-019B960494DF}">
                <a14:hiddenLine xmlns:a14="http://schemas.microsoft.com/office/drawing/2010/main" w="19050" cap="rnd">
                  <a:solidFill>
                    <a:srgbClr val="70AD47">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NormalisedUVVisData!$AK$2:$AK$300</c:f>
              <c:numCache>
                <c:formatCode>General</c:formatCode>
                <c:ptCount val="299"/>
              </c:numCache>
            </c:numRef>
          </c:yVal>
          <c:smooth val="1"/>
          <c:extLst>
            <c:ext xmlns:c16="http://schemas.microsoft.com/office/drawing/2014/chart" uri="{C3380CC4-5D6E-409C-BE32-E72D297353CC}">
              <c16:uniqueId val="{00000023-58F6-4830-8941-1011DB88381F}"/>
            </c:ext>
          </c:extLst>
        </c:ser>
        <c:ser>
          <c:idx val="36"/>
          <c:order val="36"/>
          <c:tx>
            <c:v>37</c:v>
          </c:tx>
          <c:spPr>
            <a:ln w="19050" cap="rnd">
              <a:noFill/>
              <a:round/>
            </a:ln>
            <a:effectLst/>
            <a:extLst>
              <a:ext uri="{91240B29-F687-4F45-9708-019B960494DF}">
                <a14:hiddenLine xmlns:a14="http://schemas.microsoft.com/office/drawing/2010/main" w="19050" cap="rnd">
                  <a:solidFill>
                    <a:srgbClr val="5B9BD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NormalisedUVVisData!$AL$2:$AL$300</c:f>
              <c:numCache>
                <c:formatCode>General</c:formatCode>
                <c:ptCount val="299"/>
              </c:numCache>
            </c:numRef>
          </c:yVal>
          <c:smooth val="1"/>
          <c:extLst>
            <c:ext xmlns:c16="http://schemas.microsoft.com/office/drawing/2014/chart" uri="{C3380CC4-5D6E-409C-BE32-E72D297353CC}">
              <c16:uniqueId val="{00000024-58F6-4830-8941-1011DB88381F}"/>
            </c:ext>
          </c:extLst>
        </c:ser>
        <c:ser>
          <c:idx val="37"/>
          <c:order val="37"/>
          <c:tx>
            <c:v>38</c:v>
          </c:tx>
          <c:spPr>
            <a:ln w="19050" cap="rnd">
              <a:noFill/>
              <a:round/>
            </a:ln>
            <a:effectLst/>
            <a:extLst>
              <a:ext uri="{91240B29-F687-4F45-9708-019B960494DF}">
                <a14:hiddenLine xmlns:a14="http://schemas.microsoft.com/office/drawing/2010/main" w="19050" cap="rnd">
                  <a:solidFill>
                    <a:srgbClr val="ED7D31">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NormalisedUVVisData!$AM$2:$AM$300</c:f>
              <c:numCache>
                <c:formatCode>General</c:formatCode>
                <c:ptCount val="299"/>
              </c:numCache>
            </c:numRef>
          </c:yVal>
          <c:smooth val="1"/>
          <c:extLst>
            <c:ext xmlns:c16="http://schemas.microsoft.com/office/drawing/2014/chart" uri="{C3380CC4-5D6E-409C-BE32-E72D297353CC}">
              <c16:uniqueId val="{00000025-58F6-4830-8941-1011DB88381F}"/>
            </c:ext>
          </c:extLst>
        </c:ser>
        <c:ser>
          <c:idx val="38"/>
          <c:order val="38"/>
          <c:tx>
            <c:v>39</c:v>
          </c:tx>
          <c:spPr>
            <a:ln w="19050" cap="rnd">
              <a:noFill/>
              <a:round/>
            </a:ln>
            <a:effectLst/>
            <a:extLst>
              <a:ext uri="{91240B29-F687-4F45-9708-019B960494DF}">
                <a14:hiddenLine xmlns:a14="http://schemas.microsoft.com/office/drawing/2010/main" w="19050" cap="rnd">
                  <a:solidFill>
                    <a:srgbClr val="A5A5A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NormalisedUVVisData!$AN$2:$AN$300</c:f>
              <c:numCache>
                <c:formatCode>General</c:formatCode>
                <c:ptCount val="299"/>
              </c:numCache>
            </c:numRef>
          </c:yVal>
          <c:smooth val="1"/>
          <c:extLst>
            <c:ext xmlns:c16="http://schemas.microsoft.com/office/drawing/2014/chart" uri="{C3380CC4-5D6E-409C-BE32-E72D297353CC}">
              <c16:uniqueId val="{00000026-58F6-4830-8941-1011DB88381F}"/>
            </c:ext>
          </c:extLst>
        </c:ser>
        <c:ser>
          <c:idx val="39"/>
          <c:order val="39"/>
          <c:tx>
            <c:v>40</c:v>
          </c:tx>
          <c:spPr>
            <a:ln w="19050" cap="rnd">
              <a:noFill/>
              <a:round/>
            </a:ln>
            <a:effectLst/>
            <a:extLst>
              <a:ext uri="{91240B29-F687-4F45-9708-019B960494DF}">
                <a14:hiddenLine xmlns:a14="http://schemas.microsoft.com/office/drawing/2010/main" w="19050" cap="rnd">
                  <a:solidFill>
                    <a:srgbClr val="FFC000">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NormalisedUVVisData!$AO$2:$AO$300</c:f>
              <c:numCache>
                <c:formatCode>General</c:formatCode>
                <c:ptCount val="299"/>
              </c:numCache>
            </c:numRef>
          </c:yVal>
          <c:smooth val="1"/>
          <c:extLst>
            <c:ext xmlns:c16="http://schemas.microsoft.com/office/drawing/2014/chart" uri="{C3380CC4-5D6E-409C-BE32-E72D297353CC}">
              <c16:uniqueId val="{00000027-58F6-4830-8941-1011DB88381F}"/>
            </c:ext>
          </c:extLst>
        </c:ser>
        <c:ser>
          <c:idx val="40"/>
          <c:order val="40"/>
          <c:tx>
            <c:v>41</c:v>
          </c:tx>
          <c:spPr>
            <a:ln w="19050" cap="rnd">
              <a:noFill/>
              <a:round/>
            </a:ln>
            <a:effectLst/>
            <a:extLst>
              <a:ext uri="{91240B29-F687-4F45-9708-019B960494DF}">
                <a14:hiddenLine xmlns:a14="http://schemas.microsoft.com/office/drawing/2010/main" w="19050" cap="rnd">
                  <a:solidFill>
                    <a:srgbClr val="4472C4">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NormalisedUVVisData!$AP$2:$AP$300</c:f>
              <c:numCache>
                <c:formatCode>General</c:formatCode>
                <c:ptCount val="299"/>
              </c:numCache>
            </c:numRef>
          </c:yVal>
          <c:smooth val="1"/>
          <c:extLst>
            <c:ext xmlns:c16="http://schemas.microsoft.com/office/drawing/2014/chart" uri="{C3380CC4-5D6E-409C-BE32-E72D297353CC}">
              <c16:uniqueId val="{00000028-58F6-4830-8941-1011DB88381F}"/>
            </c:ext>
          </c:extLst>
        </c:ser>
        <c:ser>
          <c:idx val="41"/>
          <c:order val="41"/>
          <c:tx>
            <c:v>42</c:v>
          </c:tx>
          <c:spPr>
            <a:ln w="19050" cap="rnd">
              <a:noFill/>
              <a:round/>
            </a:ln>
            <a:effectLst/>
            <a:extLst>
              <a:ext uri="{91240B29-F687-4F45-9708-019B960494DF}">
                <a14:hiddenLine xmlns:a14="http://schemas.microsoft.com/office/drawing/2010/main" w="19050" cap="rnd">
                  <a:solidFill>
                    <a:srgbClr val="70AD47">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NormalisedUVVisData!$AQ$2:$AQ$300</c:f>
              <c:numCache>
                <c:formatCode>General</c:formatCode>
                <c:ptCount val="299"/>
              </c:numCache>
            </c:numRef>
          </c:yVal>
          <c:smooth val="1"/>
          <c:extLst>
            <c:ext xmlns:c16="http://schemas.microsoft.com/office/drawing/2014/chart" uri="{C3380CC4-5D6E-409C-BE32-E72D297353CC}">
              <c16:uniqueId val="{00000029-58F6-4830-8941-1011DB88381F}"/>
            </c:ext>
          </c:extLst>
        </c:ser>
        <c:ser>
          <c:idx val="42"/>
          <c:order val="42"/>
          <c:tx>
            <c:v>43</c:v>
          </c:tx>
          <c:spPr>
            <a:ln w="19050" cap="rnd">
              <a:noFill/>
              <a:round/>
            </a:ln>
            <a:effectLst/>
            <a:extLst>
              <a:ext uri="{91240B29-F687-4F45-9708-019B960494DF}">
                <a14:hiddenLine xmlns:a14="http://schemas.microsoft.com/office/drawing/2010/main" w="19050" cap="rnd">
                  <a:solidFill>
                    <a:srgbClr val="5B9BD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NormalisedUVVisData!$AR$2:$AR$300</c:f>
              <c:numCache>
                <c:formatCode>General</c:formatCode>
                <c:ptCount val="299"/>
              </c:numCache>
            </c:numRef>
          </c:yVal>
          <c:smooth val="1"/>
          <c:extLst>
            <c:ext xmlns:c16="http://schemas.microsoft.com/office/drawing/2014/chart" uri="{C3380CC4-5D6E-409C-BE32-E72D297353CC}">
              <c16:uniqueId val="{0000002A-58F6-4830-8941-1011DB88381F}"/>
            </c:ext>
          </c:extLst>
        </c:ser>
        <c:ser>
          <c:idx val="43"/>
          <c:order val="43"/>
          <c:tx>
            <c:v>44</c:v>
          </c:tx>
          <c:spPr>
            <a:ln w="19050" cap="rnd">
              <a:noFill/>
              <a:round/>
            </a:ln>
            <a:effectLst/>
            <a:extLst>
              <a:ext uri="{91240B29-F687-4F45-9708-019B960494DF}">
                <a14:hiddenLine xmlns:a14="http://schemas.microsoft.com/office/drawing/2010/main" w="19050" cap="rnd">
                  <a:solidFill>
                    <a:srgbClr val="ED7D31">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NormalisedUVVisData!$AS$2:$AS$300</c:f>
              <c:numCache>
                <c:formatCode>General</c:formatCode>
                <c:ptCount val="299"/>
              </c:numCache>
            </c:numRef>
          </c:yVal>
          <c:smooth val="1"/>
          <c:extLst>
            <c:ext xmlns:c16="http://schemas.microsoft.com/office/drawing/2014/chart" uri="{C3380CC4-5D6E-409C-BE32-E72D297353CC}">
              <c16:uniqueId val="{0000002B-58F6-4830-8941-1011DB88381F}"/>
            </c:ext>
          </c:extLst>
        </c:ser>
        <c:ser>
          <c:idx val="44"/>
          <c:order val="44"/>
          <c:tx>
            <c:v>45</c:v>
          </c:tx>
          <c:spPr>
            <a:ln w="19050" cap="rnd">
              <a:noFill/>
              <a:round/>
            </a:ln>
            <a:effectLst/>
            <a:extLst>
              <a:ext uri="{91240B29-F687-4F45-9708-019B960494DF}">
                <a14:hiddenLine xmlns:a14="http://schemas.microsoft.com/office/drawing/2010/main" w="19050" cap="rnd">
                  <a:solidFill>
                    <a:srgbClr val="A5A5A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NormalisedUVVisData!$AT$2:$AT$300</c:f>
              <c:numCache>
                <c:formatCode>General</c:formatCode>
                <c:ptCount val="299"/>
              </c:numCache>
            </c:numRef>
          </c:yVal>
          <c:smooth val="1"/>
          <c:extLst>
            <c:ext xmlns:c16="http://schemas.microsoft.com/office/drawing/2014/chart" uri="{C3380CC4-5D6E-409C-BE32-E72D297353CC}">
              <c16:uniqueId val="{0000002C-58F6-4830-8941-1011DB88381F}"/>
            </c:ext>
          </c:extLst>
        </c:ser>
        <c:ser>
          <c:idx val="45"/>
          <c:order val="45"/>
          <c:tx>
            <c:v>46</c:v>
          </c:tx>
          <c:spPr>
            <a:ln w="19050" cap="rnd">
              <a:noFill/>
              <a:round/>
            </a:ln>
            <a:effectLst/>
            <a:extLst>
              <a:ext uri="{91240B29-F687-4F45-9708-019B960494DF}">
                <a14:hiddenLine xmlns:a14="http://schemas.microsoft.com/office/drawing/2010/main" w="19050" cap="rnd">
                  <a:solidFill>
                    <a:srgbClr val="FFC000">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NormalisedUVVisData!$AU$2:$AU$300</c:f>
              <c:numCache>
                <c:formatCode>General</c:formatCode>
                <c:ptCount val="299"/>
              </c:numCache>
            </c:numRef>
          </c:yVal>
          <c:smooth val="1"/>
          <c:extLst>
            <c:ext xmlns:c16="http://schemas.microsoft.com/office/drawing/2014/chart" uri="{C3380CC4-5D6E-409C-BE32-E72D297353CC}">
              <c16:uniqueId val="{0000002D-58F6-4830-8941-1011DB88381F}"/>
            </c:ext>
          </c:extLst>
        </c:ser>
        <c:ser>
          <c:idx val="46"/>
          <c:order val="46"/>
          <c:tx>
            <c:v>47</c:v>
          </c:tx>
          <c:spPr>
            <a:ln w="19050" cap="rnd">
              <a:noFill/>
              <a:round/>
            </a:ln>
            <a:effectLst/>
            <a:extLst>
              <a:ext uri="{91240B29-F687-4F45-9708-019B960494DF}">
                <a14:hiddenLine xmlns:a14="http://schemas.microsoft.com/office/drawing/2010/main" w="19050" cap="rnd">
                  <a:solidFill>
                    <a:srgbClr val="4472C4">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NormalisedUVVisData!$AV$2:$AV$300</c:f>
              <c:numCache>
                <c:formatCode>General</c:formatCode>
                <c:ptCount val="299"/>
              </c:numCache>
            </c:numRef>
          </c:yVal>
          <c:smooth val="1"/>
          <c:extLst>
            <c:ext xmlns:c16="http://schemas.microsoft.com/office/drawing/2014/chart" uri="{C3380CC4-5D6E-409C-BE32-E72D297353CC}">
              <c16:uniqueId val="{0000002E-58F6-4830-8941-1011DB88381F}"/>
            </c:ext>
          </c:extLst>
        </c:ser>
        <c:ser>
          <c:idx val="47"/>
          <c:order val="47"/>
          <c:tx>
            <c:v>48</c:v>
          </c:tx>
          <c:spPr>
            <a:ln w="19050" cap="rnd">
              <a:noFill/>
              <a:round/>
            </a:ln>
            <a:effectLst/>
            <a:extLst>
              <a:ext uri="{91240B29-F687-4F45-9708-019B960494DF}">
                <a14:hiddenLine xmlns:a14="http://schemas.microsoft.com/office/drawing/2010/main" w="19050" cap="rnd">
                  <a:solidFill>
                    <a:srgbClr val="70AD47">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NormalisedUVVisData!$AW$2:$AW$300</c:f>
              <c:numCache>
                <c:formatCode>General</c:formatCode>
                <c:ptCount val="299"/>
              </c:numCache>
            </c:numRef>
          </c:yVal>
          <c:smooth val="1"/>
          <c:extLst>
            <c:ext xmlns:c16="http://schemas.microsoft.com/office/drawing/2014/chart" uri="{C3380CC4-5D6E-409C-BE32-E72D297353CC}">
              <c16:uniqueId val="{0000002F-58F6-4830-8941-1011DB88381F}"/>
            </c:ext>
          </c:extLst>
        </c:ser>
        <c:ser>
          <c:idx val="48"/>
          <c:order val="48"/>
          <c:tx>
            <c:v>49</c:v>
          </c:tx>
          <c:spPr>
            <a:ln w="19050" cap="rnd">
              <a:noFill/>
              <a:round/>
            </a:ln>
            <a:effectLst/>
            <a:extLst>
              <a:ext uri="{91240B29-F687-4F45-9708-019B960494DF}">
                <a14:hiddenLine xmlns:a14="http://schemas.microsoft.com/office/drawing/2010/main" w="19050" cap="rnd">
                  <a:solidFill>
                    <a:srgbClr val="5B9BD5">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NormalisedUVVisData!$AX$2:$AX$300</c:f>
              <c:numCache>
                <c:formatCode>General</c:formatCode>
                <c:ptCount val="299"/>
              </c:numCache>
            </c:numRef>
          </c:yVal>
          <c:smooth val="1"/>
          <c:extLst>
            <c:ext xmlns:c16="http://schemas.microsoft.com/office/drawing/2014/chart" uri="{C3380CC4-5D6E-409C-BE32-E72D297353CC}">
              <c16:uniqueId val="{00000030-58F6-4830-8941-1011DB88381F}"/>
            </c:ext>
          </c:extLst>
        </c:ser>
        <c:ser>
          <c:idx val="49"/>
          <c:order val="49"/>
          <c:tx>
            <c:v>50</c:v>
          </c:tx>
          <c:spPr>
            <a:ln w="19050" cap="rnd">
              <a:noFill/>
              <a:round/>
            </a:ln>
            <a:effectLst/>
            <a:extLst>
              <a:ext uri="{91240B29-F687-4F45-9708-019B960494DF}">
                <a14:hiddenLine xmlns:a14="http://schemas.microsoft.com/office/drawing/2010/main" w="19050" cap="rnd">
                  <a:solidFill>
                    <a:srgbClr val="ED7D31">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NormalisedUVVisData!$AY$2:$AY$300</c:f>
              <c:numCache>
                <c:formatCode>General</c:formatCode>
                <c:ptCount val="299"/>
              </c:numCache>
            </c:numRef>
          </c:yVal>
          <c:smooth val="1"/>
          <c:extLst>
            <c:ext xmlns:c16="http://schemas.microsoft.com/office/drawing/2014/chart" uri="{C3380CC4-5D6E-409C-BE32-E72D297353CC}">
              <c16:uniqueId val="{00000031-58F6-4830-8941-1011DB88381F}"/>
            </c:ext>
          </c:extLst>
        </c:ser>
        <c:ser>
          <c:idx val="50"/>
          <c:order val="50"/>
          <c:tx>
            <c:v>51</c:v>
          </c:tx>
          <c:spPr>
            <a:ln w="19050" cap="rnd">
              <a:noFill/>
              <a:round/>
            </a:ln>
            <a:effectLst/>
            <a:extLst>
              <a:ext uri="{91240B29-F687-4F45-9708-019B960494DF}">
                <a14:hiddenLine xmlns:a14="http://schemas.microsoft.com/office/drawing/2010/main" w="19050" cap="rnd">
                  <a:solidFill>
                    <a:srgbClr val="A5A5A5">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NormalisedUVVisData!$AZ$2:$AZ$300</c:f>
              <c:numCache>
                <c:formatCode>General</c:formatCode>
                <c:ptCount val="299"/>
              </c:numCache>
            </c:numRef>
          </c:yVal>
          <c:smooth val="1"/>
          <c:extLst>
            <c:ext xmlns:c16="http://schemas.microsoft.com/office/drawing/2014/chart" uri="{C3380CC4-5D6E-409C-BE32-E72D297353CC}">
              <c16:uniqueId val="{00000032-58F6-4830-8941-1011DB88381F}"/>
            </c:ext>
          </c:extLst>
        </c:ser>
        <c:ser>
          <c:idx val="51"/>
          <c:order val="51"/>
          <c:tx>
            <c:v>52</c:v>
          </c:tx>
          <c:spPr>
            <a:ln w="19050" cap="rnd">
              <a:noFill/>
              <a:round/>
            </a:ln>
            <a:effectLst/>
            <a:extLst>
              <a:ext uri="{91240B29-F687-4F45-9708-019B960494DF}">
                <a14:hiddenLine xmlns:a14="http://schemas.microsoft.com/office/drawing/2010/main" w="19050" cap="rnd">
                  <a:solidFill>
                    <a:srgbClr val="FFC000">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NormalisedUVVisData!$BA$2:$BA$300</c:f>
              <c:numCache>
                <c:formatCode>General</c:formatCode>
                <c:ptCount val="299"/>
              </c:numCache>
            </c:numRef>
          </c:yVal>
          <c:smooth val="1"/>
          <c:extLst>
            <c:ext xmlns:c16="http://schemas.microsoft.com/office/drawing/2014/chart" uri="{C3380CC4-5D6E-409C-BE32-E72D297353CC}">
              <c16:uniqueId val="{00000033-58F6-4830-8941-1011DB88381F}"/>
            </c:ext>
          </c:extLst>
        </c:ser>
        <c:ser>
          <c:idx val="52"/>
          <c:order val="52"/>
          <c:tx>
            <c:v>53</c:v>
          </c:tx>
          <c:spPr>
            <a:ln w="19050" cap="rnd">
              <a:noFill/>
              <a:round/>
            </a:ln>
            <a:effectLst/>
            <a:extLst>
              <a:ext uri="{91240B29-F687-4F45-9708-019B960494DF}">
                <a14:hiddenLine xmlns:a14="http://schemas.microsoft.com/office/drawing/2010/main" w="19050" cap="rnd">
                  <a:solidFill>
                    <a:srgbClr val="4472C4">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NormalisedUVVisData!$BB$2:$BB$300</c:f>
              <c:numCache>
                <c:formatCode>General</c:formatCode>
                <c:ptCount val="299"/>
              </c:numCache>
            </c:numRef>
          </c:yVal>
          <c:smooth val="1"/>
          <c:extLst>
            <c:ext xmlns:c16="http://schemas.microsoft.com/office/drawing/2014/chart" uri="{C3380CC4-5D6E-409C-BE32-E72D297353CC}">
              <c16:uniqueId val="{00000034-58F6-4830-8941-1011DB88381F}"/>
            </c:ext>
          </c:extLst>
        </c:ser>
        <c:ser>
          <c:idx val="53"/>
          <c:order val="53"/>
          <c:tx>
            <c:v>54</c:v>
          </c:tx>
          <c:spPr>
            <a:ln w="19050" cap="rnd">
              <a:noFill/>
              <a:round/>
            </a:ln>
            <a:effectLst/>
            <a:extLst>
              <a:ext uri="{91240B29-F687-4F45-9708-019B960494DF}">
                <a14:hiddenLine xmlns:a14="http://schemas.microsoft.com/office/drawing/2010/main" w="19050" cap="rnd">
                  <a:solidFill>
                    <a:srgbClr val="70AD47">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NormalisedUVVisData!$BC$2:$BC$300</c:f>
              <c:numCache>
                <c:formatCode>General</c:formatCode>
                <c:ptCount val="299"/>
              </c:numCache>
            </c:numRef>
          </c:yVal>
          <c:smooth val="1"/>
          <c:extLst>
            <c:ext xmlns:c16="http://schemas.microsoft.com/office/drawing/2014/chart" uri="{C3380CC4-5D6E-409C-BE32-E72D297353CC}">
              <c16:uniqueId val="{00000035-58F6-4830-8941-1011DB88381F}"/>
            </c:ext>
          </c:extLst>
        </c:ser>
        <c:ser>
          <c:idx val="54"/>
          <c:order val="54"/>
          <c:tx>
            <c:v>55</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NormalisedUVVisData!$BD$2:$BD$300</c:f>
              <c:numCache>
                <c:formatCode>General</c:formatCode>
                <c:ptCount val="299"/>
              </c:numCache>
            </c:numRef>
          </c:yVal>
          <c:smooth val="1"/>
          <c:extLst>
            <c:ext xmlns:c16="http://schemas.microsoft.com/office/drawing/2014/chart" uri="{C3380CC4-5D6E-409C-BE32-E72D297353CC}">
              <c16:uniqueId val="{00000036-58F6-4830-8941-1011DB88381F}"/>
            </c:ext>
          </c:extLst>
        </c:ser>
        <c:ser>
          <c:idx val="55"/>
          <c:order val="55"/>
          <c:tx>
            <c:v>56</c:v>
          </c:tx>
          <c:spPr>
            <a:ln w="19050" cap="rnd">
              <a:noFill/>
              <a:round/>
            </a:ln>
            <a:effectLst/>
            <a:extLst>
              <a:ext uri="{91240B29-F687-4F45-9708-019B960494DF}">
                <a14:hiddenLine xmlns:a14="http://schemas.microsoft.com/office/drawing/2010/main" w="19050" cap="rnd">
                  <a:solidFill>
                    <a:srgbClr val="ED7D31"/>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NormalisedUVVisData!$BE$2:$BE$300</c:f>
              <c:numCache>
                <c:formatCode>General</c:formatCode>
                <c:ptCount val="299"/>
              </c:numCache>
            </c:numRef>
          </c:yVal>
          <c:smooth val="1"/>
          <c:extLst>
            <c:ext xmlns:c16="http://schemas.microsoft.com/office/drawing/2014/chart" uri="{C3380CC4-5D6E-409C-BE32-E72D297353CC}">
              <c16:uniqueId val="{00000037-58F6-4830-8941-1011DB88381F}"/>
            </c:ext>
          </c:extLst>
        </c:ser>
        <c:ser>
          <c:idx val="56"/>
          <c:order val="56"/>
          <c:tx>
            <c:v>57</c:v>
          </c:tx>
          <c:spPr>
            <a:ln w="19050" cap="rnd">
              <a:noFill/>
              <a:round/>
            </a:ln>
            <a:effectLst/>
            <a:extLst>
              <a:ext uri="{91240B29-F687-4F45-9708-019B960494DF}">
                <a14:hiddenLine xmlns:a14="http://schemas.microsoft.com/office/drawing/2010/main" w="19050" cap="rnd">
                  <a:solidFill>
                    <a:srgbClr val="A5A5A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NormalisedUVVisData!$BF$2:$BF$300</c:f>
              <c:numCache>
                <c:formatCode>General</c:formatCode>
                <c:ptCount val="299"/>
              </c:numCache>
            </c:numRef>
          </c:yVal>
          <c:smooth val="1"/>
          <c:extLst>
            <c:ext xmlns:c16="http://schemas.microsoft.com/office/drawing/2014/chart" uri="{C3380CC4-5D6E-409C-BE32-E72D297353CC}">
              <c16:uniqueId val="{00000038-58F6-4830-8941-1011DB88381F}"/>
            </c:ext>
          </c:extLst>
        </c:ser>
        <c:ser>
          <c:idx val="57"/>
          <c:order val="57"/>
          <c:tx>
            <c:v>58</c:v>
          </c:tx>
          <c:spPr>
            <a:ln w="19050" cap="rnd">
              <a:noFill/>
              <a:round/>
            </a:ln>
            <a:effectLst/>
            <a:extLst>
              <a:ext uri="{91240B29-F687-4F45-9708-019B960494DF}">
                <a14:hiddenLine xmlns:a14="http://schemas.microsoft.com/office/drawing/2010/main" w="19050" cap="rnd">
                  <a:solidFill>
                    <a:srgbClr val="FFC000"/>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NormalisedUVVisData!$BG$2:$BG$300</c:f>
              <c:numCache>
                <c:formatCode>General</c:formatCode>
                <c:ptCount val="299"/>
              </c:numCache>
            </c:numRef>
          </c:yVal>
          <c:smooth val="1"/>
          <c:extLst>
            <c:ext xmlns:c16="http://schemas.microsoft.com/office/drawing/2014/chart" uri="{C3380CC4-5D6E-409C-BE32-E72D297353CC}">
              <c16:uniqueId val="{00000039-58F6-4830-8941-1011DB88381F}"/>
            </c:ext>
          </c:extLst>
        </c:ser>
        <c:ser>
          <c:idx val="58"/>
          <c:order val="58"/>
          <c:tx>
            <c:v>59</c:v>
          </c:tx>
          <c:spPr>
            <a:ln w="19050" cap="rnd">
              <a:noFill/>
              <a:round/>
            </a:ln>
            <a:effectLst/>
            <a:extLst>
              <a:ext uri="{91240B29-F687-4F45-9708-019B960494DF}">
                <a14:hiddenLine xmlns:a14="http://schemas.microsoft.com/office/drawing/2010/main" w="19050" cap="rnd">
                  <a:solidFill>
                    <a:srgbClr val="4472C4"/>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NormalisedUVVisData!$BH$2:$BH$300</c:f>
              <c:numCache>
                <c:formatCode>General</c:formatCode>
                <c:ptCount val="299"/>
              </c:numCache>
            </c:numRef>
          </c:yVal>
          <c:smooth val="1"/>
          <c:extLst>
            <c:ext xmlns:c16="http://schemas.microsoft.com/office/drawing/2014/chart" uri="{C3380CC4-5D6E-409C-BE32-E72D297353CC}">
              <c16:uniqueId val="{0000003A-58F6-4830-8941-1011DB88381F}"/>
            </c:ext>
          </c:extLst>
        </c:ser>
        <c:ser>
          <c:idx val="59"/>
          <c:order val="59"/>
          <c:tx>
            <c:v>60</c:v>
          </c:tx>
          <c:spPr>
            <a:ln w="19050" cap="rnd">
              <a:noFill/>
              <a:round/>
            </a:ln>
            <a:effectLst/>
            <a:extLst>
              <a:ext uri="{91240B29-F687-4F45-9708-019B960494DF}">
                <a14:hiddenLine xmlns:a14="http://schemas.microsoft.com/office/drawing/2010/main" w="19050" cap="rnd">
                  <a:solidFill>
                    <a:srgbClr val="70AD47"/>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NormalisedUVVisData!$BI$2:$BI$300</c:f>
              <c:numCache>
                <c:formatCode>General</c:formatCode>
                <c:ptCount val="299"/>
              </c:numCache>
            </c:numRef>
          </c:yVal>
          <c:smooth val="1"/>
          <c:extLst>
            <c:ext xmlns:c16="http://schemas.microsoft.com/office/drawing/2014/chart" uri="{C3380CC4-5D6E-409C-BE32-E72D297353CC}">
              <c16:uniqueId val="{0000003B-58F6-4830-8941-1011DB88381F}"/>
            </c:ext>
          </c:extLst>
        </c:ser>
        <c:ser>
          <c:idx val="60"/>
          <c:order val="60"/>
          <c:tx>
            <c:v>61</c:v>
          </c:tx>
          <c:spPr>
            <a:ln w="19050" cap="rnd">
              <a:noFill/>
              <a:round/>
            </a:ln>
            <a:effectLst/>
            <a:extLst>
              <a:ext uri="{91240B29-F687-4F45-9708-019B960494DF}">
                <a14:hiddenLine xmlns:a14="http://schemas.microsoft.com/office/drawing/2010/main" w="19050" cap="rnd">
                  <a:solidFill>
                    <a:srgbClr val="5B9BD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NormalisedUVVisData!$BJ$2:$BJ$300</c:f>
              <c:numCache>
                <c:formatCode>General</c:formatCode>
                <c:ptCount val="299"/>
              </c:numCache>
            </c:numRef>
          </c:yVal>
          <c:smooth val="1"/>
          <c:extLst>
            <c:ext xmlns:c16="http://schemas.microsoft.com/office/drawing/2014/chart" uri="{C3380CC4-5D6E-409C-BE32-E72D297353CC}">
              <c16:uniqueId val="{0000003C-58F6-4830-8941-1011DB88381F}"/>
            </c:ext>
          </c:extLst>
        </c:ser>
        <c:ser>
          <c:idx val="61"/>
          <c:order val="61"/>
          <c:tx>
            <c:v>62</c:v>
          </c:tx>
          <c:spPr>
            <a:ln w="19050" cap="rnd">
              <a:noFill/>
              <a:round/>
            </a:ln>
            <a:effectLst/>
            <a:extLst>
              <a:ext uri="{91240B29-F687-4F45-9708-019B960494DF}">
                <a14:hiddenLine xmlns:a14="http://schemas.microsoft.com/office/drawing/2010/main" w="19050" cap="rnd">
                  <a:solidFill>
                    <a:srgbClr val="ED7D31">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NormalisedUVVisData!$BK$2:$BK$300</c:f>
              <c:numCache>
                <c:formatCode>General</c:formatCode>
                <c:ptCount val="299"/>
              </c:numCache>
            </c:numRef>
          </c:yVal>
          <c:smooth val="1"/>
          <c:extLst>
            <c:ext xmlns:c16="http://schemas.microsoft.com/office/drawing/2014/chart" uri="{C3380CC4-5D6E-409C-BE32-E72D297353CC}">
              <c16:uniqueId val="{0000003D-58F6-4830-8941-1011DB88381F}"/>
            </c:ext>
          </c:extLst>
        </c:ser>
        <c:ser>
          <c:idx val="62"/>
          <c:order val="62"/>
          <c:tx>
            <c:v>63</c:v>
          </c:tx>
          <c:spPr>
            <a:ln w="19050" cap="rnd">
              <a:noFill/>
              <a:round/>
            </a:ln>
            <a:effectLst/>
            <a:extLst>
              <a:ext uri="{91240B29-F687-4F45-9708-019B960494DF}">
                <a14:hiddenLine xmlns:a14="http://schemas.microsoft.com/office/drawing/2010/main" w="19050" cap="rnd">
                  <a:solidFill>
                    <a:srgbClr val="A5A5A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NormalisedUVVisData!$BL$2:$BL$300</c:f>
              <c:numCache>
                <c:formatCode>General</c:formatCode>
                <c:ptCount val="299"/>
              </c:numCache>
            </c:numRef>
          </c:yVal>
          <c:smooth val="1"/>
          <c:extLst>
            <c:ext xmlns:c16="http://schemas.microsoft.com/office/drawing/2014/chart" uri="{C3380CC4-5D6E-409C-BE32-E72D297353CC}">
              <c16:uniqueId val="{0000003E-58F6-4830-8941-1011DB88381F}"/>
            </c:ext>
          </c:extLst>
        </c:ser>
        <c:ser>
          <c:idx val="63"/>
          <c:order val="63"/>
          <c:tx>
            <c:v>64</c:v>
          </c:tx>
          <c:spPr>
            <a:ln w="19050" cap="rnd">
              <a:noFill/>
              <a:round/>
            </a:ln>
            <a:effectLst/>
            <a:extLst>
              <a:ext uri="{91240B29-F687-4F45-9708-019B960494DF}">
                <a14:hiddenLine xmlns:a14="http://schemas.microsoft.com/office/drawing/2010/main" w="19050" cap="rnd">
                  <a:solidFill>
                    <a:srgbClr val="FFC000">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NormalisedUVVisData!$BM$2:$BM$300</c:f>
              <c:numCache>
                <c:formatCode>General</c:formatCode>
                <c:ptCount val="299"/>
              </c:numCache>
            </c:numRef>
          </c:yVal>
          <c:smooth val="1"/>
          <c:extLst>
            <c:ext xmlns:c16="http://schemas.microsoft.com/office/drawing/2014/chart" uri="{C3380CC4-5D6E-409C-BE32-E72D297353CC}">
              <c16:uniqueId val="{0000003F-58F6-4830-8941-1011DB88381F}"/>
            </c:ext>
          </c:extLst>
        </c:ser>
        <c:ser>
          <c:idx val="64"/>
          <c:order val="64"/>
          <c:tx>
            <c:v>65</c:v>
          </c:tx>
          <c:spPr>
            <a:ln w="19050" cap="rnd">
              <a:noFill/>
              <a:round/>
            </a:ln>
            <a:effectLst/>
            <a:extLst>
              <a:ext uri="{91240B29-F687-4F45-9708-019B960494DF}">
                <a14:hiddenLine xmlns:a14="http://schemas.microsoft.com/office/drawing/2010/main" w="19050" cap="rnd">
                  <a:solidFill>
                    <a:srgbClr val="4472C4">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NormalisedUVVisData!$BN$2:$BN$300</c:f>
              <c:numCache>
                <c:formatCode>General</c:formatCode>
                <c:ptCount val="299"/>
              </c:numCache>
            </c:numRef>
          </c:yVal>
          <c:smooth val="1"/>
          <c:extLst>
            <c:ext xmlns:c16="http://schemas.microsoft.com/office/drawing/2014/chart" uri="{C3380CC4-5D6E-409C-BE32-E72D297353CC}">
              <c16:uniqueId val="{00000040-58F6-4830-8941-1011DB88381F}"/>
            </c:ext>
          </c:extLst>
        </c:ser>
        <c:ser>
          <c:idx val="65"/>
          <c:order val="65"/>
          <c:tx>
            <c:v>66</c:v>
          </c:tx>
          <c:spPr>
            <a:ln w="19050" cap="rnd">
              <a:noFill/>
              <a:round/>
            </a:ln>
            <a:effectLst/>
            <a:extLst>
              <a:ext uri="{91240B29-F687-4F45-9708-019B960494DF}">
                <a14:hiddenLine xmlns:a14="http://schemas.microsoft.com/office/drawing/2010/main" w="19050" cap="rnd">
                  <a:solidFill>
                    <a:srgbClr val="70AD47">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NormalisedUVVisData!$BO$2:$BO$300</c:f>
              <c:numCache>
                <c:formatCode>General</c:formatCode>
                <c:ptCount val="299"/>
              </c:numCache>
            </c:numRef>
          </c:yVal>
          <c:smooth val="1"/>
          <c:extLst>
            <c:ext xmlns:c16="http://schemas.microsoft.com/office/drawing/2014/chart" uri="{C3380CC4-5D6E-409C-BE32-E72D297353CC}">
              <c16:uniqueId val="{00000041-58F6-4830-8941-1011DB88381F}"/>
            </c:ext>
          </c:extLst>
        </c:ser>
        <c:ser>
          <c:idx val="66"/>
          <c:order val="66"/>
          <c:tx>
            <c:v>67</c:v>
          </c:tx>
          <c:spPr>
            <a:ln w="19050" cap="rnd">
              <a:noFill/>
              <a:round/>
            </a:ln>
            <a:effectLst/>
            <a:extLst>
              <a:ext uri="{91240B29-F687-4F45-9708-019B960494DF}">
                <a14:hiddenLine xmlns:a14="http://schemas.microsoft.com/office/drawing/2010/main" w="19050" cap="rnd">
                  <a:solidFill>
                    <a:srgbClr val="5B9BD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NormalisedUVVisData!$BP$2:$BP$300</c:f>
              <c:numCache>
                <c:formatCode>General</c:formatCode>
                <c:ptCount val="299"/>
              </c:numCache>
            </c:numRef>
          </c:yVal>
          <c:smooth val="1"/>
          <c:extLst>
            <c:ext xmlns:c16="http://schemas.microsoft.com/office/drawing/2014/chart" uri="{C3380CC4-5D6E-409C-BE32-E72D297353CC}">
              <c16:uniqueId val="{00000042-58F6-4830-8941-1011DB88381F}"/>
            </c:ext>
          </c:extLst>
        </c:ser>
        <c:ser>
          <c:idx val="67"/>
          <c:order val="67"/>
          <c:tx>
            <c:v>68</c:v>
          </c:tx>
          <c:spPr>
            <a:ln w="19050" cap="rnd">
              <a:noFill/>
              <a:round/>
            </a:ln>
            <a:effectLst/>
            <a:extLst>
              <a:ext uri="{91240B29-F687-4F45-9708-019B960494DF}">
                <a14:hiddenLine xmlns:a14="http://schemas.microsoft.com/office/drawing/2010/main" w="19050" cap="rnd">
                  <a:solidFill>
                    <a:srgbClr val="ED7D31">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NormalisedUVVisData!$BQ$2:$BQ$300</c:f>
              <c:numCache>
                <c:formatCode>General</c:formatCode>
                <c:ptCount val="299"/>
              </c:numCache>
            </c:numRef>
          </c:yVal>
          <c:smooth val="1"/>
          <c:extLst>
            <c:ext xmlns:c16="http://schemas.microsoft.com/office/drawing/2014/chart" uri="{C3380CC4-5D6E-409C-BE32-E72D297353CC}">
              <c16:uniqueId val="{00000043-58F6-4830-8941-1011DB88381F}"/>
            </c:ext>
          </c:extLst>
        </c:ser>
        <c:ser>
          <c:idx val="68"/>
          <c:order val="68"/>
          <c:tx>
            <c:v>69</c:v>
          </c:tx>
          <c:spPr>
            <a:ln w="19050" cap="rnd">
              <a:noFill/>
              <a:round/>
            </a:ln>
            <a:effectLst/>
            <a:extLst>
              <a:ext uri="{91240B29-F687-4F45-9708-019B960494DF}">
                <a14:hiddenLine xmlns:a14="http://schemas.microsoft.com/office/drawing/2010/main" w="19050" cap="rnd">
                  <a:solidFill>
                    <a:srgbClr val="A5A5A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NormalisedUVVisData!$BR$2:$BR$300</c:f>
              <c:numCache>
                <c:formatCode>General</c:formatCode>
                <c:ptCount val="299"/>
              </c:numCache>
            </c:numRef>
          </c:yVal>
          <c:smooth val="1"/>
          <c:extLst>
            <c:ext xmlns:c16="http://schemas.microsoft.com/office/drawing/2014/chart" uri="{C3380CC4-5D6E-409C-BE32-E72D297353CC}">
              <c16:uniqueId val="{00000044-58F6-4830-8941-1011DB88381F}"/>
            </c:ext>
          </c:extLst>
        </c:ser>
        <c:ser>
          <c:idx val="69"/>
          <c:order val="69"/>
          <c:tx>
            <c:v>70</c:v>
          </c:tx>
          <c:spPr>
            <a:ln w="19050" cap="rnd">
              <a:noFill/>
              <a:round/>
            </a:ln>
            <a:effectLst/>
            <a:extLst>
              <a:ext uri="{91240B29-F687-4F45-9708-019B960494DF}">
                <a14:hiddenLine xmlns:a14="http://schemas.microsoft.com/office/drawing/2010/main" w="19050" cap="rnd">
                  <a:solidFill>
                    <a:srgbClr val="FFC000">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NormalisedUVVisData!$BS$2:$BS$300</c:f>
              <c:numCache>
                <c:formatCode>General</c:formatCode>
                <c:ptCount val="299"/>
              </c:numCache>
            </c:numRef>
          </c:yVal>
          <c:smooth val="1"/>
          <c:extLst>
            <c:ext xmlns:c16="http://schemas.microsoft.com/office/drawing/2014/chart" uri="{C3380CC4-5D6E-409C-BE32-E72D297353CC}">
              <c16:uniqueId val="{00000045-58F6-4830-8941-1011DB88381F}"/>
            </c:ext>
          </c:extLst>
        </c:ser>
        <c:ser>
          <c:idx val="70"/>
          <c:order val="70"/>
          <c:tx>
            <c:v>71</c:v>
          </c:tx>
          <c:spPr>
            <a:ln w="19050" cap="rnd">
              <a:noFill/>
              <a:round/>
            </a:ln>
            <a:effectLst/>
            <a:extLst>
              <a:ext uri="{91240B29-F687-4F45-9708-019B960494DF}">
                <a14:hiddenLine xmlns:a14="http://schemas.microsoft.com/office/drawing/2010/main" w="19050" cap="rnd">
                  <a:solidFill>
                    <a:srgbClr val="4472C4">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NormalisedUVVisData!$BT$2:$BT$300</c:f>
              <c:numCache>
                <c:formatCode>General</c:formatCode>
                <c:ptCount val="299"/>
              </c:numCache>
            </c:numRef>
          </c:yVal>
          <c:smooth val="1"/>
          <c:extLst>
            <c:ext xmlns:c16="http://schemas.microsoft.com/office/drawing/2014/chart" uri="{C3380CC4-5D6E-409C-BE32-E72D297353CC}">
              <c16:uniqueId val="{00000046-58F6-4830-8941-1011DB88381F}"/>
            </c:ext>
          </c:extLst>
        </c:ser>
        <c:ser>
          <c:idx val="71"/>
          <c:order val="71"/>
          <c:tx>
            <c:v>72</c:v>
          </c:tx>
          <c:spPr>
            <a:ln w="19050" cap="rnd">
              <a:noFill/>
              <a:round/>
            </a:ln>
            <a:effectLst/>
            <a:extLst>
              <a:ext uri="{91240B29-F687-4F45-9708-019B960494DF}">
                <a14:hiddenLine xmlns:a14="http://schemas.microsoft.com/office/drawing/2010/main" w="19050" cap="rnd">
                  <a:solidFill>
                    <a:srgbClr val="70AD47">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NormalisedUVVisData!$BU$2:$BU$300</c:f>
              <c:numCache>
                <c:formatCode>General</c:formatCode>
                <c:ptCount val="299"/>
              </c:numCache>
            </c:numRef>
          </c:yVal>
          <c:smooth val="1"/>
          <c:extLst>
            <c:ext xmlns:c16="http://schemas.microsoft.com/office/drawing/2014/chart" uri="{C3380CC4-5D6E-409C-BE32-E72D297353CC}">
              <c16:uniqueId val="{00000047-58F6-4830-8941-1011DB88381F}"/>
            </c:ext>
          </c:extLst>
        </c:ser>
        <c:ser>
          <c:idx val="72"/>
          <c:order val="72"/>
          <c:tx>
            <c:v>73</c:v>
          </c:tx>
          <c:spPr>
            <a:ln w="19050" cap="rnd">
              <a:noFill/>
              <a:round/>
            </a:ln>
            <a:effectLst/>
            <a:extLst>
              <a:ext uri="{91240B29-F687-4F45-9708-019B960494DF}">
                <a14:hiddenLine xmlns:a14="http://schemas.microsoft.com/office/drawing/2010/main" w="19050" cap="rnd">
                  <a:solidFill>
                    <a:srgbClr val="5B9BD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NormalisedUVVisData!$BV$2:$BV$300</c:f>
              <c:numCache>
                <c:formatCode>General</c:formatCode>
                <c:ptCount val="299"/>
              </c:numCache>
            </c:numRef>
          </c:yVal>
          <c:smooth val="1"/>
          <c:extLst>
            <c:ext xmlns:c16="http://schemas.microsoft.com/office/drawing/2014/chart" uri="{C3380CC4-5D6E-409C-BE32-E72D297353CC}">
              <c16:uniqueId val="{00000048-58F6-4830-8941-1011DB88381F}"/>
            </c:ext>
          </c:extLst>
        </c:ser>
        <c:ser>
          <c:idx val="73"/>
          <c:order val="73"/>
          <c:tx>
            <c:v>74</c:v>
          </c:tx>
          <c:spPr>
            <a:ln w="19050" cap="rnd">
              <a:noFill/>
              <a:round/>
            </a:ln>
            <a:effectLst/>
            <a:extLst>
              <a:ext uri="{91240B29-F687-4F45-9708-019B960494DF}">
                <a14:hiddenLine xmlns:a14="http://schemas.microsoft.com/office/drawing/2010/main" w="19050" cap="rnd">
                  <a:solidFill>
                    <a:srgbClr val="ED7D31">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NormalisedUVVisData!$BW$2:$BW$300</c:f>
              <c:numCache>
                <c:formatCode>General</c:formatCode>
                <c:ptCount val="299"/>
              </c:numCache>
            </c:numRef>
          </c:yVal>
          <c:smooth val="1"/>
          <c:extLst>
            <c:ext xmlns:c16="http://schemas.microsoft.com/office/drawing/2014/chart" uri="{C3380CC4-5D6E-409C-BE32-E72D297353CC}">
              <c16:uniqueId val="{00000049-58F6-4830-8941-1011DB88381F}"/>
            </c:ext>
          </c:extLst>
        </c:ser>
        <c:ser>
          <c:idx val="74"/>
          <c:order val="74"/>
          <c:tx>
            <c:v>75</c:v>
          </c:tx>
          <c:spPr>
            <a:ln w="19050" cap="rnd">
              <a:noFill/>
              <a:round/>
            </a:ln>
            <a:effectLst/>
            <a:extLst>
              <a:ext uri="{91240B29-F687-4F45-9708-019B960494DF}">
                <a14:hiddenLine xmlns:a14="http://schemas.microsoft.com/office/drawing/2010/main" w="19050" cap="rnd">
                  <a:solidFill>
                    <a:srgbClr val="A5A5A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NormalisedUVVisData!$BX$2:$BX$300</c:f>
              <c:numCache>
                <c:formatCode>General</c:formatCode>
                <c:ptCount val="299"/>
              </c:numCache>
            </c:numRef>
          </c:yVal>
          <c:smooth val="1"/>
          <c:extLst>
            <c:ext xmlns:c16="http://schemas.microsoft.com/office/drawing/2014/chart" uri="{C3380CC4-5D6E-409C-BE32-E72D297353CC}">
              <c16:uniqueId val="{0000004A-58F6-4830-8941-1011DB88381F}"/>
            </c:ext>
          </c:extLst>
        </c:ser>
        <c:ser>
          <c:idx val="75"/>
          <c:order val="75"/>
          <c:tx>
            <c:v>76</c:v>
          </c:tx>
          <c:spPr>
            <a:ln w="19050" cap="rnd">
              <a:noFill/>
              <a:round/>
            </a:ln>
            <a:effectLst/>
            <a:extLst>
              <a:ext uri="{91240B29-F687-4F45-9708-019B960494DF}">
                <a14:hiddenLine xmlns:a14="http://schemas.microsoft.com/office/drawing/2010/main" w="19050" cap="rnd">
                  <a:solidFill>
                    <a:srgbClr val="FFC000">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NormalisedUVVisData!$BY$2:$BY$300</c:f>
              <c:numCache>
                <c:formatCode>General</c:formatCode>
                <c:ptCount val="299"/>
              </c:numCache>
            </c:numRef>
          </c:yVal>
          <c:smooth val="1"/>
          <c:extLst>
            <c:ext xmlns:c16="http://schemas.microsoft.com/office/drawing/2014/chart" uri="{C3380CC4-5D6E-409C-BE32-E72D297353CC}">
              <c16:uniqueId val="{0000004B-58F6-4830-8941-1011DB88381F}"/>
            </c:ext>
          </c:extLst>
        </c:ser>
        <c:ser>
          <c:idx val="76"/>
          <c:order val="76"/>
          <c:tx>
            <c:v>77</c:v>
          </c:tx>
          <c:spPr>
            <a:ln w="19050" cap="rnd">
              <a:noFill/>
              <a:round/>
            </a:ln>
            <a:effectLst/>
            <a:extLst>
              <a:ext uri="{91240B29-F687-4F45-9708-019B960494DF}">
                <a14:hiddenLine xmlns:a14="http://schemas.microsoft.com/office/drawing/2010/main" w="19050" cap="rnd">
                  <a:solidFill>
                    <a:srgbClr val="4472C4">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NormalisedUVVisData!$BZ$2:$BZ$300</c:f>
              <c:numCache>
                <c:formatCode>General</c:formatCode>
                <c:ptCount val="299"/>
              </c:numCache>
            </c:numRef>
          </c:yVal>
          <c:smooth val="1"/>
          <c:extLst>
            <c:ext xmlns:c16="http://schemas.microsoft.com/office/drawing/2014/chart" uri="{C3380CC4-5D6E-409C-BE32-E72D297353CC}">
              <c16:uniqueId val="{0000004C-58F6-4830-8941-1011DB88381F}"/>
            </c:ext>
          </c:extLst>
        </c:ser>
        <c:ser>
          <c:idx val="77"/>
          <c:order val="77"/>
          <c:tx>
            <c:v>78</c:v>
          </c:tx>
          <c:spPr>
            <a:ln w="19050" cap="rnd">
              <a:noFill/>
              <a:round/>
            </a:ln>
            <a:effectLst/>
            <a:extLst>
              <a:ext uri="{91240B29-F687-4F45-9708-019B960494DF}">
                <a14:hiddenLine xmlns:a14="http://schemas.microsoft.com/office/drawing/2010/main" w="19050" cap="rnd">
                  <a:solidFill>
                    <a:srgbClr val="70AD47">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NormalisedUVVisData!$CA$2:$CA$300</c:f>
              <c:numCache>
                <c:formatCode>General</c:formatCode>
                <c:ptCount val="299"/>
              </c:numCache>
            </c:numRef>
          </c:yVal>
          <c:smooth val="1"/>
          <c:extLst>
            <c:ext xmlns:c16="http://schemas.microsoft.com/office/drawing/2014/chart" uri="{C3380CC4-5D6E-409C-BE32-E72D297353CC}">
              <c16:uniqueId val="{0000004D-58F6-4830-8941-1011DB88381F}"/>
            </c:ext>
          </c:extLst>
        </c:ser>
        <c:ser>
          <c:idx val="78"/>
          <c:order val="78"/>
          <c:tx>
            <c:v>79</c:v>
          </c:tx>
          <c:spPr>
            <a:ln w="19050" cap="rnd">
              <a:noFill/>
              <a:round/>
            </a:ln>
            <a:effectLst/>
            <a:extLst>
              <a:ext uri="{91240B29-F687-4F45-9708-019B960494DF}">
                <a14:hiddenLine xmlns:a14="http://schemas.microsoft.com/office/drawing/2010/main" w="19050" cap="rnd">
                  <a:solidFill>
                    <a:srgbClr val="5B9BD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NormalisedUVVisData!$CB$2:$CB$300</c:f>
              <c:numCache>
                <c:formatCode>General</c:formatCode>
                <c:ptCount val="299"/>
              </c:numCache>
            </c:numRef>
          </c:yVal>
          <c:smooth val="1"/>
          <c:extLst>
            <c:ext xmlns:c16="http://schemas.microsoft.com/office/drawing/2014/chart" uri="{C3380CC4-5D6E-409C-BE32-E72D297353CC}">
              <c16:uniqueId val="{0000004E-58F6-4830-8941-1011DB88381F}"/>
            </c:ext>
          </c:extLst>
        </c:ser>
        <c:ser>
          <c:idx val="79"/>
          <c:order val="79"/>
          <c:tx>
            <c:v>80</c:v>
          </c:tx>
          <c:spPr>
            <a:ln w="19050" cap="rnd">
              <a:noFill/>
              <a:round/>
            </a:ln>
            <a:effectLst/>
            <a:extLst>
              <a:ext uri="{91240B29-F687-4F45-9708-019B960494DF}">
                <a14:hiddenLine xmlns:a14="http://schemas.microsoft.com/office/drawing/2010/main" w="19050" cap="rnd">
                  <a:solidFill>
                    <a:srgbClr val="ED7D31">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NormalisedUVVisData!$CC$2:$CC$300</c:f>
              <c:numCache>
                <c:formatCode>General</c:formatCode>
                <c:ptCount val="299"/>
              </c:numCache>
            </c:numRef>
          </c:yVal>
          <c:smooth val="1"/>
          <c:extLst>
            <c:ext xmlns:c16="http://schemas.microsoft.com/office/drawing/2014/chart" uri="{C3380CC4-5D6E-409C-BE32-E72D297353CC}">
              <c16:uniqueId val="{0000004F-58F6-4830-8941-1011DB88381F}"/>
            </c:ext>
          </c:extLst>
        </c:ser>
        <c:ser>
          <c:idx val="80"/>
          <c:order val="80"/>
          <c:tx>
            <c:v>81</c:v>
          </c:tx>
          <c:spPr>
            <a:ln w="19050" cap="rnd">
              <a:noFill/>
              <a:round/>
            </a:ln>
            <a:effectLst/>
            <a:extLst>
              <a:ext uri="{91240B29-F687-4F45-9708-019B960494DF}">
                <a14:hiddenLine xmlns:a14="http://schemas.microsoft.com/office/drawing/2010/main" w="19050" cap="rnd">
                  <a:solidFill>
                    <a:srgbClr val="A5A5A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NormalisedUVVisData!$CD$2:$CD$300</c:f>
              <c:numCache>
                <c:formatCode>General</c:formatCode>
                <c:ptCount val="299"/>
              </c:numCache>
            </c:numRef>
          </c:yVal>
          <c:smooth val="1"/>
          <c:extLst>
            <c:ext xmlns:c16="http://schemas.microsoft.com/office/drawing/2014/chart" uri="{C3380CC4-5D6E-409C-BE32-E72D297353CC}">
              <c16:uniqueId val="{00000050-58F6-4830-8941-1011DB88381F}"/>
            </c:ext>
          </c:extLst>
        </c:ser>
        <c:ser>
          <c:idx val="81"/>
          <c:order val="81"/>
          <c:tx>
            <c:v>82</c:v>
          </c:tx>
          <c:spPr>
            <a:ln w="19050" cap="rnd">
              <a:noFill/>
              <a:round/>
            </a:ln>
            <a:effectLst/>
            <a:extLst>
              <a:ext uri="{91240B29-F687-4F45-9708-019B960494DF}">
                <a14:hiddenLine xmlns:a14="http://schemas.microsoft.com/office/drawing/2010/main" w="19050" cap="rnd">
                  <a:solidFill>
                    <a:srgbClr val="FFC000">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NormalisedUVVisData!$CE$2:$CE$300</c:f>
              <c:numCache>
                <c:formatCode>General</c:formatCode>
                <c:ptCount val="299"/>
              </c:numCache>
            </c:numRef>
          </c:yVal>
          <c:smooth val="1"/>
          <c:extLst>
            <c:ext xmlns:c16="http://schemas.microsoft.com/office/drawing/2014/chart" uri="{C3380CC4-5D6E-409C-BE32-E72D297353CC}">
              <c16:uniqueId val="{00000051-58F6-4830-8941-1011DB88381F}"/>
            </c:ext>
          </c:extLst>
        </c:ser>
        <c:ser>
          <c:idx val="82"/>
          <c:order val="82"/>
          <c:tx>
            <c:v>83</c:v>
          </c:tx>
          <c:spPr>
            <a:ln w="19050" cap="rnd">
              <a:noFill/>
              <a:round/>
            </a:ln>
            <a:effectLst/>
            <a:extLst>
              <a:ext uri="{91240B29-F687-4F45-9708-019B960494DF}">
                <a14:hiddenLine xmlns:a14="http://schemas.microsoft.com/office/drawing/2010/main" w="19050" cap="rnd">
                  <a:solidFill>
                    <a:srgbClr val="4472C4">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NormalisedUVVisData!$CF$2:$CF$300</c:f>
              <c:numCache>
                <c:formatCode>General</c:formatCode>
                <c:ptCount val="299"/>
              </c:numCache>
            </c:numRef>
          </c:yVal>
          <c:smooth val="1"/>
          <c:extLst>
            <c:ext xmlns:c16="http://schemas.microsoft.com/office/drawing/2014/chart" uri="{C3380CC4-5D6E-409C-BE32-E72D297353CC}">
              <c16:uniqueId val="{00000052-58F6-4830-8941-1011DB88381F}"/>
            </c:ext>
          </c:extLst>
        </c:ser>
        <c:ser>
          <c:idx val="83"/>
          <c:order val="83"/>
          <c:tx>
            <c:v>84</c:v>
          </c:tx>
          <c:spPr>
            <a:ln w="19050" cap="rnd">
              <a:noFill/>
              <a:round/>
            </a:ln>
            <a:effectLst/>
            <a:extLst>
              <a:ext uri="{91240B29-F687-4F45-9708-019B960494DF}">
                <a14:hiddenLine xmlns:a14="http://schemas.microsoft.com/office/drawing/2010/main" w="19050" cap="rnd">
                  <a:solidFill>
                    <a:srgbClr val="70AD47">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NormalisedUVVisData!$CG$2:$CG$300</c:f>
              <c:numCache>
                <c:formatCode>General</c:formatCode>
                <c:ptCount val="299"/>
              </c:numCache>
            </c:numRef>
          </c:yVal>
          <c:smooth val="1"/>
          <c:extLst>
            <c:ext xmlns:c16="http://schemas.microsoft.com/office/drawing/2014/chart" uri="{C3380CC4-5D6E-409C-BE32-E72D297353CC}">
              <c16:uniqueId val="{00000053-58F6-4830-8941-1011DB88381F}"/>
            </c:ext>
          </c:extLst>
        </c:ser>
        <c:ser>
          <c:idx val="84"/>
          <c:order val="84"/>
          <c:tx>
            <c:v>85</c:v>
          </c:tx>
          <c:spPr>
            <a:ln w="19050" cap="rnd">
              <a:noFill/>
              <a:round/>
            </a:ln>
            <a:effectLst/>
            <a:extLst>
              <a:ext uri="{91240B29-F687-4F45-9708-019B960494DF}">
                <a14:hiddenLine xmlns:a14="http://schemas.microsoft.com/office/drawing/2010/main" w="19050" cap="rnd">
                  <a:solidFill>
                    <a:srgbClr val="5B9BD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NormalisedUVVisData!$CH$2:$CH$300</c:f>
              <c:numCache>
                <c:formatCode>General</c:formatCode>
                <c:ptCount val="299"/>
              </c:numCache>
            </c:numRef>
          </c:yVal>
          <c:smooth val="1"/>
          <c:extLst>
            <c:ext xmlns:c16="http://schemas.microsoft.com/office/drawing/2014/chart" uri="{C3380CC4-5D6E-409C-BE32-E72D297353CC}">
              <c16:uniqueId val="{00000054-58F6-4830-8941-1011DB88381F}"/>
            </c:ext>
          </c:extLst>
        </c:ser>
        <c:ser>
          <c:idx val="85"/>
          <c:order val="85"/>
          <c:tx>
            <c:v>86</c:v>
          </c:tx>
          <c:spPr>
            <a:ln w="19050" cap="rnd">
              <a:noFill/>
              <a:round/>
            </a:ln>
            <a:effectLst/>
            <a:extLst>
              <a:ext uri="{91240B29-F687-4F45-9708-019B960494DF}">
                <a14:hiddenLine xmlns:a14="http://schemas.microsoft.com/office/drawing/2010/main" w="19050" cap="rnd">
                  <a:solidFill>
                    <a:srgbClr val="ED7D31">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NormalisedUVVisData!$CI$2:$CI$300</c:f>
              <c:numCache>
                <c:formatCode>General</c:formatCode>
                <c:ptCount val="299"/>
              </c:numCache>
            </c:numRef>
          </c:yVal>
          <c:smooth val="1"/>
          <c:extLst>
            <c:ext xmlns:c16="http://schemas.microsoft.com/office/drawing/2014/chart" uri="{C3380CC4-5D6E-409C-BE32-E72D297353CC}">
              <c16:uniqueId val="{00000055-58F6-4830-8941-1011DB88381F}"/>
            </c:ext>
          </c:extLst>
        </c:ser>
        <c:ser>
          <c:idx val="86"/>
          <c:order val="86"/>
          <c:tx>
            <c:v>87</c:v>
          </c:tx>
          <c:spPr>
            <a:ln w="19050" cap="rnd">
              <a:noFill/>
              <a:round/>
            </a:ln>
            <a:effectLst/>
            <a:extLst>
              <a:ext uri="{91240B29-F687-4F45-9708-019B960494DF}">
                <a14:hiddenLine xmlns:a14="http://schemas.microsoft.com/office/drawing/2010/main" w="19050" cap="rnd">
                  <a:solidFill>
                    <a:srgbClr val="A5A5A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NormalisedUVVisData!$CJ$2:$CJ$300</c:f>
              <c:numCache>
                <c:formatCode>General</c:formatCode>
                <c:ptCount val="299"/>
              </c:numCache>
            </c:numRef>
          </c:yVal>
          <c:smooth val="1"/>
          <c:extLst>
            <c:ext xmlns:c16="http://schemas.microsoft.com/office/drawing/2014/chart" uri="{C3380CC4-5D6E-409C-BE32-E72D297353CC}">
              <c16:uniqueId val="{00000056-58F6-4830-8941-1011DB88381F}"/>
            </c:ext>
          </c:extLst>
        </c:ser>
        <c:ser>
          <c:idx val="87"/>
          <c:order val="87"/>
          <c:tx>
            <c:v>88</c:v>
          </c:tx>
          <c:spPr>
            <a:ln w="19050" cap="rnd">
              <a:noFill/>
              <a:round/>
            </a:ln>
            <a:effectLst/>
            <a:extLst>
              <a:ext uri="{91240B29-F687-4F45-9708-019B960494DF}">
                <a14:hiddenLine xmlns:a14="http://schemas.microsoft.com/office/drawing/2010/main" w="19050" cap="rnd">
                  <a:solidFill>
                    <a:srgbClr val="FFC000">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NormalisedUVVisData!$CK$2:$CK$300</c:f>
              <c:numCache>
                <c:formatCode>General</c:formatCode>
                <c:ptCount val="299"/>
              </c:numCache>
            </c:numRef>
          </c:yVal>
          <c:smooth val="1"/>
          <c:extLst>
            <c:ext xmlns:c16="http://schemas.microsoft.com/office/drawing/2014/chart" uri="{C3380CC4-5D6E-409C-BE32-E72D297353CC}">
              <c16:uniqueId val="{00000057-58F6-4830-8941-1011DB88381F}"/>
            </c:ext>
          </c:extLst>
        </c:ser>
        <c:ser>
          <c:idx val="88"/>
          <c:order val="88"/>
          <c:tx>
            <c:v>89</c:v>
          </c:tx>
          <c:spPr>
            <a:ln w="19050" cap="rnd">
              <a:noFill/>
              <a:round/>
            </a:ln>
            <a:effectLst/>
            <a:extLst>
              <a:ext uri="{91240B29-F687-4F45-9708-019B960494DF}">
                <a14:hiddenLine xmlns:a14="http://schemas.microsoft.com/office/drawing/2010/main" w="19050" cap="rnd">
                  <a:solidFill>
                    <a:srgbClr val="4472C4">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NormalisedUVVisData!$CL$2:$CL$300</c:f>
              <c:numCache>
                <c:formatCode>General</c:formatCode>
                <c:ptCount val="299"/>
              </c:numCache>
            </c:numRef>
          </c:yVal>
          <c:smooth val="1"/>
          <c:extLst>
            <c:ext xmlns:c16="http://schemas.microsoft.com/office/drawing/2014/chart" uri="{C3380CC4-5D6E-409C-BE32-E72D297353CC}">
              <c16:uniqueId val="{00000058-58F6-4830-8941-1011DB88381F}"/>
            </c:ext>
          </c:extLst>
        </c:ser>
        <c:ser>
          <c:idx val="89"/>
          <c:order val="89"/>
          <c:tx>
            <c:v>90</c:v>
          </c:tx>
          <c:spPr>
            <a:ln w="19050" cap="rnd">
              <a:noFill/>
              <a:round/>
            </a:ln>
            <a:effectLst/>
            <a:extLst>
              <a:ext uri="{91240B29-F687-4F45-9708-019B960494DF}">
                <a14:hiddenLine xmlns:a14="http://schemas.microsoft.com/office/drawing/2010/main" w="19050" cap="rnd">
                  <a:solidFill>
                    <a:srgbClr val="70AD47">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NormalisedUVVisData!$CM$2:$CM$300</c:f>
              <c:numCache>
                <c:formatCode>General</c:formatCode>
                <c:ptCount val="299"/>
              </c:numCache>
            </c:numRef>
          </c:yVal>
          <c:smooth val="1"/>
          <c:extLst>
            <c:ext xmlns:c16="http://schemas.microsoft.com/office/drawing/2014/chart" uri="{C3380CC4-5D6E-409C-BE32-E72D297353CC}">
              <c16:uniqueId val="{00000059-58F6-4830-8941-1011DB88381F}"/>
            </c:ext>
          </c:extLst>
        </c:ser>
        <c:ser>
          <c:idx val="90"/>
          <c:order val="90"/>
          <c:tx>
            <c:v>91</c:v>
          </c:tx>
          <c:spPr>
            <a:ln w="19050" cap="rnd">
              <a:noFill/>
              <a:round/>
            </a:ln>
            <a:effectLst/>
            <a:extLst>
              <a:ext uri="{91240B29-F687-4F45-9708-019B960494DF}">
                <a14:hiddenLine xmlns:a14="http://schemas.microsoft.com/office/drawing/2010/main" w="19050" cap="rnd">
                  <a:solidFill>
                    <a:srgbClr val="5B9BD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NormalisedUVVisData!$CN$2:$CN$300</c:f>
              <c:numCache>
                <c:formatCode>General</c:formatCode>
                <c:ptCount val="299"/>
              </c:numCache>
            </c:numRef>
          </c:yVal>
          <c:smooth val="1"/>
          <c:extLst>
            <c:ext xmlns:c16="http://schemas.microsoft.com/office/drawing/2014/chart" uri="{C3380CC4-5D6E-409C-BE32-E72D297353CC}">
              <c16:uniqueId val="{0000005A-58F6-4830-8941-1011DB88381F}"/>
            </c:ext>
          </c:extLst>
        </c:ser>
        <c:ser>
          <c:idx val="91"/>
          <c:order val="91"/>
          <c:tx>
            <c:v>92</c:v>
          </c:tx>
          <c:spPr>
            <a:ln w="19050" cap="rnd">
              <a:noFill/>
              <a:round/>
            </a:ln>
            <a:effectLst/>
            <a:extLst>
              <a:ext uri="{91240B29-F687-4F45-9708-019B960494DF}">
                <a14:hiddenLine xmlns:a14="http://schemas.microsoft.com/office/drawing/2010/main" w="19050" cap="rnd">
                  <a:solidFill>
                    <a:srgbClr val="ED7D31">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NormalisedUVVisData!$CO$2:$CO$300</c:f>
              <c:numCache>
                <c:formatCode>General</c:formatCode>
                <c:ptCount val="299"/>
              </c:numCache>
            </c:numRef>
          </c:yVal>
          <c:smooth val="1"/>
          <c:extLst>
            <c:ext xmlns:c16="http://schemas.microsoft.com/office/drawing/2014/chart" uri="{C3380CC4-5D6E-409C-BE32-E72D297353CC}">
              <c16:uniqueId val="{0000005B-58F6-4830-8941-1011DB88381F}"/>
            </c:ext>
          </c:extLst>
        </c:ser>
        <c:ser>
          <c:idx val="92"/>
          <c:order val="92"/>
          <c:tx>
            <c:v>93</c:v>
          </c:tx>
          <c:spPr>
            <a:ln w="19050" cap="rnd">
              <a:noFill/>
              <a:round/>
            </a:ln>
            <a:effectLst/>
            <a:extLst>
              <a:ext uri="{91240B29-F687-4F45-9708-019B960494DF}">
                <a14:hiddenLine xmlns:a14="http://schemas.microsoft.com/office/drawing/2010/main" w="19050" cap="rnd">
                  <a:solidFill>
                    <a:srgbClr val="A5A5A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NormalisedUVVisData!$CP$2:$CP$300</c:f>
              <c:numCache>
                <c:formatCode>General</c:formatCode>
                <c:ptCount val="299"/>
              </c:numCache>
            </c:numRef>
          </c:yVal>
          <c:smooth val="1"/>
          <c:extLst>
            <c:ext xmlns:c16="http://schemas.microsoft.com/office/drawing/2014/chart" uri="{C3380CC4-5D6E-409C-BE32-E72D297353CC}">
              <c16:uniqueId val="{0000005C-58F6-4830-8941-1011DB88381F}"/>
            </c:ext>
          </c:extLst>
        </c:ser>
        <c:ser>
          <c:idx val="93"/>
          <c:order val="93"/>
          <c:tx>
            <c:v>94</c:v>
          </c:tx>
          <c:spPr>
            <a:ln w="19050" cap="rnd">
              <a:noFill/>
              <a:round/>
            </a:ln>
            <a:effectLst/>
            <a:extLst>
              <a:ext uri="{91240B29-F687-4F45-9708-019B960494DF}">
                <a14:hiddenLine xmlns:a14="http://schemas.microsoft.com/office/drawing/2010/main" w="19050" cap="rnd">
                  <a:solidFill>
                    <a:srgbClr val="FFC000">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NormalisedUVVisData!$CQ$2:$CQ$300</c:f>
              <c:numCache>
                <c:formatCode>General</c:formatCode>
                <c:ptCount val="299"/>
              </c:numCache>
            </c:numRef>
          </c:yVal>
          <c:smooth val="1"/>
          <c:extLst>
            <c:ext xmlns:c16="http://schemas.microsoft.com/office/drawing/2014/chart" uri="{C3380CC4-5D6E-409C-BE32-E72D297353CC}">
              <c16:uniqueId val="{0000005D-58F6-4830-8941-1011DB88381F}"/>
            </c:ext>
          </c:extLst>
        </c:ser>
        <c:ser>
          <c:idx val="94"/>
          <c:order val="94"/>
          <c:tx>
            <c:v>95</c:v>
          </c:tx>
          <c:spPr>
            <a:ln w="19050" cap="rnd">
              <a:noFill/>
              <a:round/>
            </a:ln>
            <a:effectLst/>
            <a:extLst>
              <a:ext uri="{91240B29-F687-4F45-9708-019B960494DF}">
                <a14:hiddenLine xmlns:a14="http://schemas.microsoft.com/office/drawing/2010/main" w="19050" cap="rnd">
                  <a:solidFill>
                    <a:srgbClr val="4472C4">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NormalisedUVVisData!$CR$2:$CR$300</c:f>
              <c:numCache>
                <c:formatCode>General</c:formatCode>
                <c:ptCount val="299"/>
              </c:numCache>
            </c:numRef>
          </c:yVal>
          <c:smooth val="1"/>
          <c:extLst>
            <c:ext xmlns:c16="http://schemas.microsoft.com/office/drawing/2014/chart" uri="{C3380CC4-5D6E-409C-BE32-E72D297353CC}">
              <c16:uniqueId val="{0000005E-58F6-4830-8941-1011DB88381F}"/>
            </c:ext>
          </c:extLst>
        </c:ser>
        <c:ser>
          <c:idx val="95"/>
          <c:order val="95"/>
          <c:tx>
            <c:v>96</c:v>
          </c:tx>
          <c:spPr>
            <a:ln w="19050" cap="rnd">
              <a:noFill/>
              <a:round/>
            </a:ln>
            <a:effectLst/>
            <a:extLst>
              <a:ext uri="{91240B29-F687-4F45-9708-019B960494DF}">
                <a14:hiddenLine xmlns:a14="http://schemas.microsoft.com/office/drawing/2010/main" w="19050" cap="rnd">
                  <a:solidFill>
                    <a:srgbClr val="70AD47">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NormalisedUVVisData!$CS$2:$CS$300</c:f>
              <c:numCache>
                <c:formatCode>General</c:formatCode>
                <c:ptCount val="299"/>
              </c:numCache>
            </c:numRef>
          </c:yVal>
          <c:smooth val="1"/>
          <c:extLst>
            <c:ext xmlns:c16="http://schemas.microsoft.com/office/drawing/2014/chart" uri="{C3380CC4-5D6E-409C-BE32-E72D297353CC}">
              <c16:uniqueId val="{0000005F-58F6-4830-8941-1011DB88381F}"/>
            </c:ext>
          </c:extLst>
        </c:ser>
        <c:ser>
          <c:idx val="96"/>
          <c:order val="96"/>
          <c:tx>
            <c:v>97</c:v>
          </c:tx>
          <c:spPr>
            <a:ln w="19050" cap="rnd">
              <a:noFill/>
              <a:round/>
            </a:ln>
            <a:effectLst/>
            <a:extLst>
              <a:ext uri="{91240B29-F687-4F45-9708-019B960494DF}">
                <a14:hiddenLine xmlns:a14="http://schemas.microsoft.com/office/drawing/2010/main" w="19050" cap="rnd">
                  <a:solidFill>
                    <a:srgbClr val="5B9BD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NormalisedUVVisData!$CT$2:$CT$300</c:f>
              <c:numCache>
                <c:formatCode>General</c:formatCode>
                <c:ptCount val="299"/>
              </c:numCache>
            </c:numRef>
          </c:yVal>
          <c:smooth val="1"/>
          <c:extLst>
            <c:ext xmlns:c16="http://schemas.microsoft.com/office/drawing/2014/chart" uri="{C3380CC4-5D6E-409C-BE32-E72D297353CC}">
              <c16:uniqueId val="{00000060-58F6-4830-8941-1011DB88381F}"/>
            </c:ext>
          </c:extLst>
        </c:ser>
        <c:ser>
          <c:idx val="97"/>
          <c:order val="97"/>
          <c:tx>
            <c:v>98</c:v>
          </c:tx>
          <c:spPr>
            <a:ln w="19050" cap="rnd">
              <a:noFill/>
              <a:round/>
            </a:ln>
            <a:effectLst/>
            <a:extLst>
              <a:ext uri="{91240B29-F687-4F45-9708-019B960494DF}">
                <a14:hiddenLine xmlns:a14="http://schemas.microsoft.com/office/drawing/2010/main" w="19050" cap="rnd">
                  <a:solidFill>
                    <a:srgbClr val="ED7D31">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NormalisedUVVisData!$CU$2:$CU$300</c:f>
              <c:numCache>
                <c:formatCode>General</c:formatCode>
                <c:ptCount val="299"/>
              </c:numCache>
            </c:numRef>
          </c:yVal>
          <c:smooth val="1"/>
          <c:extLst>
            <c:ext xmlns:c16="http://schemas.microsoft.com/office/drawing/2014/chart" uri="{C3380CC4-5D6E-409C-BE32-E72D297353CC}">
              <c16:uniqueId val="{00000061-58F6-4830-8941-1011DB88381F}"/>
            </c:ext>
          </c:extLst>
        </c:ser>
        <c:ser>
          <c:idx val="98"/>
          <c:order val="98"/>
          <c:tx>
            <c:v>99</c:v>
          </c:tx>
          <c:spPr>
            <a:ln w="19050" cap="rnd">
              <a:noFill/>
              <a:round/>
            </a:ln>
            <a:effectLst/>
            <a:extLst>
              <a:ext uri="{91240B29-F687-4F45-9708-019B960494DF}">
                <a14:hiddenLine xmlns:a14="http://schemas.microsoft.com/office/drawing/2010/main" w="19050" cap="rnd">
                  <a:solidFill>
                    <a:srgbClr val="A5A5A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NormalisedUVVisData!$CV$2:$CV$300</c:f>
              <c:numCache>
                <c:formatCode>General</c:formatCode>
                <c:ptCount val="299"/>
              </c:numCache>
            </c:numRef>
          </c:yVal>
          <c:smooth val="1"/>
          <c:extLst>
            <c:ext xmlns:c16="http://schemas.microsoft.com/office/drawing/2014/chart" uri="{C3380CC4-5D6E-409C-BE32-E72D297353CC}">
              <c16:uniqueId val="{00000062-58F6-4830-8941-1011DB88381F}"/>
            </c:ext>
          </c:extLst>
        </c:ser>
        <c:ser>
          <c:idx val="99"/>
          <c:order val="99"/>
          <c:tx>
            <c:v>100</c:v>
          </c:tx>
          <c:spPr>
            <a:ln w="19050" cap="rnd">
              <a:noFill/>
              <a:round/>
            </a:ln>
            <a:effectLst/>
            <a:extLst>
              <a:ext uri="{91240B29-F687-4F45-9708-019B960494DF}">
                <a14:hiddenLine xmlns:a14="http://schemas.microsoft.com/office/drawing/2010/main" w="19050" cap="rnd">
                  <a:solidFill>
                    <a:srgbClr val="FFC000">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NormalisedUVVisData!$CW$2:$CW$300</c:f>
              <c:numCache>
                <c:formatCode>General</c:formatCode>
                <c:ptCount val="299"/>
              </c:numCache>
            </c:numRef>
          </c:yVal>
          <c:smooth val="1"/>
          <c:extLst>
            <c:ext xmlns:c16="http://schemas.microsoft.com/office/drawing/2014/chart" uri="{C3380CC4-5D6E-409C-BE32-E72D297353CC}">
              <c16:uniqueId val="{00000063-58F6-4830-8941-1011DB88381F}"/>
            </c:ext>
          </c:extLst>
        </c:ser>
        <c:dLbls>
          <c:showLegendKey val="0"/>
          <c:showVal val="0"/>
          <c:showCatName val="0"/>
          <c:showSerName val="0"/>
          <c:showPercent val="0"/>
          <c:showBubbleSize val="0"/>
        </c:dLbls>
        <c:axId val="1816212544"/>
        <c:axId val="1816212000"/>
      </c:scatterChart>
      <c:valAx>
        <c:axId val="1816212544"/>
        <c:scaling>
          <c:orientation val="minMax"/>
          <c:max val="600"/>
          <c:min val="2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2000"/>
        <c:crosses val="autoZero"/>
        <c:crossBetween val="midCat"/>
        <c:majorUnit val="100"/>
      </c:valAx>
      <c:valAx>
        <c:axId val="1816212000"/>
        <c:scaling>
          <c:orientation val="minMax"/>
          <c:max val="10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2544"/>
        <c:crosses val="autoZero"/>
        <c:crossBetween val="midCat"/>
        <c:majorUnit val="2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240725553496058E-2"/>
          <c:y val="2.038452480418745E-2"/>
          <c:w val="0.7786186853225624"/>
          <c:h val="0.8918530894554404"/>
        </c:manualLayout>
      </c:layout>
      <c:scatterChart>
        <c:scatterStyle val="smoothMarker"/>
        <c:varyColors val="0"/>
        <c:ser>
          <c:idx val="0"/>
          <c:order val="0"/>
          <c:tx>
            <c:v>1</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51.147224426269531</c:v>
                </c:pt>
                <c:pt idx="1">
                  <c:v>51.914592742919922</c:v>
                </c:pt>
                <c:pt idx="2">
                  <c:v>52.879619598388672</c:v>
                </c:pt>
                <c:pt idx="3">
                  <c:v>54.41485595703125</c:v>
                </c:pt>
                <c:pt idx="4">
                  <c:v>56.209144592285156</c:v>
                </c:pt>
                <c:pt idx="5">
                  <c:v>58.149112701416016</c:v>
                </c:pt>
                <c:pt idx="6">
                  <c:v>60.186489105224609</c:v>
                </c:pt>
                <c:pt idx="7">
                  <c:v>61.865200042724609</c:v>
                </c:pt>
                <c:pt idx="8">
                  <c:v>62.730113983154297</c:v>
                </c:pt>
                <c:pt idx="9">
                  <c:v>62.431877136230469</c:v>
                </c:pt>
                <c:pt idx="10">
                  <c:v>60.813739776611328</c:v>
                </c:pt>
                <c:pt idx="11">
                  <c:v>57.899517059326172</c:v>
                </c:pt>
                <c:pt idx="12">
                  <c:v>53.935047149658203</c:v>
                </c:pt>
                <c:pt idx="13">
                  <c:v>49.235240936279297</c:v>
                </c:pt>
                <c:pt idx="14">
                  <c:v>44.469818115234375</c:v>
                </c:pt>
                <c:pt idx="15">
                  <c:v>40.764991760253906</c:v>
                </c:pt>
                <c:pt idx="16">
                  <c:v>39.193565368652344</c:v>
                </c:pt>
                <c:pt idx="17">
                  <c:v>39.993412017822266</c:v>
                </c:pt>
                <c:pt idx="18">
                  <c:v>43.224372863769531</c:v>
                </c:pt>
                <c:pt idx="19">
                  <c:v>48.777080535888672</c:v>
                </c:pt>
                <c:pt idx="20">
                  <c:v>55.945850372314453</c:v>
                </c:pt>
                <c:pt idx="21">
                  <c:v>64.365486145019531</c:v>
                </c:pt>
                <c:pt idx="22">
                  <c:v>73.684730529785156</c:v>
                </c:pt>
                <c:pt idx="23">
                  <c:v>82.599327087402344</c:v>
                </c:pt>
                <c:pt idx="24">
                  <c:v>90.781494140625</c:v>
                </c:pt>
                <c:pt idx="25">
                  <c:v>96.868125915527344</c:v>
                </c:pt>
                <c:pt idx="26">
                  <c:v>99.999992370605469</c:v>
                </c:pt>
                <c:pt idx="27">
                  <c:v>99.085899353027344</c:v>
                </c:pt>
                <c:pt idx="28">
                  <c:v>94.199806213378906</c:v>
                </c:pt>
                <c:pt idx="29">
                  <c:v>87.17010498046875</c:v>
                </c:pt>
                <c:pt idx="30">
                  <c:v>79.926483154296875</c:v>
                </c:pt>
                <c:pt idx="31">
                  <c:v>74.391304016113281</c:v>
                </c:pt>
                <c:pt idx="32">
                  <c:v>70.594200134277344</c:v>
                </c:pt>
                <c:pt idx="33">
                  <c:v>68.145980834960938</c:v>
                </c:pt>
                <c:pt idx="34">
                  <c:v>66.237640380859375</c:v>
                </c:pt>
                <c:pt idx="35">
                  <c:v>63.94769287109375</c:v>
                </c:pt>
                <c:pt idx="36">
                  <c:v>60.771083831787109</c:v>
                </c:pt>
                <c:pt idx="37">
                  <c:v>56.467079162597656</c:v>
                </c:pt>
                <c:pt idx="38">
                  <c:v>51.338409423828125</c:v>
                </c:pt>
                <c:pt idx="39">
                  <c:v>45.655143737792969</c:v>
                </c:pt>
                <c:pt idx="40">
                  <c:v>40.180019378662109</c:v>
                </c:pt>
                <c:pt idx="41">
                  <c:v>35.523960113525391</c:v>
                </c:pt>
                <c:pt idx="42">
                  <c:v>32.053863525390625</c:v>
                </c:pt>
                <c:pt idx="43">
                  <c:v>29.879817962646484</c:v>
                </c:pt>
                <c:pt idx="44">
                  <c:v>28.772052764892578</c:v>
                </c:pt>
                <c:pt idx="45">
                  <c:v>28.340429306030273</c:v>
                </c:pt>
                <c:pt idx="46">
                  <c:v>28.286367416381836</c:v>
                </c:pt>
                <c:pt idx="47">
                  <c:v>28.311105728149414</c:v>
                </c:pt>
                <c:pt idx="48">
                  <c:v>28.205278396606445</c:v>
                </c:pt>
                <c:pt idx="49">
                  <c:v>27.852521896362305</c:v>
                </c:pt>
                <c:pt idx="50">
                  <c:v>27.199579238891602</c:v>
                </c:pt>
                <c:pt idx="51">
                  <c:v>26.159137725830078</c:v>
                </c:pt>
                <c:pt idx="52">
                  <c:v>24.763402938842773</c:v>
                </c:pt>
                <c:pt idx="53">
                  <c:v>23.089195251464844</c:v>
                </c:pt>
                <c:pt idx="54">
                  <c:v>21.129951477050781</c:v>
                </c:pt>
                <c:pt idx="55">
                  <c:v>19.110858917236328</c:v>
                </c:pt>
                <c:pt idx="56">
                  <c:v>17.161832809448242</c:v>
                </c:pt>
                <c:pt idx="57">
                  <c:v>15.319568634033203</c:v>
                </c:pt>
                <c:pt idx="58">
                  <c:v>13.745458602905273</c:v>
                </c:pt>
                <c:pt idx="59">
                  <c:v>12.563267707824707</c:v>
                </c:pt>
                <c:pt idx="60">
                  <c:v>11.787467956542969</c:v>
                </c:pt>
                <c:pt idx="61">
                  <c:v>11.434780120849609</c:v>
                </c:pt>
                <c:pt idx="62">
                  <c:v>11.443497657775879</c:v>
                </c:pt>
                <c:pt idx="63">
                  <c:v>11.794060707092285</c:v>
                </c:pt>
                <c:pt idx="64">
                  <c:v>12.428475379943848</c:v>
                </c:pt>
                <c:pt idx="65">
                  <c:v>13.270581245422363</c:v>
                </c:pt>
                <c:pt idx="66">
                  <c:v>14.233791351318359</c:v>
                </c:pt>
                <c:pt idx="67">
                  <c:v>15.349346160888672</c:v>
                </c:pt>
                <c:pt idx="68">
                  <c:v>16.624540328979492</c:v>
                </c:pt>
                <c:pt idx="69">
                  <c:v>17.981010437011719</c:v>
                </c:pt>
                <c:pt idx="70">
                  <c:v>19.281280517578125</c:v>
                </c:pt>
                <c:pt idx="71">
                  <c:v>20.654903411865234</c:v>
                </c:pt>
                <c:pt idx="72">
                  <c:v>22.120161056518555</c:v>
                </c:pt>
                <c:pt idx="73">
                  <c:v>23.596042633056641</c:v>
                </c:pt>
                <c:pt idx="74">
                  <c:v>25.010244369506836</c:v>
                </c:pt>
                <c:pt idx="75">
                  <c:v>26.295038223266602</c:v>
                </c:pt>
                <c:pt idx="76">
                  <c:v>27.506160736083984</c:v>
                </c:pt>
                <c:pt idx="77">
                  <c:v>28.609058380126953</c:v>
                </c:pt>
                <c:pt idx="78">
                  <c:v>29.589078903198242</c:v>
                </c:pt>
                <c:pt idx="79">
                  <c:v>30.425601959228516</c:v>
                </c:pt>
                <c:pt idx="80">
                  <c:v>31.162521362304688</c:v>
                </c:pt>
                <c:pt idx="81">
                  <c:v>31.672840118408203</c:v>
                </c:pt>
                <c:pt idx="82">
                  <c:v>32.014762878417969</c:v>
                </c:pt>
                <c:pt idx="83">
                  <c:v>32.218204498291016</c:v>
                </c:pt>
                <c:pt idx="84">
                  <c:v>32.0792236328125</c:v>
                </c:pt>
                <c:pt idx="85">
                  <c:v>31.688751220703125</c:v>
                </c:pt>
                <c:pt idx="86">
                  <c:v>31.130336761474609</c:v>
                </c:pt>
                <c:pt idx="87">
                  <c:v>30.291194915771484</c:v>
                </c:pt>
                <c:pt idx="88">
                  <c:v>29.361166000366211</c:v>
                </c:pt>
                <c:pt idx="89">
                  <c:v>28.295017242431641</c:v>
                </c:pt>
                <c:pt idx="90">
                  <c:v>27.007562637329102</c:v>
                </c:pt>
                <c:pt idx="91">
                  <c:v>25.548101425170898</c:v>
                </c:pt>
                <c:pt idx="92">
                  <c:v>24.027853012084961</c:v>
                </c:pt>
                <c:pt idx="93">
                  <c:v>22.444005966186523</c:v>
                </c:pt>
                <c:pt idx="94">
                  <c:v>20.788705825805664</c:v>
                </c:pt>
                <c:pt idx="95">
                  <c:v>19.234477996826172</c:v>
                </c:pt>
                <c:pt idx="96">
                  <c:v>17.613918304443359</c:v>
                </c:pt>
                <c:pt idx="97">
                  <c:v>15.988002777099609</c:v>
                </c:pt>
                <c:pt idx="98">
                  <c:v>14.427251815795898</c:v>
                </c:pt>
                <c:pt idx="99">
                  <c:v>13.048355102539063</c:v>
                </c:pt>
                <c:pt idx="100">
                  <c:v>11.570459365844727</c:v>
                </c:pt>
                <c:pt idx="101">
                  <c:v>10.246091842651367</c:v>
                </c:pt>
                <c:pt idx="102">
                  <c:v>9.1353769302368164</c:v>
                </c:pt>
                <c:pt idx="103">
                  <c:v>7.936272144317627</c:v>
                </c:pt>
                <c:pt idx="104">
                  <c:v>6.8836817741394043</c:v>
                </c:pt>
                <c:pt idx="105">
                  <c:v>6.0307469367980957</c:v>
                </c:pt>
                <c:pt idx="106">
                  <c:v>5.2542800903320313</c:v>
                </c:pt>
                <c:pt idx="107">
                  <c:v>4.6104397773742676</c:v>
                </c:pt>
                <c:pt idx="108">
                  <c:v>4.1574535369873047</c:v>
                </c:pt>
                <c:pt idx="109">
                  <c:v>3.7185003757476807</c:v>
                </c:pt>
                <c:pt idx="110">
                  <c:v>3.3327696323394775</c:v>
                </c:pt>
                <c:pt idx="111">
                  <c:v>3.0685203075408936</c:v>
                </c:pt>
                <c:pt idx="112">
                  <c:v>2.8767790794372559</c:v>
                </c:pt>
                <c:pt idx="113">
                  <c:v>2.7157225608825684</c:v>
                </c:pt>
                <c:pt idx="114">
                  <c:v>2.576392650604248</c:v>
                </c:pt>
                <c:pt idx="115">
                  <c:v>2.4915571212768555</c:v>
                </c:pt>
                <c:pt idx="116">
                  <c:v>2.3960025310516357</c:v>
                </c:pt>
                <c:pt idx="117">
                  <c:v>2.2901902198791504</c:v>
                </c:pt>
                <c:pt idx="118">
                  <c:v>2.2094111442565918</c:v>
                </c:pt>
                <c:pt idx="119">
                  <c:v>2.1707437038421631</c:v>
                </c:pt>
                <c:pt idx="120">
                  <c:v>2.2183215618133545</c:v>
                </c:pt>
                <c:pt idx="121">
                  <c:v>2.2237050533294678</c:v>
                </c:pt>
                <c:pt idx="122">
                  <c:v>2.200115442276001</c:v>
                </c:pt>
                <c:pt idx="123">
                  <c:v>2.248896598815918</c:v>
                </c:pt>
                <c:pt idx="124">
                  <c:v>2.2171390056610107</c:v>
                </c:pt>
                <c:pt idx="125">
                  <c:v>2.157322883605957</c:v>
                </c:pt>
                <c:pt idx="126">
                  <c:v>2.1271262168884277</c:v>
                </c:pt>
                <c:pt idx="127">
                  <c:v>2.1460542678833008</c:v>
                </c:pt>
                <c:pt idx="128">
                  <c:v>2.1692862510681152</c:v>
                </c:pt>
                <c:pt idx="129">
                  <c:v>2.1323652267456055</c:v>
                </c:pt>
                <c:pt idx="130">
                  <c:v>2.116950511932373</c:v>
                </c:pt>
                <c:pt idx="131">
                  <c:v>2.1717751026153564</c:v>
                </c:pt>
                <c:pt idx="132">
                  <c:v>2.1593513488769531</c:v>
                </c:pt>
                <c:pt idx="133">
                  <c:v>2.133760929107666</c:v>
                </c:pt>
                <c:pt idx="134">
                  <c:v>2.193742036819458</c:v>
                </c:pt>
                <c:pt idx="135">
                  <c:v>2.1661233901977539</c:v>
                </c:pt>
                <c:pt idx="136">
                  <c:v>2.7484564781188965</c:v>
                </c:pt>
                <c:pt idx="137">
                  <c:v>3.1941201686859131</c:v>
                </c:pt>
                <c:pt idx="138">
                  <c:v>2.6279098987579346</c:v>
                </c:pt>
                <c:pt idx="139">
                  <c:v>2.2059526443481445</c:v>
                </c:pt>
                <c:pt idx="140">
                  <c:v>2.1791524887084961</c:v>
                </c:pt>
                <c:pt idx="141">
                  <c:v>2.1911087036132813</c:v>
                </c:pt>
                <c:pt idx="142">
                  <c:v>2.1845633983612061</c:v>
                </c:pt>
                <c:pt idx="143">
                  <c:v>2.1138086318969727</c:v>
                </c:pt>
                <c:pt idx="144">
                  <c:v>2.1767115592956543</c:v>
                </c:pt>
                <c:pt idx="145">
                  <c:v>2.2545549869537354</c:v>
                </c:pt>
                <c:pt idx="146">
                  <c:v>2.2693850994110107</c:v>
                </c:pt>
                <c:pt idx="147">
                  <c:v>2.2763018608093262</c:v>
                </c:pt>
                <c:pt idx="148">
                  <c:v>2.2455136775970459</c:v>
                </c:pt>
                <c:pt idx="149">
                  <c:v>2.2121613025665283</c:v>
                </c:pt>
                <c:pt idx="150">
                  <c:v>2.1270368099212646</c:v>
                </c:pt>
                <c:pt idx="151">
                  <c:v>2.0589909553527832</c:v>
                </c:pt>
                <c:pt idx="152">
                  <c:v>2.1514031887054443</c:v>
                </c:pt>
                <c:pt idx="153">
                  <c:v>2.1980528831481934</c:v>
                </c:pt>
                <c:pt idx="154">
                  <c:v>2.2096104621887207</c:v>
                </c:pt>
                <c:pt idx="155">
                  <c:v>2.1907787322998047</c:v>
                </c:pt>
                <c:pt idx="156">
                  <c:v>2.1061768531799316</c:v>
                </c:pt>
                <c:pt idx="157">
                  <c:v>2.1614139080047607</c:v>
                </c:pt>
                <c:pt idx="158">
                  <c:v>2.1803967952728271</c:v>
                </c:pt>
                <c:pt idx="159">
                  <c:v>2.1242110729217529</c:v>
                </c:pt>
                <c:pt idx="160">
                  <c:v>2.2092735767364502</c:v>
                </c:pt>
                <c:pt idx="161">
                  <c:v>2.2412922382354736</c:v>
                </c:pt>
                <c:pt idx="162">
                  <c:v>2.1737277507781982</c:v>
                </c:pt>
                <c:pt idx="163">
                  <c:v>2.1200857162475586</c:v>
                </c:pt>
                <c:pt idx="164">
                  <c:v>2.2416911125183105</c:v>
                </c:pt>
                <c:pt idx="165">
                  <c:v>2.2932083606719971</c:v>
                </c:pt>
                <c:pt idx="166">
                  <c:v>2.2688627243041992</c:v>
                </c:pt>
                <c:pt idx="167">
                  <c:v>2.330878734588623</c:v>
                </c:pt>
                <c:pt idx="168">
                  <c:v>2.3306174278259277</c:v>
                </c:pt>
                <c:pt idx="169">
                  <c:v>2.2999670505523682</c:v>
                </c:pt>
                <c:pt idx="170">
                  <c:v>2.2839884757995605</c:v>
                </c:pt>
                <c:pt idx="171">
                  <c:v>2.1725313663482666</c:v>
                </c:pt>
                <c:pt idx="172">
                  <c:v>2.1210551261901855</c:v>
                </c:pt>
                <c:pt idx="173">
                  <c:v>2.1292095184326172</c:v>
                </c:pt>
                <c:pt idx="174">
                  <c:v>2.1648995876312256</c:v>
                </c:pt>
                <c:pt idx="175">
                  <c:v>2.315244197845459</c:v>
                </c:pt>
                <c:pt idx="176">
                  <c:v>2.3161516189575195</c:v>
                </c:pt>
                <c:pt idx="177">
                  <c:v>2.1852095127105713</c:v>
                </c:pt>
                <c:pt idx="178">
                  <c:v>2.2204599380493164</c:v>
                </c:pt>
                <c:pt idx="179">
                  <c:v>2.1994004249572754</c:v>
                </c:pt>
                <c:pt idx="180">
                  <c:v>2.1496844291687012</c:v>
                </c:pt>
                <c:pt idx="181">
                  <c:v>2.2526230812072754</c:v>
                </c:pt>
                <c:pt idx="182">
                  <c:v>2.1720020771026611</c:v>
                </c:pt>
                <c:pt idx="183">
                  <c:v>2.2023911476135254</c:v>
                </c:pt>
                <c:pt idx="184">
                  <c:v>2.201958179473877</c:v>
                </c:pt>
                <c:pt idx="185">
                  <c:v>2.0606341361999512</c:v>
                </c:pt>
                <c:pt idx="186">
                  <c:v>2.0905697345733643</c:v>
                </c:pt>
                <c:pt idx="187">
                  <c:v>2.179640531539917</c:v>
                </c:pt>
                <c:pt idx="188">
                  <c:v>2.1810843944549561</c:v>
                </c:pt>
                <c:pt idx="189">
                  <c:v>2.1886680126190186</c:v>
                </c:pt>
                <c:pt idx="190">
                  <c:v>2.2091085910797119</c:v>
                </c:pt>
                <c:pt idx="191">
                  <c:v>2.2488758563995361</c:v>
                </c:pt>
                <c:pt idx="192">
                  <c:v>2.3099088668823242</c:v>
                </c:pt>
                <c:pt idx="193">
                  <c:v>2.2273008823394775</c:v>
                </c:pt>
                <c:pt idx="194">
                  <c:v>2.2245094776153564</c:v>
                </c:pt>
                <c:pt idx="195">
                  <c:v>2.2497766017913818</c:v>
                </c:pt>
                <c:pt idx="196">
                  <c:v>2.2641737461090088</c:v>
                </c:pt>
                <c:pt idx="197">
                  <c:v>2.2300853729248047</c:v>
                </c:pt>
                <c:pt idx="198">
                  <c:v>2.151348352432251</c:v>
                </c:pt>
                <c:pt idx="199">
                  <c:v>2.1664328575134277</c:v>
                </c:pt>
                <c:pt idx="200">
                  <c:v>2.1757490634918213</c:v>
                </c:pt>
                <c:pt idx="201">
                  <c:v>2.2105042934417725</c:v>
                </c:pt>
                <c:pt idx="202">
                  <c:v>2.2165133953094482</c:v>
                </c:pt>
                <c:pt idx="203">
                  <c:v>2.2392158508300781</c:v>
                </c:pt>
                <c:pt idx="204">
                  <c:v>2.1616613864898682</c:v>
                </c:pt>
                <c:pt idx="205">
                  <c:v>2.1915006637573242</c:v>
                </c:pt>
                <c:pt idx="206">
                  <c:v>2.1910192966461182</c:v>
                </c:pt>
                <c:pt idx="207">
                  <c:v>2.2384665012359619</c:v>
                </c:pt>
                <c:pt idx="208">
                  <c:v>2.1915900707244873</c:v>
                </c:pt>
                <c:pt idx="209">
                  <c:v>2.141681432723999</c:v>
                </c:pt>
                <c:pt idx="210">
                  <c:v>2.1693274974822998</c:v>
                </c:pt>
                <c:pt idx="211">
                  <c:v>2.1446516513824463</c:v>
                </c:pt>
                <c:pt idx="212">
                  <c:v>2.2701346874237061</c:v>
                </c:pt>
                <c:pt idx="213">
                  <c:v>2.2218418121337891</c:v>
                </c:pt>
                <c:pt idx="214">
                  <c:v>2.2377927303314209</c:v>
                </c:pt>
                <c:pt idx="215">
                  <c:v>2.2278509140014648</c:v>
                </c:pt>
                <c:pt idx="216">
                  <c:v>2.1235165596008301</c:v>
                </c:pt>
                <c:pt idx="217">
                  <c:v>2.073594331741333</c:v>
                </c:pt>
                <c:pt idx="218">
                  <c:v>2</c:v>
                </c:pt>
                <c:pt idx="219">
                  <c:v>2.2361631393432617</c:v>
                </c:pt>
                <c:pt idx="220">
                  <c:v>2.2926721572875977</c:v>
                </c:pt>
                <c:pt idx="221">
                  <c:v>2.2210304737091064</c:v>
                </c:pt>
                <c:pt idx="222">
                  <c:v>2.1621081829071045</c:v>
                </c:pt>
                <c:pt idx="223">
                  <c:v>2.0690429210662842</c:v>
                </c:pt>
                <c:pt idx="224">
                  <c:v>2.1351842880249023</c:v>
                </c:pt>
                <c:pt idx="225">
                  <c:v>2.085853099822998</c:v>
                </c:pt>
              </c:numCache>
            </c:numRef>
          </c:yVal>
          <c:smooth val="1"/>
          <c:extLst>
            <c:ext xmlns:c16="http://schemas.microsoft.com/office/drawing/2014/chart" uri="{C3380CC4-5D6E-409C-BE32-E72D297353CC}">
              <c16:uniqueId val="{00000000-C55B-4A1A-87F7-276FE06EA34B}"/>
            </c:ext>
          </c:extLst>
        </c:ser>
        <c:ser>
          <c:idx val="1"/>
          <c:order val="1"/>
          <c:tx>
            <c:v>2</c:v>
          </c:tx>
          <c:spPr>
            <a:ln w="19050" cap="rnd">
              <a:noFill/>
              <a:round/>
            </a:ln>
            <a:effectLst/>
            <a:extLst>
              <a:ext uri="{91240B29-F687-4F45-9708-019B960494DF}">
                <a14:hiddenLine xmlns:a14="http://schemas.microsoft.com/office/drawing/2010/main" w="19050" cap="rnd">
                  <a:solidFill>
                    <a:srgbClr val="ED7D31"/>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NormalisedUVVisData!$C$2:$C$300</c:f>
              <c:numCache>
                <c:formatCode>General</c:formatCode>
                <c:ptCount val="299"/>
                <c:pt idx="0">
                  <c:v>100</c:v>
                </c:pt>
                <c:pt idx="1">
                  <c:v>89.734306335449219</c:v>
                </c:pt>
                <c:pt idx="2">
                  <c:v>79.348594665527344</c:v>
                </c:pt>
                <c:pt idx="3">
                  <c:v>70.028099060058594</c:v>
                </c:pt>
                <c:pt idx="4">
                  <c:v>62.513442993164063</c:v>
                </c:pt>
                <c:pt idx="5">
                  <c:v>56.459903717041016</c:v>
                </c:pt>
                <c:pt idx="6">
                  <c:v>51.186012268066406</c:v>
                </c:pt>
                <c:pt idx="7">
                  <c:v>46.515048980712891</c:v>
                </c:pt>
                <c:pt idx="8">
                  <c:v>42.437423706054688</c:v>
                </c:pt>
                <c:pt idx="9">
                  <c:v>38.568698883056641</c:v>
                </c:pt>
                <c:pt idx="10">
                  <c:v>34.753643035888672</c:v>
                </c:pt>
                <c:pt idx="11">
                  <c:v>30.967535018920898</c:v>
                </c:pt>
                <c:pt idx="12">
                  <c:v>27.508005142211914</c:v>
                </c:pt>
                <c:pt idx="13">
                  <c:v>24.197362899780273</c:v>
                </c:pt>
                <c:pt idx="14">
                  <c:v>20.97303581237793</c:v>
                </c:pt>
                <c:pt idx="15">
                  <c:v>18.063694000244141</c:v>
                </c:pt>
                <c:pt idx="16">
                  <c:v>15.772623062133789</c:v>
                </c:pt>
                <c:pt idx="17">
                  <c:v>14.064847946166992</c:v>
                </c:pt>
                <c:pt idx="18">
                  <c:v>12.848609924316406</c:v>
                </c:pt>
                <c:pt idx="19">
                  <c:v>11.767313957214355</c:v>
                </c:pt>
                <c:pt idx="20">
                  <c:v>10.927786827087402</c:v>
                </c:pt>
                <c:pt idx="21">
                  <c:v>10.341829299926758</c:v>
                </c:pt>
                <c:pt idx="22">
                  <c:v>9.8054838180541992</c:v>
                </c:pt>
                <c:pt idx="23">
                  <c:v>9.2821340560913086</c:v>
                </c:pt>
                <c:pt idx="24">
                  <c:v>8.9129581451416016</c:v>
                </c:pt>
                <c:pt idx="25">
                  <c:v>8.7129039764404297</c:v>
                </c:pt>
                <c:pt idx="26">
                  <c:v>8.3235101699829102</c:v>
                </c:pt>
                <c:pt idx="27">
                  <c:v>7.9573931694030762</c:v>
                </c:pt>
                <c:pt idx="28">
                  <c:v>7.6797161102294922</c:v>
                </c:pt>
                <c:pt idx="29">
                  <c:v>7.4771571159362793</c:v>
                </c:pt>
                <c:pt idx="30">
                  <c:v>7.3091754913330078</c:v>
                </c:pt>
                <c:pt idx="31">
                  <c:v>7.0902862548828125</c:v>
                </c:pt>
                <c:pt idx="32">
                  <c:v>7.0159463882446289</c:v>
                </c:pt>
                <c:pt idx="33">
                  <c:v>6.9741969108581543</c:v>
                </c:pt>
                <c:pt idx="34">
                  <c:v>6.8441801071166992</c:v>
                </c:pt>
                <c:pt idx="35">
                  <c:v>6.7417426109313965</c:v>
                </c:pt>
                <c:pt idx="36">
                  <c:v>6.679844856262207</c:v>
                </c:pt>
                <c:pt idx="37">
                  <c:v>6.5522475242614746</c:v>
                </c:pt>
                <c:pt idx="38">
                  <c:v>6.3859939575195313</c:v>
                </c:pt>
                <c:pt idx="39">
                  <c:v>6.3166131973266602</c:v>
                </c:pt>
                <c:pt idx="40">
                  <c:v>6.0699892044067383</c:v>
                </c:pt>
                <c:pt idx="41">
                  <c:v>5.8752059936523438</c:v>
                </c:pt>
                <c:pt idx="42">
                  <c:v>5.6290311813354492</c:v>
                </c:pt>
                <c:pt idx="43">
                  <c:v>5.4258151054382324</c:v>
                </c:pt>
                <c:pt idx="44">
                  <c:v>5.2582135200500488</c:v>
                </c:pt>
                <c:pt idx="45">
                  <c:v>5.3005156517028809</c:v>
                </c:pt>
                <c:pt idx="46">
                  <c:v>5.5134778022766113</c:v>
                </c:pt>
                <c:pt idx="47">
                  <c:v>5.6517372131347656</c:v>
                </c:pt>
                <c:pt idx="48">
                  <c:v>5.8304157257080078</c:v>
                </c:pt>
                <c:pt idx="49">
                  <c:v>5.9462800025939941</c:v>
                </c:pt>
                <c:pt idx="50">
                  <c:v>5.9652533531188965</c:v>
                </c:pt>
                <c:pt idx="51">
                  <c:v>5.8907580375671387</c:v>
                </c:pt>
                <c:pt idx="52">
                  <c:v>5.8013672828674316</c:v>
                </c:pt>
                <c:pt idx="53">
                  <c:v>5.738311767578125</c:v>
                </c:pt>
                <c:pt idx="54">
                  <c:v>5.7224826812744141</c:v>
                </c:pt>
                <c:pt idx="55">
                  <c:v>5.7410244941711426</c:v>
                </c:pt>
                <c:pt idx="56">
                  <c:v>5.8445334434509277</c:v>
                </c:pt>
                <c:pt idx="57">
                  <c:v>5.8576145172119141</c:v>
                </c:pt>
                <c:pt idx="58">
                  <c:v>5.8896002769470215</c:v>
                </c:pt>
                <c:pt idx="59">
                  <c:v>5.899571418762207</c:v>
                </c:pt>
                <c:pt idx="60">
                  <c:v>6.0048942565917969</c:v>
                </c:pt>
                <c:pt idx="61">
                  <c:v>6.1440181732177734</c:v>
                </c:pt>
                <c:pt idx="62">
                  <c:v>6.1723747253417969</c:v>
                </c:pt>
                <c:pt idx="63">
                  <c:v>6.1076602935791016</c:v>
                </c:pt>
                <c:pt idx="64">
                  <c:v>6.1025452613830566</c:v>
                </c:pt>
                <c:pt idx="65">
                  <c:v>6.2001099586486816</c:v>
                </c:pt>
                <c:pt idx="66">
                  <c:v>6.2877554893493652</c:v>
                </c:pt>
                <c:pt idx="67">
                  <c:v>6.3660006523132324</c:v>
                </c:pt>
                <c:pt idx="68">
                  <c:v>6.4116206169128418</c:v>
                </c:pt>
                <c:pt idx="69">
                  <c:v>6.4403228759765625</c:v>
                </c:pt>
                <c:pt idx="70">
                  <c:v>6.4993696212768555</c:v>
                </c:pt>
                <c:pt idx="71">
                  <c:v>6.4433126449584961</c:v>
                </c:pt>
                <c:pt idx="72">
                  <c:v>6.2978296279907227</c:v>
                </c:pt>
                <c:pt idx="73">
                  <c:v>6.2193427085876465</c:v>
                </c:pt>
                <c:pt idx="74">
                  <c:v>6.308560848236084</c:v>
                </c:pt>
                <c:pt idx="75">
                  <c:v>6.3217973709106445</c:v>
                </c:pt>
                <c:pt idx="76">
                  <c:v>6.2562708854675293</c:v>
                </c:pt>
                <c:pt idx="77">
                  <c:v>6.2574629783630371</c:v>
                </c:pt>
                <c:pt idx="78">
                  <c:v>6.1875295639038086</c:v>
                </c:pt>
                <c:pt idx="79">
                  <c:v>6.0926265716552734</c:v>
                </c:pt>
                <c:pt idx="80">
                  <c:v>5.9736518859863281</c:v>
                </c:pt>
                <c:pt idx="81">
                  <c:v>5.8825674057006836</c:v>
                </c:pt>
                <c:pt idx="82">
                  <c:v>5.9168515205383301</c:v>
                </c:pt>
                <c:pt idx="83">
                  <c:v>5.9303994178771973</c:v>
                </c:pt>
                <c:pt idx="84">
                  <c:v>5.6155524253845215</c:v>
                </c:pt>
                <c:pt idx="85">
                  <c:v>5.6383452415466309</c:v>
                </c:pt>
                <c:pt idx="86">
                  <c:v>5.7504253387451172</c:v>
                </c:pt>
                <c:pt idx="87">
                  <c:v>5.6741151809692383</c:v>
                </c:pt>
                <c:pt idx="88">
                  <c:v>5.7232260704040527</c:v>
                </c:pt>
                <c:pt idx="89">
                  <c:v>5.9130668640136719</c:v>
                </c:pt>
                <c:pt idx="90">
                  <c:v>5.8481450080871582</c:v>
                </c:pt>
                <c:pt idx="91">
                  <c:v>5.7501311302185059</c:v>
                </c:pt>
                <c:pt idx="92">
                  <c:v>5.7506842613220215</c:v>
                </c:pt>
                <c:pt idx="93">
                  <c:v>5.5731639862060547</c:v>
                </c:pt>
                <c:pt idx="94">
                  <c:v>5.4655599594116211</c:v>
                </c:pt>
                <c:pt idx="95">
                  <c:v>5.4477090835571289</c:v>
                </c:pt>
                <c:pt idx="96">
                  <c:v>5.4140815734863281</c:v>
                </c:pt>
                <c:pt idx="97">
                  <c:v>5.4421448707580566</c:v>
                </c:pt>
                <c:pt idx="98">
                  <c:v>5.4735779762268066</c:v>
                </c:pt>
                <c:pt idx="99">
                  <c:v>5.5465521812438965</c:v>
                </c:pt>
                <c:pt idx="100">
                  <c:v>5.4913592338562012</c:v>
                </c:pt>
                <c:pt idx="101">
                  <c:v>5.0732455253601074</c:v>
                </c:pt>
                <c:pt idx="102">
                  <c:v>5.1619281768798828</c:v>
                </c:pt>
                <c:pt idx="103">
                  <c:v>5.4867105484008789</c:v>
                </c:pt>
                <c:pt idx="104">
                  <c:v>5.3651266098022461</c:v>
                </c:pt>
                <c:pt idx="105">
                  <c:v>5.3388781547546387</c:v>
                </c:pt>
                <c:pt idx="106">
                  <c:v>5.483893871307373</c:v>
                </c:pt>
                <c:pt idx="107">
                  <c:v>5.7251615524291992</c:v>
                </c:pt>
                <c:pt idx="108">
                  <c:v>5.705634593963623</c:v>
                </c:pt>
                <c:pt idx="109">
                  <c:v>5.4718151092529297</c:v>
                </c:pt>
                <c:pt idx="110">
                  <c:v>5.4493851661682129</c:v>
                </c:pt>
                <c:pt idx="111">
                  <c:v>5.4492988586425781</c:v>
                </c:pt>
                <c:pt idx="112">
                  <c:v>5.6683440208435059</c:v>
                </c:pt>
                <c:pt idx="113">
                  <c:v>5.6917414665222168</c:v>
                </c:pt>
                <c:pt idx="114">
                  <c:v>5.4030742645263672</c:v>
                </c:pt>
                <c:pt idx="115">
                  <c:v>5.3144783973693848</c:v>
                </c:pt>
                <c:pt idx="116">
                  <c:v>5.2370109558105469</c:v>
                </c:pt>
                <c:pt idx="117">
                  <c:v>5.3328819274902344</c:v>
                </c:pt>
                <c:pt idx="118">
                  <c:v>5.4180736541748047</c:v>
                </c:pt>
                <c:pt idx="119">
                  <c:v>5.5477619171142578</c:v>
                </c:pt>
                <c:pt idx="120">
                  <c:v>5.5874028205871582</c:v>
                </c:pt>
                <c:pt idx="121">
                  <c:v>5.4509062767028809</c:v>
                </c:pt>
                <c:pt idx="122">
                  <c:v>5.4790210723876953</c:v>
                </c:pt>
                <c:pt idx="123">
                  <c:v>5.2928953170776367</c:v>
                </c:pt>
                <c:pt idx="124">
                  <c:v>5.0153045654296875</c:v>
                </c:pt>
                <c:pt idx="125">
                  <c:v>5.2134575843811035</c:v>
                </c:pt>
                <c:pt idx="126">
                  <c:v>5.7136697769165039</c:v>
                </c:pt>
                <c:pt idx="127">
                  <c:v>5.8186130523681641</c:v>
                </c:pt>
                <c:pt idx="128">
                  <c:v>5.4510617256164551</c:v>
                </c:pt>
                <c:pt idx="129">
                  <c:v>5.3077216148376465</c:v>
                </c:pt>
                <c:pt idx="130">
                  <c:v>5.4226698875427246</c:v>
                </c:pt>
                <c:pt idx="131">
                  <c:v>5.3565211296081543</c:v>
                </c:pt>
                <c:pt idx="132">
                  <c:v>5.1156859397888184</c:v>
                </c:pt>
                <c:pt idx="133">
                  <c:v>5.0292501449584961</c:v>
                </c:pt>
                <c:pt idx="134">
                  <c:v>4.7403755187988281</c:v>
                </c:pt>
                <c:pt idx="135">
                  <c:v>4.6482372283935547</c:v>
                </c:pt>
                <c:pt idx="136">
                  <c:v>4.258601188659668</c:v>
                </c:pt>
                <c:pt idx="137">
                  <c:v>4.6635994911193848</c:v>
                </c:pt>
                <c:pt idx="138">
                  <c:v>5.4099516868591309</c:v>
                </c:pt>
                <c:pt idx="139">
                  <c:v>5.1403274536132813</c:v>
                </c:pt>
                <c:pt idx="140">
                  <c:v>5.6906871795654297</c:v>
                </c:pt>
                <c:pt idx="141">
                  <c:v>6.2174935340881348</c:v>
                </c:pt>
                <c:pt idx="142">
                  <c:v>5.5392775535583496</c:v>
                </c:pt>
                <c:pt idx="143">
                  <c:v>4.8855643272399902</c:v>
                </c:pt>
                <c:pt idx="144">
                  <c:v>5.1737303733825684</c:v>
                </c:pt>
                <c:pt idx="145">
                  <c:v>5.1566057205200195</c:v>
                </c:pt>
                <c:pt idx="146">
                  <c:v>2.5902597904205322</c:v>
                </c:pt>
                <c:pt idx="147">
                  <c:v>2</c:v>
                </c:pt>
                <c:pt idx="148">
                  <c:v>3.1504344940185547</c:v>
                </c:pt>
                <c:pt idx="149">
                  <c:v>4.0851073265075684</c:v>
                </c:pt>
                <c:pt idx="150">
                  <c:v>5.4453072547912598</c:v>
                </c:pt>
                <c:pt idx="151">
                  <c:v>5.9647006988525391</c:v>
                </c:pt>
                <c:pt idx="152">
                  <c:v>5.8290505409240723</c:v>
                </c:pt>
                <c:pt idx="153">
                  <c:v>5.2996172904968262</c:v>
                </c:pt>
                <c:pt idx="154">
                  <c:v>5.1085491180419922</c:v>
                </c:pt>
                <c:pt idx="155">
                  <c:v>5.1064753532409668</c:v>
                </c:pt>
                <c:pt idx="156">
                  <c:v>5.041069507598877</c:v>
                </c:pt>
                <c:pt idx="157">
                  <c:v>5.3941574096679688</c:v>
                </c:pt>
                <c:pt idx="158">
                  <c:v>4.7506747245788574</c:v>
                </c:pt>
                <c:pt idx="159">
                  <c:v>4.3466100692749023</c:v>
                </c:pt>
                <c:pt idx="160">
                  <c:v>4.9763031005859375</c:v>
                </c:pt>
                <c:pt idx="161">
                  <c:v>4.808840274810791</c:v>
                </c:pt>
                <c:pt idx="162">
                  <c:v>5.0814881324768066</c:v>
                </c:pt>
                <c:pt idx="163">
                  <c:v>5.3904075622558594</c:v>
                </c:pt>
                <c:pt idx="164">
                  <c:v>4.7777180671691895</c:v>
                </c:pt>
                <c:pt idx="165">
                  <c:v>5.2119369506835938</c:v>
                </c:pt>
                <c:pt idx="166">
                  <c:v>4.8520750999450684</c:v>
                </c:pt>
                <c:pt idx="167">
                  <c:v>5.0148730278015137</c:v>
                </c:pt>
                <c:pt idx="168">
                  <c:v>5.8746013641357422</c:v>
                </c:pt>
                <c:pt idx="169">
                  <c:v>5.0253100395202637</c:v>
                </c:pt>
                <c:pt idx="170">
                  <c:v>5.3165345191955566</c:v>
                </c:pt>
                <c:pt idx="171">
                  <c:v>4.5505342483520508</c:v>
                </c:pt>
                <c:pt idx="172">
                  <c:v>4.8623743057250977</c:v>
                </c:pt>
                <c:pt idx="173">
                  <c:v>5.0513858795166016</c:v>
                </c:pt>
                <c:pt idx="174">
                  <c:v>5.2691173553466797</c:v>
                </c:pt>
                <c:pt idx="175">
                  <c:v>5.4460501670837402</c:v>
                </c:pt>
                <c:pt idx="176">
                  <c:v>5.1804003715515137</c:v>
                </c:pt>
                <c:pt idx="177">
                  <c:v>5.4909272193908691</c:v>
                </c:pt>
                <c:pt idx="178">
                  <c:v>5.3091387748718262</c:v>
                </c:pt>
                <c:pt idx="179">
                  <c:v>5.3168454170227051</c:v>
                </c:pt>
                <c:pt idx="180">
                  <c:v>5.2130084037780762</c:v>
                </c:pt>
                <c:pt idx="181">
                  <c:v>5.3760132789611816</c:v>
                </c:pt>
                <c:pt idx="182">
                  <c:v>5.4575071334838867</c:v>
                </c:pt>
                <c:pt idx="183">
                  <c:v>4.6382665634155273</c:v>
                </c:pt>
                <c:pt idx="184">
                  <c:v>4.6230945587158203</c:v>
                </c:pt>
                <c:pt idx="185">
                  <c:v>4.9048147201538086</c:v>
                </c:pt>
                <c:pt idx="186">
                  <c:v>5.115720272064209</c:v>
                </c:pt>
                <c:pt idx="187">
                  <c:v>5.5618453025817871</c:v>
                </c:pt>
                <c:pt idx="188">
                  <c:v>4.7763876914978027</c:v>
                </c:pt>
                <c:pt idx="189">
                  <c:v>5.2302021980285645</c:v>
                </c:pt>
                <c:pt idx="190">
                  <c:v>4.8760604858398438</c:v>
                </c:pt>
                <c:pt idx="191">
                  <c:v>4.0297412872314453</c:v>
                </c:pt>
                <c:pt idx="192">
                  <c:v>4.4292440414428711</c:v>
                </c:pt>
                <c:pt idx="193">
                  <c:v>4.3779392242431641</c:v>
                </c:pt>
                <c:pt idx="194">
                  <c:v>5.0792765617370605</c:v>
                </c:pt>
                <c:pt idx="195">
                  <c:v>4.5168380737304688</c:v>
                </c:pt>
                <c:pt idx="196">
                  <c:v>6.1716666221618652</c:v>
                </c:pt>
                <c:pt idx="197">
                  <c:v>6.0809793472290039</c:v>
                </c:pt>
                <c:pt idx="198">
                  <c:v>5.9423050880432129</c:v>
                </c:pt>
                <c:pt idx="199">
                  <c:v>5.3219952583312988</c:v>
                </c:pt>
                <c:pt idx="200">
                  <c:v>5.9291725158691406</c:v>
                </c:pt>
                <c:pt idx="201">
                  <c:v>5.2829761505126953</c:v>
                </c:pt>
                <c:pt idx="202">
                  <c:v>4.0633859634399414</c:v>
                </c:pt>
                <c:pt idx="203">
                  <c:v>4.9726223945617676</c:v>
                </c:pt>
                <c:pt idx="204">
                  <c:v>4.6151628494262695</c:v>
                </c:pt>
                <c:pt idx="205">
                  <c:v>6.1983642578125</c:v>
                </c:pt>
                <c:pt idx="206">
                  <c:v>4.716252326965332</c:v>
                </c:pt>
                <c:pt idx="207">
                  <c:v>6.5277266502380371</c:v>
                </c:pt>
                <c:pt idx="208">
                  <c:v>4.8614931106567383</c:v>
                </c:pt>
                <c:pt idx="209">
                  <c:v>5.1080827713012695</c:v>
                </c:pt>
                <c:pt idx="210">
                  <c:v>4.4163703918457031</c:v>
                </c:pt>
                <c:pt idx="211">
                  <c:v>4.0841741561889648</c:v>
                </c:pt>
                <c:pt idx="212">
                  <c:v>5.6034564971923828</c:v>
                </c:pt>
                <c:pt idx="213">
                  <c:v>4.7700114250183105</c:v>
                </c:pt>
                <c:pt idx="214">
                  <c:v>6.2118778228759766</c:v>
                </c:pt>
                <c:pt idx="215">
                  <c:v>4.3723058700561523</c:v>
                </c:pt>
                <c:pt idx="216">
                  <c:v>5.6250567436218262</c:v>
                </c:pt>
                <c:pt idx="217">
                  <c:v>5.5150332450866699</c:v>
                </c:pt>
                <c:pt idx="218">
                  <c:v>4.8460788726806641</c:v>
                </c:pt>
                <c:pt idx="219">
                  <c:v>6.1725306510925293</c:v>
                </c:pt>
                <c:pt idx="220">
                  <c:v>3.4551894664764404</c:v>
                </c:pt>
                <c:pt idx="221">
                  <c:v>6.2914533615112305</c:v>
                </c:pt>
                <c:pt idx="222">
                  <c:v>4.4533848762512207</c:v>
                </c:pt>
                <c:pt idx="223">
                  <c:v>4.1845898628234863</c:v>
                </c:pt>
                <c:pt idx="224">
                  <c:v>6.5840258598327637</c:v>
                </c:pt>
                <c:pt idx="225">
                  <c:v>3.7137024402618408</c:v>
                </c:pt>
              </c:numCache>
            </c:numRef>
          </c:yVal>
          <c:smooth val="1"/>
          <c:extLst>
            <c:ext xmlns:c16="http://schemas.microsoft.com/office/drawing/2014/chart" uri="{C3380CC4-5D6E-409C-BE32-E72D297353CC}">
              <c16:uniqueId val="{00000001-C55B-4A1A-87F7-276FE06EA34B}"/>
            </c:ext>
          </c:extLst>
        </c:ser>
        <c:ser>
          <c:idx val="2"/>
          <c:order val="2"/>
          <c:tx>
            <c:v>3</c:v>
          </c:tx>
          <c:spPr>
            <a:ln w="19050" cap="rnd">
              <a:noFill/>
              <a:round/>
            </a:ln>
            <a:effectLst/>
            <a:extLst>
              <a:ext uri="{91240B29-F687-4F45-9708-019B960494DF}">
                <a14:hiddenLine xmlns:a14="http://schemas.microsoft.com/office/drawing/2010/main" w="19050" cap="rnd">
                  <a:solidFill>
                    <a:srgbClr val="A5A5A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NormalisedUVVisData!$D$2:$D$300</c:f>
              <c:numCache>
                <c:formatCode>General</c:formatCode>
                <c:ptCount val="299"/>
                <c:pt idx="0">
                  <c:v>60.024539947509766</c:v>
                </c:pt>
                <c:pt idx="1">
                  <c:v>65.150405883789063</c:v>
                </c:pt>
                <c:pt idx="2">
                  <c:v>68.896530151367188</c:v>
                </c:pt>
                <c:pt idx="3">
                  <c:v>72.470664978027344</c:v>
                </c:pt>
                <c:pt idx="4">
                  <c:v>76.143646240234375</c:v>
                </c:pt>
                <c:pt idx="5">
                  <c:v>79.448135375976563</c:v>
                </c:pt>
                <c:pt idx="6">
                  <c:v>83.236541748046875</c:v>
                </c:pt>
                <c:pt idx="7">
                  <c:v>86.973892211914063</c:v>
                </c:pt>
                <c:pt idx="8">
                  <c:v>89.587852478027344</c:v>
                </c:pt>
                <c:pt idx="9">
                  <c:v>91.480072021484375</c:v>
                </c:pt>
                <c:pt idx="10">
                  <c:v>91.148979187011719</c:v>
                </c:pt>
                <c:pt idx="11">
                  <c:v>88.798126220703125</c:v>
                </c:pt>
                <c:pt idx="12">
                  <c:v>85.403083801269531</c:v>
                </c:pt>
                <c:pt idx="13">
                  <c:v>81.486503601074219</c:v>
                </c:pt>
                <c:pt idx="14">
                  <c:v>76.627845764160156</c:v>
                </c:pt>
                <c:pt idx="15">
                  <c:v>72.259666442871094</c:v>
                </c:pt>
                <c:pt idx="16">
                  <c:v>70.919914245605469</c:v>
                </c:pt>
                <c:pt idx="17">
                  <c:v>70.947151184082031</c:v>
                </c:pt>
                <c:pt idx="18">
                  <c:v>72.138740539550781</c:v>
                </c:pt>
                <c:pt idx="19">
                  <c:v>74.377998352050781</c:v>
                </c:pt>
                <c:pt idx="20">
                  <c:v>77.164779663085938</c:v>
                </c:pt>
                <c:pt idx="21">
                  <c:v>80.668769836425781</c:v>
                </c:pt>
                <c:pt idx="22">
                  <c:v>84.940193176269531</c:v>
                </c:pt>
                <c:pt idx="23">
                  <c:v>90.327423095703125</c:v>
                </c:pt>
                <c:pt idx="24">
                  <c:v>95.198959350585938</c:v>
                </c:pt>
                <c:pt idx="25">
                  <c:v>98.116279602050781</c:v>
                </c:pt>
                <c:pt idx="26">
                  <c:v>100</c:v>
                </c:pt>
                <c:pt idx="27">
                  <c:v>99.547142028808594</c:v>
                </c:pt>
                <c:pt idx="28">
                  <c:v>95.042778015136719</c:v>
                </c:pt>
                <c:pt idx="29">
                  <c:v>87.061317443847656</c:v>
                </c:pt>
                <c:pt idx="30">
                  <c:v>76.481773376464844</c:v>
                </c:pt>
                <c:pt idx="31">
                  <c:v>65.85186767578125</c:v>
                </c:pt>
                <c:pt idx="32">
                  <c:v>56.719287872314453</c:v>
                </c:pt>
                <c:pt idx="33">
                  <c:v>50.425312042236328</c:v>
                </c:pt>
                <c:pt idx="34">
                  <c:v>46.979415893554688</c:v>
                </c:pt>
                <c:pt idx="35">
                  <c:v>45.371059417724609</c:v>
                </c:pt>
                <c:pt idx="36">
                  <c:v>44.341358184814453</c:v>
                </c:pt>
                <c:pt idx="37">
                  <c:v>43.7281494140625</c:v>
                </c:pt>
                <c:pt idx="38">
                  <c:v>43.845733642578125</c:v>
                </c:pt>
                <c:pt idx="39">
                  <c:v>44.105979919433594</c:v>
                </c:pt>
                <c:pt idx="40">
                  <c:v>43.558948516845703</c:v>
                </c:pt>
                <c:pt idx="41">
                  <c:v>42.701583862304688</c:v>
                </c:pt>
                <c:pt idx="42">
                  <c:v>42.2510986328125</c:v>
                </c:pt>
                <c:pt idx="43">
                  <c:v>42.007919311523438</c:v>
                </c:pt>
                <c:pt idx="44">
                  <c:v>40.885852813720703</c:v>
                </c:pt>
                <c:pt idx="45">
                  <c:v>39.480617523193359</c:v>
                </c:pt>
                <c:pt idx="46">
                  <c:v>38.232955932617188</c:v>
                </c:pt>
                <c:pt idx="47">
                  <c:v>36.925106048583984</c:v>
                </c:pt>
                <c:pt idx="48">
                  <c:v>35.573650360107422</c:v>
                </c:pt>
                <c:pt idx="49">
                  <c:v>34.409996032714844</c:v>
                </c:pt>
                <c:pt idx="50">
                  <c:v>33.691184997558594</c:v>
                </c:pt>
                <c:pt idx="51">
                  <c:v>33.146240234375</c:v>
                </c:pt>
                <c:pt idx="52">
                  <c:v>32.376022338867188</c:v>
                </c:pt>
                <c:pt idx="53">
                  <c:v>32.472846984863281</c:v>
                </c:pt>
                <c:pt idx="54">
                  <c:v>32.510463714599609</c:v>
                </c:pt>
                <c:pt idx="55">
                  <c:v>31.998468399047852</c:v>
                </c:pt>
                <c:pt idx="56">
                  <c:v>31.879142761230469</c:v>
                </c:pt>
                <c:pt idx="57">
                  <c:v>31.589500427246094</c:v>
                </c:pt>
                <c:pt idx="58">
                  <c:v>30.522462844848633</c:v>
                </c:pt>
                <c:pt idx="59">
                  <c:v>29.751754760742188</c:v>
                </c:pt>
                <c:pt idx="60">
                  <c:v>29.432785034179688</c:v>
                </c:pt>
                <c:pt idx="61">
                  <c:v>28.808431625366211</c:v>
                </c:pt>
                <c:pt idx="62">
                  <c:v>26.948604583740234</c:v>
                </c:pt>
                <c:pt idx="63">
                  <c:v>24.903484344482422</c:v>
                </c:pt>
                <c:pt idx="64">
                  <c:v>23.907497406005859</c:v>
                </c:pt>
                <c:pt idx="65">
                  <c:v>22.587181091308594</c:v>
                </c:pt>
                <c:pt idx="66">
                  <c:v>21.278495788574219</c:v>
                </c:pt>
                <c:pt idx="67">
                  <c:v>20.559682846069336</c:v>
                </c:pt>
                <c:pt idx="68">
                  <c:v>20.230125427246094</c:v>
                </c:pt>
                <c:pt idx="69">
                  <c:v>19.569967269897461</c:v>
                </c:pt>
                <c:pt idx="70">
                  <c:v>19.101858139038086</c:v>
                </c:pt>
                <c:pt idx="71">
                  <c:v>19.150897979736328</c:v>
                </c:pt>
                <c:pt idx="72">
                  <c:v>19.186702728271484</c:v>
                </c:pt>
                <c:pt idx="73">
                  <c:v>19.602149963378906</c:v>
                </c:pt>
                <c:pt idx="74">
                  <c:v>19.821714401245117</c:v>
                </c:pt>
                <c:pt idx="75">
                  <c:v>20.333917617797852</c:v>
                </c:pt>
                <c:pt idx="76">
                  <c:v>21.435297012329102</c:v>
                </c:pt>
                <c:pt idx="77">
                  <c:v>22.251144409179688</c:v>
                </c:pt>
                <c:pt idx="78">
                  <c:v>23.499296188354492</c:v>
                </c:pt>
                <c:pt idx="79">
                  <c:v>24.610498428344727</c:v>
                </c:pt>
                <c:pt idx="80">
                  <c:v>25.578411102294922</c:v>
                </c:pt>
                <c:pt idx="81">
                  <c:v>26.234737396240234</c:v>
                </c:pt>
                <c:pt idx="82">
                  <c:v>27.41984748840332</c:v>
                </c:pt>
                <c:pt idx="83">
                  <c:v>28.703872680664063</c:v>
                </c:pt>
                <c:pt idx="84">
                  <c:v>29.195108413696289</c:v>
                </c:pt>
                <c:pt idx="85">
                  <c:v>30.10673713684082</c:v>
                </c:pt>
                <c:pt idx="86">
                  <c:v>31.987323760986328</c:v>
                </c:pt>
                <c:pt idx="87">
                  <c:v>32.652427673339844</c:v>
                </c:pt>
                <c:pt idx="88">
                  <c:v>32.847541809082031</c:v>
                </c:pt>
                <c:pt idx="89">
                  <c:v>34.374469757080078</c:v>
                </c:pt>
                <c:pt idx="90">
                  <c:v>36.093654632568359</c:v>
                </c:pt>
                <c:pt idx="91">
                  <c:v>37.45758056640625</c:v>
                </c:pt>
                <c:pt idx="92">
                  <c:v>38.300941467285156</c:v>
                </c:pt>
                <c:pt idx="93">
                  <c:v>38.908439636230469</c:v>
                </c:pt>
                <c:pt idx="94">
                  <c:v>39.058971405029297</c:v>
                </c:pt>
                <c:pt idx="95">
                  <c:v>40.280445098876953</c:v>
                </c:pt>
                <c:pt idx="96">
                  <c:v>41.550189971923828</c:v>
                </c:pt>
                <c:pt idx="97">
                  <c:v>41.290920257568359</c:v>
                </c:pt>
                <c:pt idx="98">
                  <c:v>41.294540405273438</c:v>
                </c:pt>
                <c:pt idx="99">
                  <c:v>40.713027954101563</c:v>
                </c:pt>
                <c:pt idx="100">
                  <c:v>39.842636108398438</c:v>
                </c:pt>
                <c:pt idx="101">
                  <c:v>39.482986450195313</c:v>
                </c:pt>
                <c:pt idx="102">
                  <c:v>38.747806549072266</c:v>
                </c:pt>
                <c:pt idx="103">
                  <c:v>37.828655242919922</c:v>
                </c:pt>
                <c:pt idx="104">
                  <c:v>36.667160034179688</c:v>
                </c:pt>
                <c:pt idx="105">
                  <c:v>36.152587890625</c:v>
                </c:pt>
                <c:pt idx="106">
                  <c:v>35.200695037841797</c:v>
                </c:pt>
                <c:pt idx="107">
                  <c:v>33.065017700195313</c:v>
                </c:pt>
                <c:pt idx="108">
                  <c:v>31.211669921875</c:v>
                </c:pt>
                <c:pt idx="109">
                  <c:v>29.511919021606445</c:v>
                </c:pt>
                <c:pt idx="110">
                  <c:v>28.431367874145508</c:v>
                </c:pt>
                <c:pt idx="111">
                  <c:v>26.912799835205078</c:v>
                </c:pt>
                <c:pt idx="112">
                  <c:v>24.35826301574707</c:v>
                </c:pt>
                <c:pt idx="113">
                  <c:v>21.952445983886719</c:v>
                </c:pt>
                <c:pt idx="114">
                  <c:v>19.770029067993164</c:v>
                </c:pt>
                <c:pt idx="115">
                  <c:v>17.818321228027344</c:v>
                </c:pt>
                <c:pt idx="116">
                  <c:v>16.179868698120117</c:v>
                </c:pt>
                <c:pt idx="117">
                  <c:v>15.135889053344727</c:v>
                </c:pt>
                <c:pt idx="118">
                  <c:v>13.677019119262695</c:v>
                </c:pt>
                <c:pt idx="119">
                  <c:v>12.242738723754883</c:v>
                </c:pt>
                <c:pt idx="120">
                  <c:v>11.758748054504395</c:v>
                </c:pt>
                <c:pt idx="121">
                  <c:v>11.158774375915527</c:v>
                </c:pt>
                <c:pt idx="122">
                  <c:v>12.083428382873535</c:v>
                </c:pt>
                <c:pt idx="123">
                  <c:v>11.634684562683105</c:v>
                </c:pt>
                <c:pt idx="124">
                  <c:v>9.7598114013671875</c:v>
                </c:pt>
                <c:pt idx="125">
                  <c:v>9.5872659683227539</c:v>
                </c:pt>
                <c:pt idx="126">
                  <c:v>9.9705295562744141</c:v>
                </c:pt>
                <c:pt idx="127">
                  <c:v>10.214197158813477</c:v>
                </c:pt>
                <c:pt idx="128">
                  <c:v>10.57468318939209</c:v>
                </c:pt>
                <c:pt idx="129">
                  <c:v>10.25285816192627</c:v>
                </c:pt>
                <c:pt idx="130">
                  <c:v>9.3861598968505859</c:v>
                </c:pt>
                <c:pt idx="131">
                  <c:v>9.0885066986083984</c:v>
                </c:pt>
                <c:pt idx="132">
                  <c:v>8.9353961944580078</c:v>
                </c:pt>
                <c:pt idx="133">
                  <c:v>9.1679182052612305</c:v>
                </c:pt>
                <c:pt idx="134">
                  <c:v>9.0269975662231445</c:v>
                </c:pt>
                <c:pt idx="135">
                  <c:v>8.5557537078857422</c:v>
                </c:pt>
                <c:pt idx="136">
                  <c:v>8.6745929718017578</c:v>
                </c:pt>
                <c:pt idx="137">
                  <c:v>10.64469051361084</c:v>
                </c:pt>
                <c:pt idx="138">
                  <c:v>10.497361183166504</c:v>
                </c:pt>
                <c:pt idx="139">
                  <c:v>8.1747884750366211</c:v>
                </c:pt>
                <c:pt idx="140">
                  <c:v>8.5209941864013672</c:v>
                </c:pt>
                <c:pt idx="141">
                  <c:v>9.334263801574707</c:v>
                </c:pt>
                <c:pt idx="142">
                  <c:v>8.4892997741699219</c:v>
                </c:pt>
                <c:pt idx="143">
                  <c:v>7.7006893157958984</c:v>
                </c:pt>
                <c:pt idx="144">
                  <c:v>8.974614143371582</c:v>
                </c:pt>
                <c:pt idx="145">
                  <c:v>8.9657678604125977</c:v>
                </c:pt>
                <c:pt idx="146">
                  <c:v>1.9999998807907104</c:v>
                </c:pt>
                <c:pt idx="147">
                  <c:v>2.5381858348846436</c:v>
                </c:pt>
                <c:pt idx="148">
                  <c:v>6.5682415962219238</c:v>
                </c:pt>
                <c:pt idx="149">
                  <c:v>7.4946374893188477</c:v>
                </c:pt>
                <c:pt idx="150">
                  <c:v>8.3400897979736328</c:v>
                </c:pt>
                <c:pt idx="151">
                  <c:v>8.131739616394043</c:v>
                </c:pt>
                <c:pt idx="152">
                  <c:v>8.803044319152832</c:v>
                </c:pt>
                <c:pt idx="153">
                  <c:v>9.1479263305664063</c:v>
                </c:pt>
                <c:pt idx="154">
                  <c:v>8.068140983581543</c:v>
                </c:pt>
                <c:pt idx="155">
                  <c:v>8.6852502822875977</c:v>
                </c:pt>
                <c:pt idx="156">
                  <c:v>9.0360536575317383</c:v>
                </c:pt>
                <c:pt idx="157">
                  <c:v>8.166499137878418</c:v>
                </c:pt>
                <c:pt idx="158">
                  <c:v>7.6931657791137695</c:v>
                </c:pt>
                <c:pt idx="159">
                  <c:v>7.857421875</c:v>
                </c:pt>
                <c:pt idx="160">
                  <c:v>8.4155998229980469</c:v>
                </c:pt>
                <c:pt idx="161">
                  <c:v>8.2702913284301758</c:v>
                </c:pt>
                <c:pt idx="162">
                  <c:v>8.9294052124023438</c:v>
                </c:pt>
                <c:pt idx="163">
                  <c:v>8.9847145080566406</c:v>
                </c:pt>
                <c:pt idx="164">
                  <c:v>8.2445869445800781</c:v>
                </c:pt>
                <c:pt idx="165">
                  <c:v>9.0057516098022461</c:v>
                </c:pt>
                <c:pt idx="166">
                  <c:v>6.9528293609619141</c:v>
                </c:pt>
                <c:pt idx="167">
                  <c:v>7.7009677886962891</c:v>
                </c:pt>
                <c:pt idx="168">
                  <c:v>9.5880317687988281</c:v>
                </c:pt>
                <c:pt idx="169">
                  <c:v>8.5264272689819336</c:v>
                </c:pt>
                <c:pt idx="170">
                  <c:v>8.3961648941040039</c:v>
                </c:pt>
                <c:pt idx="171">
                  <c:v>6.5449056625366211</c:v>
                </c:pt>
                <c:pt idx="172">
                  <c:v>7.222200870513916</c:v>
                </c:pt>
                <c:pt idx="173">
                  <c:v>8.472163200378418</c:v>
                </c:pt>
                <c:pt idx="174">
                  <c:v>9.5054855346679688</c:v>
                </c:pt>
                <c:pt idx="175">
                  <c:v>10.322935104370117</c:v>
                </c:pt>
                <c:pt idx="176">
                  <c:v>10.21210765838623</c:v>
                </c:pt>
                <c:pt idx="177">
                  <c:v>9.5958337783813477</c:v>
                </c:pt>
                <c:pt idx="178">
                  <c:v>9.0620365142822266</c:v>
                </c:pt>
                <c:pt idx="179">
                  <c:v>9.0506124496459961</c:v>
                </c:pt>
                <c:pt idx="180">
                  <c:v>9.0895519256591797</c:v>
                </c:pt>
                <c:pt idx="181">
                  <c:v>8.8580741882324219</c:v>
                </c:pt>
                <c:pt idx="182">
                  <c:v>8.8204584121704102</c:v>
                </c:pt>
                <c:pt idx="183">
                  <c:v>8.0333805084228516</c:v>
                </c:pt>
                <c:pt idx="184">
                  <c:v>6.9613971710205078</c:v>
                </c:pt>
                <c:pt idx="185">
                  <c:v>7.0630998611450195</c:v>
                </c:pt>
                <c:pt idx="186">
                  <c:v>8.18231201171875</c:v>
                </c:pt>
                <c:pt idx="187">
                  <c:v>7.8823599815368652</c:v>
                </c:pt>
                <c:pt idx="188">
                  <c:v>8.0458498001098633</c:v>
                </c:pt>
                <c:pt idx="189">
                  <c:v>9.8327445983886719</c:v>
                </c:pt>
                <c:pt idx="190">
                  <c:v>10.301898002624512</c:v>
                </c:pt>
                <c:pt idx="191">
                  <c:v>9.0596675872802734</c:v>
                </c:pt>
                <c:pt idx="192">
                  <c:v>9.137059211730957</c:v>
                </c:pt>
                <c:pt idx="193">
                  <c:v>8.6888723373413086</c:v>
                </c:pt>
                <c:pt idx="194">
                  <c:v>9.5206022262573242</c:v>
                </c:pt>
                <c:pt idx="195">
                  <c:v>8.8001880645751953</c:v>
                </c:pt>
                <c:pt idx="196">
                  <c:v>10.944154739379883</c:v>
                </c:pt>
                <c:pt idx="197">
                  <c:v>10.009957313537598</c:v>
                </c:pt>
                <c:pt idx="198">
                  <c:v>6.8323888778686523</c:v>
                </c:pt>
                <c:pt idx="199">
                  <c:v>8.1392621994018555</c:v>
                </c:pt>
                <c:pt idx="200">
                  <c:v>7.7134366035461426</c:v>
                </c:pt>
                <c:pt idx="201">
                  <c:v>7.9277777671813965</c:v>
                </c:pt>
                <c:pt idx="202">
                  <c:v>7.3384618759155273</c:v>
                </c:pt>
                <c:pt idx="203">
                  <c:v>9.4694719314575195</c:v>
                </c:pt>
                <c:pt idx="204">
                  <c:v>7.9298672676086426</c:v>
                </c:pt>
                <c:pt idx="205">
                  <c:v>9.9632854461669922</c:v>
                </c:pt>
                <c:pt idx="206">
                  <c:v>9.1385917663574219</c:v>
                </c:pt>
                <c:pt idx="207">
                  <c:v>8.0409040451049805</c:v>
                </c:pt>
                <c:pt idx="208">
                  <c:v>6.6574749946594238</c:v>
                </c:pt>
                <c:pt idx="209">
                  <c:v>7.1012725830078125</c:v>
                </c:pt>
                <c:pt idx="210">
                  <c:v>8.9948148727416992</c:v>
                </c:pt>
                <c:pt idx="211">
                  <c:v>8.4456930160522461</c:v>
                </c:pt>
                <c:pt idx="212">
                  <c:v>9.4510126113891602</c:v>
                </c:pt>
                <c:pt idx="213">
                  <c:v>6.5375914573669434</c:v>
                </c:pt>
                <c:pt idx="214">
                  <c:v>7.4087481498718262</c:v>
                </c:pt>
                <c:pt idx="215">
                  <c:v>8.3969316482543945</c:v>
                </c:pt>
                <c:pt idx="216">
                  <c:v>8.4511957168579102</c:v>
                </c:pt>
                <c:pt idx="217">
                  <c:v>8.5448179244995117</c:v>
                </c:pt>
                <c:pt idx="218">
                  <c:v>8.2308645248413086</c:v>
                </c:pt>
                <c:pt idx="219">
                  <c:v>9.5369024276733398</c:v>
                </c:pt>
                <c:pt idx="220">
                  <c:v>8.1197576522827148</c:v>
                </c:pt>
                <c:pt idx="221">
                  <c:v>9.4066400527954102</c:v>
                </c:pt>
                <c:pt idx="222">
                  <c:v>10.436897277832031</c:v>
                </c:pt>
                <c:pt idx="223">
                  <c:v>6.2085919380187988</c:v>
                </c:pt>
                <c:pt idx="224">
                  <c:v>8.2000055313110352</c:v>
                </c:pt>
                <c:pt idx="225">
                  <c:v>8.1771574020385742</c:v>
                </c:pt>
              </c:numCache>
            </c:numRef>
          </c:yVal>
          <c:smooth val="1"/>
          <c:extLst>
            <c:ext xmlns:c16="http://schemas.microsoft.com/office/drawing/2014/chart" uri="{C3380CC4-5D6E-409C-BE32-E72D297353CC}">
              <c16:uniqueId val="{00000002-C55B-4A1A-87F7-276FE06EA34B}"/>
            </c:ext>
          </c:extLst>
        </c:ser>
        <c:ser>
          <c:idx val="3"/>
          <c:order val="3"/>
          <c:tx>
            <c:v>4</c:v>
          </c:tx>
          <c:spPr>
            <a:ln w="19050" cap="rnd">
              <a:noFill/>
              <a:round/>
            </a:ln>
            <a:effectLst/>
            <a:extLst>
              <a:ext uri="{91240B29-F687-4F45-9708-019B960494DF}">
                <a14:hiddenLine xmlns:a14="http://schemas.microsoft.com/office/drawing/2010/main" w="19050" cap="rnd">
                  <a:solidFill>
                    <a:srgbClr val="FFC000"/>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NormalisedUVVisData!$E$2:$E$300</c:f>
              <c:numCache>
                <c:formatCode>General</c:formatCode>
                <c:ptCount val="299"/>
                <c:pt idx="0">
                  <c:v>76.740341186523438</c:v>
                </c:pt>
                <c:pt idx="1">
                  <c:v>77.255760192871094</c:v>
                </c:pt>
                <c:pt idx="2">
                  <c:v>76.80072021484375</c:v>
                </c:pt>
                <c:pt idx="3">
                  <c:v>76.42767333984375</c:v>
                </c:pt>
                <c:pt idx="4">
                  <c:v>76.766021728515625</c:v>
                </c:pt>
                <c:pt idx="5">
                  <c:v>77.823455810546875</c:v>
                </c:pt>
                <c:pt idx="6">
                  <c:v>80.170188903808594</c:v>
                </c:pt>
                <c:pt idx="7">
                  <c:v>83.92852783203125</c:v>
                </c:pt>
                <c:pt idx="8">
                  <c:v>88.408676147460938</c:v>
                </c:pt>
                <c:pt idx="9">
                  <c:v>92.944725036621094</c:v>
                </c:pt>
                <c:pt idx="10">
                  <c:v>96.748298645019531</c:v>
                </c:pt>
                <c:pt idx="11">
                  <c:v>99.261642456054688</c:v>
                </c:pt>
                <c:pt idx="12">
                  <c:v>100</c:v>
                </c:pt>
                <c:pt idx="13">
                  <c:v>98.783065795898438</c:v>
                </c:pt>
                <c:pt idx="14">
                  <c:v>95.331756591796875</c:v>
                </c:pt>
                <c:pt idx="15">
                  <c:v>89.327255249023438</c:v>
                </c:pt>
                <c:pt idx="16">
                  <c:v>81.023849487304688</c:v>
                </c:pt>
                <c:pt idx="17">
                  <c:v>71.08056640625</c:v>
                </c:pt>
                <c:pt idx="18">
                  <c:v>61.553375244140625</c:v>
                </c:pt>
                <c:pt idx="19">
                  <c:v>54.125541687011719</c:v>
                </c:pt>
                <c:pt idx="20">
                  <c:v>49.884075164794922</c:v>
                </c:pt>
                <c:pt idx="21">
                  <c:v>48.081798553466797</c:v>
                </c:pt>
                <c:pt idx="22">
                  <c:v>48.019054412841797</c:v>
                </c:pt>
                <c:pt idx="23">
                  <c:v>49.0919189453125</c:v>
                </c:pt>
                <c:pt idx="24">
                  <c:v>50.93524169921875</c:v>
                </c:pt>
                <c:pt idx="25">
                  <c:v>53.13616943359375</c:v>
                </c:pt>
                <c:pt idx="26">
                  <c:v>55.291027069091797</c:v>
                </c:pt>
                <c:pt idx="27">
                  <c:v>56.615615844726563</c:v>
                </c:pt>
                <c:pt idx="28">
                  <c:v>56.316944122314453</c:v>
                </c:pt>
                <c:pt idx="29">
                  <c:v>54.209014892578125</c:v>
                </c:pt>
                <c:pt idx="30">
                  <c:v>50.606418609619141</c:v>
                </c:pt>
                <c:pt idx="31">
                  <c:v>46.442974090576172</c:v>
                </c:pt>
                <c:pt idx="32">
                  <c:v>42.2818603515625</c:v>
                </c:pt>
                <c:pt idx="33">
                  <c:v>38.641349792480469</c:v>
                </c:pt>
                <c:pt idx="34">
                  <c:v>35.662174224853516</c:v>
                </c:pt>
                <c:pt idx="35">
                  <c:v>32.768951416015625</c:v>
                </c:pt>
                <c:pt idx="36">
                  <c:v>29.627992630004883</c:v>
                </c:pt>
                <c:pt idx="37">
                  <c:v>26.191368103027344</c:v>
                </c:pt>
                <c:pt idx="38">
                  <c:v>22.756008148193359</c:v>
                </c:pt>
                <c:pt idx="39">
                  <c:v>19.873527526855469</c:v>
                </c:pt>
                <c:pt idx="40">
                  <c:v>18.080690383911133</c:v>
                </c:pt>
                <c:pt idx="41">
                  <c:v>17.188783645629883</c:v>
                </c:pt>
                <c:pt idx="42">
                  <c:v>16.824844360351563</c:v>
                </c:pt>
                <c:pt idx="43">
                  <c:v>16.684749603271484</c:v>
                </c:pt>
                <c:pt idx="44">
                  <c:v>16.547147750854492</c:v>
                </c:pt>
                <c:pt idx="45">
                  <c:v>16.367446899414063</c:v>
                </c:pt>
                <c:pt idx="46">
                  <c:v>16.128786087036133</c:v>
                </c:pt>
                <c:pt idx="47">
                  <c:v>15.858226776123047</c:v>
                </c:pt>
                <c:pt idx="48">
                  <c:v>15.654297828674316</c:v>
                </c:pt>
                <c:pt idx="49">
                  <c:v>15.551616668701172</c:v>
                </c:pt>
                <c:pt idx="50">
                  <c:v>15.610878944396973</c:v>
                </c:pt>
                <c:pt idx="51">
                  <c:v>15.868099212646484</c:v>
                </c:pt>
                <c:pt idx="52">
                  <c:v>16.236724853515625</c:v>
                </c:pt>
                <c:pt idx="53">
                  <c:v>16.660745620727539</c:v>
                </c:pt>
                <c:pt idx="54">
                  <c:v>17.239055633544922</c:v>
                </c:pt>
                <c:pt idx="55">
                  <c:v>17.838420867919922</c:v>
                </c:pt>
                <c:pt idx="56">
                  <c:v>18.35798454284668</c:v>
                </c:pt>
                <c:pt idx="57">
                  <c:v>18.828659057617188</c:v>
                </c:pt>
                <c:pt idx="58">
                  <c:v>19.199939727783203</c:v>
                </c:pt>
                <c:pt idx="59">
                  <c:v>19.398014068603516</c:v>
                </c:pt>
                <c:pt idx="60">
                  <c:v>19.484186172485352</c:v>
                </c:pt>
                <c:pt idx="61">
                  <c:v>19.429788589477539</c:v>
                </c:pt>
                <c:pt idx="62">
                  <c:v>19.12030029296875</c:v>
                </c:pt>
                <c:pt idx="63">
                  <c:v>18.667499542236328</c:v>
                </c:pt>
                <c:pt idx="64">
                  <c:v>18.125499725341797</c:v>
                </c:pt>
                <c:pt idx="65">
                  <c:v>17.413330078125</c:v>
                </c:pt>
                <c:pt idx="66">
                  <c:v>16.681951522827148</c:v>
                </c:pt>
                <c:pt idx="67">
                  <c:v>15.943657875061035</c:v>
                </c:pt>
                <c:pt idx="68">
                  <c:v>15.26246166229248</c:v>
                </c:pt>
                <c:pt idx="69">
                  <c:v>14.439271926879883</c:v>
                </c:pt>
                <c:pt idx="70">
                  <c:v>13.588985443115234</c:v>
                </c:pt>
                <c:pt idx="71">
                  <c:v>12.81798267364502</c:v>
                </c:pt>
                <c:pt idx="72">
                  <c:v>12.063713073730469</c:v>
                </c:pt>
                <c:pt idx="73">
                  <c:v>11.40253734588623</c:v>
                </c:pt>
                <c:pt idx="74">
                  <c:v>10.756269454956055</c:v>
                </c:pt>
                <c:pt idx="75">
                  <c:v>10.294950485229492</c:v>
                </c:pt>
                <c:pt idx="76">
                  <c:v>9.9614048004150391</c:v>
                </c:pt>
                <c:pt idx="77">
                  <c:v>9.7769985198974609</c:v>
                </c:pt>
                <c:pt idx="78">
                  <c:v>9.747309684753418</c:v>
                </c:pt>
                <c:pt idx="79">
                  <c:v>9.768712043762207</c:v>
                </c:pt>
                <c:pt idx="80">
                  <c:v>9.9870567321777344</c:v>
                </c:pt>
                <c:pt idx="81">
                  <c:v>10.295770645141602</c:v>
                </c:pt>
                <c:pt idx="82">
                  <c:v>10.633512496948242</c:v>
                </c:pt>
                <c:pt idx="83">
                  <c:v>11.13609504699707</c:v>
                </c:pt>
                <c:pt idx="84">
                  <c:v>11.573774337768555</c:v>
                </c:pt>
                <c:pt idx="85">
                  <c:v>12.05439281463623</c:v>
                </c:pt>
                <c:pt idx="86">
                  <c:v>12.63590145111084</c:v>
                </c:pt>
                <c:pt idx="87">
                  <c:v>13.266568183898926</c:v>
                </c:pt>
                <c:pt idx="88">
                  <c:v>13.837767601013184</c:v>
                </c:pt>
                <c:pt idx="89">
                  <c:v>14.374734878540039</c:v>
                </c:pt>
                <c:pt idx="90">
                  <c:v>14.979766845703125</c:v>
                </c:pt>
                <c:pt idx="91">
                  <c:v>15.390582084655762</c:v>
                </c:pt>
                <c:pt idx="92">
                  <c:v>15.755679130554199</c:v>
                </c:pt>
                <c:pt idx="93">
                  <c:v>16.322423934936523</c:v>
                </c:pt>
                <c:pt idx="94">
                  <c:v>16.701322555541992</c:v>
                </c:pt>
                <c:pt idx="95">
                  <c:v>17.057741165161133</c:v>
                </c:pt>
                <c:pt idx="96">
                  <c:v>17.383712768554688</c:v>
                </c:pt>
                <c:pt idx="97">
                  <c:v>17.623416900634766</c:v>
                </c:pt>
                <c:pt idx="98">
                  <c:v>17.81243896484375</c:v>
                </c:pt>
                <c:pt idx="99">
                  <c:v>17.88801383972168</c:v>
                </c:pt>
                <c:pt idx="100">
                  <c:v>17.744390487670898</c:v>
                </c:pt>
                <c:pt idx="101">
                  <c:v>17.446859359741211</c:v>
                </c:pt>
                <c:pt idx="102">
                  <c:v>17.105384826660156</c:v>
                </c:pt>
                <c:pt idx="103">
                  <c:v>16.704645156860352</c:v>
                </c:pt>
                <c:pt idx="104">
                  <c:v>16.295398712158203</c:v>
                </c:pt>
                <c:pt idx="105">
                  <c:v>15.872893333435059</c:v>
                </c:pt>
                <c:pt idx="106">
                  <c:v>15.448097229003906</c:v>
                </c:pt>
                <c:pt idx="107">
                  <c:v>14.912253379821777</c:v>
                </c:pt>
                <c:pt idx="108">
                  <c:v>14.438576698303223</c:v>
                </c:pt>
                <c:pt idx="109">
                  <c:v>13.825338363647461</c:v>
                </c:pt>
                <c:pt idx="110">
                  <c:v>13.041388511657715</c:v>
                </c:pt>
                <c:pt idx="111">
                  <c:v>12.202133178710938</c:v>
                </c:pt>
                <c:pt idx="112">
                  <c:v>11.231710433959961</c:v>
                </c:pt>
                <c:pt idx="113">
                  <c:v>10.091093063354492</c:v>
                </c:pt>
                <c:pt idx="114">
                  <c:v>8.8055238723754883</c:v>
                </c:pt>
                <c:pt idx="115">
                  <c:v>7.7717761993408203</c:v>
                </c:pt>
                <c:pt idx="116">
                  <c:v>6.9847345352172852</c:v>
                </c:pt>
                <c:pt idx="117">
                  <c:v>6.2594857215881348</c:v>
                </c:pt>
                <c:pt idx="118">
                  <c:v>5.6115331649780273</c:v>
                </c:pt>
                <c:pt idx="119">
                  <c:v>5.0730695724487305</c:v>
                </c:pt>
                <c:pt idx="120">
                  <c:v>4.7121782302856445</c:v>
                </c:pt>
                <c:pt idx="121">
                  <c:v>4.5564632415771484</c:v>
                </c:pt>
                <c:pt idx="122">
                  <c:v>4.4368610382080078</c:v>
                </c:pt>
                <c:pt idx="123">
                  <c:v>4.2589144706726074</c:v>
                </c:pt>
                <c:pt idx="124">
                  <c:v>4.1901898384094238</c:v>
                </c:pt>
                <c:pt idx="125">
                  <c:v>4.0615081787109375</c:v>
                </c:pt>
                <c:pt idx="126">
                  <c:v>3.8941295146942139</c:v>
                </c:pt>
                <c:pt idx="127">
                  <c:v>3.9455771446228027</c:v>
                </c:pt>
                <c:pt idx="128">
                  <c:v>4.0008029937744141</c:v>
                </c:pt>
                <c:pt idx="129">
                  <c:v>3.971808910369873</c:v>
                </c:pt>
                <c:pt idx="130">
                  <c:v>4.0440530776977539</c:v>
                </c:pt>
                <c:pt idx="131">
                  <c:v>4.0620875358581543</c:v>
                </c:pt>
                <c:pt idx="132">
                  <c:v>4.0249404907226563</c:v>
                </c:pt>
                <c:pt idx="133">
                  <c:v>3.9401953220367432</c:v>
                </c:pt>
                <c:pt idx="134">
                  <c:v>4.0006871223449707</c:v>
                </c:pt>
                <c:pt idx="135">
                  <c:v>4.1165556907653809</c:v>
                </c:pt>
                <c:pt idx="136">
                  <c:v>2.7849652767181396</c:v>
                </c:pt>
                <c:pt idx="137">
                  <c:v>2</c:v>
                </c:pt>
                <c:pt idx="138">
                  <c:v>3.1245431900024414</c:v>
                </c:pt>
                <c:pt idx="139">
                  <c:v>3.8213329315185547</c:v>
                </c:pt>
                <c:pt idx="140">
                  <c:v>3.6697251796722412</c:v>
                </c:pt>
                <c:pt idx="141">
                  <c:v>3.7967851161956787</c:v>
                </c:pt>
                <c:pt idx="142">
                  <c:v>3.9236135482788086</c:v>
                </c:pt>
                <c:pt idx="143">
                  <c:v>3.7555930614471436</c:v>
                </c:pt>
                <c:pt idx="144">
                  <c:v>3.7243449687957764</c:v>
                </c:pt>
                <c:pt idx="145">
                  <c:v>3.9340028762817383</c:v>
                </c:pt>
                <c:pt idx="146">
                  <c:v>4.0919365882873535</c:v>
                </c:pt>
                <c:pt idx="147">
                  <c:v>4.4329137802124023</c:v>
                </c:pt>
                <c:pt idx="148">
                  <c:v>4.849663257598877</c:v>
                </c:pt>
                <c:pt idx="149">
                  <c:v>4.5880856513977051</c:v>
                </c:pt>
                <c:pt idx="150">
                  <c:v>3.7015881538391113</c:v>
                </c:pt>
                <c:pt idx="151">
                  <c:v>3.5218329429626465</c:v>
                </c:pt>
                <c:pt idx="152">
                  <c:v>3.4238026142120361</c:v>
                </c:pt>
                <c:pt idx="153">
                  <c:v>3.5565917491912842</c:v>
                </c:pt>
                <c:pt idx="154">
                  <c:v>3.6130204200744629</c:v>
                </c:pt>
                <c:pt idx="155">
                  <c:v>3.6987547874450684</c:v>
                </c:pt>
                <c:pt idx="156">
                  <c:v>3.707923412322998</c:v>
                </c:pt>
                <c:pt idx="157">
                  <c:v>3.6055357456207275</c:v>
                </c:pt>
                <c:pt idx="158">
                  <c:v>3.7850949764251709</c:v>
                </c:pt>
                <c:pt idx="159">
                  <c:v>3.6459527015686035</c:v>
                </c:pt>
                <c:pt idx="160">
                  <c:v>3.5837502479553223</c:v>
                </c:pt>
                <c:pt idx="161">
                  <c:v>3.5797674655914307</c:v>
                </c:pt>
                <c:pt idx="162">
                  <c:v>3.4606196880340576</c:v>
                </c:pt>
                <c:pt idx="163">
                  <c:v>3.6658937931060791</c:v>
                </c:pt>
                <c:pt idx="164">
                  <c:v>3.6676845550537109</c:v>
                </c:pt>
                <c:pt idx="165">
                  <c:v>3.6031122207641602</c:v>
                </c:pt>
                <c:pt idx="166">
                  <c:v>3.9040377140045166</c:v>
                </c:pt>
                <c:pt idx="167">
                  <c:v>3.6835894584655762</c:v>
                </c:pt>
                <c:pt idx="168">
                  <c:v>3.7400445938110352</c:v>
                </c:pt>
                <c:pt idx="169">
                  <c:v>3.6776998043060303</c:v>
                </c:pt>
                <c:pt idx="170">
                  <c:v>3.4672756195068359</c:v>
                </c:pt>
                <c:pt idx="171">
                  <c:v>3.7492311000823975</c:v>
                </c:pt>
                <c:pt idx="172">
                  <c:v>3.8610634803771973</c:v>
                </c:pt>
                <c:pt idx="173">
                  <c:v>3.9580872058868408</c:v>
                </c:pt>
                <c:pt idx="174">
                  <c:v>3.7240774631500244</c:v>
                </c:pt>
                <c:pt idx="175">
                  <c:v>3.790147066116333</c:v>
                </c:pt>
                <c:pt idx="176">
                  <c:v>3.7404546737670898</c:v>
                </c:pt>
                <c:pt idx="177">
                  <c:v>3.6612515449523926</c:v>
                </c:pt>
                <c:pt idx="178">
                  <c:v>3.8339674472808838</c:v>
                </c:pt>
                <c:pt idx="179">
                  <c:v>3.8630950450897217</c:v>
                </c:pt>
                <c:pt idx="180">
                  <c:v>3.7969188690185547</c:v>
                </c:pt>
                <c:pt idx="181">
                  <c:v>3.8240058422088623</c:v>
                </c:pt>
                <c:pt idx="182">
                  <c:v>3.8208694458007813</c:v>
                </c:pt>
                <c:pt idx="183">
                  <c:v>3.8499436378479004</c:v>
                </c:pt>
                <c:pt idx="184">
                  <c:v>3.9004557132720947</c:v>
                </c:pt>
                <c:pt idx="185">
                  <c:v>3.8750793933868408</c:v>
                </c:pt>
                <c:pt idx="186">
                  <c:v>3.7243716716766357</c:v>
                </c:pt>
                <c:pt idx="187">
                  <c:v>3.7676129341125488</c:v>
                </c:pt>
                <c:pt idx="188">
                  <c:v>3.8244156837463379</c:v>
                </c:pt>
                <c:pt idx="189">
                  <c:v>3.7328720092773438</c:v>
                </c:pt>
                <c:pt idx="190">
                  <c:v>3.3644158840179443</c:v>
                </c:pt>
                <c:pt idx="191">
                  <c:v>3.7480194568634033</c:v>
                </c:pt>
                <c:pt idx="192">
                  <c:v>3.6342000961303711</c:v>
                </c:pt>
                <c:pt idx="193">
                  <c:v>3.4539725780487061</c:v>
                </c:pt>
                <c:pt idx="194">
                  <c:v>3.2197401523590088</c:v>
                </c:pt>
                <c:pt idx="195">
                  <c:v>3.179448127746582</c:v>
                </c:pt>
                <c:pt idx="196">
                  <c:v>3.2668218612670898</c:v>
                </c:pt>
                <c:pt idx="197">
                  <c:v>3.6222424507141113</c:v>
                </c:pt>
                <c:pt idx="198">
                  <c:v>4.2486767768859863</c:v>
                </c:pt>
                <c:pt idx="199">
                  <c:v>3.6844091415405273</c:v>
                </c:pt>
                <c:pt idx="200">
                  <c:v>3.4742345809936523</c:v>
                </c:pt>
                <c:pt idx="201">
                  <c:v>3.3358495235443115</c:v>
                </c:pt>
                <c:pt idx="202">
                  <c:v>3.6688251495361328</c:v>
                </c:pt>
                <c:pt idx="203">
                  <c:v>3.3979628086090088</c:v>
                </c:pt>
                <c:pt idx="204">
                  <c:v>3.82846999168396</c:v>
                </c:pt>
                <c:pt idx="205">
                  <c:v>3.8536324501037598</c:v>
                </c:pt>
                <c:pt idx="206">
                  <c:v>3.8603951930999756</c:v>
                </c:pt>
                <c:pt idx="207">
                  <c:v>4.0242815017700195</c:v>
                </c:pt>
                <c:pt idx="208">
                  <c:v>3.8165657520294189</c:v>
                </c:pt>
                <c:pt idx="209">
                  <c:v>4.0564742088317871</c:v>
                </c:pt>
                <c:pt idx="210">
                  <c:v>3.5750715732574463</c:v>
                </c:pt>
                <c:pt idx="211">
                  <c:v>3.795029878616333</c:v>
                </c:pt>
                <c:pt idx="212">
                  <c:v>3.4744927883148193</c:v>
                </c:pt>
                <c:pt idx="213">
                  <c:v>3.7563681602478027</c:v>
                </c:pt>
                <c:pt idx="214">
                  <c:v>3.8111751079559326</c:v>
                </c:pt>
                <c:pt idx="215">
                  <c:v>3.8225357532501221</c:v>
                </c:pt>
                <c:pt idx="216">
                  <c:v>3.9839267730712891</c:v>
                </c:pt>
                <c:pt idx="217">
                  <c:v>3.4754552841186523</c:v>
                </c:pt>
                <c:pt idx="218">
                  <c:v>3.9980406761169434</c:v>
                </c:pt>
                <c:pt idx="219">
                  <c:v>4.078312873840332</c:v>
                </c:pt>
                <c:pt idx="220">
                  <c:v>3.9226334095001221</c:v>
                </c:pt>
                <c:pt idx="221">
                  <c:v>3.8838915824890137</c:v>
                </c:pt>
                <c:pt idx="222">
                  <c:v>3.0369467735290527</c:v>
                </c:pt>
                <c:pt idx="223">
                  <c:v>3.6284706592559814</c:v>
                </c:pt>
                <c:pt idx="224">
                  <c:v>3.2817378044128418</c:v>
                </c:pt>
                <c:pt idx="225">
                  <c:v>3.4974100589752197</c:v>
                </c:pt>
              </c:numCache>
            </c:numRef>
          </c:yVal>
          <c:smooth val="1"/>
          <c:extLst>
            <c:ext xmlns:c16="http://schemas.microsoft.com/office/drawing/2014/chart" uri="{C3380CC4-5D6E-409C-BE32-E72D297353CC}">
              <c16:uniqueId val="{00000003-C55B-4A1A-87F7-276FE06EA34B}"/>
            </c:ext>
          </c:extLst>
        </c:ser>
        <c:ser>
          <c:idx val="4"/>
          <c:order val="4"/>
          <c:tx>
            <c:v>5</c:v>
          </c:tx>
          <c:spPr>
            <a:ln w="19050" cap="rnd">
              <a:noFill/>
              <a:round/>
            </a:ln>
            <a:effectLst/>
            <a:extLst>
              <a:ext uri="{91240B29-F687-4F45-9708-019B960494DF}">
                <a14:hiddenLine xmlns:a14="http://schemas.microsoft.com/office/drawing/2010/main" w="19050" cap="rnd">
                  <a:solidFill>
                    <a:srgbClr val="4472C4"/>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NormalisedUVVisData!$F$2:$F$300</c:f>
              <c:numCache>
                <c:formatCode>General</c:formatCode>
                <c:ptCount val="299"/>
                <c:pt idx="0">
                  <c:v>81.868721008300781</c:v>
                </c:pt>
                <c:pt idx="1">
                  <c:v>85.572586059570313</c:v>
                </c:pt>
                <c:pt idx="2">
                  <c:v>86.207466125488281</c:v>
                </c:pt>
                <c:pt idx="3">
                  <c:v>85.407417297363281</c:v>
                </c:pt>
                <c:pt idx="4">
                  <c:v>83.912506103515625</c:v>
                </c:pt>
                <c:pt idx="5">
                  <c:v>81.435371398925781</c:v>
                </c:pt>
                <c:pt idx="6">
                  <c:v>78.415359497070313</c:v>
                </c:pt>
                <c:pt idx="7">
                  <c:v>75.8935546875</c:v>
                </c:pt>
                <c:pt idx="8">
                  <c:v>73.554824829101563</c:v>
                </c:pt>
                <c:pt idx="9">
                  <c:v>71.28985595703125</c:v>
                </c:pt>
                <c:pt idx="10">
                  <c:v>69.282669067382813</c:v>
                </c:pt>
                <c:pt idx="11">
                  <c:v>66.866722106933594</c:v>
                </c:pt>
                <c:pt idx="12">
                  <c:v>64.085845947265625</c:v>
                </c:pt>
                <c:pt idx="13">
                  <c:v>61.471183776855469</c:v>
                </c:pt>
                <c:pt idx="14">
                  <c:v>60.385330200195313</c:v>
                </c:pt>
                <c:pt idx="15">
                  <c:v>62.239654541015625</c:v>
                </c:pt>
                <c:pt idx="16">
                  <c:v>66.977226257324219</c:v>
                </c:pt>
                <c:pt idx="17">
                  <c:v>74.039154052734375</c:v>
                </c:pt>
                <c:pt idx="18">
                  <c:v>82.116256713867188</c:v>
                </c:pt>
                <c:pt idx="19">
                  <c:v>90.123687744140625</c:v>
                </c:pt>
                <c:pt idx="20">
                  <c:v>96.445838928222656</c:v>
                </c:pt>
                <c:pt idx="21">
                  <c:v>100.00000762939453</c:v>
                </c:pt>
                <c:pt idx="22">
                  <c:v>99.806037902832031</c:v>
                </c:pt>
                <c:pt idx="23">
                  <c:v>96.122673034667969</c:v>
                </c:pt>
                <c:pt idx="24">
                  <c:v>90.204086303710938</c:v>
                </c:pt>
                <c:pt idx="25">
                  <c:v>83.984939575195313</c:v>
                </c:pt>
                <c:pt idx="26">
                  <c:v>77.621597290039063</c:v>
                </c:pt>
                <c:pt idx="27">
                  <c:v>71.195549011230469</c:v>
                </c:pt>
                <c:pt idx="28">
                  <c:v>63.648468017578125</c:v>
                </c:pt>
                <c:pt idx="29">
                  <c:v>55.299911499023438</c:v>
                </c:pt>
                <c:pt idx="30">
                  <c:v>46.469234466552734</c:v>
                </c:pt>
                <c:pt idx="31">
                  <c:v>38.766708374023438</c:v>
                </c:pt>
                <c:pt idx="32">
                  <c:v>32.267189025878906</c:v>
                </c:pt>
                <c:pt idx="33">
                  <c:v>27.346918106079102</c:v>
                </c:pt>
                <c:pt idx="34">
                  <c:v>24.010398864746094</c:v>
                </c:pt>
                <c:pt idx="35">
                  <c:v>21.838642120361328</c:v>
                </c:pt>
                <c:pt idx="36">
                  <c:v>20.449901580810547</c:v>
                </c:pt>
                <c:pt idx="37">
                  <c:v>19.669044494628906</c:v>
                </c:pt>
                <c:pt idx="38">
                  <c:v>19.22407341003418</c:v>
                </c:pt>
                <c:pt idx="39">
                  <c:v>18.783349990844727</c:v>
                </c:pt>
                <c:pt idx="40">
                  <c:v>18.413181304931641</c:v>
                </c:pt>
                <c:pt idx="41">
                  <c:v>18.165098190307617</c:v>
                </c:pt>
                <c:pt idx="42">
                  <c:v>17.999265670776367</c:v>
                </c:pt>
                <c:pt idx="43">
                  <c:v>17.523715972900391</c:v>
                </c:pt>
                <c:pt idx="44">
                  <c:v>17.175634384155273</c:v>
                </c:pt>
                <c:pt idx="45">
                  <c:v>17.171175003051758</c:v>
                </c:pt>
                <c:pt idx="46">
                  <c:v>17.294065475463867</c:v>
                </c:pt>
                <c:pt idx="47">
                  <c:v>17.433588027954102</c:v>
                </c:pt>
                <c:pt idx="48">
                  <c:v>17.795547485351563</c:v>
                </c:pt>
                <c:pt idx="49">
                  <c:v>18.532371520996094</c:v>
                </c:pt>
                <c:pt idx="50">
                  <c:v>19.607006072998047</c:v>
                </c:pt>
                <c:pt idx="51">
                  <c:v>20.897481918334961</c:v>
                </c:pt>
                <c:pt idx="52">
                  <c:v>22.429895401000977</c:v>
                </c:pt>
                <c:pt idx="53">
                  <c:v>24.311151504516602</c:v>
                </c:pt>
                <c:pt idx="54">
                  <c:v>26.445352554321289</c:v>
                </c:pt>
                <c:pt idx="55">
                  <c:v>28.679740905761719</c:v>
                </c:pt>
                <c:pt idx="56">
                  <c:v>31.035005569458008</c:v>
                </c:pt>
                <c:pt idx="57">
                  <c:v>33.522602081298828</c:v>
                </c:pt>
                <c:pt idx="58">
                  <c:v>36.130577087402344</c:v>
                </c:pt>
                <c:pt idx="59">
                  <c:v>38.384109497070313</c:v>
                </c:pt>
                <c:pt idx="60">
                  <c:v>40.331272125244141</c:v>
                </c:pt>
                <c:pt idx="61">
                  <c:v>41.970989227294922</c:v>
                </c:pt>
                <c:pt idx="62">
                  <c:v>42.959529876708984</c:v>
                </c:pt>
                <c:pt idx="63">
                  <c:v>43.419563293457031</c:v>
                </c:pt>
                <c:pt idx="64">
                  <c:v>43.414176940917969</c:v>
                </c:pt>
                <c:pt idx="65">
                  <c:v>42.700981140136719</c:v>
                </c:pt>
                <c:pt idx="66">
                  <c:v>41.366901397705078</c:v>
                </c:pt>
                <c:pt idx="67">
                  <c:v>39.587162017822266</c:v>
                </c:pt>
                <c:pt idx="68">
                  <c:v>37.428382873535156</c:v>
                </c:pt>
                <c:pt idx="69">
                  <c:v>34.681835174560547</c:v>
                </c:pt>
                <c:pt idx="70">
                  <c:v>31.900510787963867</c:v>
                </c:pt>
                <c:pt idx="71">
                  <c:v>28.915464401245117</c:v>
                </c:pt>
                <c:pt idx="72">
                  <c:v>25.427349090576172</c:v>
                </c:pt>
                <c:pt idx="73">
                  <c:v>22.322734832763672</c:v>
                </c:pt>
                <c:pt idx="74">
                  <c:v>19.25897216796875</c:v>
                </c:pt>
                <c:pt idx="75">
                  <c:v>16.560182571411133</c:v>
                </c:pt>
                <c:pt idx="76">
                  <c:v>14.224230766296387</c:v>
                </c:pt>
                <c:pt idx="77">
                  <c:v>12.267200469970703</c:v>
                </c:pt>
                <c:pt idx="78">
                  <c:v>10.518706321716309</c:v>
                </c:pt>
                <c:pt idx="79">
                  <c:v>9.0744028091430664</c:v>
                </c:pt>
                <c:pt idx="80">
                  <c:v>8.0053920745849609</c:v>
                </c:pt>
                <c:pt idx="81">
                  <c:v>7.0885953903198242</c:v>
                </c:pt>
                <c:pt idx="82">
                  <c:v>6.4077358245849609</c:v>
                </c:pt>
                <c:pt idx="83">
                  <c:v>6.2404093742370605</c:v>
                </c:pt>
                <c:pt idx="84">
                  <c:v>6.1301155090332031</c:v>
                </c:pt>
                <c:pt idx="85">
                  <c:v>5.9732990264892578</c:v>
                </c:pt>
                <c:pt idx="86">
                  <c:v>5.9012961387634277</c:v>
                </c:pt>
                <c:pt idx="87">
                  <c:v>5.9532995223999023</c:v>
                </c:pt>
                <c:pt idx="88">
                  <c:v>6.199580192565918</c:v>
                </c:pt>
                <c:pt idx="89">
                  <c:v>6.2359018325805664</c:v>
                </c:pt>
                <c:pt idx="90">
                  <c:v>6.2680244445800781</c:v>
                </c:pt>
                <c:pt idx="91">
                  <c:v>6.4941153526306152</c:v>
                </c:pt>
                <c:pt idx="92">
                  <c:v>6.7224369049072266</c:v>
                </c:pt>
                <c:pt idx="93">
                  <c:v>6.9136300086975098</c:v>
                </c:pt>
                <c:pt idx="94">
                  <c:v>6.9793219566345215</c:v>
                </c:pt>
                <c:pt idx="95">
                  <c:v>7.265388011932373</c:v>
                </c:pt>
                <c:pt idx="96">
                  <c:v>7.782717227935791</c:v>
                </c:pt>
                <c:pt idx="97">
                  <c:v>8.0092830657958984</c:v>
                </c:pt>
                <c:pt idx="98">
                  <c:v>8.2586708068847656</c:v>
                </c:pt>
                <c:pt idx="99">
                  <c:v>8.6020307540893555</c:v>
                </c:pt>
                <c:pt idx="100">
                  <c:v>9.0169191360473633</c:v>
                </c:pt>
                <c:pt idx="101">
                  <c:v>9.1858348846435547</c:v>
                </c:pt>
                <c:pt idx="102">
                  <c:v>9.3038387298583984</c:v>
                </c:pt>
                <c:pt idx="103">
                  <c:v>9.9521493911743164</c:v>
                </c:pt>
                <c:pt idx="104">
                  <c:v>10.480771064758301</c:v>
                </c:pt>
                <c:pt idx="105">
                  <c:v>11.076033592224121</c:v>
                </c:pt>
                <c:pt idx="106">
                  <c:v>11.634310722351074</c:v>
                </c:pt>
                <c:pt idx="107">
                  <c:v>11.817176818847656</c:v>
                </c:pt>
                <c:pt idx="108">
                  <c:v>12.129528999328613</c:v>
                </c:pt>
                <c:pt idx="109">
                  <c:v>12.647475242614746</c:v>
                </c:pt>
                <c:pt idx="110">
                  <c:v>13.160795211791992</c:v>
                </c:pt>
                <c:pt idx="111">
                  <c:v>13.776009559631348</c:v>
                </c:pt>
                <c:pt idx="112">
                  <c:v>14.504294395446777</c:v>
                </c:pt>
                <c:pt idx="113">
                  <c:v>14.992561340332031</c:v>
                </c:pt>
                <c:pt idx="114">
                  <c:v>15.485027313232422</c:v>
                </c:pt>
                <c:pt idx="115">
                  <c:v>16.093955993652344</c:v>
                </c:pt>
                <c:pt idx="116">
                  <c:v>16.6190185546875</c:v>
                </c:pt>
                <c:pt idx="117">
                  <c:v>17.198575973510742</c:v>
                </c:pt>
                <c:pt idx="118">
                  <c:v>17.964748382568359</c:v>
                </c:pt>
                <c:pt idx="119">
                  <c:v>18.881330490112305</c:v>
                </c:pt>
                <c:pt idx="120">
                  <c:v>19.694120407104492</c:v>
                </c:pt>
                <c:pt idx="121">
                  <c:v>20.493387222290039</c:v>
                </c:pt>
                <c:pt idx="122">
                  <c:v>21.029481887817383</c:v>
                </c:pt>
                <c:pt idx="123">
                  <c:v>21.479909896850586</c:v>
                </c:pt>
                <c:pt idx="124">
                  <c:v>22.346481323242188</c:v>
                </c:pt>
                <c:pt idx="125">
                  <c:v>22.992656707763672</c:v>
                </c:pt>
                <c:pt idx="126">
                  <c:v>23.655012130737305</c:v>
                </c:pt>
                <c:pt idx="127">
                  <c:v>24.685447692871094</c:v>
                </c:pt>
                <c:pt idx="128">
                  <c:v>25.131082534790039</c:v>
                </c:pt>
                <c:pt idx="129">
                  <c:v>25.872888565063477</c:v>
                </c:pt>
                <c:pt idx="130">
                  <c:v>27.13722038269043</c:v>
                </c:pt>
                <c:pt idx="131">
                  <c:v>28.213064193725586</c:v>
                </c:pt>
                <c:pt idx="132">
                  <c:v>29.554712295532227</c:v>
                </c:pt>
                <c:pt idx="133">
                  <c:v>30.695014953613281</c:v>
                </c:pt>
                <c:pt idx="134">
                  <c:v>31.671785354614258</c:v>
                </c:pt>
                <c:pt idx="135">
                  <c:v>32.426048278808594</c:v>
                </c:pt>
                <c:pt idx="136">
                  <c:v>33.194732666015625</c:v>
                </c:pt>
                <c:pt idx="137">
                  <c:v>33.573230743408203</c:v>
                </c:pt>
                <c:pt idx="138">
                  <c:v>32.991584777832031</c:v>
                </c:pt>
                <c:pt idx="139">
                  <c:v>32.573184967041016</c:v>
                </c:pt>
                <c:pt idx="140">
                  <c:v>32.568534851074219</c:v>
                </c:pt>
                <c:pt idx="141">
                  <c:v>32.757190704345703</c:v>
                </c:pt>
                <c:pt idx="142">
                  <c:v>33.149753570556641</c:v>
                </c:pt>
                <c:pt idx="143">
                  <c:v>33.627723693847656</c:v>
                </c:pt>
                <c:pt idx="144">
                  <c:v>34.646583557128906</c:v>
                </c:pt>
                <c:pt idx="145">
                  <c:v>35.600105285644531</c:v>
                </c:pt>
                <c:pt idx="146">
                  <c:v>37.328811645507813</c:v>
                </c:pt>
                <c:pt idx="147">
                  <c:v>38.355712890625</c:v>
                </c:pt>
                <c:pt idx="148">
                  <c:v>38.053512573242188</c:v>
                </c:pt>
                <c:pt idx="149">
                  <c:v>38.293933868408203</c:v>
                </c:pt>
                <c:pt idx="150">
                  <c:v>39.319267272949219</c:v>
                </c:pt>
                <c:pt idx="151">
                  <c:v>39.292224884033203</c:v>
                </c:pt>
                <c:pt idx="152">
                  <c:v>38.5462646484375</c:v>
                </c:pt>
                <c:pt idx="153">
                  <c:v>37.016387939453125</c:v>
                </c:pt>
                <c:pt idx="154">
                  <c:v>35.205783843994141</c:v>
                </c:pt>
                <c:pt idx="155">
                  <c:v>33.454963684082031</c:v>
                </c:pt>
                <c:pt idx="156">
                  <c:v>31.867532730102539</c:v>
                </c:pt>
                <c:pt idx="157">
                  <c:v>30.028200149536133</c:v>
                </c:pt>
                <c:pt idx="158">
                  <c:v>28.529804229736328</c:v>
                </c:pt>
                <c:pt idx="159">
                  <c:v>27.860950469970703</c:v>
                </c:pt>
                <c:pt idx="160">
                  <c:v>26.736448287963867</c:v>
                </c:pt>
                <c:pt idx="161">
                  <c:v>26.418331146240234</c:v>
                </c:pt>
                <c:pt idx="162">
                  <c:v>26.784656524658203</c:v>
                </c:pt>
                <c:pt idx="163">
                  <c:v>26.57481575012207</c:v>
                </c:pt>
                <c:pt idx="164">
                  <c:v>26.772603988647461</c:v>
                </c:pt>
                <c:pt idx="165">
                  <c:v>27.408149719238281</c:v>
                </c:pt>
                <c:pt idx="166">
                  <c:v>28.117265701293945</c:v>
                </c:pt>
                <c:pt idx="167">
                  <c:v>28.847257614135742</c:v>
                </c:pt>
                <c:pt idx="168">
                  <c:v>28.59684944152832</c:v>
                </c:pt>
                <c:pt idx="169">
                  <c:v>27.464044570922852</c:v>
                </c:pt>
                <c:pt idx="170">
                  <c:v>25.860622406005859</c:v>
                </c:pt>
                <c:pt idx="171">
                  <c:v>24.036235809326172</c:v>
                </c:pt>
                <c:pt idx="172">
                  <c:v>21.958995819091797</c:v>
                </c:pt>
                <c:pt idx="173">
                  <c:v>19.458942413330078</c:v>
                </c:pt>
                <c:pt idx="174">
                  <c:v>16.863922119140625</c:v>
                </c:pt>
                <c:pt idx="175">
                  <c:v>14.2733154296875</c:v>
                </c:pt>
                <c:pt idx="176">
                  <c:v>11.646244049072266</c:v>
                </c:pt>
                <c:pt idx="177">
                  <c:v>9.2439355850219727</c:v>
                </c:pt>
                <c:pt idx="178">
                  <c:v>7.5059986114501953</c:v>
                </c:pt>
                <c:pt idx="179">
                  <c:v>6.2757582664489746</c:v>
                </c:pt>
                <c:pt idx="180">
                  <c:v>5.3182272911071777</c:v>
                </c:pt>
                <c:pt idx="181">
                  <c:v>4.8298182487487793</c:v>
                </c:pt>
                <c:pt idx="182">
                  <c:v>4.1844735145568848</c:v>
                </c:pt>
                <c:pt idx="183">
                  <c:v>3.8589541912078857</c:v>
                </c:pt>
                <c:pt idx="184">
                  <c:v>3.5928165912628174</c:v>
                </c:pt>
                <c:pt idx="185">
                  <c:v>3.492795467376709</c:v>
                </c:pt>
                <c:pt idx="186">
                  <c:v>3.5356888771057129</c:v>
                </c:pt>
                <c:pt idx="187">
                  <c:v>3.2438814640045166</c:v>
                </c:pt>
                <c:pt idx="188">
                  <c:v>3.3181619644165039</c:v>
                </c:pt>
                <c:pt idx="189">
                  <c:v>3.3805091381072998</c:v>
                </c:pt>
                <c:pt idx="190">
                  <c:v>3.4930801391601563</c:v>
                </c:pt>
                <c:pt idx="191">
                  <c:v>3.4952154159545898</c:v>
                </c:pt>
                <c:pt idx="192">
                  <c:v>3.1967415809631348</c:v>
                </c:pt>
                <c:pt idx="193">
                  <c:v>3.2924923896789551</c:v>
                </c:pt>
                <c:pt idx="194">
                  <c:v>3.2440237998962402</c:v>
                </c:pt>
                <c:pt idx="195">
                  <c:v>3.3575677871704102</c:v>
                </c:pt>
                <c:pt idx="196">
                  <c:v>2.8108208179473877</c:v>
                </c:pt>
                <c:pt idx="197">
                  <c:v>2.4571170806884766</c:v>
                </c:pt>
                <c:pt idx="198">
                  <c:v>2.6475272178649902</c:v>
                </c:pt>
                <c:pt idx="199">
                  <c:v>2.8102512359619141</c:v>
                </c:pt>
                <c:pt idx="200">
                  <c:v>2.8050558567047119</c:v>
                </c:pt>
                <c:pt idx="201">
                  <c:v>2.8429431915283203</c:v>
                </c:pt>
                <c:pt idx="202">
                  <c:v>2.9985263347625732</c:v>
                </c:pt>
                <c:pt idx="203">
                  <c:v>2.720123291015625</c:v>
                </c:pt>
                <c:pt idx="204">
                  <c:v>2.7995755672454834</c:v>
                </c:pt>
                <c:pt idx="205">
                  <c:v>2.5583720207214355</c:v>
                </c:pt>
                <c:pt idx="206">
                  <c:v>2.8098006248474121</c:v>
                </c:pt>
                <c:pt idx="207">
                  <c:v>2.5216705799102783</c:v>
                </c:pt>
                <c:pt idx="208">
                  <c:v>2.7455556392669678</c:v>
                </c:pt>
                <c:pt idx="209">
                  <c:v>3.0347530841827393</c:v>
                </c:pt>
                <c:pt idx="210">
                  <c:v>3.1496255397796631</c:v>
                </c:pt>
                <c:pt idx="211">
                  <c:v>3.0967681407928467</c:v>
                </c:pt>
                <c:pt idx="212">
                  <c:v>2.7383670806884766</c:v>
                </c:pt>
                <c:pt idx="213">
                  <c:v>2.6533870697021484</c:v>
                </c:pt>
                <c:pt idx="214">
                  <c:v>2.0934021472930908</c:v>
                </c:pt>
                <c:pt idx="215">
                  <c:v>2.66690993309021</c:v>
                </c:pt>
                <c:pt idx="216">
                  <c:v>2.8536903858184814</c:v>
                </c:pt>
                <c:pt idx="217">
                  <c:v>3.0325703620910645</c:v>
                </c:pt>
                <c:pt idx="218">
                  <c:v>3.1924238204956055</c:v>
                </c:pt>
                <c:pt idx="219">
                  <c:v>2.304499626159668</c:v>
                </c:pt>
                <c:pt idx="220">
                  <c:v>2.6791279315948486</c:v>
                </c:pt>
                <c:pt idx="221">
                  <c:v>2.8052692413330078</c:v>
                </c:pt>
                <c:pt idx="222">
                  <c:v>3.4476721286773682</c:v>
                </c:pt>
                <c:pt idx="223">
                  <c:v>3.3536295890808105</c:v>
                </c:pt>
                <c:pt idx="224">
                  <c:v>2</c:v>
                </c:pt>
                <c:pt idx="225">
                  <c:v>2.2963860034942627</c:v>
                </c:pt>
              </c:numCache>
            </c:numRef>
          </c:yVal>
          <c:smooth val="1"/>
          <c:extLst>
            <c:ext xmlns:c16="http://schemas.microsoft.com/office/drawing/2014/chart" uri="{C3380CC4-5D6E-409C-BE32-E72D297353CC}">
              <c16:uniqueId val="{00000004-C55B-4A1A-87F7-276FE06EA34B}"/>
            </c:ext>
          </c:extLst>
        </c:ser>
        <c:ser>
          <c:idx val="5"/>
          <c:order val="5"/>
          <c:tx>
            <c:v>6</c:v>
          </c:tx>
          <c:spPr>
            <a:ln w="19050" cap="rnd">
              <a:noFill/>
              <a:round/>
            </a:ln>
            <a:effectLst/>
            <a:extLst>
              <a:ext uri="{91240B29-F687-4F45-9708-019B960494DF}">
                <a14:hiddenLine xmlns:a14="http://schemas.microsoft.com/office/drawing/2010/main" w="19050" cap="rnd">
                  <a:solidFill>
                    <a:srgbClr val="70AD47"/>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NormalisedUVVisData!$G$2:$G$300</c:f>
              <c:numCache>
                <c:formatCode>General</c:formatCode>
                <c:ptCount val="299"/>
                <c:pt idx="0">
                  <c:v>68.4962158203125</c:v>
                </c:pt>
                <c:pt idx="1">
                  <c:v>68.585983276367188</c:v>
                </c:pt>
                <c:pt idx="2">
                  <c:v>67.259529113769531</c:v>
                </c:pt>
                <c:pt idx="3">
                  <c:v>65.660972595214844</c:v>
                </c:pt>
                <c:pt idx="4">
                  <c:v>63.728919982910156</c:v>
                </c:pt>
                <c:pt idx="5">
                  <c:v>61.444927215576172</c:v>
                </c:pt>
                <c:pt idx="6">
                  <c:v>59.020839691162109</c:v>
                </c:pt>
                <c:pt idx="7">
                  <c:v>57.003910064697266</c:v>
                </c:pt>
                <c:pt idx="8">
                  <c:v>55.977565765380859</c:v>
                </c:pt>
                <c:pt idx="9">
                  <c:v>56.172382354736328</c:v>
                </c:pt>
                <c:pt idx="10">
                  <c:v>57.518207550048828</c:v>
                </c:pt>
                <c:pt idx="11">
                  <c:v>60.209396362304688</c:v>
                </c:pt>
                <c:pt idx="12">
                  <c:v>64.501976013183594</c:v>
                </c:pt>
                <c:pt idx="13">
                  <c:v>71.001113891601563</c:v>
                </c:pt>
                <c:pt idx="14">
                  <c:v>79.408920288085938</c:v>
                </c:pt>
                <c:pt idx="15">
                  <c:v>88.733871459960938</c:v>
                </c:pt>
                <c:pt idx="16">
                  <c:v>96.296112060546875</c:v>
                </c:pt>
                <c:pt idx="17">
                  <c:v>100</c:v>
                </c:pt>
                <c:pt idx="18">
                  <c:v>97.800285339355469</c:v>
                </c:pt>
                <c:pt idx="19">
                  <c:v>89.241737365722656</c:v>
                </c:pt>
                <c:pt idx="20">
                  <c:v>77.416343688964844</c:v>
                </c:pt>
                <c:pt idx="21">
                  <c:v>65.51318359375</c:v>
                </c:pt>
                <c:pt idx="22">
                  <c:v>55.280071258544922</c:v>
                </c:pt>
                <c:pt idx="23">
                  <c:v>47.635585784912109</c:v>
                </c:pt>
                <c:pt idx="24">
                  <c:v>41.983291625976563</c:v>
                </c:pt>
                <c:pt idx="25">
                  <c:v>38.206863403320313</c:v>
                </c:pt>
                <c:pt idx="26">
                  <c:v>35.692768096923828</c:v>
                </c:pt>
                <c:pt idx="27">
                  <c:v>34.271625518798828</c:v>
                </c:pt>
                <c:pt idx="28">
                  <c:v>33.553718566894531</c:v>
                </c:pt>
                <c:pt idx="29">
                  <c:v>33.227664947509766</c:v>
                </c:pt>
                <c:pt idx="30">
                  <c:v>33.226428985595703</c:v>
                </c:pt>
                <c:pt idx="31">
                  <c:v>33.6287841796875</c:v>
                </c:pt>
                <c:pt idx="32">
                  <c:v>34.212154388427734</c:v>
                </c:pt>
                <c:pt idx="33">
                  <c:v>34.767337799072266</c:v>
                </c:pt>
                <c:pt idx="34">
                  <c:v>35.271720886230469</c:v>
                </c:pt>
                <c:pt idx="35">
                  <c:v>35.600444793701172</c:v>
                </c:pt>
                <c:pt idx="36">
                  <c:v>35.704456329345703</c:v>
                </c:pt>
                <c:pt idx="37">
                  <c:v>35.407810211181641</c:v>
                </c:pt>
                <c:pt idx="38">
                  <c:v>34.622234344482422</c:v>
                </c:pt>
                <c:pt idx="39">
                  <c:v>33.538112640380859</c:v>
                </c:pt>
                <c:pt idx="40">
                  <c:v>32.395236968994141</c:v>
                </c:pt>
                <c:pt idx="41">
                  <c:v>31.667413711547852</c:v>
                </c:pt>
                <c:pt idx="42">
                  <c:v>31.48582649230957</c:v>
                </c:pt>
                <c:pt idx="43">
                  <c:v>31.55517578125</c:v>
                </c:pt>
                <c:pt idx="44">
                  <c:v>31.918615341186523</c:v>
                </c:pt>
                <c:pt idx="45">
                  <c:v>32.295177459716797</c:v>
                </c:pt>
                <c:pt idx="46">
                  <c:v>32.591621398925781</c:v>
                </c:pt>
                <c:pt idx="47">
                  <c:v>32.809581756591797</c:v>
                </c:pt>
                <c:pt idx="48">
                  <c:v>32.987686157226563</c:v>
                </c:pt>
                <c:pt idx="49">
                  <c:v>33.142589569091797</c:v>
                </c:pt>
                <c:pt idx="50">
                  <c:v>33.176494598388672</c:v>
                </c:pt>
                <c:pt idx="51">
                  <c:v>33.016471862792969</c:v>
                </c:pt>
                <c:pt idx="52">
                  <c:v>32.698410034179688</c:v>
                </c:pt>
                <c:pt idx="53">
                  <c:v>32.084514617919922</c:v>
                </c:pt>
                <c:pt idx="54">
                  <c:v>31.223138809204102</c:v>
                </c:pt>
                <c:pt idx="55">
                  <c:v>30.107719421386719</c:v>
                </c:pt>
                <c:pt idx="56">
                  <c:v>28.706092834472656</c:v>
                </c:pt>
                <c:pt idx="57">
                  <c:v>27.244903564453125</c:v>
                </c:pt>
                <c:pt idx="58">
                  <c:v>25.693532943725586</c:v>
                </c:pt>
                <c:pt idx="59">
                  <c:v>24.13994026184082</c:v>
                </c:pt>
                <c:pt idx="60">
                  <c:v>22.580060958862305</c:v>
                </c:pt>
                <c:pt idx="61">
                  <c:v>20.997684478759766</c:v>
                </c:pt>
                <c:pt idx="62">
                  <c:v>19.433496475219727</c:v>
                </c:pt>
                <c:pt idx="63">
                  <c:v>17.732181549072266</c:v>
                </c:pt>
                <c:pt idx="64">
                  <c:v>16.052642822265625</c:v>
                </c:pt>
                <c:pt idx="65">
                  <c:v>14.399018287658691</c:v>
                </c:pt>
                <c:pt idx="66">
                  <c:v>12.765641212463379</c:v>
                </c:pt>
                <c:pt idx="67">
                  <c:v>11.211997032165527</c:v>
                </c:pt>
                <c:pt idx="68">
                  <c:v>10.018879890441895</c:v>
                </c:pt>
                <c:pt idx="69">
                  <c:v>8.9419097900390625</c:v>
                </c:pt>
                <c:pt idx="70">
                  <c:v>7.9853954315185547</c:v>
                </c:pt>
                <c:pt idx="71">
                  <c:v>7.2952914237976074</c:v>
                </c:pt>
                <c:pt idx="72">
                  <c:v>6.7612872123718262</c:v>
                </c:pt>
                <c:pt idx="73">
                  <c:v>6.4391827583312988</c:v>
                </c:pt>
                <c:pt idx="74">
                  <c:v>6.2272562980651855</c:v>
                </c:pt>
                <c:pt idx="75">
                  <c:v>6.0598821640014648</c:v>
                </c:pt>
                <c:pt idx="76">
                  <c:v>6.0037097930908203</c:v>
                </c:pt>
                <c:pt idx="77">
                  <c:v>6.0299544334411621</c:v>
                </c:pt>
                <c:pt idx="78">
                  <c:v>6.0590577125549316</c:v>
                </c:pt>
                <c:pt idx="79">
                  <c:v>6.0237455368041992</c:v>
                </c:pt>
                <c:pt idx="80">
                  <c:v>6.1484551429748535</c:v>
                </c:pt>
                <c:pt idx="81">
                  <c:v>6.3433237075805664</c:v>
                </c:pt>
                <c:pt idx="82">
                  <c:v>6.4451656341552734</c:v>
                </c:pt>
                <c:pt idx="83">
                  <c:v>6.5533356666564941</c:v>
                </c:pt>
                <c:pt idx="84">
                  <c:v>6.7338590621948242</c:v>
                </c:pt>
                <c:pt idx="85">
                  <c:v>6.852226734161377</c:v>
                </c:pt>
                <c:pt idx="86">
                  <c:v>7.1348972320556641</c:v>
                </c:pt>
                <c:pt idx="87">
                  <c:v>7.3831467628479004</c:v>
                </c:pt>
                <c:pt idx="88">
                  <c:v>7.4385743141174316</c:v>
                </c:pt>
                <c:pt idx="89">
                  <c:v>7.6812000274658203</c:v>
                </c:pt>
                <c:pt idx="90">
                  <c:v>7.9794526100158691</c:v>
                </c:pt>
                <c:pt idx="91">
                  <c:v>8.0799646377563477</c:v>
                </c:pt>
                <c:pt idx="92">
                  <c:v>8.3616113662719727</c:v>
                </c:pt>
                <c:pt idx="93">
                  <c:v>8.6465024948120117</c:v>
                </c:pt>
                <c:pt idx="94">
                  <c:v>8.9493551254272461</c:v>
                </c:pt>
                <c:pt idx="95">
                  <c:v>9.3668670654296875</c:v>
                </c:pt>
                <c:pt idx="96">
                  <c:v>9.7407426834106445</c:v>
                </c:pt>
                <c:pt idx="97">
                  <c:v>10.13020133972168</c:v>
                </c:pt>
                <c:pt idx="98">
                  <c:v>10.572162628173828</c:v>
                </c:pt>
                <c:pt idx="99">
                  <c:v>10.878830909729004</c:v>
                </c:pt>
                <c:pt idx="100">
                  <c:v>11.217620849609375</c:v>
                </c:pt>
                <c:pt idx="101">
                  <c:v>11.561050415039063</c:v>
                </c:pt>
                <c:pt idx="102">
                  <c:v>11.900199890136719</c:v>
                </c:pt>
                <c:pt idx="103">
                  <c:v>12.30626392364502</c:v>
                </c:pt>
                <c:pt idx="104">
                  <c:v>12.736577987670898</c:v>
                </c:pt>
                <c:pt idx="105">
                  <c:v>13.206751823425293</c:v>
                </c:pt>
                <c:pt idx="106">
                  <c:v>13.688359260559082</c:v>
                </c:pt>
                <c:pt idx="107">
                  <c:v>14.047079086303711</c:v>
                </c:pt>
                <c:pt idx="108">
                  <c:v>14.351540565490723</c:v>
                </c:pt>
                <c:pt idx="109">
                  <c:v>14.81472110748291</c:v>
                </c:pt>
                <c:pt idx="110">
                  <c:v>15.277342796325684</c:v>
                </c:pt>
                <c:pt idx="111">
                  <c:v>15.704014778137207</c:v>
                </c:pt>
                <c:pt idx="112">
                  <c:v>16.169761657714844</c:v>
                </c:pt>
                <c:pt idx="113">
                  <c:v>16.628208160400391</c:v>
                </c:pt>
                <c:pt idx="114">
                  <c:v>17.110773086547852</c:v>
                </c:pt>
                <c:pt idx="115">
                  <c:v>17.402923583984375</c:v>
                </c:pt>
                <c:pt idx="116">
                  <c:v>17.535877227783203</c:v>
                </c:pt>
                <c:pt idx="117">
                  <c:v>17.785043716430664</c:v>
                </c:pt>
                <c:pt idx="118">
                  <c:v>18.161046981811523</c:v>
                </c:pt>
                <c:pt idx="119">
                  <c:v>18.465932846069336</c:v>
                </c:pt>
                <c:pt idx="120">
                  <c:v>18.736013412475586</c:v>
                </c:pt>
                <c:pt idx="121">
                  <c:v>19.04798698425293</c:v>
                </c:pt>
                <c:pt idx="122">
                  <c:v>19.21946907043457</c:v>
                </c:pt>
                <c:pt idx="123">
                  <c:v>19.51344108581543</c:v>
                </c:pt>
                <c:pt idx="124">
                  <c:v>19.777551651000977</c:v>
                </c:pt>
                <c:pt idx="125">
                  <c:v>19.735977172851563</c:v>
                </c:pt>
                <c:pt idx="126">
                  <c:v>19.725925445556641</c:v>
                </c:pt>
                <c:pt idx="127">
                  <c:v>19.680948257446289</c:v>
                </c:pt>
                <c:pt idx="128">
                  <c:v>19.681678771972656</c:v>
                </c:pt>
                <c:pt idx="129">
                  <c:v>19.629348754882813</c:v>
                </c:pt>
                <c:pt idx="130">
                  <c:v>19.384729385375977</c:v>
                </c:pt>
                <c:pt idx="131">
                  <c:v>19.214178085327148</c:v>
                </c:pt>
                <c:pt idx="132">
                  <c:v>19.103933334350586</c:v>
                </c:pt>
                <c:pt idx="133">
                  <c:v>19.069404602050781</c:v>
                </c:pt>
                <c:pt idx="134">
                  <c:v>18.958536148071289</c:v>
                </c:pt>
                <c:pt idx="135">
                  <c:v>18.827564239501953</c:v>
                </c:pt>
                <c:pt idx="136">
                  <c:v>17.38463020324707</c:v>
                </c:pt>
                <c:pt idx="137">
                  <c:v>16.685884475708008</c:v>
                </c:pt>
                <c:pt idx="138">
                  <c:v>18.054603576660156</c:v>
                </c:pt>
                <c:pt idx="139">
                  <c:v>18.81593132019043</c:v>
                </c:pt>
                <c:pt idx="140">
                  <c:v>18.745824813842773</c:v>
                </c:pt>
                <c:pt idx="141">
                  <c:v>18.661054611206055</c:v>
                </c:pt>
                <c:pt idx="142">
                  <c:v>18.256546020507813</c:v>
                </c:pt>
                <c:pt idx="143">
                  <c:v>17.864004135131836</c:v>
                </c:pt>
                <c:pt idx="144">
                  <c:v>17.918354034423828</c:v>
                </c:pt>
                <c:pt idx="145">
                  <c:v>17.838529586791992</c:v>
                </c:pt>
                <c:pt idx="146">
                  <c:v>17.387302398681641</c:v>
                </c:pt>
                <c:pt idx="147">
                  <c:v>17.610475540161133</c:v>
                </c:pt>
                <c:pt idx="148">
                  <c:v>17.83892822265625</c:v>
                </c:pt>
                <c:pt idx="149">
                  <c:v>17.843196868896484</c:v>
                </c:pt>
                <c:pt idx="150">
                  <c:v>18.177160263061523</c:v>
                </c:pt>
                <c:pt idx="151">
                  <c:v>18.200054168701172</c:v>
                </c:pt>
                <c:pt idx="152">
                  <c:v>18.362216949462891</c:v>
                </c:pt>
                <c:pt idx="153">
                  <c:v>18.528619766235352</c:v>
                </c:pt>
                <c:pt idx="154">
                  <c:v>18.389446258544922</c:v>
                </c:pt>
                <c:pt idx="155">
                  <c:v>18.510551452636719</c:v>
                </c:pt>
                <c:pt idx="156">
                  <c:v>18.391613006591797</c:v>
                </c:pt>
                <c:pt idx="157">
                  <c:v>17.756763458251953</c:v>
                </c:pt>
                <c:pt idx="158">
                  <c:v>17.004623413085938</c:v>
                </c:pt>
                <c:pt idx="159">
                  <c:v>16.397708892822266</c:v>
                </c:pt>
                <c:pt idx="160">
                  <c:v>15.695785522460938</c:v>
                </c:pt>
                <c:pt idx="161">
                  <c:v>14.937648773193359</c:v>
                </c:pt>
                <c:pt idx="162">
                  <c:v>14.446881294250488</c:v>
                </c:pt>
                <c:pt idx="163">
                  <c:v>14.043901443481445</c:v>
                </c:pt>
                <c:pt idx="164">
                  <c:v>13.385839462280273</c:v>
                </c:pt>
                <c:pt idx="165">
                  <c:v>12.814315795898438</c:v>
                </c:pt>
                <c:pt idx="166">
                  <c:v>12.65864086151123</c:v>
                </c:pt>
                <c:pt idx="167">
                  <c:v>12.831319808959961</c:v>
                </c:pt>
                <c:pt idx="168">
                  <c:v>12.535207748413086</c:v>
                </c:pt>
                <c:pt idx="169">
                  <c:v>12.308989524841309</c:v>
                </c:pt>
                <c:pt idx="170">
                  <c:v>12.320263862609863</c:v>
                </c:pt>
                <c:pt idx="171">
                  <c:v>12.161824226379395</c:v>
                </c:pt>
                <c:pt idx="172">
                  <c:v>12.083766937255859</c:v>
                </c:pt>
                <c:pt idx="173">
                  <c:v>11.681918144226074</c:v>
                </c:pt>
                <c:pt idx="174">
                  <c:v>11.209497451782227</c:v>
                </c:pt>
                <c:pt idx="175">
                  <c:v>10.801692008972168</c:v>
                </c:pt>
                <c:pt idx="176">
                  <c:v>10.170418739318848</c:v>
                </c:pt>
                <c:pt idx="177">
                  <c:v>9.1021976470947266</c:v>
                </c:pt>
                <c:pt idx="178">
                  <c:v>8.3376665115356445</c:v>
                </c:pt>
                <c:pt idx="179">
                  <c:v>7.613274097442627</c:v>
                </c:pt>
                <c:pt idx="180">
                  <c:v>6.9902849197387695</c:v>
                </c:pt>
                <c:pt idx="181">
                  <c:v>6.5229825973510742</c:v>
                </c:pt>
                <c:pt idx="182">
                  <c:v>5.5860519409179688</c:v>
                </c:pt>
                <c:pt idx="183">
                  <c:v>4.781954288482666</c:v>
                </c:pt>
                <c:pt idx="184">
                  <c:v>4.3399133682250977</c:v>
                </c:pt>
                <c:pt idx="185">
                  <c:v>3.8910653591156006</c:v>
                </c:pt>
                <c:pt idx="186">
                  <c:v>3.3306167125701904</c:v>
                </c:pt>
                <c:pt idx="187">
                  <c:v>2.884746789932251</c:v>
                </c:pt>
                <c:pt idx="188">
                  <c:v>2.6582086086273193</c:v>
                </c:pt>
                <c:pt idx="189">
                  <c:v>2.4875905513763428</c:v>
                </c:pt>
                <c:pt idx="190">
                  <c:v>2.5186748504638672</c:v>
                </c:pt>
                <c:pt idx="191">
                  <c:v>2.2896904945373535</c:v>
                </c:pt>
                <c:pt idx="192">
                  <c:v>2.385310173034668</c:v>
                </c:pt>
                <c:pt idx="193">
                  <c:v>2.4029262065887451</c:v>
                </c:pt>
                <c:pt idx="194">
                  <c:v>2.4337978363037109</c:v>
                </c:pt>
                <c:pt idx="195">
                  <c:v>2.4982001781463623</c:v>
                </c:pt>
                <c:pt idx="196">
                  <c:v>2.251812219619751</c:v>
                </c:pt>
                <c:pt idx="197">
                  <c:v>2.3001008033752441</c:v>
                </c:pt>
                <c:pt idx="198">
                  <c:v>2.183168888092041</c:v>
                </c:pt>
                <c:pt idx="199">
                  <c:v>2.1885402202606201</c:v>
                </c:pt>
                <c:pt idx="200">
                  <c:v>2.2928149700164795</c:v>
                </c:pt>
                <c:pt idx="201">
                  <c:v>2.2872176170349121</c:v>
                </c:pt>
                <c:pt idx="202">
                  <c:v>2.090221643447876</c:v>
                </c:pt>
                <c:pt idx="203">
                  <c:v>2.3503170013427734</c:v>
                </c:pt>
                <c:pt idx="204">
                  <c:v>2.3455307483673096</c:v>
                </c:pt>
                <c:pt idx="205">
                  <c:v>2.1817729473114014</c:v>
                </c:pt>
                <c:pt idx="206">
                  <c:v>2.2676470279693604</c:v>
                </c:pt>
                <c:pt idx="207">
                  <c:v>2.1581206321716309</c:v>
                </c:pt>
                <c:pt idx="208">
                  <c:v>2.167360782623291</c:v>
                </c:pt>
                <c:pt idx="209">
                  <c:v>2</c:v>
                </c:pt>
                <c:pt idx="210">
                  <c:v>2.2541389465332031</c:v>
                </c:pt>
                <c:pt idx="211">
                  <c:v>2.1916379928588867</c:v>
                </c:pt>
                <c:pt idx="212">
                  <c:v>2.2782168388366699</c:v>
                </c:pt>
                <c:pt idx="213">
                  <c:v>2.3477110862731934</c:v>
                </c:pt>
                <c:pt idx="214">
                  <c:v>2.2004127502441406</c:v>
                </c:pt>
                <c:pt idx="215">
                  <c:v>2.328951358795166</c:v>
                </c:pt>
                <c:pt idx="216">
                  <c:v>2.2655463218688965</c:v>
                </c:pt>
                <c:pt idx="217">
                  <c:v>2.2097725868225098</c:v>
                </c:pt>
                <c:pt idx="218">
                  <c:v>2.1570701599121094</c:v>
                </c:pt>
                <c:pt idx="219">
                  <c:v>2.2769670486450195</c:v>
                </c:pt>
                <c:pt idx="220">
                  <c:v>2.1683447360992432</c:v>
                </c:pt>
                <c:pt idx="221">
                  <c:v>2.0148773193359375</c:v>
                </c:pt>
                <c:pt idx="222">
                  <c:v>2.4073138236999512</c:v>
                </c:pt>
                <c:pt idx="223">
                  <c:v>2.2118732929229736</c:v>
                </c:pt>
                <c:pt idx="224">
                  <c:v>2.3210008144378662</c:v>
                </c:pt>
                <c:pt idx="225">
                  <c:v>2.4189338684082031</c:v>
                </c:pt>
              </c:numCache>
            </c:numRef>
          </c:yVal>
          <c:smooth val="1"/>
          <c:extLst>
            <c:ext xmlns:c16="http://schemas.microsoft.com/office/drawing/2014/chart" uri="{C3380CC4-5D6E-409C-BE32-E72D297353CC}">
              <c16:uniqueId val="{00000005-C55B-4A1A-87F7-276FE06EA34B}"/>
            </c:ext>
          </c:extLst>
        </c:ser>
        <c:ser>
          <c:idx val="6"/>
          <c:order val="6"/>
          <c:tx>
            <c:v>7</c:v>
          </c:tx>
          <c:spPr>
            <a:ln w="19050" cap="rnd">
              <a:noFill/>
              <a:round/>
            </a:ln>
            <a:effectLst/>
            <a:extLst>
              <a:ext uri="{91240B29-F687-4F45-9708-019B960494DF}">
                <a14:hiddenLine xmlns:a14="http://schemas.microsoft.com/office/drawing/2010/main" w="19050" cap="rnd">
                  <a:solidFill>
                    <a:srgbClr val="5B9BD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NormalisedUVVisData!$H$2:$H$300</c:f>
              <c:numCache>
                <c:formatCode>General</c:formatCode>
                <c:ptCount val="299"/>
                <c:pt idx="0">
                  <c:v>90.394149780273438</c:v>
                </c:pt>
                <c:pt idx="1">
                  <c:v>93.320083618164063</c:v>
                </c:pt>
                <c:pt idx="2">
                  <c:v>94.866859436035156</c:v>
                </c:pt>
                <c:pt idx="3">
                  <c:v>95.8671875</c:v>
                </c:pt>
                <c:pt idx="4">
                  <c:v>96.437400817871094</c:v>
                </c:pt>
                <c:pt idx="5">
                  <c:v>97.178993225097656</c:v>
                </c:pt>
                <c:pt idx="6">
                  <c:v>98.390640258789063</c:v>
                </c:pt>
                <c:pt idx="7">
                  <c:v>99.509269714355469</c:v>
                </c:pt>
                <c:pt idx="8">
                  <c:v>100</c:v>
                </c:pt>
                <c:pt idx="9">
                  <c:v>98.860023498535156</c:v>
                </c:pt>
                <c:pt idx="10">
                  <c:v>96.200698852539063</c:v>
                </c:pt>
                <c:pt idx="11">
                  <c:v>92.840461730957031</c:v>
                </c:pt>
                <c:pt idx="12">
                  <c:v>89.54364013671875</c:v>
                </c:pt>
                <c:pt idx="13">
                  <c:v>86.480445861816406</c:v>
                </c:pt>
                <c:pt idx="14">
                  <c:v>83.208969116210938</c:v>
                </c:pt>
                <c:pt idx="15">
                  <c:v>79.066162109375</c:v>
                </c:pt>
                <c:pt idx="16">
                  <c:v>73.863471984863281</c:v>
                </c:pt>
                <c:pt idx="17">
                  <c:v>67.778587341308594</c:v>
                </c:pt>
                <c:pt idx="18">
                  <c:v>61.435512542724609</c:v>
                </c:pt>
                <c:pt idx="19">
                  <c:v>55.121910095214844</c:v>
                </c:pt>
                <c:pt idx="20">
                  <c:v>49.276252746582031</c:v>
                </c:pt>
                <c:pt idx="21">
                  <c:v>43.4290771484375</c:v>
                </c:pt>
                <c:pt idx="22">
                  <c:v>37.084255218505859</c:v>
                </c:pt>
                <c:pt idx="23">
                  <c:v>30.799930572509766</c:v>
                </c:pt>
                <c:pt idx="24">
                  <c:v>25.081060409545898</c:v>
                </c:pt>
                <c:pt idx="25">
                  <c:v>21.001379013061523</c:v>
                </c:pt>
                <c:pt idx="26">
                  <c:v>18.744604110717773</c:v>
                </c:pt>
                <c:pt idx="27">
                  <c:v>18.115453720092773</c:v>
                </c:pt>
                <c:pt idx="28">
                  <c:v>18.33213996887207</c:v>
                </c:pt>
                <c:pt idx="29">
                  <c:v>18.981075286865234</c:v>
                </c:pt>
                <c:pt idx="30">
                  <c:v>19.960384368896484</c:v>
                </c:pt>
                <c:pt idx="31">
                  <c:v>20.974390029907227</c:v>
                </c:pt>
                <c:pt idx="32">
                  <c:v>21.831501007080078</c:v>
                </c:pt>
                <c:pt idx="33">
                  <c:v>22.676996231079102</c:v>
                </c:pt>
                <c:pt idx="34">
                  <c:v>23.669929504394531</c:v>
                </c:pt>
                <c:pt idx="35">
                  <c:v>24.619977951049805</c:v>
                </c:pt>
                <c:pt idx="36">
                  <c:v>25.549068450927734</c:v>
                </c:pt>
                <c:pt idx="37">
                  <c:v>26.554302215576172</c:v>
                </c:pt>
                <c:pt idx="38">
                  <c:v>27.790517807006836</c:v>
                </c:pt>
                <c:pt idx="39">
                  <c:v>29.250576019287109</c:v>
                </c:pt>
                <c:pt idx="40">
                  <c:v>30.922046661376953</c:v>
                </c:pt>
                <c:pt idx="41">
                  <c:v>32.688758850097656</c:v>
                </c:pt>
                <c:pt idx="42">
                  <c:v>34.3167724609375</c:v>
                </c:pt>
                <c:pt idx="43">
                  <c:v>35.993728637695313</c:v>
                </c:pt>
                <c:pt idx="44">
                  <c:v>37.495658874511719</c:v>
                </c:pt>
                <c:pt idx="45">
                  <c:v>38.600921630859375</c:v>
                </c:pt>
                <c:pt idx="46">
                  <c:v>39.176586151123047</c:v>
                </c:pt>
                <c:pt idx="47">
                  <c:v>39.210174560546875</c:v>
                </c:pt>
                <c:pt idx="48">
                  <c:v>38.658279418945313</c:v>
                </c:pt>
                <c:pt idx="49">
                  <c:v>37.662158966064453</c:v>
                </c:pt>
                <c:pt idx="50">
                  <c:v>36.242778778076172</c:v>
                </c:pt>
                <c:pt idx="51">
                  <c:v>34.415866851806641</c:v>
                </c:pt>
                <c:pt idx="52">
                  <c:v>32.453804016113281</c:v>
                </c:pt>
                <c:pt idx="53">
                  <c:v>30.408622741699219</c:v>
                </c:pt>
                <c:pt idx="54">
                  <c:v>28.275369644165039</c:v>
                </c:pt>
                <c:pt idx="55">
                  <c:v>26.398223876953125</c:v>
                </c:pt>
                <c:pt idx="56">
                  <c:v>24.780288696289063</c:v>
                </c:pt>
                <c:pt idx="57">
                  <c:v>23.345224380493164</c:v>
                </c:pt>
                <c:pt idx="58">
                  <c:v>22.154260635375977</c:v>
                </c:pt>
                <c:pt idx="59">
                  <c:v>21.415132522583008</c:v>
                </c:pt>
                <c:pt idx="60">
                  <c:v>20.897167205810547</c:v>
                </c:pt>
                <c:pt idx="61">
                  <c:v>20.304479598999023</c:v>
                </c:pt>
                <c:pt idx="62">
                  <c:v>19.950647354125977</c:v>
                </c:pt>
                <c:pt idx="63">
                  <c:v>19.733747482299805</c:v>
                </c:pt>
                <c:pt idx="64">
                  <c:v>19.484371185302734</c:v>
                </c:pt>
                <c:pt idx="65">
                  <c:v>19.281585693359375</c:v>
                </c:pt>
                <c:pt idx="66">
                  <c:v>19.012538909912109</c:v>
                </c:pt>
                <c:pt idx="67">
                  <c:v>18.714675903320313</c:v>
                </c:pt>
                <c:pt idx="68">
                  <c:v>18.432086944580078</c:v>
                </c:pt>
                <c:pt idx="69">
                  <c:v>18.059091567993164</c:v>
                </c:pt>
                <c:pt idx="70">
                  <c:v>17.513322830200195</c:v>
                </c:pt>
                <c:pt idx="71">
                  <c:v>17.031526565551758</c:v>
                </c:pt>
                <c:pt idx="72">
                  <c:v>16.566753387451172</c:v>
                </c:pt>
                <c:pt idx="73">
                  <c:v>15.950507164001465</c:v>
                </c:pt>
                <c:pt idx="74">
                  <c:v>15.354159355163574</c:v>
                </c:pt>
                <c:pt idx="75">
                  <c:v>14.816835403442383</c:v>
                </c:pt>
                <c:pt idx="76">
                  <c:v>14.233116149902344</c:v>
                </c:pt>
                <c:pt idx="77">
                  <c:v>13.693864822387695</c:v>
                </c:pt>
                <c:pt idx="78">
                  <c:v>13.26279354095459</c:v>
                </c:pt>
                <c:pt idx="79">
                  <c:v>12.780817031860352</c:v>
                </c:pt>
                <c:pt idx="80">
                  <c:v>12.353536605834961</c:v>
                </c:pt>
                <c:pt idx="81">
                  <c:v>11.891866683959961</c:v>
                </c:pt>
                <c:pt idx="82">
                  <c:v>11.502747535705566</c:v>
                </c:pt>
                <c:pt idx="83">
                  <c:v>10.930267333984375</c:v>
                </c:pt>
                <c:pt idx="84">
                  <c:v>10.292899131774902</c:v>
                </c:pt>
                <c:pt idx="85">
                  <c:v>9.8635263442993164</c:v>
                </c:pt>
                <c:pt idx="86">
                  <c:v>9.2296543121337891</c:v>
                </c:pt>
                <c:pt idx="87">
                  <c:v>8.732386589050293</c:v>
                </c:pt>
                <c:pt idx="88">
                  <c:v>8.2386817932128906</c:v>
                </c:pt>
                <c:pt idx="89">
                  <c:v>7.7108163833618164</c:v>
                </c:pt>
                <c:pt idx="90">
                  <c:v>7.2679667472839355</c:v>
                </c:pt>
                <c:pt idx="91">
                  <c:v>6.7109570503234863</c:v>
                </c:pt>
                <c:pt idx="92">
                  <c:v>6.4065756797790527</c:v>
                </c:pt>
                <c:pt idx="93">
                  <c:v>6.0938949584960938</c:v>
                </c:pt>
                <c:pt idx="94">
                  <c:v>5.6861686706542969</c:v>
                </c:pt>
                <c:pt idx="95">
                  <c:v>5.1782174110412598</c:v>
                </c:pt>
                <c:pt idx="96">
                  <c:v>4.6773896217346191</c:v>
                </c:pt>
                <c:pt idx="97">
                  <c:v>4.3818130493164063</c:v>
                </c:pt>
                <c:pt idx="98">
                  <c:v>4.2224669456481934</c:v>
                </c:pt>
                <c:pt idx="99">
                  <c:v>3.9612462520599365</c:v>
                </c:pt>
                <c:pt idx="100">
                  <c:v>3.6402175426483154</c:v>
                </c:pt>
                <c:pt idx="101">
                  <c:v>3.4732258319854736</c:v>
                </c:pt>
                <c:pt idx="102">
                  <c:v>3.3145167827606201</c:v>
                </c:pt>
                <c:pt idx="103">
                  <c:v>3.2048008441925049</c:v>
                </c:pt>
                <c:pt idx="104">
                  <c:v>3.0701389312744141</c:v>
                </c:pt>
                <c:pt idx="105">
                  <c:v>2.907656192779541</c:v>
                </c:pt>
                <c:pt idx="106">
                  <c:v>2.7819139957427979</c:v>
                </c:pt>
                <c:pt idx="107">
                  <c:v>2.749910831451416</c:v>
                </c:pt>
                <c:pt idx="108">
                  <c:v>2.6803827285766602</c:v>
                </c:pt>
                <c:pt idx="109">
                  <c:v>2.6387898921966553</c:v>
                </c:pt>
                <c:pt idx="110">
                  <c:v>2.7116997241973877</c:v>
                </c:pt>
                <c:pt idx="111">
                  <c:v>2.5593945980072021</c:v>
                </c:pt>
                <c:pt idx="112">
                  <c:v>2.4408242702484131</c:v>
                </c:pt>
                <c:pt idx="113">
                  <c:v>2.5107934474945068</c:v>
                </c:pt>
                <c:pt idx="114">
                  <c:v>2.5429272651672363</c:v>
                </c:pt>
                <c:pt idx="115">
                  <c:v>2.4555597305297852</c:v>
                </c:pt>
                <c:pt idx="116">
                  <c:v>2.4007835388183594</c:v>
                </c:pt>
                <c:pt idx="117">
                  <c:v>2.4282450675964355</c:v>
                </c:pt>
                <c:pt idx="118">
                  <c:v>2.3990354537963867</c:v>
                </c:pt>
                <c:pt idx="119">
                  <c:v>2.2890090942382813</c:v>
                </c:pt>
                <c:pt idx="120">
                  <c:v>2.2693400382995605</c:v>
                </c:pt>
                <c:pt idx="121">
                  <c:v>2.3698258399963379</c:v>
                </c:pt>
                <c:pt idx="122">
                  <c:v>2.4521944522857666</c:v>
                </c:pt>
                <c:pt idx="123">
                  <c:v>2.3987576961517334</c:v>
                </c:pt>
                <c:pt idx="124">
                  <c:v>2.3592724800109863</c:v>
                </c:pt>
                <c:pt idx="125">
                  <c:v>2.4510998725891113</c:v>
                </c:pt>
                <c:pt idx="126">
                  <c:v>2.4630908966064453</c:v>
                </c:pt>
                <c:pt idx="127">
                  <c:v>2.3417596817016602</c:v>
                </c:pt>
                <c:pt idx="128">
                  <c:v>2.4662110805511475</c:v>
                </c:pt>
                <c:pt idx="129">
                  <c:v>2.559459924697876</c:v>
                </c:pt>
                <c:pt idx="130">
                  <c:v>2.5016777515411377</c:v>
                </c:pt>
                <c:pt idx="131">
                  <c:v>2.5399868488311768</c:v>
                </c:pt>
                <c:pt idx="132">
                  <c:v>2.5236666202545166</c:v>
                </c:pt>
                <c:pt idx="133">
                  <c:v>2.4389455318450928</c:v>
                </c:pt>
                <c:pt idx="134">
                  <c:v>2.3488659858703613</c:v>
                </c:pt>
                <c:pt idx="135">
                  <c:v>2.350614070892334</c:v>
                </c:pt>
                <c:pt idx="136">
                  <c:v>4.0296635627746582</c:v>
                </c:pt>
                <c:pt idx="137">
                  <c:v>5.0518383979797363</c:v>
                </c:pt>
                <c:pt idx="138">
                  <c:v>3.4636034965515137</c:v>
                </c:pt>
                <c:pt idx="139">
                  <c:v>2.4116144180297852</c:v>
                </c:pt>
                <c:pt idx="140">
                  <c:v>2.384528636932373</c:v>
                </c:pt>
                <c:pt idx="141">
                  <c:v>2.3810489177703857</c:v>
                </c:pt>
                <c:pt idx="142">
                  <c:v>2.4571115970611572</c:v>
                </c:pt>
                <c:pt idx="143">
                  <c:v>2.4389944076538086</c:v>
                </c:pt>
                <c:pt idx="144">
                  <c:v>2.5480897426605225</c:v>
                </c:pt>
                <c:pt idx="145">
                  <c:v>2.6696169376373291</c:v>
                </c:pt>
                <c:pt idx="146">
                  <c:v>2.4357924461364746</c:v>
                </c:pt>
                <c:pt idx="147">
                  <c:v>2.1763525009155273</c:v>
                </c:pt>
                <c:pt idx="148">
                  <c:v>2.4361355304718018</c:v>
                </c:pt>
                <c:pt idx="149">
                  <c:v>2.6790430545806885</c:v>
                </c:pt>
                <c:pt idx="150">
                  <c:v>2.5786063671112061</c:v>
                </c:pt>
                <c:pt idx="151">
                  <c:v>2.6389205455780029</c:v>
                </c:pt>
                <c:pt idx="152">
                  <c:v>2.6981568336486816</c:v>
                </c:pt>
                <c:pt idx="153">
                  <c:v>2.6053981781005859</c:v>
                </c:pt>
                <c:pt idx="154">
                  <c:v>2.5445935726165771</c:v>
                </c:pt>
                <c:pt idx="155">
                  <c:v>2.4430623054504395</c:v>
                </c:pt>
                <c:pt idx="156">
                  <c:v>2.5038013458251953</c:v>
                </c:pt>
                <c:pt idx="157">
                  <c:v>2.6386919021606445</c:v>
                </c:pt>
                <c:pt idx="158">
                  <c:v>2.5234215259552002</c:v>
                </c:pt>
                <c:pt idx="159">
                  <c:v>2.4742159843444824</c:v>
                </c:pt>
                <c:pt idx="160">
                  <c:v>2.4363644123077393</c:v>
                </c:pt>
                <c:pt idx="161">
                  <c:v>2.6376299858093262</c:v>
                </c:pt>
                <c:pt idx="162">
                  <c:v>2.8461980819702148</c:v>
                </c:pt>
                <c:pt idx="163">
                  <c:v>2.7149996757507324</c:v>
                </c:pt>
                <c:pt idx="164">
                  <c:v>2.5619266033172607</c:v>
                </c:pt>
                <c:pt idx="165">
                  <c:v>2.5964946746826172</c:v>
                </c:pt>
                <c:pt idx="166">
                  <c:v>2.6251652240753174</c:v>
                </c:pt>
                <c:pt idx="167">
                  <c:v>2.7503354549407959</c:v>
                </c:pt>
                <c:pt idx="168">
                  <c:v>2.769906759262085</c:v>
                </c:pt>
                <c:pt idx="169">
                  <c:v>2.7446830272674561</c:v>
                </c:pt>
                <c:pt idx="170">
                  <c:v>3.0275170803070068</c:v>
                </c:pt>
                <c:pt idx="171">
                  <c:v>2.7818160057067871</c:v>
                </c:pt>
                <c:pt idx="172">
                  <c:v>2.5638217926025391</c:v>
                </c:pt>
                <c:pt idx="173">
                  <c:v>2.6772787570953369</c:v>
                </c:pt>
                <c:pt idx="174">
                  <c:v>2.6788632869720459</c:v>
                </c:pt>
                <c:pt idx="175">
                  <c:v>2.7329862117767334</c:v>
                </c:pt>
                <c:pt idx="176">
                  <c:v>2.8054549694061279</c:v>
                </c:pt>
                <c:pt idx="177">
                  <c:v>2.5682816505432129</c:v>
                </c:pt>
                <c:pt idx="178">
                  <c:v>2.410912036895752</c:v>
                </c:pt>
                <c:pt idx="179">
                  <c:v>2.5565357208251953</c:v>
                </c:pt>
                <c:pt idx="180">
                  <c:v>2.6023104190826416</c:v>
                </c:pt>
                <c:pt idx="181">
                  <c:v>2.5742771625518799</c:v>
                </c:pt>
                <c:pt idx="182">
                  <c:v>2.6708095073699951</c:v>
                </c:pt>
                <c:pt idx="183">
                  <c:v>2.7118303775787354</c:v>
                </c:pt>
                <c:pt idx="184">
                  <c:v>2.3611836433410645</c:v>
                </c:pt>
                <c:pt idx="185">
                  <c:v>2.2522518634796143</c:v>
                </c:pt>
                <c:pt idx="186">
                  <c:v>2.2085027694702148</c:v>
                </c:pt>
                <c:pt idx="187">
                  <c:v>2.3150331974029541</c:v>
                </c:pt>
                <c:pt idx="188">
                  <c:v>2.4656229019165039</c:v>
                </c:pt>
                <c:pt idx="189">
                  <c:v>2.5158741474151611</c:v>
                </c:pt>
                <c:pt idx="190">
                  <c:v>2.6440339088439941</c:v>
                </c:pt>
                <c:pt idx="191">
                  <c:v>2.5898456573486328</c:v>
                </c:pt>
                <c:pt idx="192">
                  <c:v>2.5966253280639648</c:v>
                </c:pt>
                <c:pt idx="193">
                  <c:v>2.4849979877471924</c:v>
                </c:pt>
                <c:pt idx="194">
                  <c:v>2.3951637744903564</c:v>
                </c:pt>
                <c:pt idx="195">
                  <c:v>2.350614070892334</c:v>
                </c:pt>
                <c:pt idx="196">
                  <c:v>2.3903608322143555</c:v>
                </c:pt>
                <c:pt idx="197">
                  <c:v>2.5041770935058594</c:v>
                </c:pt>
                <c:pt idx="198">
                  <c:v>2.3329215049743652</c:v>
                </c:pt>
                <c:pt idx="199">
                  <c:v>2.2478573322296143</c:v>
                </c:pt>
                <c:pt idx="200">
                  <c:v>2.3138079643249512</c:v>
                </c:pt>
                <c:pt idx="201">
                  <c:v>2.5932600498199463</c:v>
                </c:pt>
                <c:pt idx="202">
                  <c:v>2.5208404064178467</c:v>
                </c:pt>
                <c:pt idx="203">
                  <c:v>2.289874792098999</c:v>
                </c:pt>
                <c:pt idx="204">
                  <c:v>2.2904140949249268</c:v>
                </c:pt>
                <c:pt idx="205">
                  <c:v>2.4058966636657715</c:v>
                </c:pt>
                <c:pt idx="206">
                  <c:v>2.3297686576843262</c:v>
                </c:pt>
                <c:pt idx="207">
                  <c:v>2.333411693572998</c:v>
                </c:pt>
                <c:pt idx="208">
                  <c:v>2.4358580112457275</c:v>
                </c:pt>
                <c:pt idx="209">
                  <c:v>2.3378880023956299</c:v>
                </c:pt>
                <c:pt idx="210">
                  <c:v>2.5209383964538574</c:v>
                </c:pt>
                <c:pt idx="211">
                  <c:v>2.4031195640563965</c:v>
                </c:pt>
                <c:pt idx="212">
                  <c:v>2.1923460960388184</c:v>
                </c:pt>
                <c:pt idx="213">
                  <c:v>2.213599681854248</c:v>
                </c:pt>
                <c:pt idx="214">
                  <c:v>2.3674895763397217</c:v>
                </c:pt>
                <c:pt idx="215">
                  <c:v>2.3534729480743408</c:v>
                </c:pt>
                <c:pt idx="216">
                  <c:v>2.246795654296875</c:v>
                </c:pt>
                <c:pt idx="217">
                  <c:v>2.2673795223236084</c:v>
                </c:pt>
                <c:pt idx="218">
                  <c:v>2.0339798927307129</c:v>
                </c:pt>
                <c:pt idx="219">
                  <c:v>2.2980759143829346</c:v>
                </c:pt>
                <c:pt idx="220">
                  <c:v>2.4209589958190918</c:v>
                </c:pt>
                <c:pt idx="221">
                  <c:v>2.1580228805541992</c:v>
                </c:pt>
                <c:pt idx="222">
                  <c:v>2.2474489212036133</c:v>
                </c:pt>
                <c:pt idx="223">
                  <c:v>2.0414783954620361</c:v>
                </c:pt>
                <c:pt idx="224">
                  <c:v>2</c:v>
                </c:pt>
                <c:pt idx="225">
                  <c:v>2.4889025688171387</c:v>
                </c:pt>
              </c:numCache>
            </c:numRef>
          </c:yVal>
          <c:smooth val="1"/>
          <c:extLst>
            <c:ext xmlns:c16="http://schemas.microsoft.com/office/drawing/2014/chart" uri="{C3380CC4-5D6E-409C-BE32-E72D297353CC}">
              <c16:uniqueId val="{00000006-C55B-4A1A-87F7-276FE06EA34B}"/>
            </c:ext>
          </c:extLst>
        </c:ser>
        <c:ser>
          <c:idx val="7"/>
          <c:order val="7"/>
          <c:tx>
            <c:v>8</c:v>
          </c:tx>
          <c:spPr>
            <a:ln w="19050" cap="rnd">
              <a:noFill/>
              <a:round/>
            </a:ln>
            <a:effectLst/>
            <a:extLst>
              <a:ext uri="{91240B29-F687-4F45-9708-019B960494DF}">
                <a14:hiddenLine xmlns:a14="http://schemas.microsoft.com/office/drawing/2010/main" w="19050" cap="rnd">
                  <a:solidFill>
                    <a:srgbClr val="ED7D31">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NormalisedUVVisData!$I$2:$I$300</c:f>
              <c:numCache>
                <c:formatCode>General</c:formatCode>
                <c:ptCount val="299"/>
                <c:pt idx="0">
                  <c:v>54.164005279541016</c:v>
                </c:pt>
                <c:pt idx="1">
                  <c:v>53.949668884277344</c:v>
                </c:pt>
                <c:pt idx="2">
                  <c:v>52.864204406738281</c:v>
                </c:pt>
                <c:pt idx="3">
                  <c:v>51.233280181884766</c:v>
                </c:pt>
                <c:pt idx="4">
                  <c:v>49.16363525390625</c:v>
                </c:pt>
                <c:pt idx="5">
                  <c:v>46.565719604492188</c:v>
                </c:pt>
                <c:pt idx="6">
                  <c:v>43.290908813476563</c:v>
                </c:pt>
                <c:pt idx="7">
                  <c:v>39.948677062988281</c:v>
                </c:pt>
                <c:pt idx="8">
                  <c:v>37.099700927734375</c:v>
                </c:pt>
                <c:pt idx="9">
                  <c:v>34.9962158203125</c:v>
                </c:pt>
                <c:pt idx="10">
                  <c:v>33.717365264892578</c:v>
                </c:pt>
                <c:pt idx="11">
                  <c:v>32.946029663085938</c:v>
                </c:pt>
                <c:pt idx="12">
                  <c:v>32.36846923828125</c:v>
                </c:pt>
                <c:pt idx="13">
                  <c:v>31.760971069335938</c:v>
                </c:pt>
                <c:pt idx="14">
                  <c:v>30.98682975769043</c:v>
                </c:pt>
                <c:pt idx="15">
                  <c:v>30.010280609130859</c:v>
                </c:pt>
                <c:pt idx="16">
                  <c:v>28.954708099365234</c:v>
                </c:pt>
                <c:pt idx="17">
                  <c:v>27.87205696105957</c:v>
                </c:pt>
                <c:pt idx="18">
                  <c:v>26.810188293457031</c:v>
                </c:pt>
                <c:pt idx="19">
                  <c:v>25.891267776489258</c:v>
                </c:pt>
                <c:pt idx="20">
                  <c:v>25.344776153564453</c:v>
                </c:pt>
                <c:pt idx="21">
                  <c:v>25.254352569580078</c:v>
                </c:pt>
                <c:pt idx="22">
                  <c:v>25.741758346557617</c:v>
                </c:pt>
                <c:pt idx="23">
                  <c:v>26.817569732666016</c:v>
                </c:pt>
                <c:pt idx="24">
                  <c:v>28.549182891845703</c:v>
                </c:pt>
                <c:pt idx="25">
                  <c:v>30.855724334716797</c:v>
                </c:pt>
                <c:pt idx="26">
                  <c:v>33.820491790771484</c:v>
                </c:pt>
                <c:pt idx="27">
                  <c:v>37.243244171142578</c:v>
                </c:pt>
                <c:pt idx="28">
                  <c:v>41.241611480712891</c:v>
                </c:pt>
                <c:pt idx="29">
                  <c:v>45.498077392578125</c:v>
                </c:pt>
                <c:pt idx="30">
                  <c:v>50.174705505371094</c:v>
                </c:pt>
                <c:pt idx="31">
                  <c:v>54.941329956054688</c:v>
                </c:pt>
                <c:pt idx="32">
                  <c:v>60.015174865722656</c:v>
                </c:pt>
                <c:pt idx="33">
                  <c:v>65.149581909179688</c:v>
                </c:pt>
                <c:pt idx="34">
                  <c:v>70.139739990234375</c:v>
                </c:pt>
                <c:pt idx="35">
                  <c:v>75.176078796386719</c:v>
                </c:pt>
                <c:pt idx="36">
                  <c:v>80.034400939941406</c:v>
                </c:pt>
                <c:pt idx="37">
                  <c:v>84.621856689453125</c:v>
                </c:pt>
                <c:pt idx="38">
                  <c:v>88.722236633300781</c:v>
                </c:pt>
                <c:pt idx="39">
                  <c:v>92.483711242675781</c:v>
                </c:pt>
                <c:pt idx="40">
                  <c:v>95.61865234375</c:v>
                </c:pt>
                <c:pt idx="41">
                  <c:v>97.987922668457031</c:v>
                </c:pt>
                <c:pt idx="42">
                  <c:v>99.473175048828125</c:v>
                </c:pt>
                <c:pt idx="43">
                  <c:v>99.999992370605469</c:v>
                </c:pt>
                <c:pt idx="44">
                  <c:v>99.503463745117188</c:v>
                </c:pt>
                <c:pt idx="45">
                  <c:v>98.032730102539063</c:v>
                </c:pt>
                <c:pt idx="46">
                  <c:v>95.651832580566406</c:v>
                </c:pt>
                <c:pt idx="47">
                  <c:v>92.373428344726563</c:v>
                </c:pt>
                <c:pt idx="48">
                  <c:v>88.252113342285156</c:v>
                </c:pt>
                <c:pt idx="49">
                  <c:v>83.416946411132813</c:v>
                </c:pt>
                <c:pt idx="50">
                  <c:v>77.971595764160156</c:v>
                </c:pt>
                <c:pt idx="51">
                  <c:v>72.061119079589844</c:v>
                </c:pt>
                <c:pt idx="52">
                  <c:v>65.793121337890625</c:v>
                </c:pt>
                <c:pt idx="53">
                  <c:v>59.364280700683594</c:v>
                </c:pt>
                <c:pt idx="54">
                  <c:v>52.700260162353516</c:v>
                </c:pt>
                <c:pt idx="55">
                  <c:v>46.263179779052734</c:v>
                </c:pt>
                <c:pt idx="56">
                  <c:v>40.11279296875</c:v>
                </c:pt>
                <c:pt idx="57">
                  <c:v>34.315505981445313</c:v>
                </c:pt>
                <c:pt idx="58">
                  <c:v>28.845478057861328</c:v>
                </c:pt>
                <c:pt idx="59">
                  <c:v>24.051870346069336</c:v>
                </c:pt>
                <c:pt idx="60">
                  <c:v>19.892852783203125</c:v>
                </c:pt>
                <c:pt idx="61">
                  <c:v>16.245519638061523</c:v>
                </c:pt>
                <c:pt idx="62">
                  <c:v>13.263455390930176</c:v>
                </c:pt>
                <c:pt idx="63">
                  <c:v>10.813292503356934</c:v>
                </c:pt>
                <c:pt idx="64">
                  <c:v>8.9083471298217773</c:v>
                </c:pt>
                <c:pt idx="65">
                  <c:v>7.3913211822509766</c:v>
                </c:pt>
                <c:pt idx="66">
                  <c:v>6.3024849891662598</c:v>
                </c:pt>
                <c:pt idx="67">
                  <c:v>5.4438619613647461</c:v>
                </c:pt>
                <c:pt idx="68">
                  <c:v>4.8650102615356445</c:v>
                </c:pt>
                <c:pt idx="69">
                  <c:v>4.4629788398742676</c:v>
                </c:pt>
                <c:pt idx="70">
                  <c:v>4.1496071815490723</c:v>
                </c:pt>
                <c:pt idx="71">
                  <c:v>3.8975455760955811</c:v>
                </c:pt>
                <c:pt idx="72">
                  <c:v>3.7614214420318604</c:v>
                </c:pt>
                <c:pt idx="73">
                  <c:v>3.7014164924621582</c:v>
                </c:pt>
                <c:pt idx="74">
                  <c:v>3.5970320701599121</c:v>
                </c:pt>
                <c:pt idx="75">
                  <c:v>3.5111398696899414</c:v>
                </c:pt>
                <c:pt idx="76">
                  <c:v>3.4823429584503174</c:v>
                </c:pt>
                <c:pt idx="77">
                  <c:v>3.4174683094024658</c:v>
                </c:pt>
                <c:pt idx="78">
                  <c:v>3.3806784152984619</c:v>
                </c:pt>
                <c:pt idx="79">
                  <c:v>3.3742659091949463</c:v>
                </c:pt>
                <c:pt idx="80">
                  <c:v>3.3405942916870117</c:v>
                </c:pt>
                <c:pt idx="81">
                  <c:v>3.3087360858917236</c:v>
                </c:pt>
                <c:pt idx="82">
                  <c:v>3.3132641315460205</c:v>
                </c:pt>
                <c:pt idx="83">
                  <c:v>3.2857820987701416</c:v>
                </c:pt>
                <c:pt idx="84">
                  <c:v>3.2456979751586914</c:v>
                </c:pt>
                <c:pt idx="85">
                  <c:v>3.2667155265808105</c:v>
                </c:pt>
                <c:pt idx="86">
                  <c:v>3.2308559417724609</c:v>
                </c:pt>
                <c:pt idx="87">
                  <c:v>3.1708462238311768</c:v>
                </c:pt>
                <c:pt idx="88">
                  <c:v>3.1510770320892334</c:v>
                </c:pt>
                <c:pt idx="89">
                  <c:v>3.1898226737976074</c:v>
                </c:pt>
                <c:pt idx="90">
                  <c:v>3.1943268775939941</c:v>
                </c:pt>
                <c:pt idx="91">
                  <c:v>3.1674666404724121</c:v>
                </c:pt>
                <c:pt idx="92">
                  <c:v>3.2134125232696533</c:v>
                </c:pt>
                <c:pt idx="93">
                  <c:v>3.2506628036499023</c:v>
                </c:pt>
                <c:pt idx="94">
                  <c:v>3.2068102359771729</c:v>
                </c:pt>
                <c:pt idx="95">
                  <c:v>3.2023484706878662</c:v>
                </c:pt>
                <c:pt idx="96">
                  <c:v>3.1998898983001709</c:v>
                </c:pt>
                <c:pt idx="97">
                  <c:v>3.1863908767700195</c:v>
                </c:pt>
                <c:pt idx="98">
                  <c:v>3.1960024833679199</c:v>
                </c:pt>
                <c:pt idx="99">
                  <c:v>3.1828453540802002</c:v>
                </c:pt>
                <c:pt idx="100">
                  <c:v>3.166365385055542</c:v>
                </c:pt>
                <c:pt idx="101">
                  <c:v>3.1759533882141113</c:v>
                </c:pt>
                <c:pt idx="102">
                  <c:v>3.2083384990692139</c:v>
                </c:pt>
                <c:pt idx="103">
                  <c:v>3.2266883850097656</c:v>
                </c:pt>
                <c:pt idx="104">
                  <c:v>3.2235841751098633</c:v>
                </c:pt>
                <c:pt idx="105">
                  <c:v>3.2022774219512939</c:v>
                </c:pt>
                <c:pt idx="106">
                  <c:v>3.2065205574035645</c:v>
                </c:pt>
                <c:pt idx="107">
                  <c:v>3.226337194442749</c:v>
                </c:pt>
                <c:pt idx="108">
                  <c:v>3.2625954151153564</c:v>
                </c:pt>
                <c:pt idx="109">
                  <c:v>3.271594762802124</c:v>
                </c:pt>
                <c:pt idx="110">
                  <c:v>3.2504825592041016</c:v>
                </c:pt>
                <c:pt idx="111">
                  <c:v>3.278501033782959</c:v>
                </c:pt>
                <c:pt idx="112">
                  <c:v>3.3015687465667725</c:v>
                </c:pt>
                <c:pt idx="113">
                  <c:v>3.3224248886108398</c:v>
                </c:pt>
                <c:pt idx="114">
                  <c:v>3.3101077079772949</c:v>
                </c:pt>
                <c:pt idx="115">
                  <c:v>3.2656426429748535</c:v>
                </c:pt>
                <c:pt idx="116">
                  <c:v>3.2906138896942139</c:v>
                </c:pt>
                <c:pt idx="117">
                  <c:v>3.3383824825286865</c:v>
                </c:pt>
                <c:pt idx="118">
                  <c:v>3.3294875621795654</c:v>
                </c:pt>
                <c:pt idx="119">
                  <c:v>3.2976956367492676</c:v>
                </c:pt>
                <c:pt idx="120">
                  <c:v>3.2541420459747314</c:v>
                </c:pt>
                <c:pt idx="121">
                  <c:v>3.2370309829711914</c:v>
                </c:pt>
                <c:pt idx="122">
                  <c:v>3.2676410675048828</c:v>
                </c:pt>
                <c:pt idx="123">
                  <c:v>3.2802712917327881</c:v>
                </c:pt>
                <c:pt idx="124">
                  <c:v>3.2749505043029785</c:v>
                </c:pt>
                <c:pt idx="125">
                  <c:v>3.215287446975708</c:v>
                </c:pt>
                <c:pt idx="126">
                  <c:v>3.1989548206329346</c:v>
                </c:pt>
                <c:pt idx="127">
                  <c:v>3.2258388996124268</c:v>
                </c:pt>
                <c:pt idx="128">
                  <c:v>3.2417917251586914</c:v>
                </c:pt>
                <c:pt idx="129">
                  <c:v>3.2425179481506348</c:v>
                </c:pt>
                <c:pt idx="130">
                  <c:v>3.204674243927002</c:v>
                </c:pt>
                <c:pt idx="131">
                  <c:v>3.2113051414489746</c:v>
                </c:pt>
                <c:pt idx="132">
                  <c:v>3.217670202255249</c:v>
                </c:pt>
                <c:pt idx="133">
                  <c:v>3.1987981796264648</c:v>
                </c:pt>
                <c:pt idx="134">
                  <c:v>3.2090599536895752</c:v>
                </c:pt>
                <c:pt idx="135">
                  <c:v>3.1303586959838867</c:v>
                </c:pt>
                <c:pt idx="136">
                  <c:v>2.3984191417694092</c:v>
                </c:pt>
                <c:pt idx="137">
                  <c:v>2</c:v>
                </c:pt>
                <c:pt idx="138">
                  <c:v>2.6009368896484375</c:v>
                </c:pt>
                <c:pt idx="139">
                  <c:v>3.054861307144165</c:v>
                </c:pt>
                <c:pt idx="140">
                  <c:v>3.0270516872406006</c:v>
                </c:pt>
                <c:pt idx="141">
                  <c:v>2.9647257328033447</c:v>
                </c:pt>
                <c:pt idx="142">
                  <c:v>2.9914627075195313</c:v>
                </c:pt>
                <c:pt idx="143">
                  <c:v>2.9447953701019287</c:v>
                </c:pt>
                <c:pt idx="144">
                  <c:v>2.8919196128845215</c:v>
                </c:pt>
                <c:pt idx="145">
                  <c:v>2.9365410804748535</c:v>
                </c:pt>
                <c:pt idx="146">
                  <c:v>3.0025172233581543</c:v>
                </c:pt>
                <c:pt idx="147">
                  <c:v>2.9195961952209473</c:v>
                </c:pt>
                <c:pt idx="148">
                  <c:v>2.8580629825592041</c:v>
                </c:pt>
                <c:pt idx="149">
                  <c:v>2.8682537078857422</c:v>
                </c:pt>
                <c:pt idx="150">
                  <c:v>2.9096286296844482</c:v>
                </c:pt>
                <c:pt idx="151">
                  <c:v>2.9201231002807617</c:v>
                </c:pt>
                <c:pt idx="152">
                  <c:v>2.8486080169677734</c:v>
                </c:pt>
                <c:pt idx="153">
                  <c:v>2.8138589859008789</c:v>
                </c:pt>
                <c:pt idx="154">
                  <c:v>2.8368415832519531</c:v>
                </c:pt>
                <c:pt idx="155">
                  <c:v>2.8205230236053467</c:v>
                </c:pt>
                <c:pt idx="156">
                  <c:v>2.8181402683258057</c:v>
                </c:pt>
                <c:pt idx="157">
                  <c:v>2.8458406925201416</c:v>
                </c:pt>
                <c:pt idx="158">
                  <c:v>2.81884765625</c:v>
                </c:pt>
                <c:pt idx="159">
                  <c:v>2.7856745719909668</c:v>
                </c:pt>
                <c:pt idx="160">
                  <c:v>2.8138210773468018</c:v>
                </c:pt>
                <c:pt idx="161">
                  <c:v>2.8847522735595703</c:v>
                </c:pt>
                <c:pt idx="162">
                  <c:v>2.8527278900146484</c:v>
                </c:pt>
                <c:pt idx="163">
                  <c:v>2.8077075481414795</c:v>
                </c:pt>
                <c:pt idx="164">
                  <c:v>2.7719762325286865</c:v>
                </c:pt>
                <c:pt idx="165">
                  <c:v>2.790050745010376</c:v>
                </c:pt>
                <c:pt idx="166">
                  <c:v>2.7866427898406982</c:v>
                </c:pt>
                <c:pt idx="167">
                  <c:v>2.8113718032836914</c:v>
                </c:pt>
                <c:pt idx="168">
                  <c:v>2.870816707611084</c:v>
                </c:pt>
                <c:pt idx="169">
                  <c:v>2.7490365505218506</c:v>
                </c:pt>
                <c:pt idx="170">
                  <c:v>2.7575278282165527</c:v>
                </c:pt>
                <c:pt idx="171">
                  <c:v>2.8696396350860596</c:v>
                </c:pt>
                <c:pt idx="172">
                  <c:v>2.8767404556274414</c:v>
                </c:pt>
                <c:pt idx="173">
                  <c:v>2.821230411529541</c:v>
                </c:pt>
                <c:pt idx="174">
                  <c:v>2.7232441902160645</c:v>
                </c:pt>
                <c:pt idx="175">
                  <c:v>2.7292294502258301</c:v>
                </c:pt>
                <c:pt idx="176">
                  <c:v>2.767338752746582</c:v>
                </c:pt>
                <c:pt idx="177">
                  <c:v>2.7655067443847656</c:v>
                </c:pt>
                <c:pt idx="178">
                  <c:v>2.7545993328094482</c:v>
                </c:pt>
                <c:pt idx="179">
                  <c:v>2.7312371730804443</c:v>
                </c:pt>
                <c:pt idx="180">
                  <c:v>2.7324855327606201</c:v>
                </c:pt>
                <c:pt idx="181">
                  <c:v>2.7106375694274902</c:v>
                </c:pt>
                <c:pt idx="182">
                  <c:v>2.6916515827178955</c:v>
                </c:pt>
                <c:pt idx="183">
                  <c:v>2.6920406818389893</c:v>
                </c:pt>
                <c:pt idx="184">
                  <c:v>2.6634955406188965</c:v>
                </c:pt>
                <c:pt idx="185">
                  <c:v>2.6697561740875244</c:v>
                </c:pt>
                <c:pt idx="186">
                  <c:v>2.7498624324798584</c:v>
                </c:pt>
                <c:pt idx="187">
                  <c:v>2.7625827789306641</c:v>
                </c:pt>
                <c:pt idx="188">
                  <c:v>2.7003564834594727</c:v>
                </c:pt>
                <c:pt idx="189">
                  <c:v>2.7631571292877197</c:v>
                </c:pt>
                <c:pt idx="190">
                  <c:v>2.8276143074035645</c:v>
                </c:pt>
                <c:pt idx="191">
                  <c:v>2.8413887023925781</c:v>
                </c:pt>
                <c:pt idx="192">
                  <c:v>2.8146231174468994</c:v>
                </c:pt>
                <c:pt idx="193">
                  <c:v>2.8135316371917725</c:v>
                </c:pt>
                <c:pt idx="194">
                  <c:v>2.8076744079589844</c:v>
                </c:pt>
                <c:pt idx="195">
                  <c:v>2.7830734252929688</c:v>
                </c:pt>
                <c:pt idx="196">
                  <c:v>2.8579680919647217</c:v>
                </c:pt>
                <c:pt idx="197">
                  <c:v>2.8403110504150391</c:v>
                </c:pt>
                <c:pt idx="198">
                  <c:v>2.8049118518829346</c:v>
                </c:pt>
                <c:pt idx="199">
                  <c:v>2.8222177028656006</c:v>
                </c:pt>
                <c:pt idx="200">
                  <c:v>2.8574221134185791</c:v>
                </c:pt>
                <c:pt idx="201">
                  <c:v>2.8462395668029785</c:v>
                </c:pt>
                <c:pt idx="202">
                  <c:v>2.80607008934021</c:v>
                </c:pt>
                <c:pt idx="203">
                  <c:v>2.8001084327697754</c:v>
                </c:pt>
                <c:pt idx="204">
                  <c:v>2.7899131774902344</c:v>
                </c:pt>
                <c:pt idx="205">
                  <c:v>2.85479736328125</c:v>
                </c:pt>
                <c:pt idx="206">
                  <c:v>2.8204994201660156</c:v>
                </c:pt>
                <c:pt idx="207">
                  <c:v>2.8412034511566162</c:v>
                </c:pt>
                <c:pt idx="208">
                  <c:v>2.8242728710174561</c:v>
                </c:pt>
                <c:pt idx="209">
                  <c:v>2.7965772151947021</c:v>
                </c:pt>
                <c:pt idx="210">
                  <c:v>2.8137879371643066</c:v>
                </c:pt>
                <c:pt idx="211">
                  <c:v>2.8607685565948486</c:v>
                </c:pt>
                <c:pt idx="212">
                  <c:v>2.9061875343322754</c:v>
                </c:pt>
                <c:pt idx="213">
                  <c:v>2.8740823268890381</c:v>
                </c:pt>
                <c:pt idx="214">
                  <c:v>2.8738212585449219</c:v>
                </c:pt>
                <c:pt idx="215">
                  <c:v>2.80413818359375</c:v>
                </c:pt>
                <c:pt idx="216">
                  <c:v>2.8538527488708496</c:v>
                </c:pt>
                <c:pt idx="217">
                  <c:v>2.8873913288116455</c:v>
                </c:pt>
                <c:pt idx="218">
                  <c:v>2.8988113403320313</c:v>
                </c:pt>
                <c:pt idx="219">
                  <c:v>3.063946008682251</c:v>
                </c:pt>
                <c:pt idx="220">
                  <c:v>2.9601976871490479</c:v>
                </c:pt>
                <c:pt idx="221">
                  <c:v>2.94248366355896</c:v>
                </c:pt>
                <c:pt idx="222">
                  <c:v>3.0297713279724121</c:v>
                </c:pt>
                <c:pt idx="223">
                  <c:v>2.9079437255859375</c:v>
                </c:pt>
                <c:pt idx="224">
                  <c:v>2.8642427921295166</c:v>
                </c:pt>
                <c:pt idx="225">
                  <c:v>2.9067049026489258</c:v>
                </c:pt>
              </c:numCache>
            </c:numRef>
          </c:yVal>
          <c:smooth val="1"/>
          <c:extLst>
            <c:ext xmlns:c16="http://schemas.microsoft.com/office/drawing/2014/chart" uri="{C3380CC4-5D6E-409C-BE32-E72D297353CC}">
              <c16:uniqueId val="{00000007-C55B-4A1A-87F7-276FE06EA34B}"/>
            </c:ext>
          </c:extLst>
        </c:ser>
        <c:ser>
          <c:idx val="8"/>
          <c:order val="8"/>
          <c:tx>
            <c:v>9</c:v>
          </c:tx>
          <c:spPr>
            <a:ln w="19050" cap="rnd">
              <a:noFill/>
              <a:round/>
            </a:ln>
            <a:effectLst/>
            <a:extLst>
              <a:ext uri="{91240B29-F687-4F45-9708-019B960494DF}">
                <a14:hiddenLine xmlns:a14="http://schemas.microsoft.com/office/drawing/2010/main" w="19050" cap="rnd">
                  <a:solidFill>
                    <a:srgbClr val="A5A5A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NormalisedUVVisData!$J$2:$J$300</c:f>
              <c:numCache>
                <c:formatCode>General</c:formatCode>
                <c:ptCount val="299"/>
                <c:pt idx="0">
                  <c:v>85.706321716308594</c:v>
                </c:pt>
                <c:pt idx="1">
                  <c:v>82.322235107421875</c:v>
                </c:pt>
                <c:pt idx="2">
                  <c:v>83.28570556640625</c:v>
                </c:pt>
                <c:pt idx="3">
                  <c:v>85.857162475585938</c:v>
                </c:pt>
                <c:pt idx="4">
                  <c:v>88.922981262207031</c:v>
                </c:pt>
                <c:pt idx="5">
                  <c:v>91.148361206054688</c:v>
                </c:pt>
                <c:pt idx="6">
                  <c:v>93.065414428710938</c:v>
                </c:pt>
                <c:pt idx="7">
                  <c:v>95.316642761230469</c:v>
                </c:pt>
                <c:pt idx="8">
                  <c:v>97.875717163085938</c:v>
                </c:pt>
                <c:pt idx="9">
                  <c:v>99.769630432128906</c:v>
                </c:pt>
                <c:pt idx="10">
                  <c:v>99.999992370605469</c:v>
                </c:pt>
                <c:pt idx="11">
                  <c:v>99.462799072265625</c:v>
                </c:pt>
                <c:pt idx="12">
                  <c:v>97.926139831542969</c:v>
                </c:pt>
                <c:pt idx="13">
                  <c:v>94.762535095214844</c:v>
                </c:pt>
                <c:pt idx="14">
                  <c:v>90.137451171875</c:v>
                </c:pt>
                <c:pt idx="15">
                  <c:v>85.135696411132813</c:v>
                </c:pt>
                <c:pt idx="16">
                  <c:v>80.506759643554688</c:v>
                </c:pt>
                <c:pt idx="17">
                  <c:v>75.618690490722656</c:v>
                </c:pt>
                <c:pt idx="18">
                  <c:v>71.046127319335938</c:v>
                </c:pt>
                <c:pt idx="19">
                  <c:v>66.003562927246094</c:v>
                </c:pt>
                <c:pt idx="20">
                  <c:v>60.251853942871094</c:v>
                </c:pt>
                <c:pt idx="21">
                  <c:v>54.003753662109375</c:v>
                </c:pt>
                <c:pt idx="22">
                  <c:v>47.595542907714844</c:v>
                </c:pt>
                <c:pt idx="23">
                  <c:v>41.832935333251953</c:v>
                </c:pt>
                <c:pt idx="24">
                  <c:v>37.20758056640625</c:v>
                </c:pt>
                <c:pt idx="25">
                  <c:v>34.155704498291016</c:v>
                </c:pt>
                <c:pt idx="26">
                  <c:v>32.442481994628906</c:v>
                </c:pt>
                <c:pt idx="27">
                  <c:v>31.391443252563477</c:v>
                </c:pt>
                <c:pt idx="28">
                  <c:v>31.142202377319336</c:v>
                </c:pt>
                <c:pt idx="29">
                  <c:v>31.143421173095703</c:v>
                </c:pt>
                <c:pt idx="30">
                  <c:v>31.164939880371094</c:v>
                </c:pt>
                <c:pt idx="31">
                  <c:v>31.645490646362305</c:v>
                </c:pt>
                <c:pt idx="32">
                  <c:v>32.846424102783203</c:v>
                </c:pt>
                <c:pt idx="33">
                  <c:v>34.149345397949219</c:v>
                </c:pt>
                <c:pt idx="34">
                  <c:v>35.668956756591797</c:v>
                </c:pt>
                <c:pt idx="35">
                  <c:v>37.481254577636719</c:v>
                </c:pt>
                <c:pt idx="36">
                  <c:v>39.019271850585938</c:v>
                </c:pt>
                <c:pt idx="37">
                  <c:v>40.868789672851563</c:v>
                </c:pt>
                <c:pt idx="38">
                  <c:v>42.722572326660156</c:v>
                </c:pt>
                <c:pt idx="39">
                  <c:v>44.729228973388672</c:v>
                </c:pt>
                <c:pt idx="40">
                  <c:v>46.511478424072266</c:v>
                </c:pt>
                <c:pt idx="41">
                  <c:v>48.246292114257813</c:v>
                </c:pt>
                <c:pt idx="42">
                  <c:v>49.475513458251953</c:v>
                </c:pt>
                <c:pt idx="43">
                  <c:v>50.647483825683594</c:v>
                </c:pt>
                <c:pt idx="44">
                  <c:v>51.672264099121094</c:v>
                </c:pt>
                <c:pt idx="45">
                  <c:v>51.029705047607422</c:v>
                </c:pt>
                <c:pt idx="46">
                  <c:v>49.900775909423828</c:v>
                </c:pt>
                <c:pt idx="47">
                  <c:v>49.076580047607422</c:v>
                </c:pt>
                <c:pt idx="48">
                  <c:v>48.138893127441406</c:v>
                </c:pt>
                <c:pt idx="49">
                  <c:v>46.245048522949219</c:v>
                </c:pt>
                <c:pt idx="50">
                  <c:v>44.210170745849609</c:v>
                </c:pt>
                <c:pt idx="51">
                  <c:v>42.207847595214844</c:v>
                </c:pt>
                <c:pt idx="52">
                  <c:v>39.399188995361328</c:v>
                </c:pt>
                <c:pt idx="53">
                  <c:v>36.651779174804688</c:v>
                </c:pt>
                <c:pt idx="54">
                  <c:v>34.029293060302734</c:v>
                </c:pt>
                <c:pt idx="55">
                  <c:v>31.588644027709961</c:v>
                </c:pt>
                <c:pt idx="56">
                  <c:v>29.542263031005859</c:v>
                </c:pt>
                <c:pt idx="57">
                  <c:v>27.250972747802734</c:v>
                </c:pt>
                <c:pt idx="58">
                  <c:v>24.952844619750977</c:v>
                </c:pt>
                <c:pt idx="59">
                  <c:v>22.835880279541016</c:v>
                </c:pt>
                <c:pt idx="60">
                  <c:v>20.357538223266602</c:v>
                </c:pt>
                <c:pt idx="61">
                  <c:v>17.890499114990234</c:v>
                </c:pt>
                <c:pt idx="62">
                  <c:v>16.241767883300781</c:v>
                </c:pt>
                <c:pt idx="63">
                  <c:v>15.700716972351074</c:v>
                </c:pt>
                <c:pt idx="64">
                  <c:v>14.97214412689209</c:v>
                </c:pt>
                <c:pt idx="65">
                  <c:v>13.028017044067383</c:v>
                </c:pt>
                <c:pt idx="66">
                  <c:v>11.553342819213867</c:v>
                </c:pt>
                <c:pt idx="67">
                  <c:v>10.068449020385742</c:v>
                </c:pt>
                <c:pt idx="68">
                  <c:v>8.8612203598022461</c:v>
                </c:pt>
                <c:pt idx="69">
                  <c:v>8.0632810592651367</c:v>
                </c:pt>
                <c:pt idx="70">
                  <c:v>7.1092190742492676</c:v>
                </c:pt>
                <c:pt idx="71">
                  <c:v>6.7197580337524414</c:v>
                </c:pt>
                <c:pt idx="72">
                  <c:v>6.5203237533569336</c:v>
                </c:pt>
                <c:pt idx="73">
                  <c:v>6.688018798828125</c:v>
                </c:pt>
                <c:pt idx="74">
                  <c:v>6.7697687149047852</c:v>
                </c:pt>
                <c:pt idx="75">
                  <c:v>6.7050728797912598</c:v>
                </c:pt>
                <c:pt idx="76">
                  <c:v>6.3543205261230469</c:v>
                </c:pt>
                <c:pt idx="77">
                  <c:v>5.8431820869445801</c:v>
                </c:pt>
                <c:pt idx="78">
                  <c:v>6.1096806526184082</c:v>
                </c:pt>
                <c:pt idx="79">
                  <c:v>6.535888671875</c:v>
                </c:pt>
                <c:pt idx="80">
                  <c:v>6.6290073394775391</c:v>
                </c:pt>
                <c:pt idx="81">
                  <c:v>7.3694238662719727</c:v>
                </c:pt>
                <c:pt idx="82">
                  <c:v>7.1794643402099609</c:v>
                </c:pt>
                <c:pt idx="83">
                  <c:v>6.738368034362793</c:v>
                </c:pt>
                <c:pt idx="84">
                  <c:v>6.8486762046813965</c:v>
                </c:pt>
                <c:pt idx="85">
                  <c:v>7.0895938873291016</c:v>
                </c:pt>
                <c:pt idx="86">
                  <c:v>7.0083856582641602</c:v>
                </c:pt>
                <c:pt idx="87">
                  <c:v>6.6476178169250488</c:v>
                </c:pt>
                <c:pt idx="88">
                  <c:v>7.3287525177001953</c:v>
                </c:pt>
                <c:pt idx="89">
                  <c:v>7.9279341697692871</c:v>
                </c:pt>
                <c:pt idx="90">
                  <c:v>8.0335721969604492</c:v>
                </c:pt>
                <c:pt idx="91">
                  <c:v>7.8070693016052246</c:v>
                </c:pt>
                <c:pt idx="92">
                  <c:v>7.0409364700317383</c:v>
                </c:pt>
                <c:pt idx="93">
                  <c:v>6.9501862525939941</c:v>
                </c:pt>
                <c:pt idx="94">
                  <c:v>6.8389987945556641</c:v>
                </c:pt>
                <c:pt idx="95">
                  <c:v>6.8567290306091309</c:v>
                </c:pt>
                <c:pt idx="96">
                  <c:v>7.3555512428283691</c:v>
                </c:pt>
                <c:pt idx="97">
                  <c:v>6.9068074226379395</c:v>
                </c:pt>
                <c:pt idx="98">
                  <c:v>6.0512104034423828</c:v>
                </c:pt>
                <c:pt idx="99">
                  <c:v>6.1848659515380859</c:v>
                </c:pt>
                <c:pt idx="100">
                  <c:v>6.7351198196411133</c:v>
                </c:pt>
                <c:pt idx="101">
                  <c:v>6.3677201271057129</c:v>
                </c:pt>
                <c:pt idx="102">
                  <c:v>5.5029191970825195</c:v>
                </c:pt>
                <c:pt idx="103">
                  <c:v>6.2809624671936035</c:v>
                </c:pt>
                <c:pt idx="104">
                  <c:v>6.6131043434143066</c:v>
                </c:pt>
                <c:pt idx="105">
                  <c:v>6.1664586067199707</c:v>
                </c:pt>
                <c:pt idx="106">
                  <c:v>6.2932791709899902</c:v>
                </c:pt>
                <c:pt idx="107">
                  <c:v>6.0081024169921875</c:v>
                </c:pt>
                <c:pt idx="108">
                  <c:v>5.8297824859619141</c:v>
                </c:pt>
                <c:pt idx="109">
                  <c:v>6.0042452812194824</c:v>
                </c:pt>
                <c:pt idx="110">
                  <c:v>5.806300163269043</c:v>
                </c:pt>
                <c:pt idx="111">
                  <c:v>6.1929192543029785</c:v>
                </c:pt>
                <c:pt idx="112">
                  <c:v>6.4212498664855957</c:v>
                </c:pt>
                <c:pt idx="113">
                  <c:v>5.989018440246582</c:v>
                </c:pt>
                <c:pt idx="114">
                  <c:v>5.918705940246582</c:v>
                </c:pt>
                <c:pt idx="115">
                  <c:v>6.1489310264587402</c:v>
                </c:pt>
                <c:pt idx="116">
                  <c:v>6.0616321563720703</c:v>
                </c:pt>
                <c:pt idx="117">
                  <c:v>6.1400661468505859</c:v>
                </c:pt>
                <c:pt idx="118">
                  <c:v>6.8954381942749023</c:v>
                </c:pt>
                <c:pt idx="119">
                  <c:v>6.7537298202514648</c:v>
                </c:pt>
                <c:pt idx="120">
                  <c:v>6.3060693740844727</c:v>
                </c:pt>
                <c:pt idx="121">
                  <c:v>6.4437174797058105</c:v>
                </c:pt>
                <c:pt idx="122">
                  <c:v>7.1538839340209961</c:v>
                </c:pt>
                <c:pt idx="123">
                  <c:v>7.187720775604248</c:v>
                </c:pt>
                <c:pt idx="124">
                  <c:v>6.4008798599243164</c:v>
                </c:pt>
                <c:pt idx="125">
                  <c:v>6.3009262084960938</c:v>
                </c:pt>
                <c:pt idx="126">
                  <c:v>6.7016215324401855</c:v>
                </c:pt>
                <c:pt idx="127">
                  <c:v>7.1019105911254883</c:v>
                </c:pt>
                <c:pt idx="128">
                  <c:v>7.1313486099243164</c:v>
                </c:pt>
                <c:pt idx="129">
                  <c:v>6.5624842643737793</c:v>
                </c:pt>
                <c:pt idx="130">
                  <c:v>6.7232093811035156</c:v>
                </c:pt>
                <c:pt idx="131">
                  <c:v>7.2341446876525879</c:v>
                </c:pt>
                <c:pt idx="132">
                  <c:v>7.1766219139099121</c:v>
                </c:pt>
                <c:pt idx="133">
                  <c:v>6.5894861221313477</c:v>
                </c:pt>
                <c:pt idx="134">
                  <c:v>6.7158327102661133</c:v>
                </c:pt>
                <c:pt idx="135">
                  <c:v>7.2208127975463867</c:v>
                </c:pt>
                <c:pt idx="136">
                  <c:v>5.8565139770507813</c:v>
                </c:pt>
                <c:pt idx="137">
                  <c:v>5.4091916084289551</c:v>
                </c:pt>
                <c:pt idx="138">
                  <c:v>6.3713741302490234</c:v>
                </c:pt>
                <c:pt idx="139">
                  <c:v>6.8369007110595703</c:v>
                </c:pt>
                <c:pt idx="140">
                  <c:v>6.7237505912780762</c:v>
                </c:pt>
                <c:pt idx="141">
                  <c:v>7.3535885810852051</c:v>
                </c:pt>
                <c:pt idx="142">
                  <c:v>7.2886896133422852</c:v>
                </c:pt>
                <c:pt idx="143">
                  <c:v>6.9318466186523438</c:v>
                </c:pt>
                <c:pt idx="144">
                  <c:v>6.3723893165588379</c:v>
                </c:pt>
                <c:pt idx="145">
                  <c:v>6.1699099540710449</c:v>
                </c:pt>
                <c:pt idx="146">
                  <c:v>6.0658283233642578</c:v>
                </c:pt>
                <c:pt idx="147">
                  <c:v>7.1601095199584961</c:v>
                </c:pt>
                <c:pt idx="148">
                  <c:v>8.6108283996582031</c:v>
                </c:pt>
                <c:pt idx="149">
                  <c:v>8.1891536712646484</c:v>
                </c:pt>
                <c:pt idx="150">
                  <c:v>6.7716636657714844</c:v>
                </c:pt>
                <c:pt idx="151">
                  <c:v>6.116447925567627</c:v>
                </c:pt>
                <c:pt idx="152">
                  <c:v>5.6696672439575195</c:v>
                </c:pt>
                <c:pt idx="153">
                  <c:v>6.1952877044677734</c:v>
                </c:pt>
                <c:pt idx="154">
                  <c:v>6.2221541404724121</c:v>
                </c:pt>
                <c:pt idx="155">
                  <c:v>5.7763204574584961</c:v>
                </c:pt>
                <c:pt idx="156">
                  <c:v>5.9928760528564453</c:v>
                </c:pt>
                <c:pt idx="157">
                  <c:v>5.9767694473266602</c:v>
                </c:pt>
                <c:pt idx="158">
                  <c:v>6.4126553535461426</c:v>
                </c:pt>
                <c:pt idx="159">
                  <c:v>5.7564244270324707</c:v>
                </c:pt>
                <c:pt idx="160">
                  <c:v>5.2968535423278809</c:v>
                </c:pt>
                <c:pt idx="161">
                  <c:v>6.2814359664916992</c:v>
                </c:pt>
                <c:pt idx="162">
                  <c:v>6.0705652236938477</c:v>
                </c:pt>
                <c:pt idx="163">
                  <c:v>5.875056266784668</c:v>
                </c:pt>
                <c:pt idx="164">
                  <c:v>5.3315019607543945</c:v>
                </c:pt>
                <c:pt idx="165">
                  <c:v>3.8614969253540039</c:v>
                </c:pt>
                <c:pt idx="166">
                  <c:v>4.0601863861083984</c:v>
                </c:pt>
                <c:pt idx="167">
                  <c:v>3.0514442920684814</c:v>
                </c:pt>
                <c:pt idx="168">
                  <c:v>2</c:v>
                </c:pt>
                <c:pt idx="169">
                  <c:v>3.5818018913269043</c:v>
                </c:pt>
                <c:pt idx="170">
                  <c:v>4.1332740783691406</c:v>
                </c:pt>
                <c:pt idx="171">
                  <c:v>4.428736686706543</c:v>
                </c:pt>
                <c:pt idx="172">
                  <c:v>4.2402658462524414</c:v>
                </c:pt>
                <c:pt idx="173">
                  <c:v>3.8483681678771973</c:v>
                </c:pt>
                <c:pt idx="174">
                  <c:v>5.0049095153808594</c:v>
                </c:pt>
                <c:pt idx="175">
                  <c:v>5.4108834266662598</c:v>
                </c:pt>
                <c:pt idx="176">
                  <c:v>3.5662369728088379</c:v>
                </c:pt>
                <c:pt idx="177">
                  <c:v>4.3604540824890137</c:v>
                </c:pt>
                <c:pt idx="178">
                  <c:v>5.4945278167724609</c:v>
                </c:pt>
                <c:pt idx="179">
                  <c:v>3.7552492618560791</c:v>
                </c:pt>
                <c:pt idx="180">
                  <c:v>3.7597157955169678</c:v>
                </c:pt>
                <c:pt idx="181">
                  <c:v>3.742729663848877</c:v>
                </c:pt>
                <c:pt idx="182">
                  <c:v>4.1775999069213867</c:v>
                </c:pt>
                <c:pt idx="183">
                  <c:v>5.2493462562561035</c:v>
                </c:pt>
                <c:pt idx="184">
                  <c:v>3.651911735534668</c:v>
                </c:pt>
                <c:pt idx="185">
                  <c:v>3.1978898048400879</c:v>
                </c:pt>
                <c:pt idx="186">
                  <c:v>4.4225783348083496</c:v>
                </c:pt>
                <c:pt idx="187">
                  <c:v>4.2525148391723633</c:v>
                </c:pt>
                <c:pt idx="188">
                  <c:v>4.528961181640625</c:v>
                </c:pt>
                <c:pt idx="189">
                  <c:v>4.0584945678710938</c:v>
                </c:pt>
                <c:pt idx="190">
                  <c:v>4.0448923110961914</c:v>
                </c:pt>
                <c:pt idx="191">
                  <c:v>4.7106647491455078</c:v>
                </c:pt>
                <c:pt idx="192">
                  <c:v>4.3714170455932617</c:v>
                </c:pt>
                <c:pt idx="193">
                  <c:v>4.507779598236084</c:v>
                </c:pt>
                <c:pt idx="194">
                  <c:v>4.3779816627502441</c:v>
                </c:pt>
                <c:pt idx="195">
                  <c:v>4.5694975852966309</c:v>
                </c:pt>
                <c:pt idx="196">
                  <c:v>5.375760555267334</c:v>
                </c:pt>
                <c:pt idx="197">
                  <c:v>4.8534560203552246</c:v>
                </c:pt>
                <c:pt idx="198">
                  <c:v>5.2257962226867676</c:v>
                </c:pt>
                <c:pt idx="199">
                  <c:v>5.0594544410705566</c:v>
                </c:pt>
                <c:pt idx="200">
                  <c:v>5.5413579940795898</c:v>
                </c:pt>
                <c:pt idx="201">
                  <c:v>5.0576949119567871</c:v>
                </c:pt>
                <c:pt idx="202">
                  <c:v>4.5167121887207031</c:v>
                </c:pt>
                <c:pt idx="203">
                  <c:v>5.0618906021118164</c:v>
                </c:pt>
                <c:pt idx="204">
                  <c:v>5.6444249153137207</c:v>
                </c:pt>
                <c:pt idx="205">
                  <c:v>5.7273249626159668</c:v>
                </c:pt>
                <c:pt idx="206">
                  <c:v>5.8199024200439453</c:v>
                </c:pt>
                <c:pt idx="207">
                  <c:v>6.3953309059143066</c:v>
                </c:pt>
                <c:pt idx="208">
                  <c:v>5.7116246223449707</c:v>
                </c:pt>
                <c:pt idx="209">
                  <c:v>5.7566275596618652</c:v>
                </c:pt>
                <c:pt idx="210">
                  <c:v>5.5622692108154297</c:v>
                </c:pt>
                <c:pt idx="211">
                  <c:v>6.6168937683105469</c:v>
                </c:pt>
                <c:pt idx="212">
                  <c:v>6.8704667091369629</c:v>
                </c:pt>
                <c:pt idx="213">
                  <c:v>6.2935495376586914</c:v>
                </c:pt>
                <c:pt idx="214">
                  <c:v>6.0049896240234375</c:v>
                </c:pt>
                <c:pt idx="215">
                  <c:v>4.8544712066650391</c:v>
                </c:pt>
                <c:pt idx="216">
                  <c:v>4.7191915512084961</c:v>
                </c:pt>
                <c:pt idx="217">
                  <c:v>4.7014613151550293</c:v>
                </c:pt>
                <c:pt idx="218">
                  <c:v>5.7931036949157715</c:v>
                </c:pt>
                <c:pt idx="219">
                  <c:v>8.7874565124511719</c:v>
                </c:pt>
                <c:pt idx="220">
                  <c:v>8.0481224060058594</c:v>
                </c:pt>
                <c:pt idx="221">
                  <c:v>8.0601005554199219</c:v>
                </c:pt>
                <c:pt idx="222">
                  <c:v>6.7901382446289063</c:v>
                </c:pt>
                <c:pt idx="223">
                  <c:v>5.1322712898254395</c:v>
                </c:pt>
                <c:pt idx="224">
                  <c:v>5.564908504486084</c:v>
                </c:pt>
                <c:pt idx="225">
                  <c:v>4.7432160377502441</c:v>
                </c:pt>
              </c:numCache>
            </c:numRef>
          </c:yVal>
          <c:smooth val="1"/>
          <c:extLst>
            <c:ext xmlns:c16="http://schemas.microsoft.com/office/drawing/2014/chart" uri="{C3380CC4-5D6E-409C-BE32-E72D297353CC}">
              <c16:uniqueId val="{00000008-C55B-4A1A-87F7-276FE06EA34B}"/>
            </c:ext>
          </c:extLst>
        </c:ser>
        <c:ser>
          <c:idx val="9"/>
          <c:order val="9"/>
          <c:tx>
            <c:v>10</c:v>
          </c:tx>
          <c:spPr>
            <a:ln w="19050" cap="rnd">
              <a:noFill/>
              <a:round/>
            </a:ln>
            <a:effectLst/>
            <a:extLst>
              <a:ext uri="{91240B29-F687-4F45-9708-019B960494DF}">
                <a14:hiddenLine xmlns:a14="http://schemas.microsoft.com/office/drawing/2010/main" w="19050" cap="rnd">
                  <a:solidFill>
                    <a:srgbClr val="FFC000">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NormalisedUVVisData!$K$2:$K$300</c:f>
              <c:numCache>
                <c:formatCode>General</c:formatCode>
                <c:ptCount val="299"/>
                <c:pt idx="0">
                  <c:v>97.231666564941406</c:v>
                </c:pt>
                <c:pt idx="1">
                  <c:v>97.702461242675781</c:v>
                </c:pt>
                <c:pt idx="2">
                  <c:v>99.214935302734375</c:v>
                </c:pt>
                <c:pt idx="3">
                  <c:v>99.824020385742188</c:v>
                </c:pt>
                <c:pt idx="4">
                  <c:v>100</c:v>
                </c:pt>
                <c:pt idx="5">
                  <c:v>99.652313232421875</c:v>
                </c:pt>
                <c:pt idx="6">
                  <c:v>98.9683837890625</c:v>
                </c:pt>
                <c:pt idx="7">
                  <c:v>98.498405456542969</c:v>
                </c:pt>
                <c:pt idx="8">
                  <c:v>98.147186279296875</c:v>
                </c:pt>
                <c:pt idx="9">
                  <c:v>97.258232116699219</c:v>
                </c:pt>
                <c:pt idx="10">
                  <c:v>95.807289123535156</c:v>
                </c:pt>
                <c:pt idx="11">
                  <c:v>93.949874877929688</c:v>
                </c:pt>
                <c:pt idx="12">
                  <c:v>91.768722534179688</c:v>
                </c:pt>
                <c:pt idx="13">
                  <c:v>89.120590209960938</c:v>
                </c:pt>
                <c:pt idx="14">
                  <c:v>85.748291015625</c:v>
                </c:pt>
                <c:pt idx="15">
                  <c:v>81.723762512207031</c:v>
                </c:pt>
                <c:pt idx="16">
                  <c:v>76.905647277832031</c:v>
                </c:pt>
                <c:pt idx="17">
                  <c:v>71.357810974121094</c:v>
                </c:pt>
                <c:pt idx="18">
                  <c:v>65.578315734863281</c:v>
                </c:pt>
                <c:pt idx="19">
                  <c:v>60.135082244873047</c:v>
                </c:pt>
                <c:pt idx="20">
                  <c:v>55.504207611083984</c:v>
                </c:pt>
                <c:pt idx="21">
                  <c:v>51.397102355957031</c:v>
                </c:pt>
                <c:pt idx="22">
                  <c:v>47.146720886230469</c:v>
                </c:pt>
                <c:pt idx="23">
                  <c:v>42.575309753417969</c:v>
                </c:pt>
                <c:pt idx="24">
                  <c:v>37.582221984863281</c:v>
                </c:pt>
                <c:pt idx="25">
                  <c:v>32.808620452880859</c:v>
                </c:pt>
                <c:pt idx="26">
                  <c:v>28.587545394897461</c:v>
                </c:pt>
                <c:pt idx="27">
                  <c:v>25.615516662597656</c:v>
                </c:pt>
                <c:pt idx="28">
                  <c:v>23.879838943481445</c:v>
                </c:pt>
                <c:pt idx="29">
                  <c:v>23.204858779907227</c:v>
                </c:pt>
                <c:pt idx="30">
                  <c:v>23.225648880004883</c:v>
                </c:pt>
                <c:pt idx="31">
                  <c:v>23.510608673095703</c:v>
                </c:pt>
                <c:pt idx="32">
                  <c:v>23.856014251708984</c:v>
                </c:pt>
                <c:pt idx="33">
                  <c:v>24.337192535400391</c:v>
                </c:pt>
                <c:pt idx="34">
                  <c:v>24.892753601074219</c:v>
                </c:pt>
                <c:pt idx="35">
                  <c:v>25.785102844238281</c:v>
                </c:pt>
                <c:pt idx="36">
                  <c:v>26.789627075195313</c:v>
                </c:pt>
                <c:pt idx="37">
                  <c:v>27.775093078613281</c:v>
                </c:pt>
                <c:pt idx="38">
                  <c:v>28.960758209228516</c:v>
                </c:pt>
                <c:pt idx="39">
                  <c:v>30.224231719970703</c:v>
                </c:pt>
                <c:pt idx="40">
                  <c:v>31.290050506591797</c:v>
                </c:pt>
                <c:pt idx="41">
                  <c:v>32.472843170166016</c:v>
                </c:pt>
                <c:pt idx="42">
                  <c:v>33.637065887451172</c:v>
                </c:pt>
                <c:pt idx="43">
                  <c:v>34.506175994873047</c:v>
                </c:pt>
                <c:pt idx="44">
                  <c:v>35.017837524414063</c:v>
                </c:pt>
                <c:pt idx="45">
                  <c:v>35.357044219970703</c:v>
                </c:pt>
                <c:pt idx="46">
                  <c:v>35.226329803466797</c:v>
                </c:pt>
                <c:pt idx="47">
                  <c:v>34.560222625732422</c:v>
                </c:pt>
                <c:pt idx="48">
                  <c:v>33.566829681396484</c:v>
                </c:pt>
                <c:pt idx="49">
                  <c:v>32.086181640625</c:v>
                </c:pt>
                <c:pt idx="50">
                  <c:v>30.36065673828125</c:v>
                </c:pt>
                <c:pt idx="51">
                  <c:v>28.61890983581543</c:v>
                </c:pt>
                <c:pt idx="52">
                  <c:v>26.873800277709961</c:v>
                </c:pt>
                <c:pt idx="53">
                  <c:v>25.270437240600586</c:v>
                </c:pt>
                <c:pt idx="54">
                  <c:v>23.721807479858398</c:v>
                </c:pt>
                <c:pt idx="55">
                  <c:v>22.41779899597168</c:v>
                </c:pt>
                <c:pt idx="56">
                  <c:v>21.288400650024414</c:v>
                </c:pt>
                <c:pt idx="57">
                  <c:v>20.456888198852539</c:v>
                </c:pt>
                <c:pt idx="58">
                  <c:v>19.873813629150391</c:v>
                </c:pt>
                <c:pt idx="59">
                  <c:v>19.463459014892578</c:v>
                </c:pt>
                <c:pt idx="60">
                  <c:v>19.045696258544922</c:v>
                </c:pt>
                <c:pt idx="61">
                  <c:v>18.761030197143555</c:v>
                </c:pt>
                <c:pt idx="62">
                  <c:v>18.8035888671875</c:v>
                </c:pt>
                <c:pt idx="63">
                  <c:v>18.808191299438477</c:v>
                </c:pt>
                <c:pt idx="64">
                  <c:v>18.647026062011719</c:v>
                </c:pt>
                <c:pt idx="65">
                  <c:v>18.388763427734375</c:v>
                </c:pt>
                <c:pt idx="66">
                  <c:v>18.357038497924805</c:v>
                </c:pt>
                <c:pt idx="67">
                  <c:v>18.289022445678711</c:v>
                </c:pt>
                <c:pt idx="68">
                  <c:v>18.130435943603516</c:v>
                </c:pt>
                <c:pt idx="69">
                  <c:v>17.972795486450195</c:v>
                </c:pt>
                <c:pt idx="70">
                  <c:v>17.610809326171875</c:v>
                </c:pt>
                <c:pt idx="71">
                  <c:v>17.46632194519043</c:v>
                </c:pt>
                <c:pt idx="72">
                  <c:v>17.511623382568359</c:v>
                </c:pt>
                <c:pt idx="73">
                  <c:v>17.362043380737305</c:v>
                </c:pt>
                <c:pt idx="74">
                  <c:v>17.071338653564453</c:v>
                </c:pt>
                <c:pt idx="75">
                  <c:v>16.858737945556641</c:v>
                </c:pt>
                <c:pt idx="76">
                  <c:v>16.738956451416016</c:v>
                </c:pt>
                <c:pt idx="77">
                  <c:v>16.849664688110352</c:v>
                </c:pt>
                <c:pt idx="78">
                  <c:v>16.942485809326172</c:v>
                </c:pt>
                <c:pt idx="79">
                  <c:v>17.072254180908203</c:v>
                </c:pt>
                <c:pt idx="80">
                  <c:v>17.106718063354492</c:v>
                </c:pt>
                <c:pt idx="81">
                  <c:v>17.219058990478516</c:v>
                </c:pt>
                <c:pt idx="82">
                  <c:v>17.247747421264648</c:v>
                </c:pt>
                <c:pt idx="83">
                  <c:v>17.143436431884766</c:v>
                </c:pt>
                <c:pt idx="84">
                  <c:v>17.12907600402832</c:v>
                </c:pt>
                <c:pt idx="85">
                  <c:v>16.710136413574219</c:v>
                </c:pt>
                <c:pt idx="86">
                  <c:v>16.398740768432617</c:v>
                </c:pt>
                <c:pt idx="87">
                  <c:v>16.240968704223633</c:v>
                </c:pt>
                <c:pt idx="88">
                  <c:v>16.102716445922852</c:v>
                </c:pt>
                <c:pt idx="89">
                  <c:v>15.984012603759766</c:v>
                </c:pt>
                <c:pt idx="90">
                  <c:v>15.830516815185547</c:v>
                </c:pt>
                <c:pt idx="91">
                  <c:v>15.27730655670166</c:v>
                </c:pt>
                <c:pt idx="92">
                  <c:v>14.904093742370605</c:v>
                </c:pt>
                <c:pt idx="93">
                  <c:v>14.786467552185059</c:v>
                </c:pt>
                <c:pt idx="94">
                  <c:v>14.213968276977539</c:v>
                </c:pt>
                <c:pt idx="95">
                  <c:v>13.574724197387695</c:v>
                </c:pt>
                <c:pt idx="96">
                  <c:v>13.053140640258789</c:v>
                </c:pt>
                <c:pt idx="97">
                  <c:v>12.517848014831543</c:v>
                </c:pt>
                <c:pt idx="98">
                  <c:v>11.938136100769043</c:v>
                </c:pt>
                <c:pt idx="99">
                  <c:v>11.373307228088379</c:v>
                </c:pt>
                <c:pt idx="100">
                  <c:v>10.69218921661377</c:v>
                </c:pt>
                <c:pt idx="101">
                  <c:v>10.142210006713867</c:v>
                </c:pt>
                <c:pt idx="102">
                  <c:v>9.7845001220703125</c:v>
                </c:pt>
                <c:pt idx="103">
                  <c:v>9.2223796844482422</c:v>
                </c:pt>
                <c:pt idx="104">
                  <c:v>8.6328763961791992</c:v>
                </c:pt>
                <c:pt idx="105">
                  <c:v>8.3471651077270508</c:v>
                </c:pt>
                <c:pt idx="106">
                  <c:v>8.2401456832885742</c:v>
                </c:pt>
                <c:pt idx="107">
                  <c:v>7.9139313697814941</c:v>
                </c:pt>
                <c:pt idx="108">
                  <c:v>7.4252133369445801</c:v>
                </c:pt>
                <c:pt idx="109">
                  <c:v>7.0598335266113281</c:v>
                </c:pt>
                <c:pt idx="110">
                  <c:v>6.6328988075256348</c:v>
                </c:pt>
                <c:pt idx="111">
                  <c:v>6.2564873695373535</c:v>
                </c:pt>
                <c:pt idx="112">
                  <c:v>6.2353057861328125</c:v>
                </c:pt>
                <c:pt idx="113">
                  <c:v>6.2979702949523926</c:v>
                </c:pt>
                <c:pt idx="114">
                  <c:v>5.948615550994873</c:v>
                </c:pt>
                <c:pt idx="115">
                  <c:v>5.4371490478515625</c:v>
                </c:pt>
                <c:pt idx="116">
                  <c:v>5.2496776580810547</c:v>
                </c:pt>
                <c:pt idx="117">
                  <c:v>5.0568537712097168</c:v>
                </c:pt>
                <c:pt idx="118">
                  <c:v>4.808382511138916</c:v>
                </c:pt>
                <c:pt idx="119">
                  <c:v>4.4883036613464355</c:v>
                </c:pt>
                <c:pt idx="120">
                  <c:v>4.3023338317871094</c:v>
                </c:pt>
                <c:pt idx="121">
                  <c:v>4.4201235771179199</c:v>
                </c:pt>
                <c:pt idx="122">
                  <c:v>4.3619956970214844</c:v>
                </c:pt>
                <c:pt idx="123">
                  <c:v>4.3252453804016113</c:v>
                </c:pt>
                <c:pt idx="124">
                  <c:v>4.4388246536254883</c:v>
                </c:pt>
                <c:pt idx="125">
                  <c:v>4.101872444152832</c:v>
                </c:pt>
                <c:pt idx="126">
                  <c:v>3.6715109348297119</c:v>
                </c:pt>
                <c:pt idx="127">
                  <c:v>3.917860746383667</c:v>
                </c:pt>
                <c:pt idx="128">
                  <c:v>4.1043205261230469</c:v>
                </c:pt>
                <c:pt idx="129">
                  <c:v>3.7930212020874023</c:v>
                </c:pt>
                <c:pt idx="130">
                  <c:v>3.687340259552002</c:v>
                </c:pt>
                <c:pt idx="131">
                  <c:v>3.5194840431213379</c:v>
                </c:pt>
                <c:pt idx="132">
                  <c:v>3.333416223526001</c:v>
                </c:pt>
                <c:pt idx="133">
                  <c:v>3.5486295223236084</c:v>
                </c:pt>
                <c:pt idx="134">
                  <c:v>3.6051583290100098</c:v>
                </c:pt>
                <c:pt idx="135">
                  <c:v>3.5984022617340088</c:v>
                </c:pt>
                <c:pt idx="136">
                  <c:v>4.1617302894592285</c:v>
                </c:pt>
                <c:pt idx="137">
                  <c:v>4.1027536392211914</c:v>
                </c:pt>
                <c:pt idx="138">
                  <c:v>3.8185439109802246</c:v>
                </c:pt>
                <c:pt idx="139">
                  <c:v>3.9476916790008545</c:v>
                </c:pt>
                <c:pt idx="140">
                  <c:v>4.1719455718994141</c:v>
                </c:pt>
                <c:pt idx="141">
                  <c:v>3.7993528842926025</c:v>
                </c:pt>
                <c:pt idx="142">
                  <c:v>3.2564237117767334</c:v>
                </c:pt>
                <c:pt idx="143">
                  <c:v>3.7926621437072754</c:v>
                </c:pt>
                <c:pt idx="144">
                  <c:v>3.9826793670654297</c:v>
                </c:pt>
                <c:pt idx="145">
                  <c:v>3.6331288814544678</c:v>
                </c:pt>
                <c:pt idx="146">
                  <c:v>3.4542412757873535</c:v>
                </c:pt>
                <c:pt idx="147">
                  <c:v>3.5993814468383789</c:v>
                </c:pt>
                <c:pt idx="148">
                  <c:v>3.3593957424163818</c:v>
                </c:pt>
                <c:pt idx="149">
                  <c:v>3.0830192565917969</c:v>
                </c:pt>
                <c:pt idx="150">
                  <c:v>3.3406291007995605</c:v>
                </c:pt>
                <c:pt idx="151">
                  <c:v>3.1787784099578857</c:v>
                </c:pt>
                <c:pt idx="152">
                  <c:v>3.086348295211792</c:v>
                </c:pt>
                <c:pt idx="153">
                  <c:v>3.2509078979492188</c:v>
                </c:pt>
                <c:pt idx="154">
                  <c:v>3.174959659576416</c:v>
                </c:pt>
                <c:pt idx="155">
                  <c:v>3.1427788734436035</c:v>
                </c:pt>
                <c:pt idx="156">
                  <c:v>3.1988179683685303</c:v>
                </c:pt>
                <c:pt idx="157">
                  <c:v>2.7466542720794678</c:v>
                </c:pt>
                <c:pt idx="158">
                  <c:v>2.6136553287506104</c:v>
                </c:pt>
                <c:pt idx="159">
                  <c:v>2.9338645935058594</c:v>
                </c:pt>
                <c:pt idx="160">
                  <c:v>3.2337076663970947</c:v>
                </c:pt>
                <c:pt idx="161">
                  <c:v>3.5418083667755127</c:v>
                </c:pt>
                <c:pt idx="162">
                  <c:v>3.6252632141113281</c:v>
                </c:pt>
                <c:pt idx="163">
                  <c:v>3.502936840057373</c:v>
                </c:pt>
                <c:pt idx="164">
                  <c:v>3.5811042785644531</c:v>
                </c:pt>
                <c:pt idx="165">
                  <c:v>3.2467303276062012</c:v>
                </c:pt>
                <c:pt idx="166">
                  <c:v>2.9486167430877686</c:v>
                </c:pt>
                <c:pt idx="167">
                  <c:v>2.8564150333404541</c:v>
                </c:pt>
                <c:pt idx="168">
                  <c:v>2.8006699085235596</c:v>
                </c:pt>
                <c:pt idx="169">
                  <c:v>2.5803649425506592</c:v>
                </c:pt>
                <c:pt idx="170">
                  <c:v>2</c:v>
                </c:pt>
                <c:pt idx="171">
                  <c:v>2.463456392288208</c:v>
                </c:pt>
                <c:pt idx="172">
                  <c:v>3.1695091724395752</c:v>
                </c:pt>
                <c:pt idx="173">
                  <c:v>2.6614696979522705</c:v>
                </c:pt>
                <c:pt idx="174">
                  <c:v>2.3222653865814209</c:v>
                </c:pt>
                <c:pt idx="175">
                  <c:v>2.7849709987640381</c:v>
                </c:pt>
                <c:pt idx="176">
                  <c:v>2.5205070972442627</c:v>
                </c:pt>
                <c:pt idx="177">
                  <c:v>2.606703519821167</c:v>
                </c:pt>
                <c:pt idx="178">
                  <c:v>2.8529882431030273</c:v>
                </c:pt>
                <c:pt idx="179">
                  <c:v>2.5725970268249512</c:v>
                </c:pt>
                <c:pt idx="180">
                  <c:v>2.5561149120330811</c:v>
                </c:pt>
                <c:pt idx="181">
                  <c:v>2.4559171199798584</c:v>
                </c:pt>
                <c:pt idx="182">
                  <c:v>2.7225348949432373</c:v>
                </c:pt>
                <c:pt idx="183">
                  <c:v>3.0972819328308105</c:v>
                </c:pt>
                <c:pt idx="184">
                  <c:v>2.5455403327941895</c:v>
                </c:pt>
                <c:pt idx="185">
                  <c:v>2.6264820098876953</c:v>
                </c:pt>
                <c:pt idx="186">
                  <c:v>2.9829516410827637</c:v>
                </c:pt>
                <c:pt idx="187">
                  <c:v>2.2280726432800293</c:v>
                </c:pt>
                <c:pt idx="188">
                  <c:v>2.4169802665710449</c:v>
                </c:pt>
                <c:pt idx="189">
                  <c:v>3.0156874656677246</c:v>
                </c:pt>
                <c:pt idx="190">
                  <c:v>2.7931630611419678</c:v>
                </c:pt>
                <c:pt idx="191">
                  <c:v>3.0464649200439453</c:v>
                </c:pt>
                <c:pt idx="192">
                  <c:v>3.0317778587341309</c:v>
                </c:pt>
                <c:pt idx="193">
                  <c:v>2.7420849800109863</c:v>
                </c:pt>
                <c:pt idx="194">
                  <c:v>2.5857174396514893</c:v>
                </c:pt>
                <c:pt idx="195">
                  <c:v>2.3986704349517822</c:v>
                </c:pt>
                <c:pt idx="196">
                  <c:v>2.3572204113006592</c:v>
                </c:pt>
                <c:pt idx="197">
                  <c:v>2.5208334922790527</c:v>
                </c:pt>
                <c:pt idx="198">
                  <c:v>2.7708389759063721</c:v>
                </c:pt>
                <c:pt idx="199">
                  <c:v>2.760394811630249</c:v>
                </c:pt>
                <c:pt idx="200">
                  <c:v>2.6030480861663818</c:v>
                </c:pt>
                <c:pt idx="201">
                  <c:v>2.3898909091949463</c:v>
                </c:pt>
                <c:pt idx="202">
                  <c:v>2.6144061088562012</c:v>
                </c:pt>
                <c:pt idx="203">
                  <c:v>2.7558255195617676</c:v>
                </c:pt>
                <c:pt idx="204">
                  <c:v>2.5553643703460693</c:v>
                </c:pt>
                <c:pt idx="205">
                  <c:v>2.713559627532959</c:v>
                </c:pt>
                <c:pt idx="206">
                  <c:v>2.8396391868591309</c:v>
                </c:pt>
                <c:pt idx="207">
                  <c:v>2.8014857769012451</c:v>
                </c:pt>
                <c:pt idx="208">
                  <c:v>2.9529249668121338</c:v>
                </c:pt>
                <c:pt idx="209">
                  <c:v>2.9069383144378662</c:v>
                </c:pt>
                <c:pt idx="210">
                  <c:v>2.5465195178985596</c:v>
                </c:pt>
                <c:pt idx="211">
                  <c:v>2.7389190196990967</c:v>
                </c:pt>
                <c:pt idx="212">
                  <c:v>3.0371303558349609</c:v>
                </c:pt>
                <c:pt idx="213">
                  <c:v>2.7800099849700928</c:v>
                </c:pt>
                <c:pt idx="214">
                  <c:v>2.4499442577362061</c:v>
                </c:pt>
                <c:pt idx="215">
                  <c:v>2.676842212677002</c:v>
                </c:pt>
                <c:pt idx="216">
                  <c:v>2.8554685115814209</c:v>
                </c:pt>
                <c:pt idx="217">
                  <c:v>2.6787350177764893</c:v>
                </c:pt>
                <c:pt idx="218">
                  <c:v>2.5608475208282471</c:v>
                </c:pt>
                <c:pt idx="219">
                  <c:v>2.7011246681213379</c:v>
                </c:pt>
                <c:pt idx="220">
                  <c:v>2.8363754749298096</c:v>
                </c:pt>
                <c:pt idx="221">
                  <c:v>3.5270559787750244</c:v>
                </c:pt>
                <c:pt idx="222">
                  <c:v>2.7721443176269531</c:v>
                </c:pt>
                <c:pt idx="223">
                  <c:v>2.3537607192993164</c:v>
                </c:pt>
                <c:pt idx="224">
                  <c:v>2.3345046043395996</c:v>
                </c:pt>
                <c:pt idx="225">
                  <c:v>2.4427640438079834</c:v>
                </c:pt>
              </c:numCache>
            </c:numRef>
          </c:yVal>
          <c:smooth val="1"/>
          <c:extLst>
            <c:ext xmlns:c16="http://schemas.microsoft.com/office/drawing/2014/chart" uri="{C3380CC4-5D6E-409C-BE32-E72D297353CC}">
              <c16:uniqueId val="{00000009-C55B-4A1A-87F7-276FE06EA34B}"/>
            </c:ext>
          </c:extLst>
        </c:ser>
        <c:ser>
          <c:idx val="10"/>
          <c:order val="10"/>
          <c:tx>
            <c:v>11</c:v>
          </c:tx>
          <c:spPr>
            <a:ln w="19050" cap="rnd">
              <a:noFill/>
              <a:round/>
            </a:ln>
            <a:effectLst/>
            <a:extLst>
              <a:ext uri="{91240B29-F687-4F45-9708-019B960494DF}">
                <a14:hiddenLine xmlns:a14="http://schemas.microsoft.com/office/drawing/2010/main" w="19050" cap="rnd">
                  <a:solidFill>
                    <a:srgbClr val="4472C4">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NormalisedUVVisData!$L$2:$L$300</c:f>
              <c:numCache>
                <c:formatCode>General</c:formatCode>
                <c:ptCount val="299"/>
                <c:pt idx="0">
                  <c:v>52.531784057617188</c:v>
                </c:pt>
                <c:pt idx="1">
                  <c:v>52.958042144775391</c:v>
                </c:pt>
                <c:pt idx="2">
                  <c:v>52.071174621582031</c:v>
                </c:pt>
                <c:pt idx="3">
                  <c:v>50.556400299072266</c:v>
                </c:pt>
                <c:pt idx="4">
                  <c:v>48.53857421875</c:v>
                </c:pt>
                <c:pt idx="5">
                  <c:v>45.942245483398438</c:v>
                </c:pt>
                <c:pt idx="6">
                  <c:v>42.592998504638672</c:v>
                </c:pt>
                <c:pt idx="7">
                  <c:v>39.09637451171875</c:v>
                </c:pt>
                <c:pt idx="8">
                  <c:v>36.137229919433594</c:v>
                </c:pt>
                <c:pt idx="9">
                  <c:v>33.921806335449219</c:v>
                </c:pt>
                <c:pt idx="10">
                  <c:v>32.528396606445313</c:v>
                </c:pt>
                <c:pt idx="11">
                  <c:v>31.609642028808594</c:v>
                </c:pt>
                <c:pt idx="12">
                  <c:v>30.864564895629883</c:v>
                </c:pt>
                <c:pt idx="13">
                  <c:v>30.075672149658203</c:v>
                </c:pt>
                <c:pt idx="14">
                  <c:v>29.124544143676758</c:v>
                </c:pt>
                <c:pt idx="15">
                  <c:v>28.004611968994141</c:v>
                </c:pt>
                <c:pt idx="16">
                  <c:v>26.875757217407227</c:v>
                </c:pt>
                <c:pt idx="17">
                  <c:v>25.812459945678711</c:v>
                </c:pt>
                <c:pt idx="18">
                  <c:v>24.908525466918945</c:v>
                </c:pt>
                <c:pt idx="19">
                  <c:v>24.278602600097656</c:v>
                </c:pt>
                <c:pt idx="20">
                  <c:v>24.034311294555664</c:v>
                </c:pt>
                <c:pt idx="21">
                  <c:v>24.248275756835938</c:v>
                </c:pt>
                <c:pt idx="22">
                  <c:v>25.020360946655273</c:v>
                </c:pt>
                <c:pt idx="23">
                  <c:v>26.341651916503906</c:v>
                </c:pt>
                <c:pt idx="24">
                  <c:v>28.37896728515625</c:v>
                </c:pt>
                <c:pt idx="25">
                  <c:v>31.020999908447266</c:v>
                </c:pt>
                <c:pt idx="26">
                  <c:v>34.361564636230469</c:v>
                </c:pt>
                <c:pt idx="27">
                  <c:v>38.150665283203125</c:v>
                </c:pt>
                <c:pt idx="28">
                  <c:v>42.489936828613281</c:v>
                </c:pt>
                <c:pt idx="29">
                  <c:v>47.058032989501953</c:v>
                </c:pt>
                <c:pt idx="30">
                  <c:v>52.013545989990234</c:v>
                </c:pt>
                <c:pt idx="31">
                  <c:v>57.027557373046875</c:v>
                </c:pt>
                <c:pt idx="32">
                  <c:v>62.276668548583984</c:v>
                </c:pt>
                <c:pt idx="33">
                  <c:v>67.57147216796875</c:v>
                </c:pt>
                <c:pt idx="34">
                  <c:v>72.654548645019531</c:v>
                </c:pt>
                <c:pt idx="35">
                  <c:v>77.709991455078125</c:v>
                </c:pt>
                <c:pt idx="36">
                  <c:v>82.522804260253906</c:v>
                </c:pt>
                <c:pt idx="37">
                  <c:v>87.012611389160156</c:v>
                </c:pt>
                <c:pt idx="38">
                  <c:v>90.965606689453125</c:v>
                </c:pt>
                <c:pt idx="39">
                  <c:v>94.438179016113281</c:v>
                </c:pt>
                <c:pt idx="40">
                  <c:v>97.165351867675781</c:v>
                </c:pt>
                <c:pt idx="41">
                  <c:v>99.05780029296875</c:v>
                </c:pt>
                <c:pt idx="42">
                  <c:v>100</c:v>
                </c:pt>
                <c:pt idx="43">
                  <c:v>99.881492614746094</c:v>
                </c:pt>
                <c:pt idx="44">
                  <c:v>98.713821411132813</c:v>
                </c:pt>
                <c:pt idx="45">
                  <c:v>96.549057006835938</c:v>
                </c:pt>
                <c:pt idx="46">
                  <c:v>93.426254272460938</c:v>
                </c:pt>
                <c:pt idx="47">
                  <c:v>89.423294067382813</c:v>
                </c:pt>
                <c:pt idx="48">
                  <c:v>84.664344787597656</c:v>
                </c:pt>
                <c:pt idx="49">
                  <c:v>79.251838684082031</c:v>
                </c:pt>
                <c:pt idx="50">
                  <c:v>73.302139282226563</c:v>
                </c:pt>
                <c:pt idx="51">
                  <c:v>66.963798522949219</c:v>
                </c:pt>
                <c:pt idx="52">
                  <c:v>60.387386322021484</c:v>
                </c:pt>
                <c:pt idx="53">
                  <c:v>53.736747741699219</c:v>
                </c:pt>
                <c:pt idx="54">
                  <c:v>46.966091156005859</c:v>
                </c:pt>
                <c:pt idx="55">
                  <c:v>40.597061157226563</c:v>
                </c:pt>
                <c:pt idx="56">
                  <c:v>34.578884124755859</c:v>
                </c:pt>
                <c:pt idx="57">
                  <c:v>29.016437530517578</c:v>
                </c:pt>
                <c:pt idx="58">
                  <c:v>23.88599967956543</c:v>
                </c:pt>
                <c:pt idx="59">
                  <c:v>19.505626678466797</c:v>
                </c:pt>
                <c:pt idx="60">
                  <c:v>15.737251281738281</c:v>
                </c:pt>
                <c:pt idx="61">
                  <c:v>12.481522560119629</c:v>
                </c:pt>
                <c:pt idx="62">
                  <c:v>9.9079465866088867</c:v>
                </c:pt>
                <c:pt idx="63">
                  <c:v>7.8379354476928711</c:v>
                </c:pt>
                <c:pt idx="64">
                  <c:v>6.2668619155883789</c:v>
                </c:pt>
                <c:pt idx="65">
                  <c:v>5.016913890838623</c:v>
                </c:pt>
                <c:pt idx="66">
                  <c:v>4.1270284652709961</c:v>
                </c:pt>
                <c:pt idx="67">
                  <c:v>3.4808735847473145</c:v>
                </c:pt>
                <c:pt idx="68">
                  <c:v>3.0223970413208008</c:v>
                </c:pt>
                <c:pt idx="69">
                  <c:v>2.6769640445709229</c:v>
                </c:pt>
                <c:pt idx="70">
                  <c:v>2.458946704864502</c:v>
                </c:pt>
                <c:pt idx="71">
                  <c:v>2.3236968517303467</c:v>
                </c:pt>
                <c:pt idx="72">
                  <c:v>2.1958327293395996</c:v>
                </c:pt>
                <c:pt idx="73">
                  <c:v>2.116408109664917</c:v>
                </c:pt>
                <c:pt idx="74">
                  <c:v>2.0837113857269287</c:v>
                </c:pt>
                <c:pt idx="75">
                  <c:v>2.0734219551086426</c:v>
                </c:pt>
                <c:pt idx="76">
                  <c:v>2.0825824737548828</c:v>
                </c:pt>
                <c:pt idx="77">
                  <c:v>2.1020543575286865</c:v>
                </c:pt>
                <c:pt idx="78">
                  <c:v>2.0880517959594727</c:v>
                </c:pt>
                <c:pt idx="79">
                  <c:v>2.0825071334838867</c:v>
                </c:pt>
                <c:pt idx="80">
                  <c:v>2.0716750621795654</c:v>
                </c:pt>
                <c:pt idx="81">
                  <c:v>2.0841693878173828</c:v>
                </c:pt>
                <c:pt idx="82">
                  <c:v>2.1286890506744385</c:v>
                </c:pt>
                <c:pt idx="83">
                  <c:v>2.1351902484893799</c:v>
                </c:pt>
                <c:pt idx="84">
                  <c:v>2.1428580284118652</c:v>
                </c:pt>
                <c:pt idx="85">
                  <c:v>2.1112337112426758</c:v>
                </c:pt>
                <c:pt idx="86">
                  <c:v>2.1147429943084717</c:v>
                </c:pt>
                <c:pt idx="87">
                  <c:v>2.1434569358825684</c:v>
                </c:pt>
                <c:pt idx="88">
                  <c:v>2.1279804706573486</c:v>
                </c:pt>
                <c:pt idx="89">
                  <c:v>2.1071159839630127</c:v>
                </c:pt>
                <c:pt idx="90">
                  <c:v>2.0701322555541992</c:v>
                </c:pt>
                <c:pt idx="91">
                  <c:v>2.0772228240966797</c:v>
                </c:pt>
                <c:pt idx="92">
                  <c:v>2.0915391445159912</c:v>
                </c:pt>
                <c:pt idx="93">
                  <c:v>2.0640263557434082</c:v>
                </c:pt>
                <c:pt idx="94">
                  <c:v>2.0384767055511475</c:v>
                </c:pt>
                <c:pt idx="95">
                  <c:v>2.0607740879058838</c:v>
                </c:pt>
                <c:pt idx="96">
                  <c:v>2.0832033157348633</c:v>
                </c:pt>
                <c:pt idx="97">
                  <c:v>2.0789854526519775</c:v>
                </c:pt>
                <c:pt idx="98">
                  <c:v>2.0677018165588379</c:v>
                </c:pt>
                <c:pt idx="99">
                  <c:v>2.0672721862792969</c:v>
                </c:pt>
                <c:pt idx="100">
                  <c:v>2.0852513313293457</c:v>
                </c:pt>
                <c:pt idx="101">
                  <c:v>2.0798509120941162</c:v>
                </c:pt>
                <c:pt idx="102">
                  <c:v>2.0530281066894531</c:v>
                </c:pt>
                <c:pt idx="103">
                  <c:v>2.0594789981842041</c:v>
                </c:pt>
                <c:pt idx="104">
                  <c:v>2.0811429023742676</c:v>
                </c:pt>
                <c:pt idx="105">
                  <c:v>2.0840282440185547</c:v>
                </c:pt>
                <c:pt idx="106">
                  <c:v>2.0567348003387451</c:v>
                </c:pt>
                <c:pt idx="107">
                  <c:v>2.0513942241668701</c:v>
                </c:pt>
                <c:pt idx="108">
                  <c:v>2.0926995277404785</c:v>
                </c:pt>
                <c:pt idx="109">
                  <c:v>2.0910749435424805</c:v>
                </c:pt>
                <c:pt idx="110">
                  <c:v>2.0664348602294922</c:v>
                </c:pt>
                <c:pt idx="111">
                  <c:v>2.0518770217895508</c:v>
                </c:pt>
                <c:pt idx="112">
                  <c:v>2.0399222373962402</c:v>
                </c:pt>
                <c:pt idx="113">
                  <c:v>2.0429046154022217</c:v>
                </c:pt>
                <c:pt idx="114">
                  <c:v>2.0551478862762451</c:v>
                </c:pt>
                <c:pt idx="115">
                  <c:v>2.0654687881469727</c:v>
                </c:pt>
                <c:pt idx="116">
                  <c:v>2.0749523639678955</c:v>
                </c:pt>
                <c:pt idx="117">
                  <c:v>2.0809578895568848</c:v>
                </c:pt>
                <c:pt idx="118">
                  <c:v>2.053746223449707</c:v>
                </c:pt>
                <c:pt idx="119">
                  <c:v>2.0347447395324707</c:v>
                </c:pt>
                <c:pt idx="120">
                  <c:v>2.0552701950073242</c:v>
                </c:pt>
                <c:pt idx="121">
                  <c:v>2.0675575733184814</c:v>
                </c:pt>
                <c:pt idx="122">
                  <c:v>2.0620975494384766</c:v>
                </c:pt>
                <c:pt idx="123">
                  <c:v>2.0515539646148682</c:v>
                </c:pt>
                <c:pt idx="124">
                  <c:v>2.0157525539398193</c:v>
                </c:pt>
                <c:pt idx="125">
                  <c:v>2.0286669731140137</c:v>
                </c:pt>
                <c:pt idx="126">
                  <c:v>2.0707342624664307</c:v>
                </c:pt>
                <c:pt idx="127">
                  <c:v>2.0515477657318115</c:v>
                </c:pt>
                <c:pt idx="128">
                  <c:v>2.0297205448150635</c:v>
                </c:pt>
                <c:pt idx="129">
                  <c:v>2.0386617183685303</c:v>
                </c:pt>
                <c:pt idx="130">
                  <c:v>2.0392606258392334</c:v>
                </c:pt>
                <c:pt idx="131">
                  <c:v>2.0119829177856445</c:v>
                </c:pt>
                <c:pt idx="132">
                  <c:v>2.0173549652099609</c:v>
                </c:pt>
                <c:pt idx="133">
                  <c:v>2.0470883846282959</c:v>
                </c:pt>
                <c:pt idx="134">
                  <c:v>2.0363597869873047</c:v>
                </c:pt>
                <c:pt idx="135">
                  <c:v>2.0283312797546387</c:v>
                </c:pt>
                <c:pt idx="136">
                  <c:v>2.09897780418396</c:v>
                </c:pt>
                <c:pt idx="137">
                  <c:v>2.1715312004089355</c:v>
                </c:pt>
                <c:pt idx="138">
                  <c:v>2.1147994995117188</c:v>
                </c:pt>
                <c:pt idx="139">
                  <c:v>2.0558755397796631</c:v>
                </c:pt>
                <c:pt idx="140">
                  <c:v>2.0417788028717041</c:v>
                </c:pt>
                <c:pt idx="141">
                  <c:v>2</c:v>
                </c:pt>
                <c:pt idx="142">
                  <c:v>2.0113964080810547</c:v>
                </c:pt>
                <c:pt idx="143">
                  <c:v>2.0665979385375977</c:v>
                </c:pt>
                <c:pt idx="144">
                  <c:v>2.0858783721923828</c:v>
                </c:pt>
                <c:pt idx="145">
                  <c:v>2.0395522117614746</c:v>
                </c:pt>
                <c:pt idx="146">
                  <c:v>2.0294039249420166</c:v>
                </c:pt>
                <c:pt idx="147">
                  <c:v>2.050898551940918</c:v>
                </c:pt>
                <c:pt idx="148">
                  <c:v>2.0479695796966553</c:v>
                </c:pt>
                <c:pt idx="149">
                  <c:v>2.0529747009277344</c:v>
                </c:pt>
                <c:pt idx="150">
                  <c:v>2.0730488300323486</c:v>
                </c:pt>
                <c:pt idx="151">
                  <c:v>2.0992443561553955</c:v>
                </c:pt>
                <c:pt idx="152">
                  <c:v>2.1036694049835205</c:v>
                </c:pt>
                <c:pt idx="153">
                  <c:v>2.1015682220458984</c:v>
                </c:pt>
                <c:pt idx="154">
                  <c:v>2.118330717086792</c:v>
                </c:pt>
                <c:pt idx="155">
                  <c:v>2.0954842567443848</c:v>
                </c:pt>
                <c:pt idx="156">
                  <c:v>2.1039831638336182</c:v>
                </c:pt>
                <c:pt idx="157">
                  <c:v>2.1285104751586914</c:v>
                </c:pt>
                <c:pt idx="158">
                  <c:v>2.0696618556976318</c:v>
                </c:pt>
                <c:pt idx="159">
                  <c:v>2.0894818305969238</c:v>
                </c:pt>
                <c:pt idx="160">
                  <c:v>2.1297709941864014</c:v>
                </c:pt>
                <c:pt idx="161">
                  <c:v>2.1062567234039307</c:v>
                </c:pt>
                <c:pt idx="162">
                  <c:v>2.1143760681152344</c:v>
                </c:pt>
                <c:pt idx="163">
                  <c:v>2.1282970905303955</c:v>
                </c:pt>
                <c:pt idx="164">
                  <c:v>2.1294825077056885</c:v>
                </c:pt>
                <c:pt idx="165">
                  <c:v>2.1280620098114014</c:v>
                </c:pt>
                <c:pt idx="166">
                  <c:v>2.1156930923461914</c:v>
                </c:pt>
                <c:pt idx="167">
                  <c:v>2.0311851501464844</c:v>
                </c:pt>
                <c:pt idx="168">
                  <c:v>2.0573494434356689</c:v>
                </c:pt>
                <c:pt idx="169">
                  <c:v>2.1677772998809814</c:v>
                </c:pt>
                <c:pt idx="170">
                  <c:v>2.13938307762146</c:v>
                </c:pt>
                <c:pt idx="171">
                  <c:v>2.1093206405639648</c:v>
                </c:pt>
                <c:pt idx="172">
                  <c:v>2.1492993831634521</c:v>
                </c:pt>
                <c:pt idx="173">
                  <c:v>2.1245620250701904</c:v>
                </c:pt>
                <c:pt idx="174">
                  <c:v>2.0606393814086914</c:v>
                </c:pt>
                <c:pt idx="175">
                  <c:v>2.0899615287780762</c:v>
                </c:pt>
                <c:pt idx="176">
                  <c:v>2.1332521438598633</c:v>
                </c:pt>
                <c:pt idx="177">
                  <c:v>2.1412177085876465</c:v>
                </c:pt>
                <c:pt idx="178">
                  <c:v>2.1025528907775879</c:v>
                </c:pt>
                <c:pt idx="179">
                  <c:v>2.0993447303771973</c:v>
                </c:pt>
                <c:pt idx="180">
                  <c:v>2.1359210014343262</c:v>
                </c:pt>
                <c:pt idx="181">
                  <c:v>2.1207611560821533</c:v>
                </c:pt>
                <c:pt idx="182">
                  <c:v>2.0908429622650146</c:v>
                </c:pt>
                <c:pt idx="183">
                  <c:v>2.0780508518218994</c:v>
                </c:pt>
                <c:pt idx="184">
                  <c:v>2.0549724102020264</c:v>
                </c:pt>
                <c:pt idx="185">
                  <c:v>2.0846960544586182</c:v>
                </c:pt>
                <c:pt idx="186">
                  <c:v>2.0865151882171631</c:v>
                </c:pt>
                <c:pt idx="187">
                  <c:v>2.0732338428497314</c:v>
                </c:pt>
                <c:pt idx="188">
                  <c:v>2.1259105205535889</c:v>
                </c:pt>
                <c:pt idx="189">
                  <c:v>2.1364383697509766</c:v>
                </c:pt>
                <c:pt idx="190">
                  <c:v>2.1223134994506836</c:v>
                </c:pt>
                <c:pt idx="191">
                  <c:v>2.1198172569274902</c:v>
                </c:pt>
                <c:pt idx="192">
                  <c:v>2.1069810390472412</c:v>
                </c:pt>
                <c:pt idx="193">
                  <c:v>2.1141595840454102</c:v>
                </c:pt>
                <c:pt idx="194">
                  <c:v>2.1293320655822754</c:v>
                </c:pt>
                <c:pt idx="195">
                  <c:v>2.1273186206817627</c:v>
                </c:pt>
                <c:pt idx="196">
                  <c:v>2.0993103981018066</c:v>
                </c:pt>
                <c:pt idx="197">
                  <c:v>2.0934896469116211</c:v>
                </c:pt>
                <c:pt idx="198">
                  <c:v>2.092947244644165</c:v>
                </c:pt>
                <c:pt idx="199">
                  <c:v>2.0912003517150879</c:v>
                </c:pt>
                <c:pt idx="200">
                  <c:v>2.1073513031005859</c:v>
                </c:pt>
                <c:pt idx="201">
                  <c:v>2.1403050422668457</c:v>
                </c:pt>
                <c:pt idx="202">
                  <c:v>2.1484370231628418</c:v>
                </c:pt>
                <c:pt idx="203">
                  <c:v>2.1226396560668945</c:v>
                </c:pt>
                <c:pt idx="204">
                  <c:v>2.0889360904693604</c:v>
                </c:pt>
                <c:pt idx="205">
                  <c:v>2.0764293670654297</c:v>
                </c:pt>
                <c:pt idx="206">
                  <c:v>2.1012389659881592</c:v>
                </c:pt>
                <c:pt idx="207">
                  <c:v>2.0689656734466553</c:v>
                </c:pt>
                <c:pt idx="208">
                  <c:v>2.0827329158782959</c:v>
                </c:pt>
                <c:pt idx="209">
                  <c:v>2.1064071655273438</c:v>
                </c:pt>
                <c:pt idx="210">
                  <c:v>2.1008470058441162</c:v>
                </c:pt>
                <c:pt idx="211">
                  <c:v>2.1051340103149414</c:v>
                </c:pt>
                <c:pt idx="212">
                  <c:v>2.0877444744110107</c:v>
                </c:pt>
                <c:pt idx="213">
                  <c:v>2.1130118370056152</c:v>
                </c:pt>
                <c:pt idx="214">
                  <c:v>2.1173458099365234</c:v>
                </c:pt>
                <c:pt idx="215">
                  <c:v>2.146702766418457</c:v>
                </c:pt>
                <c:pt idx="216">
                  <c:v>2.1576821804046631</c:v>
                </c:pt>
                <c:pt idx="217">
                  <c:v>2.0956223011016846</c:v>
                </c:pt>
                <c:pt idx="218">
                  <c:v>2.0135228633880615</c:v>
                </c:pt>
                <c:pt idx="219">
                  <c:v>2.0510115623474121</c:v>
                </c:pt>
                <c:pt idx="220">
                  <c:v>2.1399257183074951</c:v>
                </c:pt>
                <c:pt idx="221">
                  <c:v>2.1353030204772949</c:v>
                </c:pt>
                <c:pt idx="222">
                  <c:v>2.1721835136413574</c:v>
                </c:pt>
                <c:pt idx="223">
                  <c:v>2.1422808170318604</c:v>
                </c:pt>
                <c:pt idx="224">
                  <c:v>2.0854268074035645</c:v>
                </c:pt>
                <c:pt idx="225">
                  <c:v>2.0944807529449463</c:v>
                </c:pt>
              </c:numCache>
            </c:numRef>
          </c:yVal>
          <c:smooth val="1"/>
          <c:extLst>
            <c:ext xmlns:c16="http://schemas.microsoft.com/office/drawing/2014/chart" uri="{C3380CC4-5D6E-409C-BE32-E72D297353CC}">
              <c16:uniqueId val="{0000000A-C55B-4A1A-87F7-276FE06EA34B}"/>
            </c:ext>
          </c:extLst>
        </c:ser>
        <c:ser>
          <c:idx val="11"/>
          <c:order val="11"/>
          <c:tx>
            <c:v>12</c:v>
          </c:tx>
          <c:spPr>
            <a:ln w="19050" cap="rnd">
              <a:noFill/>
              <a:round/>
            </a:ln>
            <a:effectLst/>
            <a:extLst>
              <a:ext uri="{91240B29-F687-4F45-9708-019B960494DF}">
                <a14:hiddenLine xmlns:a14="http://schemas.microsoft.com/office/drawing/2010/main" w="19050" cap="rnd">
                  <a:solidFill>
                    <a:srgbClr val="70AD47">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NormalisedUVVisData!$M$2:$M$300</c:f>
              <c:numCache>
                <c:formatCode>General</c:formatCode>
                <c:ptCount val="299"/>
                <c:pt idx="0">
                  <c:v>94.029273986816406</c:v>
                </c:pt>
                <c:pt idx="1">
                  <c:v>97.191650390625</c:v>
                </c:pt>
                <c:pt idx="2">
                  <c:v>98.87939453125</c:v>
                </c:pt>
                <c:pt idx="3">
                  <c:v>99.864234924316406</c:v>
                </c:pt>
                <c:pt idx="4">
                  <c:v>100</c:v>
                </c:pt>
                <c:pt idx="5">
                  <c:v>99.600433349609375</c:v>
                </c:pt>
                <c:pt idx="6">
                  <c:v>98.891098022460938</c:v>
                </c:pt>
                <c:pt idx="7">
                  <c:v>98.044090270996094</c:v>
                </c:pt>
                <c:pt idx="8">
                  <c:v>97.0032958984375</c:v>
                </c:pt>
                <c:pt idx="9">
                  <c:v>95.450347900390625</c:v>
                </c:pt>
                <c:pt idx="10">
                  <c:v>93.404472351074219</c:v>
                </c:pt>
                <c:pt idx="11">
                  <c:v>91.321556091308594</c:v>
                </c:pt>
                <c:pt idx="12">
                  <c:v>89.394485473632813</c:v>
                </c:pt>
                <c:pt idx="13">
                  <c:v>87.477798461914063</c:v>
                </c:pt>
                <c:pt idx="14">
                  <c:v>85.07098388671875</c:v>
                </c:pt>
                <c:pt idx="15">
                  <c:v>81.552314758300781</c:v>
                </c:pt>
                <c:pt idx="16">
                  <c:v>77.001152038574219</c:v>
                </c:pt>
                <c:pt idx="17">
                  <c:v>71.440994262695313</c:v>
                </c:pt>
                <c:pt idx="18">
                  <c:v>65.43695068359375</c:v>
                </c:pt>
                <c:pt idx="19">
                  <c:v>59.354000091552734</c:v>
                </c:pt>
                <c:pt idx="20">
                  <c:v>53.856410980224609</c:v>
                </c:pt>
                <c:pt idx="21">
                  <c:v>48.825004577636719</c:v>
                </c:pt>
                <c:pt idx="22">
                  <c:v>44.170108795166016</c:v>
                </c:pt>
                <c:pt idx="23">
                  <c:v>39.910789489746094</c:v>
                </c:pt>
                <c:pt idx="24">
                  <c:v>35.751029968261719</c:v>
                </c:pt>
                <c:pt idx="25">
                  <c:v>31.920854568481445</c:v>
                </c:pt>
                <c:pt idx="26">
                  <c:v>28.433889389038086</c:v>
                </c:pt>
                <c:pt idx="27">
                  <c:v>25.764743804931641</c:v>
                </c:pt>
                <c:pt idx="28">
                  <c:v>23.860185623168945</c:v>
                </c:pt>
                <c:pt idx="29">
                  <c:v>22.741676330566406</c:v>
                </c:pt>
                <c:pt idx="30">
                  <c:v>21.981056213378906</c:v>
                </c:pt>
                <c:pt idx="31">
                  <c:v>21.558774948120117</c:v>
                </c:pt>
                <c:pt idx="32">
                  <c:v>21.533344268798828</c:v>
                </c:pt>
                <c:pt idx="33">
                  <c:v>21.892133712768555</c:v>
                </c:pt>
                <c:pt idx="34">
                  <c:v>22.434337615966797</c:v>
                </c:pt>
                <c:pt idx="35">
                  <c:v>23.170217514038086</c:v>
                </c:pt>
                <c:pt idx="36">
                  <c:v>24.096231460571289</c:v>
                </c:pt>
                <c:pt idx="37">
                  <c:v>25.239612579345703</c:v>
                </c:pt>
                <c:pt idx="38">
                  <c:v>26.463478088378906</c:v>
                </c:pt>
                <c:pt idx="39">
                  <c:v>27.720867156982422</c:v>
                </c:pt>
                <c:pt idx="40">
                  <c:v>29.083024978637695</c:v>
                </c:pt>
                <c:pt idx="41">
                  <c:v>30.467973709106445</c:v>
                </c:pt>
                <c:pt idx="42">
                  <c:v>31.695770263671875</c:v>
                </c:pt>
                <c:pt idx="43">
                  <c:v>32.582099914550781</c:v>
                </c:pt>
                <c:pt idx="44">
                  <c:v>33.200740814208984</c:v>
                </c:pt>
                <c:pt idx="45">
                  <c:v>33.353584289550781</c:v>
                </c:pt>
                <c:pt idx="46">
                  <c:v>32.946392059326172</c:v>
                </c:pt>
                <c:pt idx="47">
                  <c:v>32.053184509277344</c:v>
                </c:pt>
                <c:pt idx="48">
                  <c:v>30.666316986083984</c:v>
                </c:pt>
                <c:pt idx="49">
                  <c:v>28.975881576538086</c:v>
                </c:pt>
                <c:pt idx="50">
                  <c:v>27.101863861083984</c:v>
                </c:pt>
                <c:pt idx="51">
                  <c:v>25.087114334106445</c:v>
                </c:pt>
                <c:pt idx="52">
                  <c:v>23.12904167175293</c:v>
                </c:pt>
                <c:pt idx="53">
                  <c:v>21.457792282104492</c:v>
                </c:pt>
                <c:pt idx="54">
                  <c:v>19.872467041015625</c:v>
                </c:pt>
                <c:pt idx="55">
                  <c:v>18.504150390625</c:v>
                </c:pt>
                <c:pt idx="56">
                  <c:v>17.496702194213867</c:v>
                </c:pt>
                <c:pt idx="57">
                  <c:v>16.704326629638672</c:v>
                </c:pt>
                <c:pt idx="58">
                  <c:v>16.092533111572266</c:v>
                </c:pt>
                <c:pt idx="59">
                  <c:v>15.705676078796387</c:v>
                </c:pt>
                <c:pt idx="60">
                  <c:v>15.372465133666992</c:v>
                </c:pt>
                <c:pt idx="61">
                  <c:v>15.285213470458984</c:v>
                </c:pt>
                <c:pt idx="62">
                  <c:v>15.184329032897949</c:v>
                </c:pt>
                <c:pt idx="63">
                  <c:v>14.938140869140625</c:v>
                </c:pt>
                <c:pt idx="64">
                  <c:v>14.748333930969238</c:v>
                </c:pt>
                <c:pt idx="65">
                  <c:v>14.550808906555176</c:v>
                </c:pt>
                <c:pt idx="66">
                  <c:v>14.416236877441406</c:v>
                </c:pt>
                <c:pt idx="67">
                  <c:v>14.264132499694824</c:v>
                </c:pt>
                <c:pt idx="68">
                  <c:v>13.949994087219238</c:v>
                </c:pt>
                <c:pt idx="69">
                  <c:v>13.540640830993652</c:v>
                </c:pt>
                <c:pt idx="70">
                  <c:v>13.111608505249023</c:v>
                </c:pt>
                <c:pt idx="71">
                  <c:v>12.798469543457031</c:v>
                </c:pt>
                <c:pt idx="72">
                  <c:v>12.621049880981445</c:v>
                </c:pt>
                <c:pt idx="73">
                  <c:v>12.421182632446289</c:v>
                </c:pt>
                <c:pt idx="74">
                  <c:v>12.316103935241699</c:v>
                </c:pt>
                <c:pt idx="75">
                  <c:v>12.222838401794434</c:v>
                </c:pt>
                <c:pt idx="76">
                  <c:v>12.167112350463867</c:v>
                </c:pt>
                <c:pt idx="77">
                  <c:v>12.106109619140625</c:v>
                </c:pt>
                <c:pt idx="78">
                  <c:v>12.004717826843262</c:v>
                </c:pt>
                <c:pt idx="79">
                  <c:v>12.038569450378418</c:v>
                </c:pt>
                <c:pt idx="80">
                  <c:v>12.015253067016602</c:v>
                </c:pt>
                <c:pt idx="81">
                  <c:v>11.93657112121582</c:v>
                </c:pt>
                <c:pt idx="82">
                  <c:v>11.822808265686035</c:v>
                </c:pt>
                <c:pt idx="83">
                  <c:v>11.794363975524902</c:v>
                </c:pt>
                <c:pt idx="84">
                  <c:v>11.695019721984863</c:v>
                </c:pt>
                <c:pt idx="85">
                  <c:v>11.495086669921875</c:v>
                </c:pt>
                <c:pt idx="86">
                  <c:v>11.326908111572266</c:v>
                </c:pt>
                <c:pt idx="87">
                  <c:v>11.054780960083008</c:v>
                </c:pt>
                <c:pt idx="88">
                  <c:v>10.781344413757324</c:v>
                </c:pt>
                <c:pt idx="89">
                  <c:v>10.492209434509277</c:v>
                </c:pt>
                <c:pt idx="90">
                  <c:v>10.115151405334473</c:v>
                </c:pt>
                <c:pt idx="91">
                  <c:v>9.7756481170654297</c:v>
                </c:pt>
                <c:pt idx="92">
                  <c:v>9.2240715026855469</c:v>
                </c:pt>
                <c:pt idx="93">
                  <c:v>8.7307920455932617</c:v>
                </c:pt>
                <c:pt idx="94">
                  <c:v>8.4076747894287109</c:v>
                </c:pt>
                <c:pt idx="95">
                  <c:v>8.1870145797729492</c:v>
                </c:pt>
                <c:pt idx="96">
                  <c:v>7.7228851318359375</c:v>
                </c:pt>
                <c:pt idx="97">
                  <c:v>7.0474839210510254</c:v>
                </c:pt>
                <c:pt idx="98">
                  <c:v>6.7018036842346191</c:v>
                </c:pt>
                <c:pt idx="99">
                  <c:v>6.4331507682800293</c:v>
                </c:pt>
                <c:pt idx="100">
                  <c:v>6.0609593391418457</c:v>
                </c:pt>
                <c:pt idx="101">
                  <c:v>5.6356630325317383</c:v>
                </c:pt>
                <c:pt idx="102">
                  <c:v>5.124049186706543</c:v>
                </c:pt>
                <c:pt idx="103">
                  <c:v>4.8548064231872559</c:v>
                </c:pt>
                <c:pt idx="104">
                  <c:v>4.5224967002868652</c:v>
                </c:pt>
                <c:pt idx="105">
                  <c:v>4.2401127815246582</c:v>
                </c:pt>
                <c:pt idx="106">
                  <c:v>4.2292003631591797</c:v>
                </c:pt>
                <c:pt idx="107">
                  <c:v>3.9650039672851563</c:v>
                </c:pt>
                <c:pt idx="108">
                  <c:v>3.7878792285919189</c:v>
                </c:pt>
                <c:pt idx="109">
                  <c:v>3.7002017498016357</c:v>
                </c:pt>
                <c:pt idx="110">
                  <c:v>3.4956150054931641</c:v>
                </c:pt>
                <c:pt idx="111">
                  <c:v>3.3813934326171875</c:v>
                </c:pt>
                <c:pt idx="112">
                  <c:v>3.2509009838104248</c:v>
                </c:pt>
                <c:pt idx="113">
                  <c:v>3.153080940246582</c:v>
                </c:pt>
                <c:pt idx="114">
                  <c:v>3.1292240619659424</c:v>
                </c:pt>
                <c:pt idx="115">
                  <c:v>3.0224575996398926</c:v>
                </c:pt>
                <c:pt idx="116">
                  <c:v>2.9555399417877197</c:v>
                </c:pt>
                <c:pt idx="117">
                  <c:v>2.9339442253112793</c:v>
                </c:pt>
                <c:pt idx="118">
                  <c:v>2.9305033683776855</c:v>
                </c:pt>
                <c:pt idx="119">
                  <c:v>2.9757921695709229</c:v>
                </c:pt>
                <c:pt idx="120">
                  <c:v>2.866666316986084</c:v>
                </c:pt>
                <c:pt idx="121">
                  <c:v>2.8519523143768311</c:v>
                </c:pt>
                <c:pt idx="122">
                  <c:v>2.8418591022491455</c:v>
                </c:pt>
                <c:pt idx="123">
                  <c:v>2.6860842704772949</c:v>
                </c:pt>
                <c:pt idx="124">
                  <c:v>2.7037804126739502</c:v>
                </c:pt>
                <c:pt idx="125">
                  <c:v>2.8417444229125977</c:v>
                </c:pt>
                <c:pt idx="126">
                  <c:v>2.8853292465209961</c:v>
                </c:pt>
                <c:pt idx="127">
                  <c:v>2.8043694496154785</c:v>
                </c:pt>
                <c:pt idx="128">
                  <c:v>2.8125622272491455</c:v>
                </c:pt>
                <c:pt idx="129">
                  <c:v>2.7952756881713867</c:v>
                </c:pt>
                <c:pt idx="130">
                  <c:v>2.831634521484375</c:v>
                </c:pt>
                <c:pt idx="131">
                  <c:v>2.8590798377990723</c:v>
                </c:pt>
                <c:pt idx="132">
                  <c:v>2.6812176704406738</c:v>
                </c:pt>
                <c:pt idx="133">
                  <c:v>2.6957352161407471</c:v>
                </c:pt>
                <c:pt idx="134">
                  <c:v>2.7514941692352295</c:v>
                </c:pt>
                <c:pt idx="135">
                  <c:v>2.6150047779083252</c:v>
                </c:pt>
                <c:pt idx="136">
                  <c:v>2.1608378887176514</c:v>
                </c:pt>
                <c:pt idx="137">
                  <c:v>2</c:v>
                </c:pt>
                <c:pt idx="138">
                  <c:v>2.249826192855835</c:v>
                </c:pt>
                <c:pt idx="139">
                  <c:v>2.4922628402709961</c:v>
                </c:pt>
                <c:pt idx="140">
                  <c:v>2.6254913806915283</c:v>
                </c:pt>
                <c:pt idx="141">
                  <c:v>2.8118574619293213</c:v>
                </c:pt>
                <c:pt idx="142">
                  <c:v>2.8278660774230957</c:v>
                </c:pt>
                <c:pt idx="143">
                  <c:v>2.657557487487793</c:v>
                </c:pt>
                <c:pt idx="144">
                  <c:v>2.5768435001373291</c:v>
                </c:pt>
                <c:pt idx="145">
                  <c:v>2.4661283493041992</c:v>
                </c:pt>
                <c:pt idx="146">
                  <c:v>2.560671329498291</c:v>
                </c:pt>
                <c:pt idx="147">
                  <c:v>2.7631113529205322</c:v>
                </c:pt>
                <c:pt idx="148">
                  <c:v>2.7581138610839844</c:v>
                </c:pt>
                <c:pt idx="149">
                  <c:v>2.6593434810638428</c:v>
                </c:pt>
                <c:pt idx="150">
                  <c:v>2.7630457878112793</c:v>
                </c:pt>
                <c:pt idx="151">
                  <c:v>2.8521981239318848</c:v>
                </c:pt>
                <c:pt idx="152">
                  <c:v>2.7707960605621338</c:v>
                </c:pt>
                <c:pt idx="153">
                  <c:v>2.8897695541381836</c:v>
                </c:pt>
                <c:pt idx="154">
                  <c:v>2.8892288208007813</c:v>
                </c:pt>
                <c:pt idx="155">
                  <c:v>2.7776286602020264</c:v>
                </c:pt>
                <c:pt idx="156">
                  <c:v>2.900846004486084</c:v>
                </c:pt>
                <c:pt idx="157">
                  <c:v>2.7872469425201416</c:v>
                </c:pt>
                <c:pt idx="158">
                  <c:v>2.7080569267272949</c:v>
                </c:pt>
                <c:pt idx="159">
                  <c:v>2.8468074798583984</c:v>
                </c:pt>
                <c:pt idx="160">
                  <c:v>2.7891311645507813</c:v>
                </c:pt>
                <c:pt idx="161">
                  <c:v>2.6769411563873291</c:v>
                </c:pt>
                <c:pt idx="162">
                  <c:v>2.7664213180541992</c:v>
                </c:pt>
                <c:pt idx="163">
                  <c:v>2.8688948154449463</c:v>
                </c:pt>
                <c:pt idx="164">
                  <c:v>2.6588354110717773</c:v>
                </c:pt>
                <c:pt idx="165">
                  <c:v>2.4526104927062988</c:v>
                </c:pt>
                <c:pt idx="166">
                  <c:v>2.7847070693969727</c:v>
                </c:pt>
                <c:pt idx="167">
                  <c:v>2.9897851943969727</c:v>
                </c:pt>
                <c:pt idx="168">
                  <c:v>2.6621289253234863</c:v>
                </c:pt>
                <c:pt idx="169">
                  <c:v>2.6847078800201416</c:v>
                </c:pt>
                <c:pt idx="170">
                  <c:v>2.5936057567596436</c:v>
                </c:pt>
                <c:pt idx="171">
                  <c:v>2.4302282333374023</c:v>
                </c:pt>
                <c:pt idx="172">
                  <c:v>2.67946457862854</c:v>
                </c:pt>
                <c:pt idx="173">
                  <c:v>2.7078766822814941</c:v>
                </c:pt>
                <c:pt idx="174">
                  <c:v>2.4569690227508545</c:v>
                </c:pt>
                <c:pt idx="175">
                  <c:v>2.6427614688873291</c:v>
                </c:pt>
                <c:pt idx="176">
                  <c:v>2.7075326442718506</c:v>
                </c:pt>
                <c:pt idx="177">
                  <c:v>2.5335044860839844</c:v>
                </c:pt>
                <c:pt idx="178">
                  <c:v>2.4502346515655518</c:v>
                </c:pt>
                <c:pt idx="179">
                  <c:v>2.5425982475280762</c:v>
                </c:pt>
                <c:pt idx="180">
                  <c:v>2.5823161602020264</c:v>
                </c:pt>
                <c:pt idx="181">
                  <c:v>2.5760898590087891</c:v>
                </c:pt>
                <c:pt idx="182">
                  <c:v>2.7684528827667236</c:v>
                </c:pt>
                <c:pt idx="183">
                  <c:v>2.7121531963348389</c:v>
                </c:pt>
                <c:pt idx="184">
                  <c:v>2.6270480155944824</c:v>
                </c:pt>
                <c:pt idx="185">
                  <c:v>2.6878046989440918</c:v>
                </c:pt>
                <c:pt idx="186">
                  <c:v>2.6494958400726318</c:v>
                </c:pt>
                <c:pt idx="187">
                  <c:v>2.9362709522247314</c:v>
                </c:pt>
                <c:pt idx="188">
                  <c:v>2.8734006881713867</c:v>
                </c:pt>
                <c:pt idx="189">
                  <c:v>2.693310022354126</c:v>
                </c:pt>
                <c:pt idx="190">
                  <c:v>2.6055996417999268</c:v>
                </c:pt>
                <c:pt idx="191">
                  <c:v>2.6763348579406738</c:v>
                </c:pt>
                <c:pt idx="192">
                  <c:v>2.7686660289764404</c:v>
                </c:pt>
                <c:pt idx="193">
                  <c:v>2.8346331119537354</c:v>
                </c:pt>
                <c:pt idx="194">
                  <c:v>2.7510519027709961</c:v>
                </c:pt>
                <c:pt idx="195">
                  <c:v>2.6387143135070801</c:v>
                </c:pt>
                <c:pt idx="196">
                  <c:v>2.6742048263549805</c:v>
                </c:pt>
                <c:pt idx="197">
                  <c:v>2.6560990810394287</c:v>
                </c:pt>
                <c:pt idx="198">
                  <c:v>2.5454821586608887</c:v>
                </c:pt>
                <c:pt idx="199">
                  <c:v>2.662456750869751</c:v>
                </c:pt>
                <c:pt idx="200">
                  <c:v>2.7086794376373291</c:v>
                </c:pt>
                <c:pt idx="201">
                  <c:v>2.8127095699310303</c:v>
                </c:pt>
                <c:pt idx="202">
                  <c:v>2.9231791496276855</c:v>
                </c:pt>
                <c:pt idx="203">
                  <c:v>2.8657979965209961</c:v>
                </c:pt>
                <c:pt idx="204">
                  <c:v>2.8285214900970459</c:v>
                </c:pt>
                <c:pt idx="205">
                  <c:v>2.6460549831390381</c:v>
                </c:pt>
                <c:pt idx="206">
                  <c:v>2.7354202270507813</c:v>
                </c:pt>
                <c:pt idx="207">
                  <c:v>2.708745002746582</c:v>
                </c:pt>
                <c:pt idx="208">
                  <c:v>2.6025848388671875</c:v>
                </c:pt>
                <c:pt idx="209">
                  <c:v>2.7563278675079346</c:v>
                </c:pt>
                <c:pt idx="210">
                  <c:v>2.7440881729125977</c:v>
                </c:pt>
                <c:pt idx="211">
                  <c:v>2.6940639019012451</c:v>
                </c:pt>
                <c:pt idx="212">
                  <c:v>2.5772860050201416</c:v>
                </c:pt>
                <c:pt idx="213">
                  <c:v>2.6731889247894287</c:v>
                </c:pt>
                <c:pt idx="214">
                  <c:v>2.7059266567230225</c:v>
                </c:pt>
                <c:pt idx="215">
                  <c:v>2.7381730079650879</c:v>
                </c:pt>
                <c:pt idx="216">
                  <c:v>2.932584285736084</c:v>
                </c:pt>
                <c:pt idx="217">
                  <c:v>2.7447926998138428</c:v>
                </c:pt>
                <c:pt idx="218">
                  <c:v>2.3081250190734863</c:v>
                </c:pt>
                <c:pt idx="219">
                  <c:v>2.5653738975524902</c:v>
                </c:pt>
                <c:pt idx="220">
                  <c:v>2.9947500228881836</c:v>
                </c:pt>
                <c:pt idx="221">
                  <c:v>3.1664021015167236</c:v>
                </c:pt>
                <c:pt idx="222">
                  <c:v>3.141709566116333</c:v>
                </c:pt>
                <c:pt idx="223">
                  <c:v>2.7507405281066895</c:v>
                </c:pt>
                <c:pt idx="224">
                  <c:v>2.2631967067718506</c:v>
                </c:pt>
                <c:pt idx="225">
                  <c:v>2.4576897621154785</c:v>
                </c:pt>
              </c:numCache>
            </c:numRef>
          </c:yVal>
          <c:smooth val="1"/>
          <c:extLst>
            <c:ext xmlns:c16="http://schemas.microsoft.com/office/drawing/2014/chart" uri="{C3380CC4-5D6E-409C-BE32-E72D297353CC}">
              <c16:uniqueId val="{0000000B-C55B-4A1A-87F7-276FE06EA34B}"/>
            </c:ext>
          </c:extLst>
        </c:ser>
        <c:ser>
          <c:idx val="12"/>
          <c:order val="12"/>
          <c:tx>
            <c:v>13</c:v>
          </c:tx>
          <c:spPr>
            <a:ln w="19050" cap="rnd">
              <a:noFill/>
              <a:round/>
            </a:ln>
            <a:effectLst/>
            <a:extLst>
              <a:ext uri="{91240B29-F687-4F45-9708-019B960494DF}">
                <a14:hiddenLine xmlns:a14="http://schemas.microsoft.com/office/drawing/2010/main" w="19050" cap="rnd">
                  <a:solidFill>
                    <a:srgbClr val="5B9BD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NormalisedUVVisData!$N$2:$N$300</c:f>
              <c:numCache>
                <c:formatCode>General</c:formatCode>
                <c:ptCount val="299"/>
                <c:pt idx="0">
                  <c:v>100</c:v>
                </c:pt>
                <c:pt idx="1">
                  <c:v>91.421432495117188</c:v>
                </c:pt>
                <c:pt idx="2">
                  <c:v>80.550758361816406</c:v>
                </c:pt>
                <c:pt idx="3">
                  <c:v>69.759574890136719</c:v>
                </c:pt>
                <c:pt idx="4">
                  <c:v>59.900325775146484</c:v>
                </c:pt>
                <c:pt idx="5">
                  <c:v>50.77691650390625</c:v>
                </c:pt>
                <c:pt idx="6">
                  <c:v>41.583873748779297</c:v>
                </c:pt>
                <c:pt idx="7">
                  <c:v>33.072803497314453</c:v>
                </c:pt>
                <c:pt idx="8">
                  <c:v>25.406515121459961</c:v>
                </c:pt>
                <c:pt idx="9">
                  <c:v>18.375341415405273</c:v>
                </c:pt>
                <c:pt idx="10">
                  <c:v>12.764898300170898</c:v>
                </c:pt>
                <c:pt idx="11">
                  <c:v>8.6845178604125977</c:v>
                </c:pt>
                <c:pt idx="12">
                  <c:v>5.9766960144042969</c:v>
                </c:pt>
                <c:pt idx="13">
                  <c:v>4.2338089942932129</c:v>
                </c:pt>
                <c:pt idx="14">
                  <c:v>3.1886086463928223</c:v>
                </c:pt>
                <c:pt idx="15">
                  <c:v>2.5860898494720459</c:v>
                </c:pt>
                <c:pt idx="16">
                  <c:v>2.2741076946258545</c:v>
                </c:pt>
                <c:pt idx="17">
                  <c:v>2.1181759834289551</c:v>
                </c:pt>
                <c:pt idx="18">
                  <c:v>2.0463161468505859</c:v>
                </c:pt>
                <c:pt idx="19">
                  <c:v>2.0105953216552734</c:v>
                </c:pt>
                <c:pt idx="20">
                  <c:v>2</c:v>
                </c:pt>
                <c:pt idx="21">
                  <c:v>2.0070235729217529</c:v>
                </c:pt>
                <c:pt idx="22">
                  <c:v>2.0188179016113281</c:v>
                </c:pt>
                <c:pt idx="23">
                  <c:v>2.0368413925170898</c:v>
                </c:pt>
                <c:pt idx="24">
                  <c:v>2.0648050308227539</c:v>
                </c:pt>
                <c:pt idx="25">
                  <c:v>2.0910141468048096</c:v>
                </c:pt>
                <c:pt idx="26">
                  <c:v>2.1242880821228027</c:v>
                </c:pt>
                <c:pt idx="27">
                  <c:v>2.1460344791412354</c:v>
                </c:pt>
                <c:pt idx="28">
                  <c:v>2.1581757068634033</c:v>
                </c:pt>
                <c:pt idx="29">
                  <c:v>2.1745362281799316</c:v>
                </c:pt>
                <c:pt idx="30">
                  <c:v>2.1868937015533447</c:v>
                </c:pt>
                <c:pt idx="31">
                  <c:v>2.1881239414215088</c:v>
                </c:pt>
                <c:pt idx="32">
                  <c:v>2.1840126514434814</c:v>
                </c:pt>
                <c:pt idx="33">
                  <c:v>2.1836066246032715</c:v>
                </c:pt>
                <c:pt idx="34">
                  <c:v>2.1812648773193359</c:v>
                </c:pt>
                <c:pt idx="35">
                  <c:v>2.180661678314209</c:v>
                </c:pt>
                <c:pt idx="36">
                  <c:v>2.1792032718658447</c:v>
                </c:pt>
                <c:pt idx="37">
                  <c:v>2.1834554672241211</c:v>
                </c:pt>
                <c:pt idx="38">
                  <c:v>2.1867249011993408</c:v>
                </c:pt>
                <c:pt idx="39">
                  <c:v>2.1788668632507324</c:v>
                </c:pt>
                <c:pt idx="40">
                  <c:v>2.1879711151123047</c:v>
                </c:pt>
                <c:pt idx="41">
                  <c:v>2.1890990734100342</c:v>
                </c:pt>
                <c:pt idx="42">
                  <c:v>2.1848070621490479</c:v>
                </c:pt>
                <c:pt idx="43">
                  <c:v>2.1805059909820557</c:v>
                </c:pt>
                <c:pt idx="44">
                  <c:v>2.1722924709320068</c:v>
                </c:pt>
                <c:pt idx="45">
                  <c:v>2.1720197200775146</c:v>
                </c:pt>
                <c:pt idx="46">
                  <c:v>2.1756062507629395</c:v>
                </c:pt>
                <c:pt idx="47">
                  <c:v>2.1826832294464111</c:v>
                </c:pt>
                <c:pt idx="48">
                  <c:v>2.1915504932403564</c:v>
                </c:pt>
                <c:pt idx="49">
                  <c:v>2.1986184120178223</c:v>
                </c:pt>
                <c:pt idx="50">
                  <c:v>2.2021679878234863</c:v>
                </c:pt>
                <c:pt idx="51">
                  <c:v>2.2130286693572998</c:v>
                </c:pt>
                <c:pt idx="52">
                  <c:v>2.2129974365234375</c:v>
                </c:pt>
                <c:pt idx="53">
                  <c:v>2.2034263610839844</c:v>
                </c:pt>
                <c:pt idx="54">
                  <c:v>2.2138023376464844</c:v>
                </c:pt>
                <c:pt idx="55">
                  <c:v>2.2276639938354492</c:v>
                </c:pt>
                <c:pt idx="56">
                  <c:v>2.232682466506958</c:v>
                </c:pt>
                <c:pt idx="57">
                  <c:v>2.2352981567382813</c:v>
                </c:pt>
                <c:pt idx="58">
                  <c:v>2.235299825668335</c:v>
                </c:pt>
                <c:pt idx="59">
                  <c:v>2.2397503852844238</c:v>
                </c:pt>
                <c:pt idx="60">
                  <c:v>2.2494876384735107</c:v>
                </c:pt>
                <c:pt idx="61">
                  <c:v>2.2641897201538086</c:v>
                </c:pt>
                <c:pt idx="62">
                  <c:v>2.2596442699432373</c:v>
                </c:pt>
                <c:pt idx="63">
                  <c:v>2.2487034797668457</c:v>
                </c:pt>
                <c:pt idx="64">
                  <c:v>2.2398674488067627</c:v>
                </c:pt>
                <c:pt idx="65">
                  <c:v>2.239199161529541</c:v>
                </c:pt>
                <c:pt idx="66">
                  <c:v>2.2384994029998779</c:v>
                </c:pt>
                <c:pt idx="67">
                  <c:v>2.2377200126647949</c:v>
                </c:pt>
                <c:pt idx="68">
                  <c:v>2.2379186153411865</c:v>
                </c:pt>
                <c:pt idx="69">
                  <c:v>2.2493393421173096</c:v>
                </c:pt>
                <c:pt idx="70">
                  <c:v>2.2557077407836914</c:v>
                </c:pt>
                <c:pt idx="71">
                  <c:v>2.2587921619415283</c:v>
                </c:pt>
                <c:pt idx="72">
                  <c:v>2.2609705924987793</c:v>
                </c:pt>
                <c:pt idx="73">
                  <c:v>2.2426166534423828</c:v>
                </c:pt>
                <c:pt idx="74">
                  <c:v>2.2370827198028564</c:v>
                </c:pt>
                <c:pt idx="75">
                  <c:v>2.2403848171234131</c:v>
                </c:pt>
                <c:pt idx="76">
                  <c:v>2.2389011383056641</c:v>
                </c:pt>
                <c:pt idx="77">
                  <c:v>2.2438957691192627</c:v>
                </c:pt>
                <c:pt idx="78">
                  <c:v>2.2442722320556641</c:v>
                </c:pt>
                <c:pt idx="79">
                  <c:v>2.2424211502075195</c:v>
                </c:pt>
                <c:pt idx="80">
                  <c:v>2.2406337261199951</c:v>
                </c:pt>
                <c:pt idx="81">
                  <c:v>2.251516580581665</c:v>
                </c:pt>
                <c:pt idx="82">
                  <c:v>2.2618613243103027</c:v>
                </c:pt>
                <c:pt idx="83">
                  <c:v>2.2657859325408936</c:v>
                </c:pt>
                <c:pt idx="84">
                  <c:v>2.2639584541320801</c:v>
                </c:pt>
                <c:pt idx="85">
                  <c:v>2.2679276466369629</c:v>
                </c:pt>
                <c:pt idx="86">
                  <c:v>2.2533454895019531</c:v>
                </c:pt>
                <c:pt idx="87">
                  <c:v>2.2546451091766357</c:v>
                </c:pt>
                <c:pt idx="88">
                  <c:v>2.2502672672271729</c:v>
                </c:pt>
                <c:pt idx="89">
                  <c:v>2.234849214553833</c:v>
                </c:pt>
                <c:pt idx="90">
                  <c:v>2.2403507232666016</c:v>
                </c:pt>
                <c:pt idx="91">
                  <c:v>2.2455527782440186</c:v>
                </c:pt>
                <c:pt idx="92">
                  <c:v>2.2540597915649414</c:v>
                </c:pt>
                <c:pt idx="93">
                  <c:v>2.2525644302368164</c:v>
                </c:pt>
                <c:pt idx="94">
                  <c:v>2.2389960289001465</c:v>
                </c:pt>
                <c:pt idx="95">
                  <c:v>2.2462048530578613</c:v>
                </c:pt>
                <c:pt idx="96">
                  <c:v>2.2640089988708496</c:v>
                </c:pt>
                <c:pt idx="97">
                  <c:v>2.2451865673065186</c:v>
                </c:pt>
                <c:pt idx="98">
                  <c:v>2.2327194213867188</c:v>
                </c:pt>
                <c:pt idx="99">
                  <c:v>2.2387735843658447</c:v>
                </c:pt>
                <c:pt idx="100">
                  <c:v>2.2359340190887451</c:v>
                </c:pt>
                <c:pt idx="101">
                  <c:v>2.2367491722106934</c:v>
                </c:pt>
                <c:pt idx="102">
                  <c:v>2.235255241394043</c:v>
                </c:pt>
                <c:pt idx="103">
                  <c:v>2.2375330924987793</c:v>
                </c:pt>
                <c:pt idx="104">
                  <c:v>2.2431709766387939</c:v>
                </c:pt>
                <c:pt idx="105">
                  <c:v>2.2384653091430664</c:v>
                </c:pt>
                <c:pt idx="106">
                  <c:v>2.2353916168212891</c:v>
                </c:pt>
                <c:pt idx="107">
                  <c:v>2.2334959506988525</c:v>
                </c:pt>
                <c:pt idx="108">
                  <c:v>2.2368574142456055</c:v>
                </c:pt>
                <c:pt idx="109">
                  <c:v>2.2459542751312256</c:v>
                </c:pt>
                <c:pt idx="110">
                  <c:v>2.2508540153503418</c:v>
                </c:pt>
                <c:pt idx="111">
                  <c:v>2.2507798671722412</c:v>
                </c:pt>
                <c:pt idx="112">
                  <c:v>2.2458744049072266</c:v>
                </c:pt>
                <c:pt idx="113">
                  <c:v>2.2489140033721924</c:v>
                </c:pt>
                <c:pt idx="114">
                  <c:v>2.2487301826477051</c:v>
                </c:pt>
                <c:pt idx="115">
                  <c:v>2.2381348609924316</c:v>
                </c:pt>
                <c:pt idx="116">
                  <c:v>2.2297968864440918</c:v>
                </c:pt>
                <c:pt idx="117">
                  <c:v>2.2418031692504883</c:v>
                </c:pt>
                <c:pt idx="118">
                  <c:v>2.2494328022003174</c:v>
                </c:pt>
                <c:pt idx="119">
                  <c:v>2.2551670074462891</c:v>
                </c:pt>
                <c:pt idx="120">
                  <c:v>2.2603332996368408</c:v>
                </c:pt>
                <c:pt idx="121">
                  <c:v>2.2463767528533936</c:v>
                </c:pt>
                <c:pt idx="122">
                  <c:v>2.2369863986968994</c:v>
                </c:pt>
                <c:pt idx="123">
                  <c:v>2.2513964176177979</c:v>
                </c:pt>
                <c:pt idx="124">
                  <c:v>2.2564356327056885</c:v>
                </c:pt>
                <c:pt idx="125">
                  <c:v>2.2500226497650146</c:v>
                </c:pt>
                <c:pt idx="126">
                  <c:v>2.2438778877258301</c:v>
                </c:pt>
                <c:pt idx="127">
                  <c:v>2.2430005073547363</c:v>
                </c:pt>
                <c:pt idx="128">
                  <c:v>2.2393577098846436</c:v>
                </c:pt>
                <c:pt idx="129">
                  <c:v>2.2305660247802734</c:v>
                </c:pt>
                <c:pt idx="130">
                  <c:v>2.2373702526092529</c:v>
                </c:pt>
                <c:pt idx="131">
                  <c:v>2.2398614883422852</c:v>
                </c:pt>
                <c:pt idx="132">
                  <c:v>2.2359592914581299</c:v>
                </c:pt>
                <c:pt idx="133">
                  <c:v>2.2423396110534668</c:v>
                </c:pt>
                <c:pt idx="134">
                  <c:v>2.24149489402771</c:v>
                </c:pt>
                <c:pt idx="135">
                  <c:v>2.2287623882293701</c:v>
                </c:pt>
                <c:pt idx="136">
                  <c:v>2.1758005619049072</c:v>
                </c:pt>
                <c:pt idx="137">
                  <c:v>2.1226904392242432</c:v>
                </c:pt>
                <c:pt idx="138">
                  <c:v>2.1666724681854248</c:v>
                </c:pt>
                <c:pt idx="139">
                  <c:v>2.2176127433776855</c:v>
                </c:pt>
                <c:pt idx="140">
                  <c:v>2.2054493427276611</c:v>
                </c:pt>
                <c:pt idx="141">
                  <c:v>2.231391429901123</c:v>
                </c:pt>
                <c:pt idx="142">
                  <c:v>2.2606534957885742</c:v>
                </c:pt>
                <c:pt idx="143">
                  <c:v>2.2435133457183838</c:v>
                </c:pt>
                <c:pt idx="144">
                  <c:v>2.2377688884735107</c:v>
                </c:pt>
                <c:pt idx="145">
                  <c:v>2.2364661693572998</c:v>
                </c:pt>
                <c:pt idx="146">
                  <c:v>2.2014656066894531</c:v>
                </c:pt>
                <c:pt idx="147">
                  <c:v>2.2223877906799316</c:v>
                </c:pt>
                <c:pt idx="148">
                  <c:v>2.3054625988006592</c:v>
                </c:pt>
                <c:pt idx="149">
                  <c:v>2.3154160976409912</c:v>
                </c:pt>
                <c:pt idx="150">
                  <c:v>2.2210733890533447</c:v>
                </c:pt>
                <c:pt idx="151">
                  <c:v>2.2164506912231445</c:v>
                </c:pt>
                <c:pt idx="152">
                  <c:v>2.2459750175476074</c:v>
                </c:pt>
                <c:pt idx="153">
                  <c:v>2.2438156604766846</c:v>
                </c:pt>
                <c:pt idx="154">
                  <c:v>2.2337851524353027</c:v>
                </c:pt>
                <c:pt idx="155">
                  <c:v>2.2542836666107178</c:v>
                </c:pt>
                <c:pt idx="156">
                  <c:v>2.2460877895355225</c:v>
                </c:pt>
                <c:pt idx="157">
                  <c:v>2.2323591709136963</c:v>
                </c:pt>
                <c:pt idx="158">
                  <c:v>2.2565066814422607</c:v>
                </c:pt>
                <c:pt idx="159">
                  <c:v>2.2526843547821045</c:v>
                </c:pt>
                <c:pt idx="160">
                  <c:v>2.2599360942840576</c:v>
                </c:pt>
                <c:pt idx="161">
                  <c:v>2.261655330657959</c:v>
                </c:pt>
                <c:pt idx="162">
                  <c:v>2.2519123554229736</c:v>
                </c:pt>
                <c:pt idx="163">
                  <c:v>2.2778055667877197</c:v>
                </c:pt>
                <c:pt idx="164">
                  <c:v>2.261418342590332</c:v>
                </c:pt>
                <c:pt idx="165">
                  <c:v>2.2609381675720215</c:v>
                </c:pt>
                <c:pt idx="166">
                  <c:v>2.2604031562805176</c:v>
                </c:pt>
                <c:pt idx="167">
                  <c:v>2.2471089363098145</c:v>
                </c:pt>
                <c:pt idx="168">
                  <c:v>2.2725191116333008</c:v>
                </c:pt>
                <c:pt idx="169">
                  <c:v>2.2457854747772217</c:v>
                </c:pt>
                <c:pt idx="170">
                  <c:v>2.2494297027587891</c:v>
                </c:pt>
                <c:pt idx="171">
                  <c:v>2.2458713054656982</c:v>
                </c:pt>
                <c:pt idx="172">
                  <c:v>2.2265450954437256</c:v>
                </c:pt>
                <c:pt idx="173">
                  <c:v>2.2474675178527832</c:v>
                </c:pt>
                <c:pt idx="174">
                  <c:v>2.2225983142852783</c:v>
                </c:pt>
                <c:pt idx="175">
                  <c:v>2.2099711894989014</c:v>
                </c:pt>
                <c:pt idx="176">
                  <c:v>2.2317752838134766</c:v>
                </c:pt>
                <c:pt idx="177">
                  <c:v>2.2548527717590332</c:v>
                </c:pt>
                <c:pt idx="178">
                  <c:v>2.2276017665863037</c:v>
                </c:pt>
                <c:pt idx="179">
                  <c:v>2.2327771186828613</c:v>
                </c:pt>
                <c:pt idx="180">
                  <c:v>2.2546408176422119</c:v>
                </c:pt>
                <c:pt idx="181">
                  <c:v>2.2294661998748779</c:v>
                </c:pt>
                <c:pt idx="182">
                  <c:v>2.2769756317138672</c:v>
                </c:pt>
                <c:pt idx="183">
                  <c:v>2.2705819606781006</c:v>
                </c:pt>
                <c:pt idx="184">
                  <c:v>2.2364156246185303</c:v>
                </c:pt>
                <c:pt idx="185">
                  <c:v>2.2487583160400391</c:v>
                </c:pt>
                <c:pt idx="186">
                  <c:v>2.2236225605010986</c:v>
                </c:pt>
                <c:pt idx="187">
                  <c:v>2.2296397686004639</c:v>
                </c:pt>
                <c:pt idx="188">
                  <c:v>2.2211549282073975</c:v>
                </c:pt>
                <c:pt idx="189">
                  <c:v>2.2498550415039063</c:v>
                </c:pt>
                <c:pt idx="190">
                  <c:v>2.2413094043731689</c:v>
                </c:pt>
                <c:pt idx="191">
                  <c:v>2.2194340229034424</c:v>
                </c:pt>
                <c:pt idx="192">
                  <c:v>2.2297389507293701</c:v>
                </c:pt>
                <c:pt idx="193">
                  <c:v>2.2161157131195068</c:v>
                </c:pt>
                <c:pt idx="194">
                  <c:v>2.2520382404327393</c:v>
                </c:pt>
                <c:pt idx="195">
                  <c:v>2.2507309913635254</c:v>
                </c:pt>
                <c:pt idx="196">
                  <c:v>2.2855997085571289</c:v>
                </c:pt>
                <c:pt idx="197">
                  <c:v>2.2740826606750488</c:v>
                </c:pt>
                <c:pt idx="198">
                  <c:v>2.2488887310028076</c:v>
                </c:pt>
                <c:pt idx="199">
                  <c:v>2.2444500923156738</c:v>
                </c:pt>
                <c:pt idx="200">
                  <c:v>2.2640223503112793</c:v>
                </c:pt>
                <c:pt idx="201">
                  <c:v>2.2627091407775879</c:v>
                </c:pt>
                <c:pt idx="202">
                  <c:v>2.2067520618438721</c:v>
                </c:pt>
                <c:pt idx="203">
                  <c:v>2.2538418769836426</c:v>
                </c:pt>
                <c:pt idx="204">
                  <c:v>2.2506866455078125</c:v>
                </c:pt>
                <c:pt idx="205">
                  <c:v>2.2757558822631836</c:v>
                </c:pt>
                <c:pt idx="206">
                  <c:v>2.2497913837432861</c:v>
                </c:pt>
                <c:pt idx="207">
                  <c:v>2.2755692005157471</c:v>
                </c:pt>
                <c:pt idx="208">
                  <c:v>2.2247710227966309</c:v>
                </c:pt>
                <c:pt idx="209">
                  <c:v>2.226837158203125</c:v>
                </c:pt>
                <c:pt idx="210">
                  <c:v>2.2406470775604248</c:v>
                </c:pt>
                <c:pt idx="211">
                  <c:v>2.2089307308197021</c:v>
                </c:pt>
                <c:pt idx="212">
                  <c:v>2.2835426330566406</c:v>
                </c:pt>
                <c:pt idx="213">
                  <c:v>2.249434232711792</c:v>
                </c:pt>
                <c:pt idx="214">
                  <c:v>2.2535173892974854</c:v>
                </c:pt>
                <c:pt idx="215">
                  <c:v>2.2198388576507568</c:v>
                </c:pt>
                <c:pt idx="216">
                  <c:v>2.2594351768493652</c:v>
                </c:pt>
                <c:pt idx="217">
                  <c:v>2.2758181095123291</c:v>
                </c:pt>
                <c:pt idx="218">
                  <c:v>2.2138674259185791</c:v>
                </c:pt>
                <c:pt idx="219">
                  <c:v>2.2683038711547852</c:v>
                </c:pt>
                <c:pt idx="220">
                  <c:v>2.2487034797668457</c:v>
                </c:pt>
                <c:pt idx="221">
                  <c:v>2.3244211673736572</c:v>
                </c:pt>
                <c:pt idx="222">
                  <c:v>2.3255031108856201</c:v>
                </c:pt>
                <c:pt idx="223">
                  <c:v>2.2038085460662842</c:v>
                </c:pt>
                <c:pt idx="224">
                  <c:v>2.2349884510040283</c:v>
                </c:pt>
                <c:pt idx="225">
                  <c:v>2.1932532787322998</c:v>
                </c:pt>
              </c:numCache>
            </c:numRef>
          </c:yVal>
          <c:smooth val="1"/>
          <c:extLst>
            <c:ext xmlns:c16="http://schemas.microsoft.com/office/drawing/2014/chart" uri="{C3380CC4-5D6E-409C-BE32-E72D297353CC}">
              <c16:uniqueId val="{0000000C-C55B-4A1A-87F7-276FE06EA34B}"/>
            </c:ext>
          </c:extLst>
        </c:ser>
        <c:dLbls>
          <c:showLegendKey val="0"/>
          <c:showVal val="0"/>
          <c:showCatName val="0"/>
          <c:showSerName val="0"/>
          <c:showPercent val="0"/>
          <c:showBubbleSize val="0"/>
        </c:dLbls>
        <c:axId val="1816209824"/>
        <c:axId val="1816210368"/>
      </c:scatterChart>
      <c:valAx>
        <c:axId val="1816209824"/>
        <c:scaling>
          <c:orientation val="minMax"/>
          <c:max val="600"/>
          <c:min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AU" sz="1400">
                    <a:solidFill>
                      <a:schemeClr val="tx1"/>
                    </a:solidFill>
                  </a:rPr>
                  <a:t>Wavelength (nm)</a:t>
                </a:r>
              </a:p>
            </c:rich>
          </c:tx>
          <c:layout>
            <c:manualLayout>
              <c:xMode val="edge"/>
              <c:yMode val="edge"/>
              <c:x val="0.40139134506920809"/>
              <c:y val="0.9550660430159899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0368"/>
        <c:crosses val="autoZero"/>
        <c:crossBetween val="midCat"/>
        <c:majorUnit val="50"/>
      </c:valAx>
      <c:valAx>
        <c:axId val="1816210368"/>
        <c:scaling>
          <c:orientation val="minMax"/>
          <c:max val="10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09824"/>
        <c:crosses val="autoZero"/>
        <c:crossBetween val="midCat"/>
        <c:majorUnit val="25"/>
      </c:valAx>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1"/>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2"/>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3"/>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4"/>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5"/>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6"/>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7"/>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8"/>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9"/>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10"/>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11"/>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12"/>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ayout>
        <c:manualLayout>
          <c:xMode val="edge"/>
          <c:yMode val="edge"/>
          <c:x val="0.82240397165544188"/>
          <c:y val="1.5864471655588207E-2"/>
          <c:w val="0.1725423562561009"/>
          <c:h val="0.9682710566888236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0.51300000000000001</c:v>
                </c:pt>
                <c:pt idx="1">
                  <c:v>0.53900000000000003</c:v>
                </c:pt>
                <c:pt idx="2">
                  <c:v>0.56599999999999995</c:v>
                </c:pt>
                <c:pt idx="3">
                  <c:v>0.59299999999999997</c:v>
                </c:pt>
                <c:pt idx="4">
                  <c:v>0.61899999999999999</c:v>
                </c:pt>
                <c:pt idx="5">
                  <c:v>0.64600000000000002</c:v>
                </c:pt>
                <c:pt idx="6">
                  <c:v>0.67300000000000004</c:v>
                </c:pt>
                <c:pt idx="7">
                  <c:v>0.69899999999999995</c:v>
                </c:pt>
                <c:pt idx="8">
                  <c:v>0.72599999999999998</c:v>
                </c:pt>
                <c:pt idx="9">
                  <c:v>0.753</c:v>
                </c:pt>
                <c:pt idx="10">
                  <c:v>0.77900000000000003</c:v>
                </c:pt>
                <c:pt idx="11">
                  <c:v>0.80600000000000005</c:v>
                </c:pt>
                <c:pt idx="12">
                  <c:v>0.83299999999999996</c:v>
                </c:pt>
                <c:pt idx="13">
                  <c:v>0.85899999999999999</c:v>
                </c:pt>
                <c:pt idx="14">
                  <c:v>0.88600000000000001</c:v>
                </c:pt>
                <c:pt idx="15">
                  <c:v>0.91300000000000003</c:v>
                </c:pt>
                <c:pt idx="16">
                  <c:v>0.93899999999999995</c:v>
                </c:pt>
                <c:pt idx="17">
                  <c:v>0.96599999999999997</c:v>
                </c:pt>
                <c:pt idx="18">
                  <c:v>0.99299999999999999</c:v>
                </c:pt>
                <c:pt idx="19">
                  <c:v>1.0189999999999999</c:v>
                </c:pt>
                <c:pt idx="20">
                  <c:v>1.046</c:v>
                </c:pt>
                <c:pt idx="21">
                  <c:v>1.073</c:v>
                </c:pt>
                <c:pt idx="22">
                  <c:v>1.099</c:v>
                </c:pt>
                <c:pt idx="23">
                  <c:v>1.1259999999999999</c:v>
                </c:pt>
                <c:pt idx="24">
                  <c:v>1.153</c:v>
                </c:pt>
                <c:pt idx="25">
                  <c:v>1.179</c:v>
                </c:pt>
                <c:pt idx="26">
                  <c:v>1.206</c:v>
                </c:pt>
                <c:pt idx="27">
                  <c:v>1.2330000000000001</c:v>
                </c:pt>
                <c:pt idx="28">
                  <c:v>1.2589999999999999</c:v>
                </c:pt>
                <c:pt idx="29">
                  <c:v>1.286</c:v>
                </c:pt>
                <c:pt idx="30">
                  <c:v>1.3129999999999999</c:v>
                </c:pt>
                <c:pt idx="31">
                  <c:v>1.339</c:v>
                </c:pt>
                <c:pt idx="32">
                  <c:v>1.3660000000000001</c:v>
                </c:pt>
                <c:pt idx="33">
                  <c:v>1.393</c:v>
                </c:pt>
                <c:pt idx="34">
                  <c:v>1.419</c:v>
                </c:pt>
                <c:pt idx="35">
                  <c:v>1.446</c:v>
                </c:pt>
                <c:pt idx="36">
                  <c:v>1.4730000000000001</c:v>
                </c:pt>
                <c:pt idx="37">
                  <c:v>1.4990000000000001</c:v>
                </c:pt>
                <c:pt idx="38">
                  <c:v>1.526</c:v>
                </c:pt>
                <c:pt idx="39">
                  <c:v>1.5529999999999999</c:v>
                </c:pt>
                <c:pt idx="40">
                  <c:v>1.579</c:v>
                </c:pt>
                <c:pt idx="41">
                  <c:v>1.6060000000000001</c:v>
                </c:pt>
                <c:pt idx="42">
                  <c:v>1.633</c:v>
                </c:pt>
                <c:pt idx="43">
                  <c:v>1.659</c:v>
                </c:pt>
                <c:pt idx="44">
                  <c:v>1.6859999999999999</c:v>
                </c:pt>
                <c:pt idx="45">
                  <c:v>1.7130000000000001</c:v>
                </c:pt>
                <c:pt idx="46">
                  <c:v>1.7390000000000001</c:v>
                </c:pt>
                <c:pt idx="47">
                  <c:v>1.766</c:v>
                </c:pt>
                <c:pt idx="48">
                  <c:v>1.7929999999999999</c:v>
                </c:pt>
                <c:pt idx="49">
                  <c:v>1.819</c:v>
                </c:pt>
                <c:pt idx="50">
                  <c:v>1.8460000000000001</c:v>
                </c:pt>
                <c:pt idx="51">
                  <c:v>1.873</c:v>
                </c:pt>
                <c:pt idx="52">
                  <c:v>1.899</c:v>
                </c:pt>
                <c:pt idx="53">
                  <c:v>1.9259999999999999</c:v>
                </c:pt>
                <c:pt idx="54">
                  <c:v>1.9530000000000001</c:v>
                </c:pt>
                <c:pt idx="55">
                  <c:v>1.9790000000000001</c:v>
                </c:pt>
                <c:pt idx="56">
                  <c:v>2.0059999999999998</c:v>
                </c:pt>
                <c:pt idx="57">
                  <c:v>2.0329999999999999</c:v>
                </c:pt>
                <c:pt idx="58">
                  <c:v>2.0590000000000002</c:v>
                </c:pt>
                <c:pt idx="59">
                  <c:v>2.0859999999999999</c:v>
                </c:pt>
                <c:pt idx="60">
                  <c:v>2.113</c:v>
                </c:pt>
                <c:pt idx="61">
                  <c:v>2.1389999999999998</c:v>
                </c:pt>
                <c:pt idx="62">
                  <c:v>2.1659999999999999</c:v>
                </c:pt>
                <c:pt idx="63">
                  <c:v>2.1930000000000001</c:v>
                </c:pt>
                <c:pt idx="64">
                  <c:v>2.2189999999999999</c:v>
                </c:pt>
                <c:pt idx="65">
                  <c:v>2.246</c:v>
                </c:pt>
                <c:pt idx="66">
                  <c:v>2.2730000000000001</c:v>
                </c:pt>
                <c:pt idx="67">
                  <c:v>2.2989999999999999</c:v>
                </c:pt>
                <c:pt idx="68">
                  <c:v>2.3260000000000001</c:v>
                </c:pt>
                <c:pt idx="69">
                  <c:v>2.3530000000000002</c:v>
                </c:pt>
                <c:pt idx="70">
                  <c:v>2.379</c:v>
                </c:pt>
                <c:pt idx="71">
                  <c:v>2.4060000000000001</c:v>
                </c:pt>
                <c:pt idx="72">
                  <c:v>2.4329999999999998</c:v>
                </c:pt>
                <c:pt idx="73">
                  <c:v>2.4590000000000001</c:v>
                </c:pt>
                <c:pt idx="74">
                  <c:v>2.4860000000000002</c:v>
                </c:pt>
                <c:pt idx="75">
                  <c:v>2.5129999999999999</c:v>
                </c:pt>
                <c:pt idx="76">
                  <c:v>2.5390000000000001</c:v>
                </c:pt>
                <c:pt idx="77">
                  <c:v>2.5659999999999998</c:v>
                </c:pt>
                <c:pt idx="78">
                  <c:v>2.593</c:v>
                </c:pt>
                <c:pt idx="79">
                  <c:v>2.6190000000000002</c:v>
                </c:pt>
                <c:pt idx="80">
                  <c:v>2.6459999999999999</c:v>
                </c:pt>
                <c:pt idx="81">
                  <c:v>2.673</c:v>
                </c:pt>
                <c:pt idx="82">
                  <c:v>2.6989999999999998</c:v>
                </c:pt>
                <c:pt idx="83">
                  <c:v>2.726</c:v>
                </c:pt>
                <c:pt idx="84">
                  <c:v>2.7530000000000001</c:v>
                </c:pt>
                <c:pt idx="85">
                  <c:v>2.7789999999999999</c:v>
                </c:pt>
                <c:pt idx="86">
                  <c:v>2.806</c:v>
                </c:pt>
                <c:pt idx="87">
                  <c:v>2.8330000000000002</c:v>
                </c:pt>
                <c:pt idx="88">
                  <c:v>2.859</c:v>
                </c:pt>
                <c:pt idx="89">
                  <c:v>2.8860000000000001</c:v>
                </c:pt>
                <c:pt idx="90">
                  <c:v>2.9129999999999998</c:v>
                </c:pt>
                <c:pt idx="91">
                  <c:v>2.9390000000000001</c:v>
                </c:pt>
                <c:pt idx="92">
                  <c:v>2.9660000000000002</c:v>
                </c:pt>
                <c:pt idx="93">
                  <c:v>2.9929999999999999</c:v>
                </c:pt>
                <c:pt idx="94">
                  <c:v>3.0190000000000001</c:v>
                </c:pt>
                <c:pt idx="95">
                  <c:v>3.0459999999999998</c:v>
                </c:pt>
                <c:pt idx="96">
                  <c:v>3.073</c:v>
                </c:pt>
                <c:pt idx="97">
                  <c:v>3.0990000000000002</c:v>
                </c:pt>
                <c:pt idx="98">
                  <c:v>3.1259999999999999</c:v>
                </c:pt>
                <c:pt idx="99">
                  <c:v>3.153</c:v>
                </c:pt>
                <c:pt idx="100">
                  <c:v>3.1789999999999998</c:v>
                </c:pt>
                <c:pt idx="101">
                  <c:v>3.206</c:v>
                </c:pt>
                <c:pt idx="102">
                  <c:v>3.2330000000000001</c:v>
                </c:pt>
                <c:pt idx="103">
                  <c:v>3.2589999999999999</c:v>
                </c:pt>
                <c:pt idx="104">
                  <c:v>3.286</c:v>
                </c:pt>
                <c:pt idx="105">
                  <c:v>3.3130000000000002</c:v>
                </c:pt>
                <c:pt idx="106">
                  <c:v>3.339</c:v>
                </c:pt>
                <c:pt idx="107">
                  <c:v>3.3660000000000001</c:v>
                </c:pt>
                <c:pt idx="108">
                  <c:v>3.3929999999999998</c:v>
                </c:pt>
                <c:pt idx="109">
                  <c:v>3.419</c:v>
                </c:pt>
                <c:pt idx="110">
                  <c:v>3.4460000000000002</c:v>
                </c:pt>
                <c:pt idx="111">
                  <c:v>3.4729999999999999</c:v>
                </c:pt>
                <c:pt idx="112">
                  <c:v>3.4990000000000001</c:v>
                </c:pt>
                <c:pt idx="113">
                  <c:v>3.5259999999999998</c:v>
                </c:pt>
                <c:pt idx="114">
                  <c:v>3.5529999999999999</c:v>
                </c:pt>
                <c:pt idx="115">
                  <c:v>3.5790000000000002</c:v>
                </c:pt>
                <c:pt idx="116">
                  <c:v>3.6059999999999999</c:v>
                </c:pt>
                <c:pt idx="117">
                  <c:v>3.633</c:v>
                </c:pt>
                <c:pt idx="118">
                  <c:v>3.6589999999999998</c:v>
                </c:pt>
                <c:pt idx="119">
                  <c:v>3.6859999999999999</c:v>
                </c:pt>
                <c:pt idx="120">
                  <c:v>3.7130000000000001</c:v>
                </c:pt>
                <c:pt idx="121">
                  <c:v>3.7389999999999999</c:v>
                </c:pt>
                <c:pt idx="122">
                  <c:v>3.766</c:v>
                </c:pt>
                <c:pt idx="123">
                  <c:v>3.7930000000000001</c:v>
                </c:pt>
                <c:pt idx="124">
                  <c:v>3.819</c:v>
                </c:pt>
                <c:pt idx="125">
                  <c:v>3.8460000000000001</c:v>
                </c:pt>
                <c:pt idx="126">
                  <c:v>3.8730000000000002</c:v>
                </c:pt>
                <c:pt idx="127">
                  <c:v>3.899</c:v>
                </c:pt>
                <c:pt idx="128">
                  <c:v>3.9260000000000002</c:v>
                </c:pt>
                <c:pt idx="129">
                  <c:v>3.9529999999999998</c:v>
                </c:pt>
                <c:pt idx="130">
                  <c:v>3.9790000000000001</c:v>
                </c:pt>
                <c:pt idx="131">
                  <c:v>4.0060000000000002</c:v>
                </c:pt>
                <c:pt idx="132">
                  <c:v>4.0330000000000004</c:v>
                </c:pt>
                <c:pt idx="133">
                  <c:v>4.0590000000000002</c:v>
                </c:pt>
                <c:pt idx="134">
                  <c:v>4.0860000000000003</c:v>
                </c:pt>
                <c:pt idx="135">
                  <c:v>4.1130000000000004</c:v>
                </c:pt>
                <c:pt idx="136">
                  <c:v>4.1390000000000002</c:v>
                </c:pt>
                <c:pt idx="137">
                  <c:v>4.1660000000000004</c:v>
                </c:pt>
                <c:pt idx="138">
                  <c:v>4.1929999999999996</c:v>
                </c:pt>
                <c:pt idx="139">
                  <c:v>4.2190000000000003</c:v>
                </c:pt>
                <c:pt idx="140">
                  <c:v>4.2460000000000004</c:v>
                </c:pt>
                <c:pt idx="141">
                  <c:v>4.2729999999999997</c:v>
                </c:pt>
                <c:pt idx="142">
                  <c:v>4.2990000000000004</c:v>
                </c:pt>
                <c:pt idx="143">
                  <c:v>4.3259999999999996</c:v>
                </c:pt>
                <c:pt idx="144">
                  <c:v>4.3529999999999998</c:v>
                </c:pt>
                <c:pt idx="145">
                  <c:v>4.3789999999999996</c:v>
                </c:pt>
                <c:pt idx="146">
                  <c:v>4.4059999999999997</c:v>
                </c:pt>
                <c:pt idx="147">
                  <c:v>4.4329999999999998</c:v>
                </c:pt>
                <c:pt idx="148">
                  <c:v>4.4589999999999996</c:v>
                </c:pt>
                <c:pt idx="149">
                  <c:v>4.4859999999999998</c:v>
                </c:pt>
                <c:pt idx="150">
                  <c:v>4.5129999999999999</c:v>
                </c:pt>
                <c:pt idx="151">
                  <c:v>4.5389999999999997</c:v>
                </c:pt>
                <c:pt idx="152">
                  <c:v>4.5659999999999998</c:v>
                </c:pt>
                <c:pt idx="153">
                  <c:v>4.593</c:v>
                </c:pt>
                <c:pt idx="154">
                  <c:v>4.6189999999999998</c:v>
                </c:pt>
                <c:pt idx="155">
                  <c:v>4.6459999999999999</c:v>
                </c:pt>
                <c:pt idx="156">
                  <c:v>4.673</c:v>
                </c:pt>
                <c:pt idx="157">
                  <c:v>4.6989999999999998</c:v>
                </c:pt>
                <c:pt idx="158">
                  <c:v>4.726</c:v>
                </c:pt>
                <c:pt idx="159">
                  <c:v>4.7530000000000001</c:v>
                </c:pt>
                <c:pt idx="160">
                  <c:v>4.7789999999999999</c:v>
                </c:pt>
                <c:pt idx="161">
                  <c:v>4.806</c:v>
                </c:pt>
                <c:pt idx="162">
                  <c:v>4.8330000000000002</c:v>
                </c:pt>
                <c:pt idx="163">
                  <c:v>4.859</c:v>
                </c:pt>
                <c:pt idx="164">
                  <c:v>4.8860000000000001</c:v>
                </c:pt>
                <c:pt idx="165">
                  <c:v>4.9130000000000003</c:v>
                </c:pt>
                <c:pt idx="166">
                  <c:v>4.9390000000000001</c:v>
                </c:pt>
                <c:pt idx="167">
                  <c:v>4.9660000000000002</c:v>
                </c:pt>
                <c:pt idx="168">
                  <c:v>4.9930000000000003</c:v>
                </c:pt>
                <c:pt idx="169">
                  <c:v>5.0190000000000001</c:v>
                </c:pt>
                <c:pt idx="170">
                  <c:v>5.0460000000000003</c:v>
                </c:pt>
                <c:pt idx="171">
                  <c:v>5.0730000000000004</c:v>
                </c:pt>
                <c:pt idx="172">
                  <c:v>5.0990000000000002</c:v>
                </c:pt>
                <c:pt idx="173">
                  <c:v>5.1260000000000003</c:v>
                </c:pt>
                <c:pt idx="174">
                  <c:v>5.1529999999999996</c:v>
                </c:pt>
                <c:pt idx="175">
                  <c:v>5.1790000000000003</c:v>
                </c:pt>
                <c:pt idx="176">
                  <c:v>5.2060000000000004</c:v>
                </c:pt>
                <c:pt idx="177">
                  <c:v>5.2329999999999997</c:v>
                </c:pt>
                <c:pt idx="178">
                  <c:v>5.2590000000000003</c:v>
                </c:pt>
                <c:pt idx="179">
                  <c:v>5.2859999999999996</c:v>
                </c:pt>
                <c:pt idx="180">
                  <c:v>5.3129999999999997</c:v>
                </c:pt>
                <c:pt idx="181">
                  <c:v>5.3390000000000004</c:v>
                </c:pt>
                <c:pt idx="182">
                  <c:v>5.3659999999999997</c:v>
                </c:pt>
                <c:pt idx="183">
                  <c:v>5.3929999999999998</c:v>
                </c:pt>
                <c:pt idx="184">
                  <c:v>5.4189999999999996</c:v>
                </c:pt>
                <c:pt idx="185">
                  <c:v>5.4459999999999997</c:v>
                </c:pt>
                <c:pt idx="186">
                  <c:v>5.4729999999999999</c:v>
                </c:pt>
                <c:pt idx="187">
                  <c:v>5.4989999999999997</c:v>
                </c:pt>
                <c:pt idx="188">
                  <c:v>5.5259999999999998</c:v>
                </c:pt>
                <c:pt idx="189">
                  <c:v>5.5529999999999999</c:v>
                </c:pt>
                <c:pt idx="190">
                  <c:v>5.5789999999999997</c:v>
                </c:pt>
                <c:pt idx="191">
                  <c:v>5.6059999999999999</c:v>
                </c:pt>
                <c:pt idx="192">
                  <c:v>5.633</c:v>
                </c:pt>
                <c:pt idx="193">
                  <c:v>5.6589999999999998</c:v>
                </c:pt>
                <c:pt idx="194">
                  <c:v>5.6859999999999999</c:v>
                </c:pt>
                <c:pt idx="195">
                  <c:v>5.7130000000000001</c:v>
                </c:pt>
                <c:pt idx="196">
                  <c:v>5.7389999999999999</c:v>
                </c:pt>
                <c:pt idx="197">
                  <c:v>5.766</c:v>
                </c:pt>
                <c:pt idx="198">
                  <c:v>5.7930000000000001</c:v>
                </c:pt>
                <c:pt idx="199">
                  <c:v>5.819</c:v>
                </c:pt>
                <c:pt idx="200">
                  <c:v>5.8460000000000001</c:v>
                </c:pt>
                <c:pt idx="201">
                  <c:v>5.8730000000000002</c:v>
                </c:pt>
                <c:pt idx="202">
                  <c:v>5.899</c:v>
                </c:pt>
                <c:pt idx="203">
                  <c:v>5.9260000000000002</c:v>
                </c:pt>
                <c:pt idx="204">
                  <c:v>5.9530000000000003</c:v>
                </c:pt>
                <c:pt idx="205">
                  <c:v>5.9790000000000001</c:v>
                </c:pt>
                <c:pt idx="206">
                  <c:v>6.0060000000000002</c:v>
                </c:pt>
                <c:pt idx="207">
                  <c:v>6.0330000000000004</c:v>
                </c:pt>
                <c:pt idx="208">
                  <c:v>6.0590000000000002</c:v>
                </c:pt>
                <c:pt idx="209">
                  <c:v>6.0860000000000003</c:v>
                </c:pt>
                <c:pt idx="210">
                  <c:v>6.1130000000000004</c:v>
                </c:pt>
                <c:pt idx="211">
                  <c:v>6.1390000000000002</c:v>
                </c:pt>
                <c:pt idx="212">
                  <c:v>6.1660000000000004</c:v>
                </c:pt>
                <c:pt idx="213">
                  <c:v>6.1929999999999996</c:v>
                </c:pt>
                <c:pt idx="214">
                  <c:v>6.2190000000000003</c:v>
                </c:pt>
                <c:pt idx="215">
                  <c:v>6.2460000000000004</c:v>
                </c:pt>
                <c:pt idx="216">
                  <c:v>6.2729999999999997</c:v>
                </c:pt>
                <c:pt idx="217">
                  <c:v>6.2990000000000004</c:v>
                </c:pt>
                <c:pt idx="218">
                  <c:v>6.3259999999999996</c:v>
                </c:pt>
                <c:pt idx="219">
                  <c:v>6.3529999999999998</c:v>
                </c:pt>
                <c:pt idx="220">
                  <c:v>6.3789999999999996</c:v>
                </c:pt>
                <c:pt idx="221">
                  <c:v>6.4059999999999997</c:v>
                </c:pt>
                <c:pt idx="222">
                  <c:v>6.4329999999999998</c:v>
                </c:pt>
                <c:pt idx="223">
                  <c:v>6.4589999999999996</c:v>
                </c:pt>
                <c:pt idx="224">
                  <c:v>6.4859999999999998</c:v>
                </c:pt>
                <c:pt idx="225">
                  <c:v>6.5129999999999999</c:v>
                </c:pt>
                <c:pt idx="226">
                  <c:v>6.5389999999999997</c:v>
                </c:pt>
                <c:pt idx="227">
                  <c:v>6.5659999999999998</c:v>
                </c:pt>
                <c:pt idx="228">
                  <c:v>6.593</c:v>
                </c:pt>
                <c:pt idx="229">
                  <c:v>6.6189999999999998</c:v>
                </c:pt>
                <c:pt idx="230">
                  <c:v>6.6459999999999999</c:v>
                </c:pt>
                <c:pt idx="231">
                  <c:v>6.673</c:v>
                </c:pt>
                <c:pt idx="232">
                  <c:v>6.6989999999999998</c:v>
                </c:pt>
                <c:pt idx="233">
                  <c:v>6.726</c:v>
                </c:pt>
                <c:pt idx="234">
                  <c:v>6.7530000000000001</c:v>
                </c:pt>
                <c:pt idx="235">
                  <c:v>6.7789999999999999</c:v>
                </c:pt>
                <c:pt idx="236">
                  <c:v>6.806</c:v>
                </c:pt>
                <c:pt idx="237">
                  <c:v>6.8330000000000002</c:v>
                </c:pt>
                <c:pt idx="238">
                  <c:v>6.859</c:v>
                </c:pt>
                <c:pt idx="239">
                  <c:v>6.8860000000000001</c:v>
                </c:pt>
                <c:pt idx="240">
                  <c:v>6.9130000000000003</c:v>
                </c:pt>
                <c:pt idx="241">
                  <c:v>6.9390000000000001</c:v>
                </c:pt>
                <c:pt idx="242">
                  <c:v>6.9660000000000002</c:v>
                </c:pt>
                <c:pt idx="243">
                  <c:v>6.9930000000000003</c:v>
                </c:pt>
                <c:pt idx="244">
                  <c:v>7.0190000000000001</c:v>
                </c:pt>
                <c:pt idx="245">
                  <c:v>7.0460000000000003</c:v>
                </c:pt>
                <c:pt idx="246">
                  <c:v>7.0730000000000004</c:v>
                </c:pt>
                <c:pt idx="247">
                  <c:v>7.0990000000000002</c:v>
                </c:pt>
                <c:pt idx="248">
                  <c:v>7.1260000000000003</c:v>
                </c:pt>
                <c:pt idx="249">
                  <c:v>7.1529999999999996</c:v>
                </c:pt>
                <c:pt idx="250">
                  <c:v>7.1790000000000003</c:v>
                </c:pt>
                <c:pt idx="251">
                  <c:v>7.2060000000000004</c:v>
                </c:pt>
                <c:pt idx="252">
                  <c:v>7.2329999999999997</c:v>
                </c:pt>
                <c:pt idx="253">
                  <c:v>7.2590000000000003</c:v>
                </c:pt>
                <c:pt idx="254">
                  <c:v>7.2859999999999996</c:v>
                </c:pt>
                <c:pt idx="255">
                  <c:v>7.3129999999999997</c:v>
                </c:pt>
                <c:pt idx="256">
                  <c:v>7.3390000000000004</c:v>
                </c:pt>
                <c:pt idx="257">
                  <c:v>7.3659999999999997</c:v>
                </c:pt>
                <c:pt idx="258">
                  <c:v>7.3929999999999998</c:v>
                </c:pt>
                <c:pt idx="259">
                  <c:v>7.4189999999999996</c:v>
                </c:pt>
                <c:pt idx="260">
                  <c:v>7.4459999999999997</c:v>
                </c:pt>
                <c:pt idx="261">
                  <c:v>7.4729999999999999</c:v>
                </c:pt>
                <c:pt idx="262">
                  <c:v>7.4989999999999997</c:v>
                </c:pt>
                <c:pt idx="263">
                  <c:v>7.5259999999999998</c:v>
                </c:pt>
                <c:pt idx="264">
                  <c:v>7.5529999999999999</c:v>
                </c:pt>
                <c:pt idx="265">
                  <c:v>7.5789999999999997</c:v>
                </c:pt>
                <c:pt idx="266">
                  <c:v>7.6059999999999999</c:v>
                </c:pt>
                <c:pt idx="267">
                  <c:v>7.633</c:v>
                </c:pt>
                <c:pt idx="268">
                  <c:v>7.6589999999999998</c:v>
                </c:pt>
                <c:pt idx="269">
                  <c:v>7.6859999999999999</c:v>
                </c:pt>
                <c:pt idx="270">
                  <c:v>7.7130000000000001</c:v>
                </c:pt>
                <c:pt idx="271">
                  <c:v>7.7389999999999999</c:v>
                </c:pt>
                <c:pt idx="272">
                  <c:v>7.766</c:v>
                </c:pt>
                <c:pt idx="273">
                  <c:v>7.7930000000000001</c:v>
                </c:pt>
                <c:pt idx="274">
                  <c:v>7.819</c:v>
                </c:pt>
                <c:pt idx="275">
                  <c:v>7.8460000000000001</c:v>
                </c:pt>
                <c:pt idx="276">
                  <c:v>7.8730000000000002</c:v>
                </c:pt>
                <c:pt idx="277">
                  <c:v>7.899</c:v>
                </c:pt>
                <c:pt idx="278">
                  <c:v>7.9260000000000002</c:v>
                </c:pt>
                <c:pt idx="279">
                  <c:v>7.9530000000000003</c:v>
                </c:pt>
                <c:pt idx="280">
                  <c:v>7.9790000000000001</c:v>
                </c:pt>
                <c:pt idx="281">
                  <c:v>8.0060000000000002</c:v>
                </c:pt>
                <c:pt idx="282">
                  <c:v>8.0329999999999995</c:v>
                </c:pt>
                <c:pt idx="283">
                  <c:v>8.0589999999999993</c:v>
                </c:pt>
                <c:pt idx="284">
                  <c:v>8.0860000000000003</c:v>
                </c:pt>
                <c:pt idx="285">
                  <c:v>8.1129999999999995</c:v>
                </c:pt>
                <c:pt idx="286">
                  <c:v>8.1389999999999993</c:v>
                </c:pt>
                <c:pt idx="287">
                  <c:v>8.1660000000000004</c:v>
                </c:pt>
                <c:pt idx="288">
                  <c:v>8.1929999999999996</c:v>
                </c:pt>
                <c:pt idx="289">
                  <c:v>8.2189999999999994</c:v>
                </c:pt>
                <c:pt idx="290">
                  <c:v>8.2460000000000004</c:v>
                </c:pt>
                <c:pt idx="291">
                  <c:v>8.2729999999999997</c:v>
                </c:pt>
                <c:pt idx="292">
                  <c:v>8.2989999999999995</c:v>
                </c:pt>
                <c:pt idx="293">
                  <c:v>8.3260000000000005</c:v>
                </c:pt>
                <c:pt idx="294">
                  <c:v>8.3529999999999998</c:v>
                </c:pt>
                <c:pt idx="295">
                  <c:v>8.3789999999999996</c:v>
                </c:pt>
                <c:pt idx="296">
                  <c:v>8.4060000000000006</c:v>
                </c:pt>
                <c:pt idx="297">
                  <c:v>8.4329999999999998</c:v>
                </c:pt>
                <c:pt idx="298">
                  <c:v>8.4589999999999996</c:v>
                </c:pt>
                <c:pt idx="299">
                  <c:v>8.4860000000000007</c:v>
                </c:pt>
                <c:pt idx="300">
                  <c:v>8.5129999999999999</c:v>
                </c:pt>
                <c:pt idx="301">
                  <c:v>8.5389999999999997</c:v>
                </c:pt>
                <c:pt idx="302">
                  <c:v>8.5660000000000007</c:v>
                </c:pt>
                <c:pt idx="303">
                  <c:v>8.593</c:v>
                </c:pt>
                <c:pt idx="304">
                  <c:v>8.6189999999999998</c:v>
                </c:pt>
                <c:pt idx="305">
                  <c:v>8.6460000000000008</c:v>
                </c:pt>
                <c:pt idx="306">
                  <c:v>8.673</c:v>
                </c:pt>
                <c:pt idx="307">
                  <c:v>8.6989999999999998</c:v>
                </c:pt>
                <c:pt idx="308">
                  <c:v>8.7260000000000009</c:v>
                </c:pt>
                <c:pt idx="309">
                  <c:v>8.7530000000000001</c:v>
                </c:pt>
                <c:pt idx="310">
                  <c:v>8.7789999999999999</c:v>
                </c:pt>
                <c:pt idx="311">
                  <c:v>8.8059999999999992</c:v>
                </c:pt>
                <c:pt idx="312">
                  <c:v>8.8330000000000002</c:v>
                </c:pt>
                <c:pt idx="313">
                  <c:v>8.859</c:v>
                </c:pt>
                <c:pt idx="314">
                  <c:v>8.8859999999999992</c:v>
                </c:pt>
                <c:pt idx="315">
                  <c:v>8.9130000000000003</c:v>
                </c:pt>
                <c:pt idx="316">
                  <c:v>8.9390000000000001</c:v>
                </c:pt>
                <c:pt idx="317">
                  <c:v>8.9659999999999993</c:v>
                </c:pt>
                <c:pt idx="318">
                  <c:v>8.9930000000000003</c:v>
                </c:pt>
                <c:pt idx="319">
                  <c:v>9.0190000000000001</c:v>
                </c:pt>
                <c:pt idx="320">
                  <c:v>9.0459999999999994</c:v>
                </c:pt>
                <c:pt idx="321">
                  <c:v>9.0730000000000004</c:v>
                </c:pt>
                <c:pt idx="322">
                  <c:v>9.0990000000000002</c:v>
                </c:pt>
                <c:pt idx="323">
                  <c:v>9.1259999999999994</c:v>
                </c:pt>
                <c:pt idx="324">
                  <c:v>9.1530000000000005</c:v>
                </c:pt>
                <c:pt idx="325">
                  <c:v>9.1790000000000003</c:v>
                </c:pt>
                <c:pt idx="326">
                  <c:v>9.2059999999999995</c:v>
                </c:pt>
                <c:pt idx="327">
                  <c:v>9.2330000000000005</c:v>
                </c:pt>
                <c:pt idx="328">
                  <c:v>9.2590000000000003</c:v>
                </c:pt>
                <c:pt idx="329">
                  <c:v>9.2859999999999996</c:v>
                </c:pt>
                <c:pt idx="330">
                  <c:v>9.3130000000000006</c:v>
                </c:pt>
                <c:pt idx="331">
                  <c:v>9.3390000000000004</c:v>
                </c:pt>
                <c:pt idx="332">
                  <c:v>9.3659999999999997</c:v>
                </c:pt>
                <c:pt idx="333">
                  <c:v>9.3930000000000007</c:v>
                </c:pt>
                <c:pt idx="334">
                  <c:v>9.4190000000000005</c:v>
                </c:pt>
                <c:pt idx="335">
                  <c:v>9.4459999999999997</c:v>
                </c:pt>
                <c:pt idx="336">
                  <c:v>9.4730000000000008</c:v>
                </c:pt>
                <c:pt idx="337">
                  <c:v>9.4990000000000006</c:v>
                </c:pt>
                <c:pt idx="338">
                  <c:v>9.5259999999999998</c:v>
                </c:pt>
                <c:pt idx="339">
                  <c:v>9.5530000000000008</c:v>
                </c:pt>
                <c:pt idx="340">
                  <c:v>9.5790000000000006</c:v>
                </c:pt>
                <c:pt idx="341">
                  <c:v>9.6059999999999999</c:v>
                </c:pt>
                <c:pt idx="342">
                  <c:v>9.6329999999999991</c:v>
                </c:pt>
                <c:pt idx="343">
                  <c:v>9.6590000000000007</c:v>
                </c:pt>
                <c:pt idx="344">
                  <c:v>9.6859999999999999</c:v>
                </c:pt>
                <c:pt idx="345">
                  <c:v>9.7129999999999992</c:v>
                </c:pt>
                <c:pt idx="346">
                  <c:v>9.7390000000000008</c:v>
                </c:pt>
                <c:pt idx="347">
                  <c:v>9.766</c:v>
                </c:pt>
                <c:pt idx="348">
                  <c:v>9.7929999999999993</c:v>
                </c:pt>
                <c:pt idx="349">
                  <c:v>9.8190000000000008</c:v>
                </c:pt>
                <c:pt idx="350">
                  <c:v>9.8460000000000001</c:v>
                </c:pt>
                <c:pt idx="351">
                  <c:v>9.8729999999999993</c:v>
                </c:pt>
                <c:pt idx="352">
                  <c:v>9.8989999999999991</c:v>
                </c:pt>
                <c:pt idx="353">
                  <c:v>9.9260000000000002</c:v>
                </c:pt>
                <c:pt idx="354">
                  <c:v>9.9529999999999994</c:v>
                </c:pt>
                <c:pt idx="355">
                  <c:v>9.9789999999999992</c:v>
                </c:pt>
                <c:pt idx="356">
                  <c:v>10.006</c:v>
                </c:pt>
              </c:numCache>
            </c:numRef>
          </c:xVal>
          <c:yVal>
            <c:numRef>
              <c:f>ChromatogramData!$B$2:$B$10001</c:f>
              <c:numCache>
                <c:formatCode>General</c:formatCode>
                <c:ptCount val="10000"/>
                <c:pt idx="0">
                  <c:v>78.550272616186135</c:v>
                </c:pt>
                <c:pt idx="1">
                  <c:v>77.343929279472476</c:v>
                </c:pt>
                <c:pt idx="2">
                  <c:v>73.30829421310905</c:v>
                </c:pt>
                <c:pt idx="3">
                  <c:v>69.580584623083951</c:v>
                </c:pt>
                <c:pt idx="4">
                  <c:v>67.461332815343738</c:v>
                </c:pt>
                <c:pt idx="5">
                  <c:v>66.128196635431948</c:v>
                </c:pt>
                <c:pt idx="6">
                  <c:v>64.200945418820339</c:v>
                </c:pt>
                <c:pt idx="7">
                  <c:v>62.585242331209834</c:v>
                </c:pt>
                <c:pt idx="8">
                  <c:v>61.878825061963099</c:v>
                </c:pt>
                <c:pt idx="9">
                  <c:v>60.835501095075593</c:v>
                </c:pt>
                <c:pt idx="10">
                  <c:v>58.857532741184734</c:v>
                </c:pt>
                <c:pt idx="11">
                  <c:v>56.767262154746952</c:v>
                </c:pt>
                <c:pt idx="12">
                  <c:v>55.568164123358898</c:v>
                </c:pt>
                <c:pt idx="13">
                  <c:v>55.376163532230294</c:v>
                </c:pt>
                <c:pt idx="14">
                  <c:v>56.897677650607882</c:v>
                </c:pt>
                <c:pt idx="15">
                  <c:v>61.357163078519356</c:v>
                </c:pt>
                <c:pt idx="16">
                  <c:v>68.171372737253279</c:v>
                </c:pt>
                <c:pt idx="17">
                  <c:v>74.47116571786907</c:v>
                </c:pt>
                <c:pt idx="18">
                  <c:v>79.024840115013433</c:v>
                </c:pt>
                <c:pt idx="19">
                  <c:v>81.785301444069916</c:v>
                </c:pt>
                <c:pt idx="20">
                  <c:v>82.162057321001512</c:v>
                </c:pt>
                <c:pt idx="21">
                  <c:v>79.546502098457182</c:v>
                </c:pt>
                <c:pt idx="22">
                  <c:v>74.141504325553925</c:v>
                </c:pt>
                <c:pt idx="23">
                  <c:v>66.89619899994635</c:v>
                </c:pt>
                <c:pt idx="24">
                  <c:v>59.361081461314463</c:v>
                </c:pt>
                <c:pt idx="25">
                  <c:v>53.477893536921108</c:v>
                </c:pt>
                <c:pt idx="26">
                  <c:v>50.065354728559939</c:v>
                </c:pt>
                <c:pt idx="27">
                  <c:v>48.551085915507954</c:v>
                </c:pt>
                <c:pt idx="28">
                  <c:v>47.880895172889254</c:v>
                </c:pt>
                <c:pt idx="29">
                  <c:v>47.384591758085129</c:v>
                </c:pt>
                <c:pt idx="30">
                  <c:v>46.786854068722512</c:v>
                </c:pt>
                <c:pt idx="31">
                  <c:v>46.163757810720256</c:v>
                </c:pt>
                <c:pt idx="32">
                  <c:v>45.544284205380812</c:v>
                </c:pt>
                <c:pt idx="33">
                  <c:v>45.037112832588278</c:v>
                </c:pt>
                <c:pt idx="34">
                  <c:v>44.754545924889584</c:v>
                </c:pt>
                <c:pt idx="35">
                  <c:v>44.613262471040237</c:v>
                </c:pt>
                <c:pt idx="36">
                  <c:v>44.490092280504903</c:v>
                </c:pt>
                <c:pt idx="37">
                  <c:v>44.417639227248834</c:v>
                </c:pt>
                <c:pt idx="38">
                  <c:v>44.403148616597612</c:v>
                </c:pt>
                <c:pt idx="39">
                  <c:v>44.424884532574431</c:v>
                </c:pt>
                <c:pt idx="40">
                  <c:v>44.519073501807334</c:v>
                </c:pt>
                <c:pt idx="41">
                  <c:v>44.649488997668279</c:v>
                </c:pt>
                <c:pt idx="42">
                  <c:v>44.848734894122479</c:v>
                </c:pt>
                <c:pt idx="43">
                  <c:v>45.171150981112021</c:v>
                </c:pt>
                <c:pt idx="44">
                  <c:v>45.413868709519868</c:v>
                </c:pt>
                <c:pt idx="45">
                  <c:v>45.595001342660062</c:v>
                </c:pt>
                <c:pt idx="46">
                  <c:v>45.739907449172215</c:v>
                </c:pt>
                <c:pt idx="47">
                  <c:v>45.794247239114263</c:v>
                </c:pt>
                <c:pt idx="48">
                  <c:v>45.87394559769595</c:v>
                </c:pt>
                <c:pt idx="49">
                  <c:v>46.004361093556888</c:v>
                </c:pt>
                <c:pt idx="50">
                  <c:v>46.236210863976332</c:v>
                </c:pt>
                <c:pt idx="51">
                  <c:v>46.627457351559137</c:v>
                </c:pt>
                <c:pt idx="52">
                  <c:v>47.127383419026067</c:v>
                </c:pt>
                <c:pt idx="53">
                  <c:v>47.681649276435046</c:v>
                </c:pt>
                <c:pt idx="54">
                  <c:v>48.388066545681781</c:v>
                </c:pt>
                <c:pt idx="55">
                  <c:v>49.214031352801044</c:v>
                </c:pt>
                <c:pt idx="56">
                  <c:v>50.047241465245918</c:v>
                </c:pt>
                <c:pt idx="57">
                  <c:v>50.920300756981632</c:v>
                </c:pt>
                <c:pt idx="58">
                  <c:v>52.057813693102027</c:v>
                </c:pt>
                <c:pt idx="59">
                  <c:v>53.387327220351011</c:v>
                </c:pt>
                <c:pt idx="60">
                  <c:v>54.314726302028788</c:v>
                </c:pt>
                <c:pt idx="61">
                  <c:v>54.94869051801944</c:v>
                </c:pt>
                <c:pt idx="62">
                  <c:v>55.379786184893099</c:v>
                </c:pt>
                <c:pt idx="63">
                  <c:v>55.278351910334592</c:v>
                </c:pt>
                <c:pt idx="64">
                  <c:v>55.655107787266189</c:v>
                </c:pt>
                <c:pt idx="65">
                  <c:v>56.397751583140966</c:v>
                </c:pt>
                <c:pt idx="66">
                  <c:v>57.144018031678549</c:v>
                </c:pt>
                <c:pt idx="67">
                  <c:v>57.61858553050584</c:v>
                </c:pt>
                <c:pt idx="68">
                  <c:v>58.056926502705096</c:v>
                </c:pt>
                <c:pt idx="69">
                  <c:v>58.821306214556692</c:v>
                </c:pt>
                <c:pt idx="70">
                  <c:v>59.665384284989976</c:v>
                </c:pt>
                <c:pt idx="71">
                  <c:v>60.404405428201947</c:v>
                </c:pt>
                <c:pt idx="72">
                  <c:v>61.110822697448697</c:v>
                </c:pt>
                <c:pt idx="73">
                  <c:v>61.777390787404592</c:v>
                </c:pt>
                <c:pt idx="74">
                  <c:v>62.889545154885347</c:v>
                </c:pt>
                <c:pt idx="75">
                  <c:v>64.479889673856206</c:v>
                </c:pt>
                <c:pt idx="76">
                  <c:v>65.606534651988198</c:v>
                </c:pt>
                <c:pt idx="77">
                  <c:v>65.75506341116315</c:v>
                </c:pt>
                <c:pt idx="78">
                  <c:v>65.04140083659081</c:v>
                </c:pt>
                <c:pt idx="79">
                  <c:v>65.150080416474921</c:v>
                </c:pt>
                <c:pt idx="80">
                  <c:v>65.356571618254733</c:v>
                </c:pt>
                <c:pt idx="81">
                  <c:v>64.892872077415859</c:v>
                </c:pt>
                <c:pt idx="82">
                  <c:v>63.773472404609478</c:v>
                </c:pt>
                <c:pt idx="83">
                  <c:v>63.001847387432264</c:v>
                </c:pt>
                <c:pt idx="84">
                  <c:v>62.925771681513389</c:v>
                </c:pt>
                <c:pt idx="85">
                  <c:v>63.215583894537694</c:v>
                </c:pt>
                <c:pt idx="86">
                  <c:v>64.045171354319763</c:v>
                </c:pt>
                <c:pt idx="87">
                  <c:v>64.679135570310422</c:v>
                </c:pt>
                <c:pt idx="88">
                  <c:v>64.798683108182956</c:v>
                </c:pt>
                <c:pt idx="89">
                  <c:v>64.291511735390415</c:v>
                </c:pt>
                <c:pt idx="90">
                  <c:v>63.556113244841256</c:v>
                </c:pt>
                <c:pt idx="91">
                  <c:v>62.730148437722001</c:v>
                </c:pt>
                <c:pt idx="92">
                  <c:v>62.335279297476376</c:v>
                </c:pt>
                <c:pt idx="93">
                  <c:v>62.041844431789272</c:v>
                </c:pt>
                <c:pt idx="94">
                  <c:v>61.694069776160106</c:v>
                </c:pt>
                <c:pt idx="95">
                  <c:v>61.259351456623641</c:v>
                </c:pt>
                <c:pt idx="96">
                  <c:v>60.889840885017655</c:v>
                </c:pt>
                <c:pt idx="97">
                  <c:v>60.976784548924947</c:v>
                </c:pt>
                <c:pt idx="98">
                  <c:v>62.596110289198243</c:v>
                </c:pt>
                <c:pt idx="99">
                  <c:v>64.287889082727617</c:v>
                </c:pt>
                <c:pt idx="100">
                  <c:v>65.505100377429684</c:v>
                </c:pt>
                <c:pt idx="101">
                  <c:v>66.084724803478295</c:v>
                </c:pt>
                <c:pt idx="102">
                  <c:v>65.668119747255872</c:v>
                </c:pt>
                <c:pt idx="103">
                  <c:v>64.863890856113414</c:v>
                </c:pt>
                <c:pt idx="104">
                  <c:v>63.831434847214339</c:v>
                </c:pt>
                <c:pt idx="105">
                  <c:v>62.911281070862181</c:v>
                </c:pt>
                <c:pt idx="106">
                  <c:v>63.135885535956007</c:v>
                </c:pt>
                <c:pt idx="107">
                  <c:v>63.932869121772839</c:v>
                </c:pt>
                <c:pt idx="108">
                  <c:v>65.936196044303344</c:v>
                </c:pt>
                <c:pt idx="109">
                  <c:v>70.475379830796484</c:v>
                </c:pt>
                <c:pt idx="110">
                  <c:v>75.539848253396187</c:v>
                </c:pt>
                <c:pt idx="111">
                  <c:v>88.998002895712261</c:v>
                </c:pt>
                <c:pt idx="112">
                  <c:v>98.717579990014841</c:v>
                </c:pt>
                <c:pt idx="113">
                  <c:v>99.999999032647366</c:v>
                </c:pt>
                <c:pt idx="114">
                  <c:v>89.291437761399365</c:v>
                </c:pt>
                <c:pt idx="115">
                  <c:v>76.126717984770409</c:v>
                </c:pt>
                <c:pt idx="116">
                  <c:v>68.41046781299832</c:v>
                </c:pt>
                <c:pt idx="117">
                  <c:v>65.04140083659081</c:v>
                </c:pt>
                <c:pt idx="118">
                  <c:v>63.715509962004624</c:v>
                </c:pt>
                <c:pt idx="119">
                  <c:v>63.121394925304791</c:v>
                </c:pt>
                <c:pt idx="120">
                  <c:v>63.730000572655825</c:v>
                </c:pt>
                <c:pt idx="121">
                  <c:v>69.388584031955347</c:v>
                </c:pt>
                <c:pt idx="122">
                  <c:v>72.489574711315385</c:v>
                </c:pt>
                <c:pt idx="123">
                  <c:v>72.840972019607364</c:v>
                </c:pt>
                <c:pt idx="124">
                  <c:v>68.446694339626362</c:v>
                </c:pt>
                <c:pt idx="125">
                  <c:v>65.251514691033435</c:v>
                </c:pt>
                <c:pt idx="126">
                  <c:v>64.171964197517894</c:v>
                </c:pt>
                <c:pt idx="127">
                  <c:v>63.701019351353402</c:v>
                </c:pt>
                <c:pt idx="128">
                  <c:v>63.15762145193284</c:v>
                </c:pt>
                <c:pt idx="129">
                  <c:v>63.570603855492465</c:v>
                </c:pt>
                <c:pt idx="130">
                  <c:v>68.874167353837208</c:v>
                </c:pt>
                <c:pt idx="131">
                  <c:v>75.992679836246666</c:v>
                </c:pt>
                <c:pt idx="132">
                  <c:v>77.043249108459747</c:v>
                </c:pt>
                <c:pt idx="133">
                  <c:v>73.844446807204022</c:v>
                </c:pt>
                <c:pt idx="134">
                  <c:v>67.555521784576626</c:v>
                </c:pt>
                <c:pt idx="135">
                  <c:v>62.867809238908528</c:v>
                </c:pt>
                <c:pt idx="136">
                  <c:v>61.259351456623641</c:v>
                </c:pt>
                <c:pt idx="137">
                  <c:v>60.842746400401211</c:v>
                </c:pt>
                <c:pt idx="138">
                  <c:v>60.690594988563447</c:v>
                </c:pt>
                <c:pt idx="139">
                  <c:v>67.349030582796814</c:v>
                </c:pt>
                <c:pt idx="140">
                  <c:v>79.282048454072495</c:v>
                </c:pt>
                <c:pt idx="141">
                  <c:v>81.723716348802256</c:v>
                </c:pt>
                <c:pt idx="142">
                  <c:v>76.775172811412276</c:v>
                </c:pt>
                <c:pt idx="143">
                  <c:v>66.262234783955677</c:v>
                </c:pt>
                <c:pt idx="144">
                  <c:v>61.360785731182162</c:v>
                </c:pt>
                <c:pt idx="145">
                  <c:v>66.88533104195794</c:v>
                </c:pt>
                <c:pt idx="146">
                  <c:v>80.861525015054937</c:v>
                </c:pt>
                <c:pt idx="147">
                  <c:v>84.745008669580628</c:v>
                </c:pt>
                <c:pt idx="148">
                  <c:v>77.083098287750602</c:v>
                </c:pt>
                <c:pt idx="149">
                  <c:v>69.149488956210305</c:v>
                </c:pt>
                <c:pt idx="150">
                  <c:v>67.551899131913814</c:v>
                </c:pt>
                <c:pt idx="151">
                  <c:v>66.044875624187455</c:v>
                </c:pt>
                <c:pt idx="152">
                  <c:v>63.748113835969853</c:v>
                </c:pt>
                <c:pt idx="153">
                  <c:v>62.146901359010577</c:v>
                </c:pt>
                <c:pt idx="154">
                  <c:v>62.020108515812453</c:v>
                </c:pt>
                <c:pt idx="155">
                  <c:v>62.20124114895264</c:v>
                </c:pt>
                <c:pt idx="156">
                  <c:v>62.639582121151889</c:v>
                </c:pt>
                <c:pt idx="157">
                  <c:v>63.2192065472005</c:v>
                </c:pt>
                <c:pt idx="158">
                  <c:v>65.494232419441275</c:v>
                </c:pt>
                <c:pt idx="159">
                  <c:v>65.765931369151559</c:v>
                </c:pt>
                <c:pt idx="160">
                  <c:v>63.835057499877145</c:v>
                </c:pt>
                <c:pt idx="161">
                  <c:v>61.614371417578418</c:v>
                </c:pt>
                <c:pt idx="162">
                  <c:v>60.534820924062892</c:v>
                </c:pt>
                <c:pt idx="163">
                  <c:v>60.37904685956233</c:v>
                </c:pt>
                <c:pt idx="164">
                  <c:v>61.168785140053558</c:v>
                </c:pt>
                <c:pt idx="165">
                  <c:v>66.541179038991586</c:v>
                </c:pt>
                <c:pt idx="166">
                  <c:v>70.953569982286581</c:v>
                </c:pt>
                <c:pt idx="167">
                  <c:v>70.88473958169331</c:v>
                </c:pt>
                <c:pt idx="168">
                  <c:v>66.664349229526906</c:v>
                </c:pt>
                <c:pt idx="169">
                  <c:v>63.20833858921209</c:v>
                </c:pt>
                <c:pt idx="170">
                  <c:v>61.773768134741786</c:v>
                </c:pt>
                <c:pt idx="171">
                  <c:v>61.665088554857668</c:v>
                </c:pt>
                <c:pt idx="172">
                  <c:v>62.878677196896938</c:v>
                </c:pt>
                <c:pt idx="173">
                  <c:v>64.193700113494714</c:v>
                </c:pt>
                <c:pt idx="174">
                  <c:v>64.066907270296596</c:v>
                </c:pt>
                <c:pt idx="175">
                  <c:v>64.012567480354534</c:v>
                </c:pt>
                <c:pt idx="176">
                  <c:v>63.483660191585173</c:v>
                </c:pt>
                <c:pt idx="177">
                  <c:v>62.462072140674508</c:v>
                </c:pt>
                <c:pt idx="178">
                  <c:v>61.770145482078988</c:v>
                </c:pt>
                <c:pt idx="179">
                  <c:v>61.556408974973564</c:v>
                </c:pt>
                <c:pt idx="180">
                  <c:v>61.288332677926071</c:v>
                </c:pt>
                <c:pt idx="181">
                  <c:v>60.857237011052426</c:v>
                </c:pt>
                <c:pt idx="182">
                  <c:v>61.143426571413926</c:v>
                </c:pt>
                <c:pt idx="183">
                  <c:v>62.360637866115987</c:v>
                </c:pt>
                <c:pt idx="184">
                  <c:v>79.361746812654175</c:v>
                </c:pt>
                <c:pt idx="185">
                  <c:v>95.247078739048803</c:v>
                </c:pt>
                <c:pt idx="186">
                  <c:v>93.87047072718336</c:v>
                </c:pt>
                <c:pt idx="187">
                  <c:v>77.199023172960324</c:v>
                </c:pt>
                <c:pt idx="188">
                  <c:v>66.178913772711198</c:v>
                </c:pt>
                <c:pt idx="189">
                  <c:v>61.933164851905147</c:v>
                </c:pt>
                <c:pt idx="190">
                  <c:v>61.632484680892432</c:v>
                </c:pt>
                <c:pt idx="191">
                  <c:v>69.797943782852187</c:v>
                </c:pt>
                <c:pt idx="192">
                  <c:v>79.821823700830265</c:v>
                </c:pt>
                <c:pt idx="193">
                  <c:v>81.397677609149909</c:v>
                </c:pt>
                <c:pt idx="194">
                  <c:v>74.992827701312819</c:v>
                </c:pt>
                <c:pt idx="195">
                  <c:v>66.479593943723899</c:v>
                </c:pt>
                <c:pt idx="196">
                  <c:v>62.715657827070771</c:v>
                </c:pt>
                <c:pt idx="197">
                  <c:v>61.762900176753369</c:v>
                </c:pt>
                <c:pt idx="198">
                  <c:v>61.730296302788133</c:v>
                </c:pt>
                <c:pt idx="199">
                  <c:v>61.730296302788133</c:v>
                </c:pt>
                <c:pt idx="200">
                  <c:v>61.708560386811314</c:v>
                </c:pt>
                <c:pt idx="201">
                  <c:v>61.636107333555238</c:v>
                </c:pt>
                <c:pt idx="202">
                  <c:v>61.512937143019911</c:v>
                </c:pt>
                <c:pt idx="203">
                  <c:v>61.505691837694307</c:v>
                </c:pt>
                <c:pt idx="204">
                  <c:v>61.70131508148571</c:v>
                </c:pt>
                <c:pt idx="205">
                  <c:v>61.806372008707015</c:v>
                </c:pt>
                <c:pt idx="206">
                  <c:v>61.773768134741786</c:v>
                </c:pt>
                <c:pt idx="207">
                  <c:v>61.817239966695432</c:v>
                </c:pt>
                <c:pt idx="208">
                  <c:v>61.991127294510022</c:v>
                </c:pt>
                <c:pt idx="209">
                  <c:v>62.157769316998987</c:v>
                </c:pt>
                <c:pt idx="210">
                  <c:v>62.19037319096423</c:v>
                </c:pt>
                <c:pt idx="211">
                  <c:v>62.233845022917869</c:v>
                </c:pt>
                <c:pt idx="212">
                  <c:v>62.208486454278237</c:v>
                </c:pt>
                <c:pt idx="213">
                  <c:v>62.360637866115987</c:v>
                </c:pt>
                <c:pt idx="214">
                  <c:v>62.494676014639744</c:v>
                </c:pt>
                <c:pt idx="215">
                  <c:v>62.545393151918994</c:v>
                </c:pt>
                <c:pt idx="216">
                  <c:v>62.65769538446591</c:v>
                </c:pt>
                <c:pt idx="217">
                  <c:v>63.059809830037125</c:v>
                </c:pt>
                <c:pt idx="218">
                  <c:v>63.327886127084618</c:v>
                </c:pt>
                <c:pt idx="219">
                  <c:v>63.345999390398639</c:v>
                </c:pt>
                <c:pt idx="220">
                  <c:v>63.628566298097319</c:v>
                </c:pt>
                <c:pt idx="221">
                  <c:v>63.885774637156402</c:v>
                </c:pt>
                <c:pt idx="222">
                  <c:v>63.929246469110034</c:v>
                </c:pt>
                <c:pt idx="223">
                  <c:v>63.476414886259555</c:v>
                </c:pt>
                <c:pt idx="224">
                  <c:v>63.067055135362736</c:v>
                </c:pt>
                <c:pt idx="225">
                  <c:v>62.929394334176209</c:v>
                </c:pt>
                <c:pt idx="226">
                  <c:v>62.918526376187785</c:v>
                </c:pt>
                <c:pt idx="227">
                  <c:v>62.951130250153028</c:v>
                </c:pt>
                <c:pt idx="228">
                  <c:v>62.896790460210966</c:v>
                </c:pt>
                <c:pt idx="229">
                  <c:v>62.795356185652444</c:v>
                </c:pt>
                <c:pt idx="230">
                  <c:v>62.719280479733577</c:v>
                </c:pt>
                <c:pt idx="231">
                  <c:v>62.693921911093952</c:v>
                </c:pt>
                <c:pt idx="232">
                  <c:v>62.701167216419549</c:v>
                </c:pt>
                <c:pt idx="233">
                  <c:v>62.813469448966465</c:v>
                </c:pt>
                <c:pt idx="234">
                  <c:v>62.954752902815819</c:v>
                </c:pt>
                <c:pt idx="235">
                  <c:v>63.092413704002368</c:v>
                </c:pt>
                <c:pt idx="236">
                  <c:v>63.211961241874889</c:v>
                </c:pt>
                <c:pt idx="237">
                  <c:v>63.255433073828527</c:v>
                </c:pt>
                <c:pt idx="238">
                  <c:v>63.335131432410215</c:v>
                </c:pt>
                <c:pt idx="239">
                  <c:v>63.418452443654701</c:v>
                </c:pt>
                <c:pt idx="240">
                  <c:v>63.480037538922375</c:v>
                </c:pt>
                <c:pt idx="241">
                  <c:v>63.610453034783305</c:v>
                </c:pt>
                <c:pt idx="242">
                  <c:v>63.686528740702173</c:v>
                </c:pt>
                <c:pt idx="243">
                  <c:v>63.824189541888735</c:v>
                </c:pt>
                <c:pt idx="244">
                  <c:v>64.103133796924624</c:v>
                </c:pt>
                <c:pt idx="245">
                  <c:v>64.077775228285006</c:v>
                </c:pt>
                <c:pt idx="246">
                  <c:v>63.958227690412471</c:v>
                </c:pt>
                <c:pt idx="247">
                  <c:v>63.563358550166846</c:v>
                </c:pt>
                <c:pt idx="248">
                  <c:v>63.233697157851708</c:v>
                </c:pt>
                <c:pt idx="249">
                  <c:v>63.096036356665174</c:v>
                </c:pt>
                <c:pt idx="250">
                  <c:v>63.226451852526104</c:v>
                </c:pt>
                <c:pt idx="251">
                  <c:v>63.425697748980312</c:v>
                </c:pt>
                <c:pt idx="252">
                  <c:v>63.650302214074152</c:v>
                </c:pt>
                <c:pt idx="253">
                  <c:v>63.711887309341812</c:v>
                </c:pt>
                <c:pt idx="254">
                  <c:v>63.722755267330221</c:v>
                </c:pt>
                <c:pt idx="255">
                  <c:v>63.795208320586298</c:v>
                </c:pt>
                <c:pt idx="256">
                  <c:v>64.023435438342943</c:v>
                </c:pt>
                <c:pt idx="257">
                  <c:v>64.277021124739207</c:v>
                </c:pt>
                <c:pt idx="258">
                  <c:v>64.443663147228179</c:v>
                </c:pt>
                <c:pt idx="259">
                  <c:v>64.436417841902568</c:v>
                </c:pt>
                <c:pt idx="260">
                  <c:v>64.363964788646484</c:v>
                </c:pt>
                <c:pt idx="261">
                  <c:v>64.200945418820339</c:v>
                </c:pt>
                <c:pt idx="262">
                  <c:v>64.085020533610617</c:v>
                </c:pt>
                <c:pt idx="263">
                  <c:v>63.91113320579602</c:v>
                </c:pt>
                <c:pt idx="264">
                  <c:v>63.762604446621054</c:v>
                </c:pt>
                <c:pt idx="265">
                  <c:v>63.693774046027791</c:v>
                </c:pt>
                <c:pt idx="266">
                  <c:v>63.635811603422937</c:v>
                </c:pt>
                <c:pt idx="267">
                  <c:v>63.682906088039381</c:v>
                </c:pt>
                <c:pt idx="268">
                  <c:v>63.758981793958263</c:v>
                </c:pt>
                <c:pt idx="269">
                  <c:v>63.787963015260694</c:v>
                </c:pt>
                <c:pt idx="270">
                  <c:v>63.715509962004624</c:v>
                </c:pt>
                <c:pt idx="271">
                  <c:v>63.570603855492465</c:v>
                </c:pt>
                <c:pt idx="272">
                  <c:v>63.447433664957131</c:v>
                </c:pt>
                <c:pt idx="273">
                  <c:v>63.389471222352277</c:v>
                </c:pt>
                <c:pt idx="274">
                  <c:v>63.349622043061437</c:v>
                </c:pt>
                <c:pt idx="275">
                  <c:v>63.345999390398639</c:v>
                </c:pt>
                <c:pt idx="276">
                  <c:v>63.259055726491333</c:v>
                </c:pt>
                <c:pt idx="277">
                  <c:v>63.117772272642</c:v>
                </c:pt>
                <c:pt idx="278">
                  <c:v>62.969243513467042</c:v>
                </c:pt>
                <c:pt idx="279">
                  <c:v>62.788110880326855</c:v>
                </c:pt>
                <c:pt idx="280">
                  <c:v>62.567129067895813</c:v>
                </c:pt>
                <c:pt idx="281">
                  <c:v>62.309920728836744</c:v>
                </c:pt>
                <c:pt idx="282">
                  <c:v>62.414977656058049</c:v>
                </c:pt>
                <c:pt idx="283">
                  <c:v>63.106904314653583</c:v>
                </c:pt>
                <c:pt idx="284">
                  <c:v>63.266301031816937</c:v>
                </c:pt>
                <c:pt idx="285">
                  <c:v>63.360490001049847</c:v>
                </c:pt>
                <c:pt idx="286">
                  <c:v>62.588864983872647</c:v>
                </c:pt>
                <c:pt idx="287">
                  <c:v>61.762900176753369</c:v>
                </c:pt>
                <c:pt idx="288">
                  <c:v>61.121690655437106</c:v>
                </c:pt>
                <c:pt idx="289">
                  <c:v>60.589160714004954</c:v>
                </c:pt>
                <c:pt idx="290">
                  <c:v>60.234140753050184</c:v>
                </c:pt>
                <c:pt idx="291">
                  <c:v>60.049385467247184</c:v>
                </c:pt>
                <c:pt idx="292">
                  <c:v>59.944328540025865</c:v>
                </c:pt>
                <c:pt idx="293">
                  <c:v>59.871875486769802</c:v>
                </c:pt>
                <c:pt idx="294">
                  <c:v>59.694365506292414</c:v>
                </c:pt>
                <c:pt idx="295">
                  <c:v>59.332100240012032</c:v>
                </c:pt>
                <c:pt idx="296">
                  <c:v>58.966212321068852</c:v>
                </c:pt>
                <c:pt idx="297">
                  <c:v>58.527871348869589</c:v>
                </c:pt>
                <c:pt idx="298">
                  <c:v>58.165606082589214</c:v>
                </c:pt>
                <c:pt idx="299">
                  <c:v>60.331952374945871</c:v>
                </c:pt>
                <c:pt idx="300">
                  <c:v>73.029349958073155</c:v>
                </c:pt>
                <c:pt idx="301">
                  <c:v>77.423627638054157</c:v>
                </c:pt>
                <c:pt idx="302">
                  <c:v>80.749222782508042</c:v>
                </c:pt>
                <c:pt idx="303">
                  <c:v>73.022104652747558</c:v>
                </c:pt>
                <c:pt idx="304">
                  <c:v>62.277316854871522</c:v>
                </c:pt>
                <c:pt idx="305">
                  <c:v>57.683793278436305</c:v>
                </c:pt>
                <c:pt idx="306">
                  <c:v>56.19126038136114</c:v>
                </c:pt>
                <c:pt idx="307">
                  <c:v>55.655107787266189</c:v>
                </c:pt>
                <c:pt idx="308">
                  <c:v>55.118955193171224</c:v>
                </c:pt>
                <c:pt idx="309">
                  <c:v>54.5212175038086</c:v>
                </c:pt>
                <c:pt idx="310">
                  <c:v>53.919857161783163</c:v>
                </c:pt>
                <c:pt idx="311">
                  <c:v>53.238798461176053</c:v>
                </c:pt>
                <c:pt idx="312">
                  <c:v>52.525135886603714</c:v>
                </c:pt>
                <c:pt idx="313">
                  <c:v>51.768001480077722</c:v>
                </c:pt>
                <c:pt idx="314">
                  <c:v>51.057961558168174</c:v>
                </c:pt>
                <c:pt idx="315">
                  <c:v>50.376902857561063</c:v>
                </c:pt>
                <c:pt idx="316">
                  <c:v>49.587164577069835</c:v>
                </c:pt>
                <c:pt idx="317">
                  <c:v>48.757577117287767</c:v>
                </c:pt>
                <c:pt idx="318">
                  <c:v>47.837423340935608</c:v>
                </c:pt>
                <c:pt idx="319">
                  <c:v>47.149119335002887</c:v>
                </c:pt>
                <c:pt idx="320">
                  <c:v>46.689042446826804</c:v>
                </c:pt>
                <c:pt idx="321">
                  <c:v>45.906549471661187</c:v>
                </c:pt>
                <c:pt idx="322">
                  <c:v>45.076962011879118</c:v>
                </c:pt>
                <c:pt idx="323">
                  <c:v>43.674995431374057</c:v>
                </c:pt>
                <c:pt idx="324">
                  <c:v>42.39257638874151</c:v>
                </c:pt>
                <c:pt idx="325">
                  <c:v>41.251440799958317</c:v>
                </c:pt>
                <c:pt idx="326">
                  <c:v>40.244343359698867</c:v>
                </c:pt>
                <c:pt idx="327">
                  <c:v>39.092339812927257</c:v>
                </c:pt>
                <c:pt idx="328">
                  <c:v>37.849769949585557</c:v>
                </c:pt>
                <c:pt idx="329">
                  <c:v>36.38621827381283</c:v>
                </c:pt>
                <c:pt idx="330">
                  <c:v>34.893685376737665</c:v>
                </c:pt>
                <c:pt idx="331">
                  <c:v>33.33956738439484</c:v>
                </c:pt>
                <c:pt idx="332">
                  <c:v>31.665901854179484</c:v>
                </c:pt>
                <c:pt idx="333">
                  <c:v>29.912537965382455</c:v>
                </c:pt>
                <c:pt idx="334">
                  <c:v>28.083098370666541</c:v>
                </c:pt>
                <c:pt idx="335">
                  <c:v>26.297130607904272</c:v>
                </c:pt>
                <c:pt idx="336">
                  <c:v>24.569125287746864</c:v>
                </c:pt>
                <c:pt idx="337">
                  <c:v>22.93168628415955</c:v>
                </c:pt>
                <c:pt idx="338">
                  <c:v>21.344964417851493</c:v>
                </c:pt>
                <c:pt idx="339">
                  <c:v>19.848808868113526</c:v>
                </c:pt>
                <c:pt idx="340">
                  <c:v>19.921261921369602</c:v>
                </c:pt>
                <c:pt idx="341">
                  <c:v>20.323376366940821</c:v>
                </c:pt>
                <c:pt idx="342">
                  <c:v>19.457562380530717</c:v>
                </c:pt>
                <c:pt idx="343">
                  <c:v>16.472496586380394</c:v>
                </c:pt>
                <c:pt idx="344">
                  <c:v>12.864334534227819</c:v>
                </c:pt>
                <c:pt idx="345">
                  <c:v>11.168933088035645</c:v>
                </c:pt>
                <c:pt idx="346">
                  <c:v>10.158212995113388</c:v>
                </c:pt>
                <c:pt idx="347">
                  <c:v>9.1438702495283302</c:v>
                </c:pt>
                <c:pt idx="348">
                  <c:v>7.8433379435817692</c:v>
                </c:pt>
                <c:pt idx="349">
                  <c:v>6.5391829849723999</c:v>
                </c:pt>
                <c:pt idx="350">
                  <c:v>5.4197833121660324</c:v>
                </c:pt>
                <c:pt idx="351">
                  <c:v>4.4923842304882609</c:v>
                </c:pt>
                <c:pt idx="352">
                  <c:v>3.6772873813574094</c:v>
                </c:pt>
                <c:pt idx="353">
                  <c:v>2.9600021541222574</c:v>
                </c:pt>
                <c:pt idx="354">
                  <c:v>2.4600760866553348</c:v>
                </c:pt>
                <c:pt idx="355">
                  <c:v>2.202867747596267</c:v>
                </c:pt>
                <c:pt idx="356">
                  <c:v>1.9999991984792513</c:v>
                </c:pt>
              </c:numCache>
            </c:numRef>
          </c:yVal>
          <c:smooth val="1"/>
          <c:extLst>
            <c:ext xmlns:c16="http://schemas.microsoft.com/office/drawing/2014/chart" uri="{C3380CC4-5D6E-409C-BE32-E72D297353CC}">
              <c16:uniqueId val="{00000000-0B7A-4B2F-BFF6-096568D6F33F}"/>
            </c:ext>
          </c:extLst>
        </c:ser>
        <c:dLbls>
          <c:showLegendKey val="0"/>
          <c:showVal val="0"/>
          <c:showCatName val="0"/>
          <c:showSerName val="0"/>
          <c:showPercent val="0"/>
          <c:showBubbleSize val="0"/>
        </c:dLbls>
        <c:axId val="1816210912"/>
        <c:axId val="1816211456"/>
      </c:scatterChart>
      <c:scatterChart>
        <c:scatterStyle val="smoothMarker"/>
        <c:varyColors val="0"/>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0.51300000000000001</c:v>
                </c:pt>
                <c:pt idx="1">
                  <c:v>0.53900000000000003</c:v>
                </c:pt>
                <c:pt idx="2">
                  <c:v>0.56599999999999995</c:v>
                </c:pt>
                <c:pt idx="3">
                  <c:v>0.59299999999999997</c:v>
                </c:pt>
                <c:pt idx="4">
                  <c:v>0.61899999999999999</c:v>
                </c:pt>
                <c:pt idx="5">
                  <c:v>0.64600000000000002</c:v>
                </c:pt>
                <c:pt idx="6">
                  <c:v>0.67300000000000004</c:v>
                </c:pt>
                <c:pt idx="7">
                  <c:v>0.69899999999999995</c:v>
                </c:pt>
                <c:pt idx="8">
                  <c:v>0.72599999999999998</c:v>
                </c:pt>
                <c:pt idx="9">
                  <c:v>0.753</c:v>
                </c:pt>
                <c:pt idx="10">
                  <c:v>0.77900000000000003</c:v>
                </c:pt>
                <c:pt idx="11">
                  <c:v>0.80600000000000005</c:v>
                </c:pt>
                <c:pt idx="12">
                  <c:v>0.83299999999999996</c:v>
                </c:pt>
                <c:pt idx="13">
                  <c:v>0.85899999999999999</c:v>
                </c:pt>
                <c:pt idx="14">
                  <c:v>0.88600000000000001</c:v>
                </c:pt>
                <c:pt idx="15">
                  <c:v>0.91300000000000003</c:v>
                </c:pt>
                <c:pt idx="16">
                  <c:v>0.93899999999999995</c:v>
                </c:pt>
                <c:pt idx="17">
                  <c:v>0.96599999999999997</c:v>
                </c:pt>
                <c:pt idx="18">
                  <c:v>0.99299999999999999</c:v>
                </c:pt>
                <c:pt idx="19">
                  <c:v>1.0189999999999999</c:v>
                </c:pt>
                <c:pt idx="20">
                  <c:v>1.046</c:v>
                </c:pt>
                <c:pt idx="21">
                  <c:v>1.073</c:v>
                </c:pt>
                <c:pt idx="22">
                  <c:v>1.099</c:v>
                </c:pt>
                <c:pt idx="23">
                  <c:v>1.1259999999999999</c:v>
                </c:pt>
                <c:pt idx="24">
                  <c:v>1.153</c:v>
                </c:pt>
                <c:pt idx="25">
                  <c:v>1.179</c:v>
                </c:pt>
                <c:pt idx="26">
                  <c:v>1.206</c:v>
                </c:pt>
                <c:pt idx="27">
                  <c:v>1.2330000000000001</c:v>
                </c:pt>
                <c:pt idx="28">
                  <c:v>1.2589999999999999</c:v>
                </c:pt>
                <c:pt idx="29">
                  <c:v>1.286</c:v>
                </c:pt>
                <c:pt idx="30">
                  <c:v>1.3129999999999999</c:v>
                </c:pt>
                <c:pt idx="31">
                  <c:v>1.339</c:v>
                </c:pt>
                <c:pt idx="32">
                  <c:v>1.3660000000000001</c:v>
                </c:pt>
                <c:pt idx="33">
                  <c:v>1.393</c:v>
                </c:pt>
                <c:pt idx="34">
                  <c:v>1.419</c:v>
                </c:pt>
                <c:pt idx="35">
                  <c:v>1.446</c:v>
                </c:pt>
                <c:pt idx="36">
                  <c:v>1.4730000000000001</c:v>
                </c:pt>
                <c:pt idx="37">
                  <c:v>1.4990000000000001</c:v>
                </c:pt>
                <c:pt idx="38">
                  <c:v>1.526</c:v>
                </c:pt>
                <c:pt idx="39">
                  <c:v>1.5529999999999999</c:v>
                </c:pt>
                <c:pt idx="40">
                  <c:v>1.579</c:v>
                </c:pt>
                <c:pt idx="41">
                  <c:v>1.6060000000000001</c:v>
                </c:pt>
                <c:pt idx="42">
                  <c:v>1.633</c:v>
                </c:pt>
                <c:pt idx="43">
                  <c:v>1.659</c:v>
                </c:pt>
                <c:pt idx="44">
                  <c:v>1.6859999999999999</c:v>
                </c:pt>
                <c:pt idx="45">
                  <c:v>1.7130000000000001</c:v>
                </c:pt>
                <c:pt idx="46">
                  <c:v>1.7390000000000001</c:v>
                </c:pt>
                <c:pt idx="47">
                  <c:v>1.766</c:v>
                </c:pt>
                <c:pt idx="48">
                  <c:v>1.7929999999999999</c:v>
                </c:pt>
                <c:pt idx="49">
                  <c:v>1.819</c:v>
                </c:pt>
                <c:pt idx="50">
                  <c:v>1.8460000000000001</c:v>
                </c:pt>
                <c:pt idx="51">
                  <c:v>1.873</c:v>
                </c:pt>
                <c:pt idx="52">
                  <c:v>1.899</c:v>
                </c:pt>
                <c:pt idx="53">
                  <c:v>1.9259999999999999</c:v>
                </c:pt>
                <c:pt idx="54">
                  <c:v>1.9530000000000001</c:v>
                </c:pt>
                <c:pt idx="55">
                  <c:v>1.9790000000000001</c:v>
                </c:pt>
                <c:pt idx="56">
                  <c:v>2.0059999999999998</c:v>
                </c:pt>
                <c:pt idx="57">
                  <c:v>2.0329999999999999</c:v>
                </c:pt>
                <c:pt idx="58">
                  <c:v>2.0590000000000002</c:v>
                </c:pt>
                <c:pt idx="59">
                  <c:v>2.0859999999999999</c:v>
                </c:pt>
                <c:pt idx="60">
                  <c:v>2.113</c:v>
                </c:pt>
                <c:pt idx="61">
                  <c:v>2.1389999999999998</c:v>
                </c:pt>
                <c:pt idx="62">
                  <c:v>2.1659999999999999</c:v>
                </c:pt>
                <c:pt idx="63">
                  <c:v>2.1930000000000001</c:v>
                </c:pt>
                <c:pt idx="64">
                  <c:v>2.2189999999999999</c:v>
                </c:pt>
                <c:pt idx="65">
                  <c:v>2.246</c:v>
                </c:pt>
                <c:pt idx="66">
                  <c:v>2.2730000000000001</c:v>
                </c:pt>
                <c:pt idx="67">
                  <c:v>2.2989999999999999</c:v>
                </c:pt>
                <c:pt idx="68">
                  <c:v>2.3260000000000001</c:v>
                </c:pt>
                <c:pt idx="69">
                  <c:v>2.3530000000000002</c:v>
                </c:pt>
                <c:pt idx="70">
                  <c:v>2.379</c:v>
                </c:pt>
                <c:pt idx="71">
                  <c:v>2.4060000000000001</c:v>
                </c:pt>
                <c:pt idx="72">
                  <c:v>2.4329999999999998</c:v>
                </c:pt>
                <c:pt idx="73">
                  <c:v>2.4590000000000001</c:v>
                </c:pt>
                <c:pt idx="74">
                  <c:v>2.4860000000000002</c:v>
                </c:pt>
                <c:pt idx="75">
                  <c:v>2.5129999999999999</c:v>
                </c:pt>
                <c:pt idx="76">
                  <c:v>2.5390000000000001</c:v>
                </c:pt>
                <c:pt idx="77">
                  <c:v>2.5659999999999998</c:v>
                </c:pt>
                <c:pt idx="78">
                  <c:v>2.593</c:v>
                </c:pt>
                <c:pt idx="79">
                  <c:v>2.6190000000000002</c:v>
                </c:pt>
                <c:pt idx="80">
                  <c:v>2.6459999999999999</c:v>
                </c:pt>
                <c:pt idx="81">
                  <c:v>2.673</c:v>
                </c:pt>
                <c:pt idx="82">
                  <c:v>2.6989999999999998</c:v>
                </c:pt>
                <c:pt idx="83">
                  <c:v>2.726</c:v>
                </c:pt>
                <c:pt idx="84">
                  <c:v>2.7530000000000001</c:v>
                </c:pt>
                <c:pt idx="85">
                  <c:v>2.7789999999999999</c:v>
                </c:pt>
                <c:pt idx="86">
                  <c:v>2.806</c:v>
                </c:pt>
                <c:pt idx="87">
                  <c:v>2.8330000000000002</c:v>
                </c:pt>
                <c:pt idx="88">
                  <c:v>2.859</c:v>
                </c:pt>
                <c:pt idx="89">
                  <c:v>2.8860000000000001</c:v>
                </c:pt>
                <c:pt idx="90">
                  <c:v>2.9129999999999998</c:v>
                </c:pt>
                <c:pt idx="91">
                  <c:v>2.9390000000000001</c:v>
                </c:pt>
                <c:pt idx="92">
                  <c:v>2.9660000000000002</c:v>
                </c:pt>
                <c:pt idx="93">
                  <c:v>2.9929999999999999</c:v>
                </c:pt>
                <c:pt idx="94">
                  <c:v>3.0190000000000001</c:v>
                </c:pt>
                <c:pt idx="95">
                  <c:v>3.0459999999999998</c:v>
                </c:pt>
                <c:pt idx="96">
                  <c:v>3.073</c:v>
                </c:pt>
                <c:pt idx="97">
                  <c:v>3.0990000000000002</c:v>
                </c:pt>
                <c:pt idx="98">
                  <c:v>3.1259999999999999</c:v>
                </c:pt>
                <c:pt idx="99">
                  <c:v>3.153</c:v>
                </c:pt>
                <c:pt idx="100">
                  <c:v>3.1789999999999998</c:v>
                </c:pt>
                <c:pt idx="101">
                  <c:v>3.206</c:v>
                </c:pt>
                <c:pt idx="102">
                  <c:v>3.2330000000000001</c:v>
                </c:pt>
                <c:pt idx="103">
                  <c:v>3.2589999999999999</c:v>
                </c:pt>
                <c:pt idx="104">
                  <c:v>3.286</c:v>
                </c:pt>
                <c:pt idx="105">
                  <c:v>3.3130000000000002</c:v>
                </c:pt>
                <c:pt idx="106">
                  <c:v>3.339</c:v>
                </c:pt>
                <c:pt idx="107">
                  <c:v>3.3660000000000001</c:v>
                </c:pt>
                <c:pt idx="108">
                  <c:v>3.3929999999999998</c:v>
                </c:pt>
                <c:pt idx="109">
                  <c:v>3.419</c:v>
                </c:pt>
                <c:pt idx="110">
                  <c:v>3.4460000000000002</c:v>
                </c:pt>
                <c:pt idx="111">
                  <c:v>3.4729999999999999</c:v>
                </c:pt>
                <c:pt idx="112">
                  <c:v>3.4990000000000001</c:v>
                </c:pt>
                <c:pt idx="113">
                  <c:v>3.5259999999999998</c:v>
                </c:pt>
                <c:pt idx="114">
                  <c:v>3.5529999999999999</c:v>
                </c:pt>
                <c:pt idx="115">
                  <c:v>3.5790000000000002</c:v>
                </c:pt>
                <c:pt idx="116">
                  <c:v>3.6059999999999999</c:v>
                </c:pt>
                <c:pt idx="117">
                  <c:v>3.633</c:v>
                </c:pt>
                <c:pt idx="118">
                  <c:v>3.6589999999999998</c:v>
                </c:pt>
                <c:pt idx="119">
                  <c:v>3.6859999999999999</c:v>
                </c:pt>
                <c:pt idx="120">
                  <c:v>3.7130000000000001</c:v>
                </c:pt>
                <c:pt idx="121">
                  <c:v>3.7389999999999999</c:v>
                </c:pt>
                <c:pt idx="122">
                  <c:v>3.766</c:v>
                </c:pt>
                <c:pt idx="123">
                  <c:v>3.7930000000000001</c:v>
                </c:pt>
                <c:pt idx="124">
                  <c:v>3.819</c:v>
                </c:pt>
                <c:pt idx="125">
                  <c:v>3.8460000000000001</c:v>
                </c:pt>
                <c:pt idx="126">
                  <c:v>3.8730000000000002</c:v>
                </c:pt>
                <c:pt idx="127">
                  <c:v>3.899</c:v>
                </c:pt>
                <c:pt idx="128">
                  <c:v>3.9260000000000002</c:v>
                </c:pt>
                <c:pt idx="129">
                  <c:v>3.9529999999999998</c:v>
                </c:pt>
                <c:pt idx="130">
                  <c:v>3.9790000000000001</c:v>
                </c:pt>
                <c:pt idx="131">
                  <c:v>4.0060000000000002</c:v>
                </c:pt>
                <c:pt idx="132">
                  <c:v>4.0330000000000004</c:v>
                </c:pt>
                <c:pt idx="133">
                  <c:v>4.0590000000000002</c:v>
                </c:pt>
                <c:pt idx="134">
                  <c:v>4.0860000000000003</c:v>
                </c:pt>
                <c:pt idx="135">
                  <c:v>4.1130000000000004</c:v>
                </c:pt>
                <c:pt idx="136">
                  <c:v>4.1390000000000002</c:v>
                </c:pt>
                <c:pt idx="137">
                  <c:v>4.1660000000000004</c:v>
                </c:pt>
                <c:pt idx="138">
                  <c:v>4.1929999999999996</c:v>
                </c:pt>
                <c:pt idx="139">
                  <c:v>4.2190000000000003</c:v>
                </c:pt>
                <c:pt idx="140">
                  <c:v>4.2460000000000004</c:v>
                </c:pt>
                <c:pt idx="141">
                  <c:v>4.2729999999999997</c:v>
                </c:pt>
                <c:pt idx="142">
                  <c:v>4.2990000000000004</c:v>
                </c:pt>
                <c:pt idx="143">
                  <c:v>4.3259999999999996</c:v>
                </c:pt>
                <c:pt idx="144">
                  <c:v>4.3529999999999998</c:v>
                </c:pt>
                <c:pt idx="145">
                  <c:v>4.3789999999999996</c:v>
                </c:pt>
                <c:pt idx="146">
                  <c:v>4.4059999999999997</c:v>
                </c:pt>
                <c:pt idx="147">
                  <c:v>4.4329999999999998</c:v>
                </c:pt>
                <c:pt idx="148">
                  <c:v>4.4589999999999996</c:v>
                </c:pt>
                <c:pt idx="149">
                  <c:v>4.4859999999999998</c:v>
                </c:pt>
                <c:pt idx="150">
                  <c:v>4.5129999999999999</c:v>
                </c:pt>
                <c:pt idx="151">
                  <c:v>4.5389999999999997</c:v>
                </c:pt>
                <c:pt idx="152">
                  <c:v>4.5659999999999998</c:v>
                </c:pt>
                <c:pt idx="153">
                  <c:v>4.593</c:v>
                </c:pt>
                <c:pt idx="154">
                  <c:v>4.6189999999999998</c:v>
                </c:pt>
                <c:pt idx="155">
                  <c:v>4.6459999999999999</c:v>
                </c:pt>
                <c:pt idx="156">
                  <c:v>4.673</c:v>
                </c:pt>
                <c:pt idx="157">
                  <c:v>4.6989999999999998</c:v>
                </c:pt>
                <c:pt idx="158">
                  <c:v>4.726</c:v>
                </c:pt>
                <c:pt idx="159">
                  <c:v>4.7530000000000001</c:v>
                </c:pt>
                <c:pt idx="160">
                  <c:v>4.7789999999999999</c:v>
                </c:pt>
                <c:pt idx="161">
                  <c:v>4.806</c:v>
                </c:pt>
                <c:pt idx="162">
                  <c:v>4.8330000000000002</c:v>
                </c:pt>
                <c:pt idx="163">
                  <c:v>4.859</c:v>
                </c:pt>
                <c:pt idx="164">
                  <c:v>4.8860000000000001</c:v>
                </c:pt>
                <c:pt idx="165">
                  <c:v>4.9130000000000003</c:v>
                </c:pt>
                <c:pt idx="166">
                  <c:v>4.9390000000000001</c:v>
                </c:pt>
                <c:pt idx="167">
                  <c:v>4.9660000000000002</c:v>
                </c:pt>
                <c:pt idx="168">
                  <c:v>4.9930000000000003</c:v>
                </c:pt>
                <c:pt idx="169">
                  <c:v>5.0190000000000001</c:v>
                </c:pt>
                <c:pt idx="170">
                  <c:v>5.0460000000000003</c:v>
                </c:pt>
                <c:pt idx="171">
                  <c:v>5.0730000000000004</c:v>
                </c:pt>
                <c:pt idx="172">
                  <c:v>5.0990000000000002</c:v>
                </c:pt>
                <c:pt idx="173">
                  <c:v>5.1260000000000003</c:v>
                </c:pt>
                <c:pt idx="174">
                  <c:v>5.1529999999999996</c:v>
                </c:pt>
                <c:pt idx="175">
                  <c:v>5.1790000000000003</c:v>
                </c:pt>
                <c:pt idx="176">
                  <c:v>5.2060000000000004</c:v>
                </c:pt>
                <c:pt idx="177">
                  <c:v>5.2329999999999997</c:v>
                </c:pt>
                <c:pt idx="178">
                  <c:v>5.2590000000000003</c:v>
                </c:pt>
                <c:pt idx="179">
                  <c:v>5.2859999999999996</c:v>
                </c:pt>
                <c:pt idx="180">
                  <c:v>5.3129999999999997</c:v>
                </c:pt>
                <c:pt idx="181">
                  <c:v>5.3390000000000004</c:v>
                </c:pt>
                <c:pt idx="182">
                  <c:v>5.3659999999999997</c:v>
                </c:pt>
                <c:pt idx="183">
                  <c:v>5.3929999999999998</c:v>
                </c:pt>
                <c:pt idx="184">
                  <c:v>5.4189999999999996</c:v>
                </c:pt>
                <c:pt idx="185">
                  <c:v>5.4459999999999997</c:v>
                </c:pt>
                <c:pt idx="186">
                  <c:v>5.4729999999999999</c:v>
                </c:pt>
                <c:pt idx="187">
                  <c:v>5.4989999999999997</c:v>
                </c:pt>
                <c:pt idx="188">
                  <c:v>5.5259999999999998</c:v>
                </c:pt>
                <c:pt idx="189">
                  <c:v>5.5529999999999999</c:v>
                </c:pt>
                <c:pt idx="190">
                  <c:v>5.5789999999999997</c:v>
                </c:pt>
                <c:pt idx="191">
                  <c:v>5.6059999999999999</c:v>
                </c:pt>
                <c:pt idx="192">
                  <c:v>5.633</c:v>
                </c:pt>
                <c:pt idx="193">
                  <c:v>5.6589999999999998</c:v>
                </c:pt>
                <c:pt idx="194">
                  <c:v>5.6859999999999999</c:v>
                </c:pt>
                <c:pt idx="195">
                  <c:v>5.7130000000000001</c:v>
                </c:pt>
                <c:pt idx="196">
                  <c:v>5.7389999999999999</c:v>
                </c:pt>
                <c:pt idx="197">
                  <c:v>5.766</c:v>
                </c:pt>
                <c:pt idx="198">
                  <c:v>5.7930000000000001</c:v>
                </c:pt>
                <c:pt idx="199">
                  <c:v>5.819</c:v>
                </c:pt>
                <c:pt idx="200">
                  <c:v>5.8460000000000001</c:v>
                </c:pt>
                <c:pt idx="201">
                  <c:v>5.8730000000000002</c:v>
                </c:pt>
                <c:pt idx="202">
                  <c:v>5.899</c:v>
                </c:pt>
                <c:pt idx="203">
                  <c:v>5.9260000000000002</c:v>
                </c:pt>
                <c:pt idx="204">
                  <c:v>5.9530000000000003</c:v>
                </c:pt>
                <c:pt idx="205">
                  <c:v>5.9790000000000001</c:v>
                </c:pt>
                <c:pt idx="206">
                  <c:v>6.0060000000000002</c:v>
                </c:pt>
                <c:pt idx="207">
                  <c:v>6.0330000000000004</c:v>
                </c:pt>
                <c:pt idx="208">
                  <c:v>6.0590000000000002</c:v>
                </c:pt>
                <c:pt idx="209">
                  <c:v>6.0860000000000003</c:v>
                </c:pt>
                <c:pt idx="210">
                  <c:v>6.1130000000000004</c:v>
                </c:pt>
                <c:pt idx="211">
                  <c:v>6.1390000000000002</c:v>
                </c:pt>
                <c:pt idx="212">
                  <c:v>6.1660000000000004</c:v>
                </c:pt>
                <c:pt idx="213">
                  <c:v>6.1929999999999996</c:v>
                </c:pt>
                <c:pt idx="214">
                  <c:v>6.2190000000000003</c:v>
                </c:pt>
                <c:pt idx="215">
                  <c:v>6.2460000000000004</c:v>
                </c:pt>
                <c:pt idx="216">
                  <c:v>6.2729999999999997</c:v>
                </c:pt>
                <c:pt idx="217">
                  <c:v>6.2990000000000004</c:v>
                </c:pt>
                <c:pt idx="218">
                  <c:v>6.3259999999999996</c:v>
                </c:pt>
                <c:pt idx="219">
                  <c:v>6.3529999999999998</c:v>
                </c:pt>
                <c:pt idx="220">
                  <c:v>6.3789999999999996</c:v>
                </c:pt>
                <c:pt idx="221">
                  <c:v>6.4059999999999997</c:v>
                </c:pt>
                <c:pt idx="222">
                  <c:v>6.4329999999999998</c:v>
                </c:pt>
                <c:pt idx="223">
                  <c:v>6.4589999999999996</c:v>
                </c:pt>
                <c:pt idx="224">
                  <c:v>6.4859999999999998</c:v>
                </c:pt>
                <c:pt idx="225">
                  <c:v>6.5129999999999999</c:v>
                </c:pt>
                <c:pt idx="226">
                  <c:v>6.5389999999999997</c:v>
                </c:pt>
                <c:pt idx="227">
                  <c:v>6.5659999999999998</c:v>
                </c:pt>
                <c:pt idx="228">
                  <c:v>6.593</c:v>
                </c:pt>
                <c:pt idx="229">
                  <c:v>6.6189999999999998</c:v>
                </c:pt>
                <c:pt idx="230">
                  <c:v>6.6459999999999999</c:v>
                </c:pt>
                <c:pt idx="231">
                  <c:v>6.673</c:v>
                </c:pt>
                <c:pt idx="232">
                  <c:v>6.6989999999999998</c:v>
                </c:pt>
                <c:pt idx="233">
                  <c:v>6.726</c:v>
                </c:pt>
                <c:pt idx="234">
                  <c:v>6.7530000000000001</c:v>
                </c:pt>
                <c:pt idx="235">
                  <c:v>6.7789999999999999</c:v>
                </c:pt>
                <c:pt idx="236">
                  <c:v>6.806</c:v>
                </c:pt>
                <c:pt idx="237">
                  <c:v>6.8330000000000002</c:v>
                </c:pt>
                <c:pt idx="238">
                  <c:v>6.859</c:v>
                </c:pt>
                <c:pt idx="239">
                  <c:v>6.8860000000000001</c:v>
                </c:pt>
                <c:pt idx="240">
                  <c:v>6.9130000000000003</c:v>
                </c:pt>
                <c:pt idx="241">
                  <c:v>6.9390000000000001</c:v>
                </c:pt>
                <c:pt idx="242">
                  <c:v>6.9660000000000002</c:v>
                </c:pt>
                <c:pt idx="243">
                  <c:v>6.9930000000000003</c:v>
                </c:pt>
                <c:pt idx="244">
                  <c:v>7.0190000000000001</c:v>
                </c:pt>
                <c:pt idx="245">
                  <c:v>7.0460000000000003</c:v>
                </c:pt>
                <c:pt idx="246">
                  <c:v>7.0730000000000004</c:v>
                </c:pt>
                <c:pt idx="247">
                  <c:v>7.0990000000000002</c:v>
                </c:pt>
                <c:pt idx="248">
                  <c:v>7.1260000000000003</c:v>
                </c:pt>
                <c:pt idx="249">
                  <c:v>7.1529999999999996</c:v>
                </c:pt>
                <c:pt idx="250">
                  <c:v>7.1790000000000003</c:v>
                </c:pt>
                <c:pt idx="251">
                  <c:v>7.2060000000000004</c:v>
                </c:pt>
                <c:pt idx="252">
                  <c:v>7.2329999999999997</c:v>
                </c:pt>
                <c:pt idx="253">
                  <c:v>7.2590000000000003</c:v>
                </c:pt>
                <c:pt idx="254">
                  <c:v>7.2859999999999996</c:v>
                </c:pt>
                <c:pt idx="255">
                  <c:v>7.3129999999999997</c:v>
                </c:pt>
                <c:pt idx="256">
                  <c:v>7.3390000000000004</c:v>
                </c:pt>
                <c:pt idx="257">
                  <c:v>7.3659999999999997</c:v>
                </c:pt>
                <c:pt idx="258">
                  <c:v>7.3929999999999998</c:v>
                </c:pt>
                <c:pt idx="259">
                  <c:v>7.4189999999999996</c:v>
                </c:pt>
                <c:pt idx="260">
                  <c:v>7.4459999999999997</c:v>
                </c:pt>
                <c:pt idx="261">
                  <c:v>7.4729999999999999</c:v>
                </c:pt>
                <c:pt idx="262">
                  <c:v>7.4989999999999997</c:v>
                </c:pt>
                <c:pt idx="263">
                  <c:v>7.5259999999999998</c:v>
                </c:pt>
                <c:pt idx="264">
                  <c:v>7.5529999999999999</c:v>
                </c:pt>
                <c:pt idx="265">
                  <c:v>7.5789999999999997</c:v>
                </c:pt>
                <c:pt idx="266">
                  <c:v>7.6059999999999999</c:v>
                </c:pt>
                <c:pt idx="267">
                  <c:v>7.633</c:v>
                </c:pt>
                <c:pt idx="268">
                  <c:v>7.6589999999999998</c:v>
                </c:pt>
                <c:pt idx="269">
                  <c:v>7.6859999999999999</c:v>
                </c:pt>
                <c:pt idx="270">
                  <c:v>7.7130000000000001</c:v>
                </c:pt>
                <c:pt idx="271">
                  <c:v>7.7389999999999999</c:v>
                </c:pt>
                <c:pt idx="272">
                  <c:v>7.766</c:v>
                </c:pt>
                <c:pt idx="273">
                  <c:v>7.7930000000000001</c:v>
                </c:pt>
                <c:pt idx="274">
                  <c:v>7.819</c:v>
                </c:pt>
                <c:pt idx="275">
                  <c:v>7.8460000000000001</c:v>
                </c:pt>
                <c:pt idx="276">
                  <c:v>7.8730000000000002</c:v>
                </c:pt>
                <c:pt idx="277">
                  <c:v>7.899</c:v>
                </c:pt>
                <c:pt idx="278">
                  <c:v>7.9260000000000002</c:v>
                </c:pt>
                <c:pt idx="279">
                  <c:v>7.9530000000000003</c:v>
                </c:pt>
                <c:pt idx="280">
                  <c:v>7.9790000000000001</c:v>
                </c:pt>
                <c:pt idx="281">
                  <c:v>8.0060000000000002</c:v>
                </c:pt>
                <c:pt idx="282">
                  <c:v>8.0329999999999995</c:v>
                </c:pt>
                <c:pt idx="283">
                  <c:v>8.0589999999999993</c:v>
                </c:pt>
                <c:pt idx="284">
                  <c:v>8.0860000000000003</c:v>
                </c:pt>
                <c:pt idx="285">
                  <c:v>8.1129999999999995</c:v>
                </c:pt>
                <c:pt idx="286">
                  <c:v>8.1389999999999993</c:v>
                </c:pt>
                <c:pt idx="287">
                  <c:v>8.1660000000000004</c:v>
                </c:pt>
                <c:pt idx="288">
                  <c:v>8.1929999999999996</c:v>
                </c:pt>
                <c:pt idx="289">
                  <c:v>8.2189999999999994</c:v>
                </c:pt>
                <c:pt idx="290">
                  <c:v>8.2460000000000004</c:v>
                </c:pt>
                <c:pt idx="291">
                  <c:v>8.2729999999999997</c:v>
                </c:pt>
                <c:pt idx="292">
                  <c:v>8.2989999999999995</c:v>
                </c:pt>
                <c:pt idx="293">
                  <c:v>8.3260000000000005</c:v>
                </c:pt>
                <c:pt idx="294">
                  <c:v>8.3529999999999998</c:v>
                </c:pt>
                <c:pt idx="295">
                  <c:v>8.3789999999999996</c:v>
                </c:pt>
                <c:pt idx="296">
                  <c:v>8.4060000000000006</c:v>
                </c:pt>
                <c:pt idx="297">
                  <c:v>8.4329999999999998</c:v>
                </c:pt>
                <c:pt idx="298">
                  <c:v>8.4589999999999996</c:v>
                </c:pt>
                <c:pt idx="299">
                  <c:v>8.4860000000000007</c:v>
                </c:pt>
                <c:pt idx="300">
                  <c:v>8.5129999999999999</c:v>
                </c:pt>
                <c:pt idx="301">
                  <c:v>8.5389999999999997</c:v>
                </c:pt>
                <c:pt idx="302">
                  <c:v>8.5660000000000007</c:v>
                </c:pt>
                <c:pt idx="303">
                  <c:v>8.593</c:v>
                </c:pt>
                <c:pt idx="304">
                  <c:v>8.6189999999999998</c:v>
                </c:pt>
                <c:pt idx="305">
                  <c:v>8.6460000000000008</c:v>
                </c:pt>
                <c:pt idx="306">
                  <c:v>8.673</c:v>
                </c:pt>
                <c:pt idx="307">
                  <c:v>8.6989999999999998</c:v>
                </c:pt>
                <c:pt idx="308">
                  <c:v>8.7260000000000009</c:v>
                </c:pt>
                <c:pt idx="309">
                  <c:v>8.7530000000000001</c:v>
                </c:pt>
                <c:pt idx="310">
                  <c:v>8.7789999999999999</c:v>
                </c:pt>
                <c:pt idx="311">
                  <c:v>8.8059999999999992</c:v>
                </c:pt>
                <c:pt idx="312">
                  <c:v>8.8330000000000002</c:v>
                </c:pt>
                <c:pt idx="313">
                  <c:v>8.859</c:v>
                </c:pt>
                <c:pt idx="314">
                  <c:v>8.8859999999999992</c:v>
                </c:pt>
                <c:pt idx="315">
                  <c:v>8.9130000000000003</c:v>
                </c:pt>
                <c:pt idx="316">
                  <c:v>8.9390000000000001</c:v>
                </c:pt>
                <c:pt idx="317">
                  <c:v>8.9659999999999993</c:v>
                </c:pt>
                <c:pt idx="318">
                  <c:v>8.9930000000000003</c:v>
                </c:pt>
                <c:pt idx="319">
                  <c:v>9.0190000000000001</c:v>
                </c:pt>
                <c:pt idx="320">
                  <c:v>9.0459999999999994</c:v>
                </c:pt>
                <c:pt idx="321">
                  <c:v>9.0730000000000004</c:v>
                </c:pt>
                <c:pt idx="322">
                  <c:v>9.0990000000000002</c:v>
                </c:pt>
                <c:pt idx="323">
                  <c:v>9.1259999999999994</c:v>
                </c:pt>
                <c:pt idx="324">
                  <c:v>9.1530000000000005</c:v>
                </c:pt>
                <c:pt idx="325">
                  <c:v>9.1790000000000003</c:v>
                </c:pt>
                <c:pt idx="326">
                  <c:v>9.2059999999999995</c:v>
                </c:pt>
                <c:pt idx="327">
                  <c:v>9.2330000000000005</c:v>
                </c:pt>
                <c:pt idx="328">
                  <c:v>9.2590000000000003</c:v>
                </c:pt>
                <c:pt idx="329">
                  <c:v>9.2859999999999996</c:v>
                </c:pt>
                <c:pt idx="330">
                  <c:v>9.3130000000000006</c:v>
                </c:pt>
                <c:pt idx="331">
                  <c:v>9.3390000000000004</c:v>
                </c:pt>
                <c:pt idx="332">
                  <c:v>9.3659999999999997</c:v>
                </c:pt>
                <c:pt idx="333">
                  <c:v>9.3930000000000007</c:v>
                </c:pt>
                <c:pt idx="334">
                  <c:v>9.4190000000000005</c:v>
                </c:pt>
                <c:pt idx="335">
                  <c:v>9.4459999999999997</c:v>
                </c:pt>
                <c:pt idx="336">
                  <c:v>9.4730000000000008</c:v>
                </c:pt>
                <c:pt idx="337">
                  <c:v>9.4990000000000006</c:v>
                </c:pt>
                <c:pt idx="338">
                  <c:v>9.5259999999999998</c:v>
                </c:pt>
                <c:pt idx="339">
                  <c:v>9.5530000000000008</c:v>
                </c:pt>
                <c:pt idx="340">
                  <c:v>9.5790000000000006</c:v>
                </c:pt>
                <c:pt idx="341">
                  <c:v>9.6059999999999999</c:v>
                </c:pt>
                <c:pt idx="342">
                  <c:v>9.6329999999999991</c:v>
                </c:pt>
                <c:pt idx="343">
                  <c:v>9.6590000000000007</c:v>
                </c:pt>
                <c:pt idx="344">
                  <c:v>9.6859999999999999</c:v>
                </c:pt>
                <c:pt idx="345">
                  <c:v>9.7129999999999992</c:v>
                </c:pt>
                <c:pt idx="346">
                  <c:v>9.7390000000000008</c:v>
                </c:pt>
                <c:pt idx="347">
                  <c:v>9.766</c:v>
                </c:pt>
                <c:pt idx="348">
                  <c:v>9.7929999999999993</c:v>
                </c:pt>
                <c:pt idx="349">
                  <c:v>9.8190000000000008</c:v>
                </c:pt>
                <c:pt idx="350">
                  <c:v>9.8460000000000001</c:v>
                </c:pt>
                <c:pt idx="351">
                  <c:v>9.8729999999999993</c:v>
                </c:pt>
                <c:pt idx="352">
                  <c:v>9.8989999999999991</c:v>
                </c:pt>
                <c:pt idx="353">
                  <c:v>9.9260000000000002</c:v>
                </c:pt>
                <c:pt idx="354">
                  <c:v>9.9529999999999994</c:v>
                </c:pt>
                <c:pt idx="355">
                  <c:v>9.9789999999999992</c:v>
                </c:pt>
                <c:pt idx="356">
                  <c:v>10.006</c:v>
                </c:pt>
              </c:numCache>
            </c:numRef>
          </c:xVal>
          <c:yVal>
            <c:numRef>
              <c:f>ChromatogramData!$C$2:$C$10001</c:f>
              <c:numCache>
                <c:formatCode>General</c:formatCode>
                <c:ptCount val="10000"/>
                <c:pt idx="0">
                  <c:v>20.058923615629908</c:v>
                </c:pt>
                <c:pt idx="1">
                  <c:v>14.034452237387207</c:v>
                </c:pt>
                <c:pt idx="2">
                  <c:v>11.056631748562491</c:v>
                </c:pt>
                <c:pt idx="3">
                  <c:v>10.339346521327341</c:v>
                </c:pt>
                <c:pt idx="4">
                  <c:v>11.342821308923989</c:v>
                </c:pt>
                <c:pt idx="5">
                  <c:v>13.049090713104574</c:v>
                </c:pt>
                <c:pt idx="6">
                  <c:v>13.831583688270195</c:v>
                </c:pt>
                <c:pt idx="7">
                  <c:v>13.748262677025707</c:v>
                </c:pt>
                <c:pt idx="8">
                  <c:v>13.603356570513554</c:v>
                </c:pt>
                <c:pt idx="9">
                  <c:v>12.672334836172981</c:v>
                </c:pt>
                <c:pt idx="10">
                  <c:v>10.353837131978556</c:v>
                </c:pt>
                <c:pt idx="11">
                  <c:v>7.7020553828061811</c:v>
                </c:pt>
                <c:pt idx="12">
                  <c:v>6.3652965502315828</c:v>
                </c:pt>
                <c:pt idx="13">
                  <c:v>6.9159397549777584</c:v>
                </c:pt>
                <c:pt idx="14">
                  <c:v>9.9662132970585517</c:v>
                </c:pt>
                <c:pt idx="15">
                  <c:v>16.352949941581631</c:v>
                </c:pt>
                <c:pt idx="16">
                  <c:v>24.779240035263246</c:v>
                </c:pt>
                <c:pt idx="17">
                  <c:v>32.205677994011019</c:v>
                </c:pt>
                <c:pt idx="18">
                  <c:v>37.41505252312286</c:v>
                </c:pt>
                <c:pt idx="19">
                  <c:v>40.534156465796926</c:v>
                </c:pt>
                <c:pt idx="20">
                  <c:v>41.320272093625356</c:v>
                </c:pt>
                <c:pt idx="21">
                  <c:v>38.936566641500455</c:v>
                </c:pt>
                <c:pt idx="22">
                  <c:v>33.32145501415458</c:v>
                </c:pt>
                <c:pt idx="23">
                  <c:v>25.438562819893537</c:v>
                </c:pt>
                <c:pt idx="24">
                  <c:v>16.99778211556071</c:v>
                </c:pt>
                <c:pt idx="25">
                  <c:v>10.259648162745655</c:v>
                </c:pt>
                <c:pt idx="26">
                  <c:v>6.3979004241968163</c:v>
                </c:pt>
                <c:pt idx="27">
                  <c:v>4.7604614206095039</c:v>
                </c:pt>
                <c:pt idx="28">
                  <c:v>4.1373651626072521</c:v>
                </c:pt>
                <c:pt idx="29">
                  <c:v>3.8475529495829486</c:v>
                </c:pt>
                <c:pt idx="30">
                  <c:v>3.5867219578610765</c:v>
                </c:pt>
                <c:pt idx="31">
                  <c:v>3.2860417868483616</c:v>
                </c:pt>
                <c:pt idx="32">
                  <c:v>2.9744936578472361</c:v>
                </c:pt>
                <c:pt idx="33">
                  <c:v>2.7136626661253627</c:v>
                </c:pt>
                <c:pt idx="34">
                  <c:v>2.5071714643455469</c:v>
                </c:pt>
                <c:pt idx="35">
                  <c:v>2.3550200525077876</c:v>
                </c:pt>
                <c:pt idx="36">
                  <c:v>2.246340472623674</c:v>
                </c:pt>
                <c:pt idx="37">
                  <c:v>2.1412835454023638</c:v>
                </c:pt>
                <c:pt idx="38">
                  <c:v>2.0615851868206807</c:v>
                </c:pt>
                <c:pt idx="39">
                  <c:v>2.0181133548670354</c:v>
                </c:pt>
                <c:pt idx="40">
                  <c:v>2.0036227442158201</c:v>
                </c:pt>
                <c:pt idx="41">
                  <c:v>2.0000000915530163</c:v>
                </c:pt>
                <c:pt idx="42">
                  <c:v>2.0434719235066621</c:v>
                </c:pt>
                <c:pt idx="43">
                  <c:v>2.1449061980651676</c:v>
                </c:pt>
                <c:pt idx="44">
                  <c:v>2.2173592513212435</c:v>
                </c:pt>
                <c:pt idx="45">
                  <c:v>2.2535857779492816</c:v>
                </c:pt>
                <c:pt idx="46">
                  <c:v>2.2825669992517117</c:v>
                </c:pt>
                <c:pt idx="47">
                  <c:v>2.2789443465889079</c:v>
                </c:pt>
                <c:pt idx="48">
                  <c:v>2.2644537359376926</c:v>
                </c:pt>
                <c:pt idx="49">
                  <c:v>2.246340472623674</c:v>
                </c:pt>
                <c:pt idx="50">
                  <c:v>2.2354725146352625</c:v>
                </c:pt>
                <c:pt idx="51">
                  <c:v>2.2753216939261041</c:v>
                </c:pt>
                <c:pt idx="52">
                  <c:v>2.3441520945193761</c:v>
                </c:pt>
                <c:pt idx="53">
                  <c:v>2.4492090217406863</c:v>
                </c:pt>
                <c:pt idx="54">
                  <c:v>2.6086057389040529</c:v>
                </c:pt>
                <c:pt idx="55">
                  <c:v>2.8006063300326538</c:v>
                </c:pt>
                <c:pt idx="56">
                  <c:v>3.0252107951264886</c:v>
                </c:pt>
                <c:pt idx="57">
                  <c:v>3.3150230081507917</c:v>
                </c:pt>
                <c:pt idx="58">
                  <c:v>3.688156232419582</c:v>
                </c:pt>
                <c:pt idx="59">
                  <c:v>4.0721574146767843</c:v>
                </c:pt>
                <c:pt idx="60">
                  <c:v>4.2931392271078153</c:v>
                </c:pt>
                <c:pt idx="61">
                  <c:v>4.4199320703059479</c:v>
                </c:pt>
                <c:pt idx="62">
                  <c:v>4.4960077762248272</c:v>
                </c:pt>
                <c:pt idx="63">
                  <c:v>4.4525359442711814</c:v>
                </c:pt>
                <c:pt idx="64">
                  <c:v>4.5612155241552959</c:v>
                </c:pt>
                <c:pt idx="65">
                  <c:v>4.7640840732723078</c:v>
                </c:pt>
                <c:pt idx="66">
                  <c:v>5.0249150649941807</c:v>
                </c:pt>
                <c:pt idx="67">
                  <c:v>5.2096703507971736</c:v>
                </c:pt>
                <c:pt idx="68">
                  <c:v>5.2676327934020346</c:v>
                </c:pt>
                <c:pt idx="69">
                  <c:v>5.3545764573093262</c:v>
                </c:pt>
                <c:pt idx="70">
                  <c:v>5.3944256366001664</c:v>
                </c:pt>
                <c:pt idx="71">
                  <c:v>5.4777466478446541</c:v>
                </c:pt>
                <c:pt idx="72">
                  <c:v>5.6371433650080203</c:v>
                </c:pt>
                <c:pt idx="73">
                  <c:v>5.8074080401597996</c:v>
                </c:pt>
                <c:pt idx="74">
                  <c:v>6.2022771804054129</c:v>
                </c:pt>
                <c:pt idx="75">
                  <c:v>6.58265570999981</c:v>
                </c:pt>
                <c:pt idx="76">
                  <c:v>6.6261275419534558</c:v>
                </c:pt>
                <c:pt idx="77">
                  <c:v>6.4123910348480324</c:v>
                </c:pt>
                <c:pt idx="78">
                  <c:v>6.2855981916498997</c:v>
                </c:pt>
                <c:pt idx="79">
                  <c:v>6.4884667407669117</c:v>
                </c:pt>
                <c:pt idx="80">
                  <c:v>6.6261275419534558</c:v>
                </c:pt>
                <c:pt idx="81">
                  <c:v>6.5536744886973803</c:v>
                </c:pt>
                <c:pt idx="82">
                  <c:v>6.4558628668016773</c:v>
                </c:pt>
                <c:pt idx="83">
                  <c:v>6.5754104046742032</c:v>
                </c:pt>
                <c:pt idx="84">
                  <c:v>6.8833358810125249</c:v>
                </c:pt>
                <c:pt idx="85">
                  <c:v>7.2057519680020619</c:v>
                </c:pt>
                <c:pt idx="86">
                  <c:v>7.5281680549915988</c:v>
                </c:pt>
                <c:pt idx="87">
                  <c:v>7.7165459934573963</c:v>
                </c:pt>
                <c:pt idx="88">
                  <c:v>7.7636404780738451</c:v>
                </c:pt>
                <c:pt idx="89">
                  <c:v>7.7020553828061811</c:v>
                </c:pt>
                <c:pt idx="90">
                  <c:v>7.4955641810263653</c:v>
                </c:pt>
                <c:pt idx="91">
                  <c:v>7.3035635898977649</c:v>
                </c:pt>
                <c:pt idx="92">
                  <c:v>7.3542807271770174</c:v>
                </c:pt>
                <c:pt idx="93">
                  <c:v>7.1188083040947712</c:v>
                </c:pt>
                <c:pt idx="94">
                  <c:v>6.622504889290652</c:v>
                </c:pt>
                <c:pt idx="95">
                  <c:v>6.2819755389870968</c:v>
                </c:pt>
                <c:pt idx="96">
                  <c:v>6.3073341076267218</c:v>
                </c:pt>
                <c:pt idx="97">
                  <c:v>6.5971463206510261</c:v>
                </c:pt>
                <c:pt idx="98">
                  <c:v>7.2673370632697267</c:v>
                </c:pt>
                <c:pt idx="99">
                  <c:v>8.0353394277841304</c:v>
                </c:pt>
                <c:pt idx="100">
                  <c:v>8.8504362769149836</c:v>
                </c:pt>
                <c:pt idx="101">
                  <c:v>9.4191927449751791</c:v>
                </c:pt>
                <c:pt idx="102">
                  <c:v>9.5242496721964862</c:v>
                </c:pt>
                <c:pt idx="103">
                  <c:v>9.0170782994039573</c:v>
                </c:pt>
                <c:pt idx="104">
                  <c:v>8.1730002289706736</c:v>
                </c:pt>
                <c:pt idx="105">
                  <c:v>7.4484696964099166</c:v>
                </c:pt>
                <c:pt idx="106">
                  <c:v>7.1369215674087894</c:v>
                </c:pt>
                <c:pt idx="107">
                  <c:v>7.4883188757007568</c:v>
                </c:pt>
                <c:pt idx="108">
                  <c:v>8.5062842739486229</c:v>
                </c:pt>
                <c:pt idx="109">
                  <c:v>10.016930434337802</c:v>
                </c:pt>
                <c:pt idx="110">
                  <c:v>11.886219208344558</c:v>
                </c:pt>
                <c:pt idx="111">
                  <c:v>17.45423635107398</c:v>
                </c:pt>
                <c:pt idx="112">
                  <c:v>22.01877870620676</c:v>
                </c:pt>
                <c:pt idx="113">
                  <c:v>23.069347978419859</c:v>
                </c:pt>
                <c:pt idx="114">
                  <c:v>18.910542721521107</c:v>
                </c:pt>
                <c:pt idx="115">
                  <c:v>13.400488021396542</c:v>
                </c:pt>
                <c:pt idx="116">
                  <c:v>9.9481000337445309</c:v>
                </c:pt>
                <c:pt idx="117">
                  <c:v>8.4410765260181559</c:v>
                </c:pt>
                <c:pt idx="118">
                  <c:v>7.9447731112140358</c:v>
                </c:pt>
                <c:pt idx="119">
                  <c:v>7.8904333212719786</c:v>
                </c:pt>
                <c:pt idx="120">
                  <c:v>8.2164720609243194</c:v>
                </c:pt>
                <c:pt idx="121">
                  <c:v>10.857385852108282</c:v>
                </c:pt>
                <c:pt idx="122">
                  <c:v>12.183276726694469</c:v>
                </c:pt>
                <c:pt idx="123">
                  <c:v>12.190522032020077</c:v>
                </c:pt>
                <c:pt idx="124">
                  <c:v>10.060402266291447</c:v>
                </c:pt>
                <c:pt idx="125">
                  <c:v>8.8902854562058238</c:v>
                </c:pt>
                <c:pt idx="126">
                  <c:v>8.6330771171467564</c:v>
                </c:pt>
                <c:pt idx="127">
                  <c:v>8.346887556785255</c:v>
                </c:pt>
                <c:pt idx="128">
                  <c:v>7.9157918899116053</c:v>
                </c:pt>
                <c:pt idx="129">
                  <c:v>8.3867367360760987</c:v>
                </c:pt>
                <c:pt idx="130">
                  <c:v>12.520183424335222</c:v>
                </c:pt>
                <c:pt idx="131">
                  <c:v>15.987062022638451</c:v>
                </c:pt>
                <c:pt idx="132">
                  <c:v>15.708117767602559</c:v>
                </c:pt>
                <c:pt idx="133">
                  <c:v>13.09256254505822</c:v>
                </c:pt>
                <c:pt idx="134">
                  <c:v>10.035043697651822</c:v>
                </c:pt>
                <c:pt idx="135">
                  <c:v>7.8505841419811366</c:v>
                </c:pt>
                <c:pt idx="136">
                  <c:v>6.8760905756869164</c:v>
                </c:pt>
                <c:pt idx="137">
                  <c:v>6.618882236627849</c:v>
                </c:pt>
                <c:pt idx="138">
                  <c:v>6.6695993739071016</c:v>
                </c:pt>
                <c:pt idx="139">
                  <c:v>8.2200947135871232</c:v>
                </c:pt>
                <c:pt idx="140">
                  <c:v>10.763196882875384</c:v>
                </c:pt>
                <c:pt idx="141">
                  <c:v>11.455123541470908</c:v>
                </c:pt>
                <c:pt idx="142">
                  <c:v>10.650894650328466</c:v>
                </c:pt>
                <c:pt idx="143">
                  <c:v>8.459189789332175</c:v>
                </c:pt>
                <c:pt idx="144">
                  <c:v>7.5861304975964599</c:v>
                </c:pt>
                <c:pt idx="145">
                  <c:v>19.25831737715027</c:v>
                </c:pt>
                <c:pt idx="146">
                  <c:v>44.671225806718851</c:v>
                </c:pt>
                <c:pt idx="147">
                  <c:v>50.199393770157442</c:v>
                </c:pt>
                <c:pt idx="148">
                  <c:v>33.238134002910101</c:v>
                </c:pt>
                <c:pt idx="149">
                  <c:v>17.189782706689307</c:v>
                </c:pt>
                <c:pt idx="150">
                  <c:v>12.107201020775591</c:v>
                </c:pt>
                <c:pt idx="151">
                  <c:v>10.451648753874258</c:v>
                </c:pt>
                <c:pt idx="152">
                  <c:v>9.0895313526600319</c:v>
                </c:pt>
                <c:pt idx="153">
                  <c:v>8.1585096183194583</c:v>
                </c:pt>
                <c:pt idx="154">
                  <c:v>7.8542067946439396</c:v>
                </c:pt>
                <c:pt idx="155">
                  <c:v>7.6549608981897324</c:v>
                </c:pt>
                <c:pt idx="156">
                  <c:v>7.9701316798536617</c:v>
                </c:pt>
                <c:pt idx="157">
                  <c:v>8.3867367360760987</c:v>
                </c:pt>
                <c:pt idx="158">
                  <c:v>8.6874169070888119</c:v>
                </c:pt>
                <c:pt idx="159">
                  <c:v>8.1657549236450677</c:v>
                </c:pt>
                <c:pt idx="160">
                  <c:v>7.1260536094203797</c:v>
                </c:pt>
                <c:pt idx="161">
                  <c:v>6.4123910348480324</c:v>
                </c:pt>
                <c:pt idx="162">
                  <c:v>6.2855981916498997</c:v>
                </c:pt>
                <c:pt idx="163">
                  <c:v>6.8724679230241135</c:v>
                </c:pt>
                <c:pt idx="164">
                  <c:v>7.5607719289568331</c:v>
                </c:pt>
                <c:pt idx="165">
                  <c:v>8.7127754757284386</c:v>
                </c:pt>
                <c:pt idx="166">
                  <c:v>9.2670413331374171</c:v>
                </c:pt>
                <c:pt idx="167">
                  <c:v>9.0750407420088166</c:v>
                </c:pt>
                <c:pt idx="168">
                  <c:v>8.1403963550054392</c:v>
                </c:pt>
                <c:pt idx="169">
                  <c:v>7.4013752117934661</c:v>
                </c:pt>
                <c:pt idx="170">
                  <c:v>7.0391099455130881</c:v>
                </c:pt>
                <c:pt idx="171">
                  <c:v>7.0137513768734614</c:v>
                </c:pt>
                <c:pt idx="172">
                  <c:v>8.2128494082615155</c:v>
                </c:pt>
                <c:pt idx="173">
                  <c:v>9.7234955686506961</c:v>
                </c:pt>
                <c:pt idx="174">
                  <c:v>9.8502884118488296</c:v>
                </c:pt>
                <c:pt idx="175">
                  <c:v>10.582064249735195</c:v>
                </c:pt>
                <c:pt idx="176">
                  <c:v>10.353837131978556</c:v>
                </c:pt>
                <c:pt idx="177">
                  <c:v>9.0134556467411535</c:v>
                </c:pt>
                <c:pt idx="178">
                  <c:v>8.223717366249927</c:v>
                </c:pt>
                <c:pt idx="179">
                  <c:v>8.1114151337030087</c:v>
                </c:pt>
                <c:pt idx="180">
                  <c:v>7.7563951727482383</c:v>
                </c:pt>
                <c:pt idx="181">
                  <c:v>6.9195624076405622</c:v>
                </c:pt>
                <c:pt idx="182">
                  <c:v>6.6623540685814939</c:v>
                </c:pt>
                <c:pt idx="183">
                  <c:v>8.365000820099274</c:v>
                </c:pt>
                <c:pt idx="184">
                  <c:v>42.106387721453771</c:v>
                </c:pt>
                <c:pt idx="185">
                  <c:v>74.228448882534977</c:v>
                </c:pt>
                <c:pt idx="186">
                  <c:v>71.562176522711383</c:v>
                </c:pt>
                <c:pt idx="187">
                  <c:v>37.636034335553894</c:v>
                </c:pt>
                <c:pt idx="188">
                  <c:v>15.418305554578255</c:v>
                </c:pt>
                <c:pt idx="189">
                  <c:v>7.1985066626764551</c:v>
                </c:pt>
                <c:pt idx="190">
                  <c:v>6.3254473709407417</c:v>
                </c:pt>
                <c:pt idx="191">
                  <c:v>8.1150377863658125</c:v>
                </c:pt>
                <c:pt idx="192">
                  <c:v>10.172704498838366</c:v>
                </c:pt>
                <c:pt idx="193">
                  <c:v>10.313987952687713</c:v>
                </c:pt>
                <c:pt idx="194">
                  <c:v>8.8287003609381607</c:v>
                </c:pt>
                <c:pt idx="195">
                  <c:v>7.0572232088271072</c:v>
                </c:pt>
                <c:pt idx="196">
                  <c:v>6.560919794022988</c:v>
                </c:pt>
                <c:pt idx="197">
                  <c:v>6.542806530708968</c:v>
                </c:pt>
                <c:pt idx="198">
                  <c:v>6.5174479620693422</c:v>
                </c:pt>
                <c:pt idx="199">
                  <c:v>6.300088802301115</c:v>
                </c:pt>
                <c:pt idx="200">
                  <c:v>6.1551826957889624</c:v>
                </c:pt>
                <c:pt idx="201">
                  <c:v>6.0428804632420459</c:v>
                </c:pt>
                <c:pt idx="202">
                  <c:v>5.9378235360207352</c:v>
                </c:pt>
                <c:pt idx="203">
                  <c:v>5.9559367993347543</c:v>
                </c:pt>
                <c:pt idx="204">
                  <c:v>6.3037114549639188</c:v>
                </c:pt>
                <c:pt idx="205">
                  <c:v>6.4196363401736392</c:v>
                </c:pt>
                <c:pt idx="206">
                  <c:v>6.1914092224170005</c:v>
                </c:pt>
                <c:pt idx="207">
                  <c:v>5.9342008833579314</c:v>
                </c:pt>
                <c:pt idx="208">
                  <c:v>5.9088423147183056</c:v>
                </c:pt>
                <c:pt idx="209">
                  <c:v>6.0138992419396153</c:v>
                </c:pt>
                <c:pt idx="210">
                  <c:v>6.0609937265560641</c:v>
                </c:pt>
                <c:pt idx="211">
                  <c:v>6.0935976005212984</c:v>
                </c:pt>
                <c:pt idx="212">
                  <c:v>5.981295367974381</c:v>
                </c:pt>
                <c:pt idx="213">
                  <c:v>5.9124649673811085</c:v>
                </c:pt>
                <c:pt idx="214">
                  <c:v>5.9160876200439141</c:v>
                </c:pt>
                <c:pt idx="215">
                  <c:v>5.9486914940091475</c:v>
                </c:pt>
                <c:pt idx="216">
                  <c:v>6.0175218946024192</c:v>
                </c:pt>
                <c:pt idx="217">
                  <c:v>6.0283898525908306</c:v>
                </c:pt>
                <c:pt idx="218">
                  <c:v>6.021144547265223</c:v>
                </c:pt>
                <c:pt idx="219">
                  <c:v>6.021144547265223</c:v>
                </c:pt>
                <c:pt idx="220">
                  <c:v>6.0863522951956917</c:v>
                </c:pt>
                <c:pt idx="221">
                  <c:v>6.1262014744865327</c:v>
                </c:pt>
                <c:pt idx="222">
                  <c:v>6.1189561691609251</c:v>
                </c:pt>
                <c:pt idx="223">
                  <c:v>6.0428804632420459</c:v>
                </c:pt>
                <c:pt idx="224">
                  <c:v>6.0066539366140077</c:v>
                </c:pt>
                <c:pt idx="225">
                  <c:v>6.0682390318816717</c:v>
                </c:pt>
                <c:pt idx="226">
                  <c:v>6.2131451383938234</c:v>
                </c:pt>
                <c:pt idx="227">
                  <c:v>6.3652965502315828</c:v>
                </c:pt>
                <c:pt idx="228">
                  <c:v>6.3979004241968163</c:v>
                </c:pt>
                <c:pt idx="229">
                  <c:v>6.2493716650218616</c:v>
                </c:pt>
                <c:pt idx="230">
                  <c:v>6.1044655585097098</c:v>
                </c:pt>
                <c:pt idx="231">
                  <c:v>6.0320125052536335</c:v>
                </c:pt>
                <c:pt idx="232">
                  <c:v>6.0066539366140077</c:v>
                </c:pt>
                <c:pt idx="233">
                  <c:v>6.0102765892768106</c:v>
                </c:pt>
                <c:pt idx="234">
                  <c:v>6.021144547265223</c:v>
                </c:pt>
                <c:pt idx="235">
                  <c:v>6.0465031159048497</c:v>
                </c:pt>
                <c:pt idx="236">
                  <c:v>6.0718616845444764</c:v>
                </c:pt>
                <c:pt idx="237">
                  <c:v>6.079106989870084</c:v>
                </c:pt>
                <c:pt idx="238">
                  <c:v>6.1225788218237289</c:v>
                </c:pt>
                <c:pt idx="239">
                  <c:v>6.1986545277426091</c:v>
                </c:pt>
                <c:pt idx="240">
                  <c:v>6.2131451383938234</c:v>
                </c:pt>
                <c:pt idx="241">
                  <c:v>6.260239623010273</c:v>
                </c:pt>
                <c:pt idx="242">
                  <c:v>6.2674849283358807</c:v>
                </c:pt>
                <c:pt idx="243">
                  <c:v>6.2855981916498997</c:v>
                </c:pt>
                <c:pt idx="244">
                  <c:v>6.3399379815919561</c:v>
                </c:pt>
                <c:pt idx="245">
                  <c:v>6.3326926762663494</c:v>
                </c:pt>
                <c:pt idx="246">
                  <c:v>6.2964661496383112</c:v>
                </c:pt>
                <c:pt idx="247">
                  <c:v>6.2022771804054129</c:v>
                </c:pt>
                <c:pt idx="248">
                  <c:v>6.140692085137748</c:v>
                </c:pt>
                <c:pt idx="249">
                  <c:v>6.1189561691609251</c:v>
                </c:pt>
                <c:pt idx="250">
                  <c:v>6.1370694324749442</c:v>
                </c:pt>
                <c:pt idx="251">
                  <c:v>6.1479373904633556</c:v>
                </c:pt>
                <c:pt idx="252">
                  <c:v>6.1769186117657853</c:v>
                </c:pt>
                <c:pt idx="253">
                  <c:v>6.1914092224170005</c:v>
                </c:pt>
                <c:pt idx="254">
                  <c:v>6.2058998330682158</c:v>
                </c:pt>
                <c:pt idx="255">
                  <c:v>6.242126359696254</c:v>
                </c:pt>
                <c:pt idx="256">
                  <c:v>6.3979004241968163</c:v>
                </c:pt>
                <c:pt idx="257">
                  <c:v>6.5464291833717727</c:v>
                </c:pt>
                <c:pt idx="258">
                  <c:v>6.5971463206510261</c:v>
                </c:pt>
                <c:pt idx="259">
                  <c:v>6.542806530708968</c:v>
                </c:pt>
                <c:pt idx="260">
                  <c:v>6.4993346987553231</c:v>
                </c:pt>
                <c:pt idx="261">
                  <c:v>6.4594855194644811</c:v>
                </c:pt>
                <c:pt idx="262">
                  <c:v>6.5717877520113985</c:v>
                </c:pt>
                <c:pt idx="263">
                  <c:v>6.6261275419534558</c:v>
                </c:pt>
                <c:pt idx="264">
                  <c:v>6.6369954999418672</c:v>
                </c:pt>
                <c:pt idx="265">
                  <c:v>6.6877126372211206</c:v>
                </c:pt>
                <c:pt idx="266">
                  <c:v>6.58265570999981</c:v>
                </c:pt>
                <c:pt idx="267">
                  <c:v>6.542806530708968</c:v>
                </c:pt>
                <c:pt idx="268">
                  <c:v>6.5065800040809307</c:v>
                </c:pt>
                <c:pt idx="269">
                  <c:v>6.4667308247900896</c:v>
                </c:pt>
                <c:pt idx="270">
                  <c:v>6.4305042981620506</c:v>
                </c:pt>
                <c:pt idx="271">
                  <c:v>6.401523076859621</c:v>
                </c:pt>
                <c:pt idx="272">
                  <c:v>6.4051457295224239</c:v>
                </c:pt>
                <c:pt idx="273">
                  <c:v>6.4341269508248544</c:v>
                </c:pt>
                <c:pt idx="274">
                  <c:v>6.4594855194644811</c:v>
                </c:pt>
                <c:pt idx="275">
                  <c:v>6.481221435441304</c:v>
                </c:pt>
                <c:pt idx="276">
                  <c:v>6.4703534774528926</c:v>
                </c:pt>
                <c:pt idx="277">
                  <c:v>6.4703534774528926</c:v>
                </c:pt>
                <c:pt idx="278">
                  <c:v>6.5065800040809307</c:v>
                </c:pt>
                <c:pt idx="279">
                  <c:v>6.5899010153254185</c:v>
                </c:pt>
                <c:pt idx="280">
                  <c:v>6.7130712058607473</c:v>
                </c:pt>
                <c:pt idx="281">
                  <c:v>6.7674109958028037</c:v>
                </c:pt>
                <c:pt idx="282">
                  <c:v>6.781901606454019</c:v>
                </c:pt>
                <c:pt idx="283">
                  <c:v>6.7492977324887855</c:v>
                </c:pt>
                <c:pt idx="284">
                  <c:v>6.6840899845583168</c:v>
                </c:pt>
                <c:pt idx="285">
                  <c:v>6.644240805267474</c:v>
                </c:pt>
                <c:pt idx="286">
                  <c:v>6.644240805267474</c:v>
                </c:pt>
                <c:pt idx="287">
                  <c:v>6.618882236627849</c:v>
                </c:pt>
                <c:pt idx="288">
                  <c:v>6.622504889290652</c:v>
                </c:pt>
                <c:pt idx="289">
                  <c:v>6.618882236627849</c:v>
                </c:pt>
                <c:pt idx="290">
                  <c:v>6.6297501946162596</c:v>
                </c:pt>
                <c:pt idx="291">
                  <c:v>6.6623540685814939</c:v>
                </c:pt>
                <c:pt idx="292">
                  <c:v>6.7058259005351388</c:v>
                </c:pt>
                <c:pt idx="293">
                  <c:v>6.7927695644424304</c:v>
                </c:pt>
                <c:pt idx="294">
                  <c:v>6.9304303656289736</c:v>
                </c:pt>
                <c:pt idx="295">
                  <c:v>6.9666568922570127</c:v>
                </c:pt>
                <c:pt idx="296">
                  <c:v>7.0536005561643034</c:v>
                </c:pt>
                <c:pt idx="297">
                  <c:v>7.0209966821990681</c:v>
                </c:pt>
                <c:pt idx="298">
                  <c:v>6.9231850603033678</c:v>
                </c:pt>
                <c:pt idx="299">
                  <c:v>6.8833358810125249</c:v>
                </c:pt>
                <c:pt idx="300">
                  <c:v>6.9050717969893469</c:v>
                </c:pt>
                <c:pt idx="301">
                  <c:v>6.9594115869314042</c:v>
                </c:pt>
                <c:pt idx="302">
                  <c:v>6.9992607662222461</c:v>
                </c:pt>
                <c:pt idx="303">
                  <c:v>7.0644685141527139</c:v>
                </c:pt>
                <c:pt idx="304">
                  <c:v>7.1079403461063588</c:v>
                </c:pt>
                <c:pt idx="305">
                  <c:v>7.1550348307228093</c:v>
                </c:pt>
                <c:pt idx="306">
                  <c:v>7.1803933993624351</c:v>
                </c:pt>
                <c:pt idx="307">
                  <c:v>7.2129972733276704</c:v>
                </c:pt>
                <c:pt idx="308">
                  <c:v>7.2202425786532771</c:v>
                </c:pt>
                <c:pt idx="309">
                  <c:v>7.1985066626764551</c:v>
                </c:pt>
                <c:pt idx="310">
                  <c:v>7.2202425786532771</c:v>
                </c:pt>
                <c:pt idx="311">
                  <c:v>7.2166199259904742</c:v>
                </c:pt>
                <c:pt idx="312">
                  <c:v>7.2238652313160809</c:v>
                </c:pt>
                <c:pt idx="313">
                  <c:v>7.2383558419672962</c:v>
                </c:pt>
                <c:pt idx="314">
                  <c:v>7.2963182845721564</c:v>
                </c:pt>
                <c:pt idx="315">
                  <c:v>7.3325448112001954</c:v>
                </c:pt>
                <c:pt idx="316">
                  <c:v>7.3506580745142145</c:v>
                </c:pt>
                <c:pt idx="317">
                  <c:v>7.3723939904910356</c:v>
                </c:pt>
                <c:pt idx="318">
                  <c:v>7.4086205171190747</c:v>
                </c:pt>
                <c:pt idx="319">
                  <c:v>7.444847043747111</c:v>
                </c:pt>
                <c:pt idx="320">
                  <c:v>7.5209227496659921</c:v>
                </c:pt>
                <c:pt idx="321">
                  <c:v>7.5969984555848722</c:v>
                </c:pt>
                <c:pt idx="322">
                  <c:v>7.6585835508525362</c:v>
                </c:pt>
                <c:pt idx="323">
                  <c:v>7.6984327301433781</c:v>
                </c:pt>
                <c:pt idx="324">
                  <c:v>7.7672631307366489</c:v>
                </c:pt>
                <c:pt idx="325">
                  <c:v>7.8288482260043146</c:v>
                </c:pt>
                <c:pt idx="326">
                  <c:v>7.8542067946439396</c:v>
                </c:pt>
                <c:pt idx="327">
                  <c:v>7.9049239319231939</c:v>
                </c:pt>
                <c:pt idx="328">
                  <c:v>7.9302825005628206</c:v>
                </c:pt>
                <c:pt idx="329">
                  <c:v>7.9592637218652511</c:v>
                </c:pt>
                <c:pt idx="330">
                  <c:v>7.9954902484932884</c:v>
                </c:pt>
                <c:pt idx="331">
                  <c:v>8.0244714697957189</c:v>
                </c:pt>
                <c:pt idx="332">
                  <c:v>8.0570753437609532</c:v>
                </c:pt>
                <c:pt idx="333">
                  <c:v>8.0860565650633838</c:v>
                </c:pt>
                <c:pt idx="334">
                  <c:v>8.1367737023426372</c:v>
                </c:pt>
                <c:pt idx="335">
                  <c:v>8.2019814502731041</c:v>
                </c:pt>
                <c:pt idx="336">
                  <c:v>8.2853024615175919</c:v>
                </c:pt>
                <c:pt idx="337">
                  <c:v>8.404849999390116</c:v>
                </c:pt>
                <c:pt idx="338">
                  <c:v>8.5352654952510534</c:v>
                </c:pt>
                <c:pt idx="339">
                  <c:v>8.6765489491004022</c:v>
                </c:pt>
                <c:pt idx="340">
                  <c:v>8.7381340443680671</c:v>
                </c:pt>
                <c:pt idx="341">
                  <c:v>8.8395683189265704</c:v>
                </c:pt>
                <c:pt idx="342">
                  <c:v>8.9011534141942352</c:v>
                </c:pt>
                <c:pt idx="343">
                  <c:v>8.9373799408222752</c:v>
                </c:pt>
                <c:pt idx="344">
                  <c:v>9.024323604729565</c:v>
                </c:pt>
                <c:pt idx="345">
                  <c:v>9.1511164479276967</c:v>
                </c:pt>
                <c:pt idx="346">
                  <c:v>9.2742866384630265</c:v>
                </c:pt>
                <c:pt idx="347">
                  <c:v>9.3720982603587277</c:v>
                </c:pt>
                <c:pt idx="348">
                  <c:v>9.4228153976379829</c:v>
                </c:pt>
                <c:pt idx="349">
                  <c:v>9.4626645769288231</c:v>
                </c:pt>
                <c:pt idx="350">
                  <c:v>9.6365519047434045</c:v>
                </c:pt>
                <c:pt idx="351">
                  <c:v>9.8249298432092012</c:v>
                </c:pt>
                <c:pt idx="352">
                  <c:v>9.9191188124421004</c:v>
                </c:pt>
                <c:pt idx="353">
                  <c:v>9.9299867704305136</c:v>
                </c:pt>
                <c:pt idx="354">
                  <c:v>9.9118735071164927</c:v>
                </c:pt>
                <c:pt idx="355">
                  <c:v>9.9589679917329441</c:v>
                </c:pt>
                <c:pt idx="356">
                  <c:v>10.038666350314626</c:v>
                </c:pt>
              </c:numCache>
            </c:numRef>
          </c:yVal>
          <c:smooth val="1"/>
          <c:extLst>
            <c:ext xmlns:c16="http://schemas.microsoft.com/office/drawing/2014/chart" uri="{C3380CC4-5D6E-409C-BE32-E72D297353CC}">
              <c16:uniqueId val="{00000001-0B7A-4B2F-BFF6-096568D6F33F}"/>
            </c:ext>
          </c:extLst>
        </c:ser>
        <c:dLbls>
          <c:showLegendKey val="0"/>
          <c:showVal val="0"/>
          <c:showCatName val="0"/>
          <c:showSerName val="0"/>
          <c:showPercent val="0"/>
          <c:showBubbleSize val="0"/>
        </c:dLbls>
        <c:axId val="1816227776"/>
        <c:axId val="1816225056"/>
      </c:scatterChart>
      <c:valAx>
        <c:axId val="1816210912"/>
        <c:scaling>
          <c:orientation val="minMax"/>
          <c:max val="10"/>
          <c:min val="0.5"/>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16211456"/>
        <c:crosses val="autoZero"/>
        <c:crossBetween val="midCat"/>
        <c:majorUnit val="0.5"/>
      </c:valAx>
      <c:valAx>
        <c:axId val="1816211456"/>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16210912"/>
        <c:crosses val="autoZero"/>
        <c:crossBetween val="midCat"/>
        <c:majorUnit val="50"/>
        <c:minorUnit val="5"/>
      </c:valAx>
      <c:valAx>
        <c:axId val="1816225056"/>
        <c:scaling>
          <c:orientation val="minMax"/>
          <c:max val="100"/>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16227776"/>
        <c:crosses val="max"/>
        <c:crossBetween val="midCat"/>
        <c:majorUnit val="50"/>
      </c:valAx>
      <c:valAx>
        <c:axId val="1816227776"/>
        <c:scaling>
          <c:orientation val="minMax"/>
        </c:scaling>
        <c:delete val="1"/>
        <c:axPos val="b"/>
        <c:numFmt formatCode="General" sourceLinked="1"/>
        <c:majorTickMark val="out"/>
        <c:minorTickMark val="none"/>
        <c:tickLblPos val="nextTo"/>
        <c:crossAx val="18162250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873769042577249E-2"/>
          <c:y val="7.4673103048048639E-2"/>
          <c:w val="0.8806190105088566"/>
          <c:h val="0.72290323006106649"/>
        </c:manualLayout>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0.51300000000000001</c:v>
                </c:pt>
                <c:pt idx="1">
                  <c:v>0.53900000000000003</c:v>
                </c:pt>
                <c:pt idx="2">
                  <c:v>0.56599999999999995</c:v>
                </c:pt>
                <c:pt idx="3">
                  <c:v>0.59299999999999997</c:v>
                </c:pt>
                <c:pt idx="4">
                  <c:v>0.61899999999999999</c:v>
                </c:pt>
                <c:pt idx="5">
                  <c:v>0.64600000000000002</c:v>
                </c:pt>
                <c:pt idx="6">
                  <c:v>0.67300000000000004</c:v>
                </c:pt>
                <c:pt idx="7">
                  <c:v>0.69899999999999995</c:v>
                </c:pt>
                <c:pt idx="8">
                  <c:v>0.72599999999999998</c:v>
                </c:pt>
                <c:pt idx="9">
                  <c:v>0.753</c:v>
                </c:pt>
                <c:pt idx="10">
                  <c:v>0.77900000000000003</c:v>
                </c:pt>
                <c:pt idx="11">
                  <c:v>0.80600000000000005</c:v>
                </c:pt>
                <c:pt idx="12">
                  <c:v>0.83299999999999996</c:v>
                </c:pt>
                <c:pt idx="13">
                  <c:v>0.85899999999999999</c:v>
                </c:pt>
                <c:pt idx="14">
                  <c:v>0.88600000000000001</c:v>
                </c:pt>
                <c:pt idx="15">
                  <c:v>0.91300000000000003</c:v>
                </c:pt>
                <c:pt idx="16">
                  <c:v>0.93899999999999995</c:v>
                </c:pt>
                <c:pt idx="17">
                  <c:v>0.96599999999999997</c:v>
                </c:pt>
                <c:pt idx="18">
                  <c:v>0.99299999999999999</c:v>
                </c:pt>
                <c:pt idx="19">
                  <c:v>1.0189999999999999</c:v>
                </c:pt>
                <c:pt idx="20">
                  <c:v>1.046</c:v>
                </c:pt>
                <c:pt idx="21">
                  <c:v>1.073</c:v>
                </c:pt>
                <c:pt idx="22">
                  <c:v>1.099</c:v>
                </c:pt>
                <c:pt idx="23">
                  <c:v>1.1259999999999999</c:v>
                </c:pt>
                <c:pt idx="24">
                  <c:v>1.153</c:v>
                </c:pt>
                <c:pt idx="25">
                  <c:v>1.179</c:v>
                </c:pt>
                <c:pt idx="26">
                  <c:v>1.206</c:v>
                </c:pt>
                <c:pt idx="27">
                  <c:v>1.2330000000000001</c:v>
                </c:pt>
                <c:pt idx="28">
                  <c:v>1.2589999999999999</c:v>
                </c:pt>
                <c:pt idx="29">
                  <c:v>1.286</c:v>
                </c:pt>
                <c:pt idx="30">
                  <c:v>1.3129999999999999</c:v>
                </c:pt>
                <c:pt idx="31">
                  <c:v>1.339</c:v>
                </c:pt>
                <c:pt idx="32">
                  <c:v>1.3660000000000001</c:v>
                </c:pt>
                <c:pt idx="33">
                  <c:v>1.393</c:v>
                </c:pt>
                <c:pt idx="34">
                  <c:v>1.419</c:v>
                </c:pt>
                <c:pt idx="35">
                  <c:v>1.446</c:v>
                </c:pt>
                <c:pt idx="36">
                  <c:v>1.4730000000000001</c:v>
                </c:pt>
                <c:pt idx="37">
                  <c:v>1.4990000000000001</c:v>
                </c:pt>
                <c:pt idx="38">
                  <c:v>1.526</c:v>
                </c:pt>
                <c:pt idx="39">
                  <c:v>1.5529999999999999</c:v>
                </c:pt>
                <c:pt idx="40">
                  <c:v>1.579</c:v>
                </c:pt>
                <c:pt idx="41">
                  <c:v>1.6060000000000001</c:v>
                </c:pt>
                <c:pt idx="42">
                  <c:v>1.633</c:v>
                </c:pt>
                <c:pt idx="43">
                  <c:v>1.659</c:v>
                </c:pt>
                <c:pt idx="44">
                  <c:v>1.6859999999999999</c:v>
                </c:pt>
                <c:pt idx="45">
                  <c:v>1.7130000000000001</c:v>
                </c:pt>
                <c:pt idx="46">
                  <c:v>1.7390000000000001</c:v>
                </c:pt>
                <c:pt idx="47">
                  <c:v>1.766</c:v>
                </c:pt>
                <c:pt idx="48">
                  <c:v>1.7929999999999999</c:v>
                </c:pt>
                <c:pt idx="49">
                  <c:v>1.819</c:v>
                </c:pt>
                <c:pt idx="50">
                  <c:v>1.8460000000000001</c:v>
                </c:pt>
                <c:pt idx="51">
                  <c:v>1.873</c:v>
                </c:pt>
                <c:pt idx="52">
                  <c:v>1.899</c:v>
                </c:pt>
                <c:pt idx="53">
                  <c:v>1.9259999999999999</c:v>
                </c:pt>
                <c:pt idx="54">
                  <c:v>1.9530000000000001</c:v>
                </c:pt>
                <c:pt idx="55">
                  <c:v>1.9790000000000001</c:v>
                </c:pt>
                <c:pt idx="56">
                  <c:v>2.0059999999999998</c:v>
                </c:pt>
                <c:pt idx="57">
                  <c:v>2.0329999999999999</c:v>
                </c:pt>
                <c:pt idx="58">
                  <c:v>2.0590000000000002</c:v>
                </c:pt>
                <c:pt idx="59">
                  <c:v>2.0859999999999999</c:v>
                </c:pt>
                <c:pt idx="60">
                  <c:v>2.113</c:v>
                </c:pt>
                <c:pt idx="61">
                  <c:v>2.1389999999999998</c:v>
                </c:pt>
                <c:pt idx="62">
                  <c:v>2.1659999999999999</c:v>
                </c:pt>
                <c:pt idx="63">
                  <c:v>2.1930000000000001</c:v>
                </c:pt>
                <c:pt idx="64">
                  <c:v>2.2189999999999999</c:v>
                </c:pt>
                <c:pt idx="65">
                  <c:v>2.246</c:v>
                </c:pt>
                <c:pt idx="66">
                  <c:v>2.2730000000000001</c:v>
                </c:pt>
                <c:pt idx="67">
                  <c:v>2.2989999999999999</c:v>
                </c:pt>
                <c:pt idx="68">
                  <c:v>2.3260000000000001</c:v>
                </c:pt>
                <c:pt idx="69">
                  <c:v>2.3530000000000002</c:v>
                </c:pt>
                <c:pt idx="70">
                  <c:v>2.379</c:v>
                </c:pt>
                <c:pt idx="71">
                  <c:v>2.4060000000000001</c:v>
                </c:pt>
                <c:pt idx="72">
                  <c:v>2.4329999999999998</c:v>
                </c:pt>
                <c:pt idx="73">
                  <c:v>2.4590000000000001</c:v>
                </c:pt>
                <c:pt idx="74">
                  <c:v>2.4860000000000002</c:v>
                </c:pt>
                <c:pt idx="75">
                  <c:v>2.5129999999999999</c:v>
                </c:pt>
                <c:pt idx="76">
                  <c:v>2.5390000000000001</c:v>
                </c:pt>
                <c:pt idx="77">
                  <c:v>2.5659999999999998</c:v>
                </c:pt>
                <c:pt idx="78">
                  <c:v>2.593</c:v>
                </c:pt>
                <c:pt idx="79">
                  <c:v>2.6190000000000002</c:v>
                </c:pt>
                <c:pt idx="80">
                  <c:v>2.6459999999999999</c:v>
                </c:pt>
                <c:pt idx="81">
                  <c:v>2.673</c:v>
                </c:pt>
                <c:pt idx="82">
                  <c:v>2.6989999999999998</c:v>
                </c:pt>
                <c:pt idx="83">
                  <c:v>2.726</c:v>
                </c:pt>
                <c:pt idx="84">
                  <c:v>2.7530000000000001</c:v>
                </c:pt>
                <c:pt idx="85">
                  <c:v>2.7789999999999999</c:v>
                </c:pt>
                <c:pt idx="86">
                  <c:v>2.806</c:v>
                </c:pt>
                <c:pt idx="87">
                  <c:v>2.8330000000000002</c:v>
                </c:pt>
                <c:pt idx="88">
                  <c:v>2.859</c:v>
                </c:pt>
                <c:pt idx="89">
                  <c:v>2.8860000000000001</c:v>
                </c:pt>
                <c:pt idx="90">
                  <c:v>2.9129999999999998</c:v>
                </c:pt>
                <c:pt idx="91">
                  <c:v>2.9390000000000001</c:v>
                </c:pt>
                <c:pt idx="92">
                  <c:v>2.9660000000000002</c:v>
                </c:pt>
                <c:pt idx="93">
                  <c:v>2.9929999999999999</c:v>
                </c:pt>
                <c:pt idx="94">
                  <c:v>3.0190000000000001</c:v>
                </c:pt>
                <c:pt idx="95">
                  <c:v>3.0459999999999998</c:v>
                </c:pt>
                <c:pt idx="96">
                  <c:v>3.073</c:v>
                </c:pt>
                <c:pt idx="97">
                  <c:v>3.0990000000000002</c:v>
                </c:pt>
                <c:pt idx="98">
                  <c:v>3.1259999999999999</c:v>
                </c:pt>
                <c:pt idx="99">
                  <c:v>3.153</c:v>
                </c:pt>
                <c:pt idx="100">
                  <c:v>3.1789999999999998</c:v>
                </c:pt>
                <c:pt idx="101">
                  <c:v>3.206</c:v>
                </c:pt>
                <c:pt idx="102">
                  <c:v>3.2330000000000001</c:v>
                </c:pt>
                <c:pt idx="103">
                  <c:v>3.2589999999999999</c:v>
                </c:pt>
                <c:pt idx="104">
                  <c:v>3.286</c:v>
                </c:pt>
                <c:pt idx="105">
                  <c:v>3.3130000000000002</c:v>
                </c:pt>
                <c:pt idx="106">
                  <c:v>3.339</c:v>
                </c:pt>
                <c:pt idx="107">
                  <c:v>3.3660000000000001</c:v>
                </c:pt>
                <c:pt idx="108">
                  <c:v>3.3929999999999998</c:v>
                </c:pt>
                <c:pt idx="109">
                  <c:v>3.419</c:v>
                </c:pt>
                <c:pt idx="110">
                  <c:v>3.4460000000000002</c:v>
                </c:pt>
                <c:pt idx="111">
                  <c:v>3.4729999999999999</c:v>
                </c:pt>
                <c:pt idx="112">
                  <c:v>3.4990000000000001</c:v>
                </c:pt>
                <c:pt idx="113">
                  <c:v>3.5259999999999998</c:v>
                </c:pt>
                <c:pt idx="114">
                  <c:v>3.5529999999999999</c:v>
                </c:pt>
                <c:pt idx="115">
                  <c:v>3.5790000000000002</c:v>
                </c:pt>
                <c:pt idx="116">
                  <c:v>3.6059999999999999</c:v>
                </c:pt>
                <c:pt idx="117">
                  <c:v>3.633</c:v>
                </c:pt>
                <c:pt idx="118">
                  <c:v>3.6589999999999998</c:v>
                </c:pt>
                <c:pt idx="119">
                  <c:v>3.6859999999999999</c:v>
                </c:pt>
                <c:pt idx="120">
                  <c:v>3.7130000000000001</c:v>
                </c:pt>
                <c:pt idx="121">
                  <c:v>3.7389999999999999</c:v>
                </c:pt>
                <c:pt idx="122">
                  <c:v>3.766</c:v>
                </c:pt>
                <c:pt idx="123">
                  <c:v>3.7930000000000001</c:v>
                </c:pt>
                <c:pt idx="124">
                  <c:v>3.819</c:v>
                </c:pt>
                <c:pt idx="125">
                  <c:v>3.8460000000000001</c:v>
                </c:pt>
                <c:pt idx="126">
                  <c:v>3.8730000000000002</c:v>
                </c:pt>
                <c:pt idx="127">
                  <c:v>3.899</c:v>
                </c:pt>
                <c:pt idx="128">
                  <c:v>3.9260000000000002</c:v>
                </c:pt>
                <c:pt idx="129">
                  <c:v>3.9529999999999998</c:v>
                </c:pt>
                <c:pt idx="130">
                  <c:v>3.9790000000000001</c:v>
                </c:pt>
                <c:pt idx="131">
                  <c:v>4.0060000000000002</c:v>
                </c:pt>
                <c:pt idx="132">
                  <c:v>4.0330000000000004</c:v>
                </c:pt>
                <c:pt idx="133">
                  <c:v>4.0590000000000002</c:v>
                </c:pt>
                <c:pt idx="134">
                  <c:v>4.0860000000000003</c:v>
                </c:pt>
                <c:pt idx="135">
                  <c:v>4.1130000000000004</c:v>
                </c:pt>
                <c:pt idx="136">
                  <c:v>4.1390000000000002</c:v>
                </c:pt>
                <c:pt idx="137">
                  <c:v>4.1660000000000004</c:v>
                </c:pt>
                <c:pt idx="138">
                  <c:v>4.1929999999999996</c:v>
                </c:pt>
                <c:pt idx="139">
                  <c:v>4.2190000000000003</c:v>
                </c:pt>
                <c:pt idx="140">
                  <c:v>4.2460000000000004</c:v>
                </c:pt>
                <c:pt idx="141">
                  <c:v>4.2729999999999997</c:v>
                </c:pt>
                <c:pt idx="142">
                  <c:v>4.2990000000000004</c:v>
                </c:pt>
                <c:pt idx="143">
                  <c:v>4.3259999999999996</c:v>
                </c:pt>
                <c:pt idx="144">
                  <c:v>4.3529999999999998</c:v>
                </c:pt>
                <c:pt idx="145">
                  <c:v>4.3789999999999996</c:v>
                </c:pt>
                <c:pt idx="146">
                  <c:v>4.4059999999999997</c:v>
                </c:pt>
                <c:pt idx="147">
                  <c:v>4.4329999999999998</c:v>
                </c:pt>
                <c:pt idx="148">
                  <c:v>4.4589999999999996</c:v>
                </c:pt>
                <c:pt idx="149">
                  <c:v>4.4859999999999998</c:v>
                </c:pt>
                <c:pt idx="150">
                  <c:v>4.5129999999999999</c:v>
                </c:pt>
                <c:pt idx="151">
                  <c:v>4.5389999999999997</c:v>
                </c:pt>
                <c:pt idx="152">
                  <c:v>4.5659999999999998</c:v>
                </c:pt>
                <c:pt idx="153">
                  <c:v>4.593</c:v>
                </c:pt>
                <c:pt idx="154">
                  <c:v>4.6189999999999998</c:v>
                </c:pt>
                <c:pt idx="155">
                  <c:v>4.6459999999999999</c:v>
                </c:pt>
                <c:pt idx="156">
                  <c:v>4.673</c:v>
                </c:pt>
                <c:pt idx="157">
                  <c:v>4.6989999999999998</c:v>
                </c:pt>
                <c:pt idx="158">
                  <c:v>4.726</c:v>
                </c:pt>
                <c:pt idx="159">
                  <c:v>4.7530000000000001</c:v>
                </c:pt>
                <c:pt idx="160">
                  <c:v>4.7789999999999999</c:v>
                </c:pt>
                <c:pt idx="161">
                  <c:v>4.806</c:v>
                </c:pt>
                <c:pt idx="162">
                  <c:v>4.8330000000000002</c:v>
                </c:pt>
                <c:pt idx="163">
                  <c:v>4.859</c:v>
                </c:pt>
                <c:pt idx="164">
                  <c:v>4.8860000000000001</c:v>
                </c:pt>
                <c:pt idx="165">
                  <c:v>4.9130000000000003</c:v>
                </c:pt>
                <c:pt idx="166">
                  <c:v>4.9390000000000001</c:v>
                </c:pt>
                <c:pt idx="167">
                  <c:v>4.9660000000000002</c:v>
                </c:pt>
                <c:pt idx="168">
                  <c:v>4.9930000000000003</c:v>
                </c:pt>
                <c:pt idx="169">
                  <c:v>5.0190000000000001</c:v>
                </c:pt>
                <c:pt idx="170">
                  <c:v>5.0460000000000003</c:v>
                </c:pt>
                <c:pt idx="171">
                  <c:v>5.0730000000000004</c:v>
                </c:pt>
                <c:pt idx="172">
                  <c:v>5.0990000000000002</c:v>
                </c:pt>
                <c:pt idx="173">
                  <c:v>5.1260000000000003</c:v>
                </c:pt>
                <c:pt idx="174">
                  <c:v>5.1529999999999996</c:v>
                </c:pt>
                <c:pt idx="175">
                  <c:v>5.1790000000000003</c:v>
                </c:pt>
                <c:pt idx="176">
                  <c:v>5.2060000000000004</c:v>
                </c:pt>
                <c:pt idx="177">
                  <c:v>5.2329999999999997</c:v>
                </c:pt>
                <c:pt idx="178">
                  <c:v>5.2590000000000003</c:v>
                </c:pt>
                <c:pt idx="179">
                  <c:v>5.2859999999999996</c:v>
                </c:pt>
                <c:pt idx="180">
                  <c:v>5.3129999999999997</c:v>
                </c:pt>
                <c:pt idx="181">
                  <c:v>5.3390000000000004</c:v>
                </c:pt>
                <c:pt idx="182">
                  <c:v>5.3659999999999997</c:v>
                </c:pt>
                <c:pt idx="183">
                  <c:v>5.3929999999999998</c:v>
                </c:pt>
                <c:pt idx="184">
                  <c:v>5.4189999999999996</c:v>
                </c:pt>
                <c:pt idx="185">
                  <c:v>5.4459999999999997</c:v>
                </c:pt>
                <c:pt idx="186">
                  <c:v>5.4729999999999999</c:v>
                </c:pt>
                <c:pt idx="187">
                  <c:v>5.4989999999999997</c:v>
                </c:pt>
                <c:pt idx="188">
                  <c:v>5.5259999999999998</c:v>
                </c:pt>
                <c:pt idx="189">
                  <c:v>5.5529999999999999</c:v>
                </c:pt>
                <c:pt idx="190">
                  <c:v>5.5789999999999997</c:v>
                </c:pt>
                <c:pt idx="191">
                  <c:v>5.6059999999999999</c:v>
                </c:pt>
                <c:pt idx="192">
                  <c:v>5.633</c:v>
                </c:pt>
                <c:pt idx="193">
                  <c:v>5.6589999999999998</c:v>
                </c:pt>
                <c:pt idx="194">
                  <c:v>5.6859999999999999</c:v>
                </c:pt>
                <c:pt idx="195">
                  <c:v>5.7130000000000001</c:v>
                </c:pt>
                <c:pt idx="196">
                  <c:v>5.7389999999999999</c:v>
                </c:pt>
                <c:pt idx="197">
                  <c:v>5.766</c:v>
                </c:pt>
                <c:pt idx="198">
                  <c:v>5.7930000000000001</c:v>
                </c:pt>
                <c:pt idx="199">
                  <c:v>5.819</c:v>
                </c:pt>
                <c:pt idx="200">
                  <c:v>5.8460000000000001</c:v>
                </c:pt>
                <c:pt idx="201">
                  <c:v>5.8730000000000002</c:v>
                </c:pt>
                <c:pt idx="202">
                  <c:v>5.899</c:v>
                </c:pt>
                <c:pt idx="203">
                  <c:v>5.9260000000000002</c:v>
                </c:pt>
                <c:pt idx="204">
                  <c:v>5.9530000000000003</c:v>
                </c:pt>
                <c:pt idx="205">
                  <c:v>5.9790000000000001</c:v>
                </c:pt>
                <c:pt idx="206">
                  <c:v>6.0060000000000002</c:v>
                </c:pt>
                <c:pt idx="207">
                  <c:v>6.0330000000000004</c:v>
                </c:pt>
                <c:pt idx="208">
                  <c:v>6.0590000000000002</c:v>
                </c:pt>
                <c:pt idx="209">
                  <c:v>6.0860000000000003</c:v>
                </c:pt>
                <c:pt idx="210">
                  <c:v>6.1130000000000004</c:v>
                </c:pt>
                <c:pt idx="211">
                  <c:v>6.1390000000000002</c:v>
                </c:pt>
                <c:pt idx="212">
                  <c:v>6.1660000000000004</c:v>
                </c:pt>
                <c:pt idx="213">
                  <c:v>6.1929999999999996</c:v>
                </c:pt>
                <c:pt idx="214">
                  <c:v>6.2190000000000003</c:v>
                </c:pt>
                <c:pt idx="215">
                  <c:v>6.2460000000000004</c:v>
                </c:pt>
                <c:pt idx="216">
                  <c:v>6.2729999999999997</c:v>
                </c:pt>
                <c:pt idx="217">
                  <c:v>6.2990000000000004</c:v>
                </c:pt>
                <c:pt idx="218">
                  <c:v>6.3259999999999996</c:v>
                </c:pt>
                <c:pt idx="219">
                  <c:v>6.3529999999999998</c:v>
                </c:pt>
                <c:pt idx="220">
                  <c:v>6.3789999999999996</c:v>
                </c:pt>
                <c:pt idx="221">
                  <c:v>6.4059999999999997</c:v>
                </c:pt>
                <c:pt idx="222">
                  <c:v>6.4329999999999998</c:v>
                </c:pt>
                <c:pt idx="223">
                  <c:v>6.4589999999999996</c:v>
                </c:pt>
                <c:pt idx="224">
                  <c:v>6.4859999999999998</c:v>
                </c:pt>
                <c:pt idx="225">
                  <c:v>6.5129999999999999</c:v>
                </c:pt>
                <c:pt idx="226">
                  <c:v>6.5389999999999997</c:v>
                </c:pt>
                <c:pt idx="227">
                  <c:v>6.5659999999999998</c:v>
                </c:pt>
                <c:pt idx="228">
                  <c:v>6.593</c:v>
                </c:pt>
                <c:pt idx="229">
                  <c:v>6.6189999999999998</c:v>
                </c:pt>
                <c:pt idx="230">
                  <c:v>6.6459999999999999</c:v>
                </c:pt>
                <c:pt idx="231">
                  <c:v>6.673</c:v>
                </c:pt>
                <c:pt idx="232">
                  <c:v>6.6989999999999998</c:v>
                </c:pt>
                <c:pt idx="233">
                  <c:v>6.726</c:v>
                </c:pt>
                <c:pt idx="234">
                  <c:v>6.7530000000000001</c:v>
                </c:pt>
                <c:pt idx="235">
                  <c:v>6.7789999999999999</c:v>
                </c:pt>
                <c:pt idx="236">
                  <c:v>6.806</c:v>
                </c:pt>
                <c:pt idx="237">
                  <c:v>6.8330000000000002</c:v>
                </c:pt>
                <c:pt idx="238">
                  <c:v>6.859</c:v>
                </c:pt>
                <c:pt idx="239">
                  <c:v>6.8860000000000001</c:v>
                </c:pt>
                <c:pt idx="240">
                  <c:v>6.9130000000000003</c:v>
                </c:pt>
                <c:pt idx="241">
                  <c:v>6.9390000000000001</c:v>
                </c:pt>
                <c:pt idx="242">
                  <c:v>6.9660000000000002</c:v>
                </c:pt>
                <c:pt idx="243">
                  <c:v>6.9930000000000003</c:v>
                </c:pt>
                <c:pt idx="244">
                  <c:v>7.0190000000000001</c:v>
                </c:pt>
                <c:pt idx="245">
                  <c:v>7.0460000000000003</c:v>
                </c:pt>
                <c:pt idx="246">
                  <c:v>7.0730000000000004</c:v>
                </c:pt>
                <c:pt idx="247">
                  <c:v>7.0990000000000002</c:v>
                </c:pt>
                <c:pt idx="248">
                  <c:v>7.1260000000000003</c:v>
                </c:pt>
                <c:pt idx="249">
                  <c:v>7.1529999999999996</c:v>
                </c:pt>
                <c:pt idx="250">
                  <c:v>7.1790000000000003</c:v>
                </c:pt>
                <c:pt idx="251">
                  <c:v>7.2060000000000004</c:v>
                </c:pt>
                <c:pt idx="252">
                  <c:v>7.2329999999999997</c:v>
                </c:pt>
                <c:pt idx="253">
                  <c:v>7.2590000000000003</c:v>
                </c:pt>
                <c:pt idx="254">
                  <c:v>7.2859999999999996</c:v>
                </c:pt>
                <c:pt idx="255">
                  <c:v>7.3129999999999997</c:v>
                </c:pt>
                <c:pt idx="256">
                  <c:v>7.3390000000000004</c:v>
                </c:pt>
                <c:pt idx="257">
                  <c:v>7.3659999999999997</c:v>
                </c:pt>
                <c:pt idx="258">
                  <c:v>7.3929999999999998</c:v>
                </c:pt>
                <c:pt idx="259">
                  <c:v>7.4189999999999996</c:v>
                </c:pt>
                <c:pt idx="260">
                  <c:v>7.4459999999999997</c:v>
                </c:pt>
                <c:pt idx="261">
                  <c:v>7.4729999999999999</c:v>
                </c:pt>
                <c:pt idx="262">
                  <c:v>7.4989999999999997</c:v>
                </c:pt>
                <c:pt idx="263">
                  <c:v>7.5259999999999998</c:v>
                </c:pt>
                <c:pt idx="264">
                  <c:v>7.5529999999999999</c:v>
                </c:pt>
                <c:pt idx="265">
                  <c:v>7.5789999999999997</c:v>
                </c:pt>
                <c:pt idx="266">
                  <c:v>7.6059999999999999</c:v>
                </c:pt>
                <c:pt idx="267">
                  <c:v>7.633</c:v>
                </c:pt>
                <c:pt idx="268">
                  <c:v>7.6589999999999998</c:v>
                </c:pt>
                <c:pt idx="269">
                  <c:v>7.6859999999999999</c:v>
                </c:pt>
                <c:pt idx="270">
                  <c:v>7.7130000000000001</c:v>
                </c:pt>
                <c:pt idx="271">
                  <c:v>7.7389999999999999</c:v>
                </c:pt>
                <c:pt idx="272">
                  <c:v>7.766</c:v>
                </c:pt>
                <c:pt idx="273">
                  <c:v>7.7930000000000001</c:v>
                </c:pt>
                <c:pt idx="274">
                  <c:v>7.819</c:v>
                </c:pt>
                <c:pt idx="275">
                  <c:v>7.8460000000000001</c:v>
                </c:pt>
                <c:pt idx="276">
                  <c:v>7.8730000000000002</c:v>
                </c:pt>
                <c:pt idx="277">
                  <c:v>7.899</c:v>
                </c:pt>
                <c:pt idx="278">
                  <c:v>7.9260000000000002</c:v>
                </c:pt>
                <c:pt idx="279">
                  <c:v>7.9530000000000003</c:v>
                </c:pt>
                <c:pt idx="280">
                  <c:v>7.9790000000000001</c:v>
                </c:pt>
                <c:pt idx="281">
                  <c:v>8.0060000000000002</c:v>
                </c:pt>
                <c:pt idx="282">
                  <c:v>8.0329999999999995</c:v>
                </c:pt>
                <c:pt idx="283">
                  <c:v>8.0589999999999993</c:v>
                </c:pt>
                <c:pt idx="284">
                  <c:v>8.0860000000000003</c:v>
                </c:pt>
                <c:pt idx="285">
                  <c:v>8.1129999999999995</c:v>
                </c:pt>
                <c:pt idx="286">
                  <c:v>8.1389999999999993</c:v>
                </c:pt>
                <c:pt idx="287">
                  <c:v>8.1660000000000004</c:v>
                </c:pt>
                <c:pt idx="288">
                  <c:v>8.1929999999999996</c:v>
                </c:pt>
                <c:pt idx="289">
                  <c:v>8.2189999999999994</c:v>
                </c:pt>
                <c:pt idx="290">
                  <c:v>8.2460000000000004</c:v>
                </c:pt>
                <c:pt idx="291">
                  <c:v>8.2729999999999997</c:v>
                </c:pt>
                <c:pt idx="292">
                  <c:v>8.2989999999999995</c:v>
                </c:pt>
                <c:pt idx="293">
                  <c:v>8.3260000000000005</c:v>
                </c:pt>
                <c:pt idx="294">
                  <c:v>8.3529999999999998</c:v>
                </c:pt>
                <c:pt idx="295">
                  <c:v>8.3789999999999996</c:v>
                </c:pt>
                <c:pt idx="296">
                  <c:v>8.4060000000000006</c:v>
                </c:pt>
                <c:pt idx="297">
                  <c:v>8.4329999999999998</c:v>
                </c:pt>
                <c:pt idx="298">
                  <c:v>8.4589999999999996</c:v>
                </c:pt>
                <c:pt idx="299">
                  <c:v>8.4860000000000007</c:v>
                </c:pt>
                <c:pt idx="300">
                  <c:v>8.5129999999999999</c:v>
                </c:pt>
                <c:pt idx="301">
                  <c:v>8.5389999999999997</c:v>
                </c:pt>
                <c:pt idx="302">
                  <c:v>8.5660000000000007</c:v>
                </c:pt>
                <c:pt idx="303">
                  <c:v>8.593</c:v>
                </c:pt>
                <c:pt idx="304">
                  <c:v>8.6189999999999998</c:v>
                </c:pt>
                <c:pt idx="305">
                  <c:v>8.6460000000000008</c:v>
                </c:pt>
                <c:pt idx="306">
                  <c:v>8.673</c:v>
                </c:pt>
                <c:pt idx="307">
                  <c:v>8.6989999999999998</c:v>
                </c:pt>
                <c:pt idx="308">
                  <c:v>8.7260000000000009</c:v>
                </c:pt>
                <c:pt idx="309">
                  <c:v>8.7530000000000001</c:v>
                </c:pt>
                <c:pt idx="310">
                  <c:v>8.7789999999999999</c:v>
                </c:pt>
                <c:pt idx="311">
                  <c:v>8.8059999999999992</c:v>
                </c:pt>
                <c:pt idx="312">
                  <c:v>8.8330000000000002</c:v>
                </c:pt>
                <c:pt idx="313">
                  <c:v>8.859</c:v>
                </c:pt>
                <c:pt idx="314">
                  <c:v>8.8859999999999992</c:v>
                </c:pt>
                <c:pt idx="315">
                  <c:v>8.9130000000000003</c:v>
                </c:pt>
                <c:pt idx="316">
                  <c:v>8.9390000000000001</c:v>
                </c:pt>
                <c:pt idx="317">
                  <c:v>8.9659999999999993</c:v>
                </c:pt>
                <c:pt idx="318">
                  <c:v>8.9930000000000003</c:v>
                </c:pt>
                <c:pt idx="319">
                  <c:v>9.0190000000000001</c:v>
                </c:pt>
                <c:pt idx="320">
                  <c:v>9.0459999999999994</c:v>
                </c:pt>
                <c:pt idx="321">
                  <c:v>9.0730000000000004</c:v>
                </c:pt>
                <c:pt idx="322">
                  <c:v>9.0990000000000002</c:v>
                </c:pt>
                <c:pt idx="323">
                  <c:v>9.1259999999999994</c:v>
                </c:pt>
                <c:pt idx="324">
                  <c:v>9.1530000000000005</c:v>
                </c:pt>
                <c:pt idx="325">
                  <c:v>9.1790000000000003</c:v>
                </c:pt>
                <c:pt idx="326">
                  <c:v>9.2059999999999995</c:v>
                </c:pt>
                <c:pt idx="327">
                  <c:v>9.2330000000000005</c:v>
                </c:pt>
                <c:pt idx="328">
                  <c:v>9.2590000000000003</c:v>
                </c:pt>
                <c:pt idx="329">
                  <c:v>9.2859999999999996</c:v>
                </c:pt>
                <c:pt idx="330">
                  <c:v>9.3130000000000006</c:v>
                </c:pt>
                <c:pt idx="331">
                  <c:v>9.3390000000000004</c:v>
                </c:pt>
                <c:pt idx="332">
                  <c:v>9.3659999999999997</c:v>
                </c:pt>
                <c:pt idx="333">
                  <c:v>9.3930000000000007</c:v>
                </c:pt>
                <c:pt idx="334">
                  <c:v>9.4190000000000005</c:v>
                </c:pt>
                <c:pt idx="335">
                  <c:v>9.4459999999999997</c:v>
                </c:pt>
                <c:pt idx="336">
                  <c:v>9.4730000000000008</c:v>
                </c:pt>
                <c:pt idx="337">
                  <c:v>9.4990000000000006</c:v>
                </c:pt>
                <c:pt idx="338">
                  <c:v>9.5259999999999998</c:v>
                </c:pt>
                <c:pt idx="339">
                  <c:v>9.5530000000000008</c:v>
                </c:pt>
                <c:pt idx="340">
                  <c:v>9.5790000000000006</c:v>
                </c:pt>
                <c:pt idx="341">
                  <c:v>9.6059999999999999</c:v>
                </c:pt>
                <c:pt idx="342">
                  <c:v>9.6329999999999991</c:v>
                </c:pt>
                <c:pt idx="343">
                  <c:v>9.6590000000000007</c:v>
                </c:pt>
                <c:pt idx="344">
                  <c:v>9.6859999999999999</c:v>
                </c:pt>
                <c:pt idx="345">
                  <c:v>9.7129999999999992</c:v>
                </c:pt>
                <c:pt idx="346">
                  <c:v>9.7390000000000008</c:v>
                </c:pt>
                <c:pt idx="347">
                  <c:v>9.766</c:v>
                </c:pt>
                <c:pt idx="348">
                  <c:v>9.7929999999999993</c:v>
                </c:pt>
                <c:pt idx="349">
                  <c:v>9.8190000000000008</c:v>
                </c:pt>
                <c:pt idx="350">
                  <c:v>9.8460000000000001</c:v>
                </c:pt>
                <c:pt idx="351">
                  <c:v>9.8729999999999993</c:v>
                </c:pt>
                <c:pt idx="352">
                  <c:v>9.8989999999999991</c:v>
                </c:pt>
                <c:pt idx="353">
                  <c:v>9.9260000000000002</c:v>
                </c:pt>
                <c:pt idx="354">
                  <c:v>9.9529999999999994</c:v>
                </c:pt>
                <c:pt idx="355">
                  <c:v>9.9789999999999992</c:v>
                </c:pt>
                <c:pt idx="356">
                  <c:v>10.006</c:v>
                </c:pt>
              </c:numCache>
            </c:numRef>
          </c:xVal>
          <c:yVal>
            <c:numRef>
              <c:f>ChromatogramData!$B$2:$B$10001</c:f>
              <c:numCache>
                <c:formatCode>General</c:formatCode>
                <c:ptCount val="10000"/>
                <c:pt idx="0">
                  <c:v>78.550272616186135</c:v>
                </c:pt>
                <c:pt idx="1">
                  <c:v>77.343929279472476</c:v>
                </c:pt>
                <c:pt idx="2">
                  <c:v>73.30829421310905</c:v>
                </c:pt>
                <c:pt idx="3">
                  <c:v>69.580584623083951</c:v>
                </c:pt>
                <c:pt idx="4">
                  <c:v>67.461332815343738</c:v>
                </c:pt>
                <c:pt idx="5">
                  <c:v>66.128196635431948</c:v>
                </c:pt>
                <c:pt idx="6">
                  <c:v>64.200945418820339</c:v>
                </c:pt>
                <c:pt idx="7">
                  <c:v>62.585242331209834</c:v>
                </c:pt>
                <c:pt idx="8">
                  <c:v>61.878825061963099</c:v>
                </c:pt>
                <c:pt idx="9">
                  <c:v>60.835501095075593</c:v>
                </c:pt>
                <c:pt idx="10">
                  <c:v>58.857532741184734</c:v>
                </c:pt>
                <c:pt idx="11">
                  <c:v>56.767262154746952</c:v>
                </c:pt>
                <c:pt idx="12">
                  <c:v>55.568164123358898</c:v>
                </c:pt>
                <c:pt idx="13">
                  <c:v>55.376163532230294</c:v>
                </c:pt>
                <c:pt idx="14">
                  <c:v>56.897677650607882</c:v>
                </c:pt>
                <c:pt idx="15">
                  <c:v>61.357163078519356</c:v>
                </c:pt>
                <c:pt idx="16">
                  <c:v>68.171372737253279</c:v>
                </c:pt>
                <c:pt idx="17">
                  <c:v>74.47116571786907</c:v>
                </c:pt>
                <c:pt idx="18">
                  <c:v>79.024840115013433</c:v>
                </c:pt>
                <c:pt idx="19">
                  <c:v>81.785301444069916</c:v>
                </c:pt>
                <c:pt idx="20">
                  <c:v>82.162057321001512</c:v>
                </c:pt>
                <c:pt idx="21">
                  <c:v>79.546502098457182</c:v>
                </c:pt>
                <c:pt idx="22">
                  <c:v>74.141504325553925</c:v>
                </c:pt>
                <c:pt idx="23">
                  <c:v>66.89619899994635</c:v>
                </c:pt>
                <c:pt idx="24">
                  <c:v>59.361081461314463</c:v>
                </c:pt>
                <c:pt idx="25">
                  <c:v>53.477893536921108</c:v>
                </c:pt>
                <c:pt idx="26">
                  <c:v>50.065354728559939</c:v>
                </c:pt>
                <c:pt idx="27">
                  <c:v>48.551085915507954</c:v>
                </c:pt>
                <c:pt idx="28">
                  <c:v>47.880895172889254</c:v>
                </c:pt>
                <c:pt idx="29">
                  <c:v>47.384591758085129</c:v>
                </c:pt>
                <c:pt idx="30">
                  <c:v>46.786854068722512</c:v>
                </c:pt>
                <c:pt idx="31">
                  <c:v>46.163757810720256</c:v>
                </c:pt>
                <c:pt idx="32">
                  <c:v>45.544284205380812</c:v>
                </c:pt>
                <c:pt idx="33">
                  <c:v>45.037112832588278</c:v>
                </c:pt>
                <c:pt idx="34">
                  <c:v>44.754545924889584</c:v>
                </c:pt>
                <c:pt idx="35">
                  <c:v>44.613262471040237</c:v>
                </c:pt>
                <c:pt idx="36">
                  <c:v>44.490092280504903</c:v>
                </c:pt>
                <c:pt idx="37">
                  <c:v>44.417639227248834</c:v>
                </c:pt>
                <c:pt idx="38">
                  <c:v>44.403148616597612</c:v>
                </c:pt>
                <c:pt idx="39">
                  <c:v>44.424884532574431</c:v>
                </c:pt>
                <c:pt idx="40">
                  <c:v>44.519073501807334</c:v>
                </c:pt>
                <c:pt idx="41">
                  <c:v>44.649488997668279</c:v>
                </c:pt>
                <c:pt idx="42">
                  <c:v>44.848734894122479</c:v>
                </c:pt>
                <c:pt idx="43">
                  <c:v>45.171150981112021</c:v>
                </c:pt>
                <c:pt idx="44">
                  <c:v>45.413868709519868</c:v>
                </c:pt>
                <c:pt idx="45">
                  <c:v>45.595001342660062</c:v>
                </c:pt>
                <c:pt idx="46">
                  <c:v>45.739907449172215</c:v>
                </c:pt>
                <c:pt idx="47">
                  <c:v>45.794247239114263</c:v>
                </c:pt>
                <c:pt idx="48">
                  <c:v>45.87394559769595</c:v>
                </c:pt>
                <c:pt idx="49">
                  <c:v>46.004361093556888</c:v>
                </c:pt>
                <c:pt idx="50">
                  <c:v>46.236210863976332</c:v>
                </c:pt>
                <c:pt idx="51">
                  <c:v>46.627457351559137</c:v>
                </c:pt>
                <c:pt idx="52">
                  <c:v>47.127383419026067</c:v>
                </c:pt>
                <c:pt idx="53">
                  <c:v>47.681649276435046</c:v>
                </c:pt>
                <c:pt idx="54">
                  <c:v>48.388066545681781</c:v>
                </c:pt>
                <c:pt idx="55">
                  <c:v>49.214031352801044</c:v>
                </c:pt>
                <c:pt idx="56">
                  <c:v>50.047241465245918</c:v>
                </c:pt>
                <c:pt idx="57">
                  <c:v>50.920300756981632</c:v>
                </c:pt>
                <c:pt idx="58">
                  <c:v>52.057813693102027</c:v>
                </c:pt>
                <c:pt idx="59">
                  <c:v>53.387327220351011</c:v>
                </c:pt>
                <c:pt idx="60">
                  <c:v>54.314726302028788</c:v>
                </c:pt>
                <c:pt idx="61">
                  <c:v>54.94869051801944</c:v>
                </c:pt>
                <c:pt idx="62">
                  <c:v>55.379786184893099</c:v>
                </c:pt>
                <c:pt idx="63">
                  <c:v>55.278351910334592</c:v>
                </c:pt>
                <c:pt idx="64">
                  <c:v>55.655107787266189</c:v>
                </c:pt>
                <c:pt idx="65">
                  <c:v>56.397751583140966</c:v>
                </c:pt>
                <c:pt idx="66">
                  <c:v>57.144018031678549</c:v>
                </c:pt>
                <c:pt idx="67">
                  <c:v>57.61858553050584</c:v>
                </c:pt>
                <c:pt idx="68">
                  <c:v>58.056926502705096</c:v>
                </c:pt>
                <c:pt idx="69">
                  <c:v>58.821306214556692</c:v>
                </c:pt>
                <c:pt idx="70">
                  <c:v>59.665384284989976</c:v>
                </c:pt>
                <c:pt idx="71">
                  <c:v>60.404405428201947</c:v>
                </c:pt>
                <c:pt idx="72">
                  <c:v>61.110822697448697</c:v>
                </c:pt>
                <c:pt idx="73">
                  <c:v>61.777390787404592</c:v>
                </c:pt>
                <c:pt idx="74">
                  <c:v>62.889545154885347</c:v>
                </c:pt>
                <c:pt idx="75">
                  <c:v>64.479889673856206</c:v>
                </c:pt>
                <c:pt idx="76">
                  <c:v>65.606534651988198</c:v>
                </c:pt>
                <c:pt idx="77">
                  <c:v>65.75506341116315</c:v>
                </c:pt>
                <c:pt idx="78">
                  <c:v>65.04140083659081</c:v>
                </c:pt>
                <c:pt idx="79">
                  <c:v>65.150080416474921</c:v>
                </c:pt>
                <c:pt idx="80">
                  <c:v>65.356571618254733</c:v>
                </c:pt>
                <c:pt idx="81">
                  <c:v>64.892872077415859</c:v>
                </c:pt>
                <c:pt idx="82">
                  <c:v>63.773472404609478</c:v>
                </c:pt>
                <c:pt idx="83">
                  <c:v>63.001847387432264</c:v>
                </c:pt>
                <c:pt idx="84">
                  <c:v>62.925771681513389</c:v>
                </c:pt>
                <c:pt idx="85">
                  <c:v>63.215583894537694</c:v>
                </c:pt>
                <c:pt idx="86">
                  <c:v>64.045171354319763</c:v>
                </c:pt>
                <c:pt idx="87">
                  <c:v>64.679135570310422</c:v>
                </c:pt>
                <c:pt idx="88">
                  <c:v>64.798683108182956</c:v>
                </c:pt>
                <c:pt idx="89">
                  <c:v>64.291511735390415</c:v>
                </c:pt>
                <c:pt idx="90">
                  <c:v>63.556113244841256</c:v>
                </c:pt>
                <c:pt idx="91">
                  <c:v>62.730148437722001</c:v>
                </c:pt>
                <c:pt idx="92">
                  <c:v>62.335279297476376</c:v>
                </c:pt>
                <c:pt idx="93">
                  <c:v>62.041844431789272</c:v>
                </c:pt>
                <c:pt idx="94">
                  <c:v>61.694069776160106</c:v>
                </c:pt>
                <c:pt idx="95">
                  <c:v>61.259351456623641</c:v>
                </c:pt>
                <c:pt idx="96">
                  <c:v>60.889840885017655</c:v>
                </c:pt>
                <c:pt idx="97">
                  <c:v>60.976784548924947</c:v>
                </c:pt>
                <c:pt idx="98">
                  <c:v>62.596110289198243</c:v>
                </c:pt>
                <c:pt idx="99">
                  <c:v>64.287889082727617</c:v>
                </c:pt>
                <c:pt idx="100">
                  <c:v>65.505100377429684</c:v>
                </c:pt>
                <c:pt idx="101">
                  <c:v>66.084724803478295</c:v>
                </c:pt>
                <c:pt idx="102">
                  <c:v>65.668119747255872</c:v>
                </c:pt>
                <c:pt idx="103">
                  <c:v>64.863890856113414</c:v>
                </c:pt>
                <c:pt idx="104">
                  <c:v>63.831434847214339</c:v>
                </c:pt>
                <c:pt idx="105">
                  <c:v>62.911281070862181</c:v>
                </c:pt>
                <c:pt idx="106">
                  <c:v>63.135885535956007</c:v>
                </c:pt>
                <c:pt idx="107">
                  <c:v>63.932869121772839</c:v>
                </c:pt>
                <c:pt idx="108">
                  <c:v>65.936196044303344</c:v>
                </c:pt>
                <c:pt idx="109">
                  <c:v>70.475379830796484</c:v>
                </c:pt>
                <c:pt idx="110">
                  <c:v>75.539848253396187</c:v>
                </c:pt>
                <c:pt idx="111">
                  <c:v>88.998002895712261</c:v>
                </c:pt>
                <c:pt idx="112">
                  <c:v>98.717579990014841</c:v>
                </c:pt>
                <c:pt idx="113">
                  <c:v>99.999999032647366</c:v>
                </c:pt>
                <c:pt idx="114">
                  <c:v>89.291437761399365</c:v>
                </c:pt>
                <c:pt idx="115">
                  <c:v>76.126717984770409</c:v>
                </c:pt>
                <c:pt idx="116">
                  <c:v>68.41046781299832</c:v>
                </c:pt>
                <c:pt idx="117">
                  <c:v>65.04140083659081</c:v>
                </c:pt>
                <c:pt idx="118">
                  <c:v>63.715509962004624</c:v>
                </c:pt>
                <c:pt idx="119">
                  <c:v>63.121394925304791</c:v>
                </c:pt>
                <c:pt idx="120">
                  <c:v>63.730000572655825</c:v>
                </c:pt>
                <c:pt idx="121">
                  <c:v>69.388584031955347</c:v>
                </c:pt>
                <c:pt idx="122">
                  <c:v>72.489574711315385</c:v>
                </c:pt>
                <c:pt idx="123">
                  <c:v>72.840972019607364</c:v>
                </c:pt>
                <c:pt idx="124">
                  <c:v>68.446694339626362</c:v>
                </c:pt>
                <c:pt idx="125">
                  <c:v>65.251514691033435</c:v>
                </c:pt>
                <c:pt idx="126">
                  <c:v>64.171964197517894</c:v>
                </c:pt>
                <c:pt idx="127">
                  <c:v>63.701019351353402</c:v>
                </c:pt>
                <c:pt idx="128">
                  <c:v>63.15762145193284</c:v>
                </c:pt>
                <c:pt idx="129">
                  <c:v>63.570603855492465</c:v>
                </c:pt>
                <c:pt idx="130">
                  <c:v>68.874167353837208</c:v>
                </c:pt>
                <c:pt idx="131">
                  <c:v>75.992679836246666</c:v>
                </c:pt>
                <c:pt idx="132">
                  <c:v>77.043249108459747</c:v>
                </c:pt>
                <c:pt idx="133">
                  <c:v>73.844446807204022</c:v>
                </c:pt>
                <c:pt idx="134">
                  <c:v>67.555521784576626</c:v>
                </c:pt>
                <c:pt idx="135">
                  <c:v>62.867809238908528</c:v>
                </c:pt>
                <c:pt idx="136">
                  <c:v>61.259351456623641</c:v>
                </c:pt>
                <c:pt idx="137">
                  <c:v>60.842746400401211</c:v>
                </c:pt>
                <c:pt idx="138">
                  <c:v>60.690594988563447</c:v>
                </c:pt>
                <c:pt idx="139">
                  <c:v>67.349030582796814</c:v>
                </c:pt>
                <c:pt idx="140">
                  <c:v>79.282048454072495</c:v>
                </c:pt>
                <c:pt idx="141">
                  <c:v>81.723716348802256</c:v>
                </c:pt>
                <c:pt idx="142">
                  <c:v>76.775172811412276</c:v>
                </c:pt>
                <c:pt idx="143">
                  <c:v>66.262234783955677</c:v>
                </c:pt>
                <c:pt idx="144">
                  <c:v>61.360785731182162</c:v>
                </c:pt>
                <c:pt idx="145">
                  <c:v>66.88533104195794</c:v>
                </c:pt>
                <c:pt idx="146">
                  <c:v>80.861525015054937</c:v>
                </c:pt>
                <c:pt idx="147">
                  <c:v>84.745008669580628</c:v>
                </c:pt>
                <c:pt idx="148">
                  <c:v>77.083098287750602</c:v>
                </c:pt>
                <c:pt idx="149">
                  <c:v>69.149488956210305</c:v>
                </c:pt>
                <c:pt idx="150">
                  <c:v>67.551899131913814</c:v>
                </c:pt>
                <c:pt idx="151">
                  <c:v>66.044875624187455</c:v>
                </c:pt>
                <c:pt idx="152">
                  <c:v>63.748113835969853</c:v>
                </c:pt>
                <c:pt idx="153">
                  <c:v>62.146901359010577</c:v>
                </c:pt>
                <c:pt idx="154">
                  <c:v>62.020108515812453</c:v>
                </c:pt>
                <c:pt idx="155">
                  <c:v>62.20124114895264</c:v>
                </c:pt>
                <c:pt idx="156">
                  <c:v>62.639582121151889</c:v>
                </c:pt>
                <c:pt idx="157">
                  <c:v>63.2192065472005</c:v>
                </c:pt>
                <c:pt idx="158">
                  <c:v>65.494232419441275</c:v>
                </c:pt>
                <c:pt idx="159">
                  <c:v>65.765931369151559</c:v>
                </c:pt>
                <c:pt idx="160">
                  <c:v>63.835057499877145</c:v>
                </c:pt>
                <c:pt idx="161">
                  <c:v>61.614371417578418</c:v>
                </c:pt>
                <c:pt idx="162">
                  <c:v>60.534820924062892</c:v>
                </c:pt>
                <c:pt idx="163">
                  <c:v>60.37904685956233</c:v>
                </c:pt>
                <c:pt idx="164">
                  <c:v>61.168785140053558</c:v>
                </c:pt>
                <c:pt idx="165">
                  <c:v>66.541179038991586</c:v>
                </c:pt>
                <c:pt idx="166">
                  <c:v>70.953569982286581</c:v>
                </c:pt>
                <c:pt idx="167">
                  <c:v>70.88473958169331</c:v>
                </c:pt>
                <c:pt idx="168">
                  <c:v>66.664349229526906</c:v>
                </c:pt>
                <c:pt idx="169">
                  <c:v>63.20833858921209</c:v>
                </c:pt>
                <c:pt idx="170">
                  <c:v>61.773768134741786</c:v>
                </c:pt>
                <c:pt idx="171">
                  <c:v>61.665088554857668</c:v>
                </c:pt>
                <c:pt idx="172">
                  <c:v>62.878677196896938</c:v>
                </c:pt>
                <c:pt idx="173">
                  <c:v>64.193700113494714</c:v>
                </c:pt>
                <c:pt idx="174">
                  <c:v>64.066907270296596</c:v>
                </c:pt>
                <c:pt idx="175">
                  <c:v>64.012567480354534</c:v>
                </c:pt>
                <c:pt idx="176">
                  <c:v>63.483660191585173</c:v>
                </c:pt>
                <c:pt idx="177">
                  <c:v>62.462072140674508</c:v>
                </c:pt>
                <c:pt idx="178">
                  <c:v>61.770145482078988</c:v>
                </c:pt>
                <c:pt idx="179">
                  <c:v>61.556408974973564</c:v>
                </c:pt>
                <c:pt idx="180">
                  <c:v>61.288332677926071</c:v>
                </c:pt>
                <c:pt idx="181">
                  <c:v>60.857237011052426</c:v>
                </c:pt>
                <c:pt idx="182">
                  <c:v>61.143426571413926</c:v>
                </c:pt>
                <c:pt idx="183">
                  <c:v>62.360637866115987</c:v>
                </c:pt>
                <c:pt idx="184">
                  <c:v>79.361746812654175</c:v>
                </c:pt>
                <c:pt idx="185">
                  <c:v>95.247078739048803</c:v>
                </c:pt>
                <c:pt idx="186">
                  <c:v>93.87047072718336</c:v>
                </c:pt>
                <c:pt idx="187">
                  <c:v>77.199023172960324</c:v>
                </c:pt>
                <c:pt idx="188">
                  <c:v>66.178913772711198</c:v>
                </c:pt>
                <c:pt idx="189">
                  <c:v>61.933164851905147</c:v>
                </c:pt>
                <c:pt idx="190">
                  <c:v>61.632484680892432</c:v>
                </c:pt>
                <c:pt idx="191">
                  <c:v>69.797943782852187</c:v>
                </c:pt>
                <c:pt idx="192">
                  <c:v>79.821823700830265</c:v>
                </c:pt>
                <c:pt idx="193">
                  <c:v>81.397677609149909</c:v>
                </c:pt>
                <c:pt idx="194">
                  <c:v>74.992827701312819</c:v>
                </c:pt>
                <c:pt idx="195">
                  <c:v>66.479593943723899</c:v>
                </c:pt>
                <c:pt idx="196">
                  <c:v>62.715657827070771</c:v>
                </c:pt>
                <c:pt idx="197">
                  <c:v>61.762900176753369</c:v>
                </c:pt>
                <c:pt idx="198">
                  <c:v>61.730296302788133</c:v>
                </c:pt>
                <c:pt idx="199">
                  <c:v>61.730296302788133</c:v>
                </c:pt>
                <c:pt idx="200">
                  <c:v>61.708560386811314</c:v>
                </c:pt>
                <c:pt idx="201">
                  <c:v>61.636107333555238</c:v>
                </c:pt>
                <c:pt idx="202">
                  <c:v>61.512937143019911</c:v>
                </c:pt>
                <c:pt idx="203">
                  <c:v>61.505691837694307</c:v>
                </c:pt>
                <c:pt idx="204">
                  <c:v>61.70131508148571</c:v>
                </c:pt>
                <c:pt idx="205">
                  <c:v>61.806372008707015</c:v>
                </c:pt>
                <c:pt idx="206">
                  <c:v>61.773768134741786</c:v>
                </c:pt>
                <c:pt idx="207">
                  <c:v>61.817239966695432</c:v>
                </c:pt>
                <c:pt idx="208">
                  <c:v>61.991127294510022</c:v>
                </c:pt>
                <c:pt idx="209">
                  <c:v>62.157769316998987</c:v>
                </c:pt>
                <c:pt idx="210">
                  <c:v>62.19037319096423</c:v>
                </c:pt>
                <c:pt idx="211">
                  <c:v>62.233845022917869</c:v>
                </c:pt>
                <c:pt idx="212">
                  <c:v>62.208486454278237</c:v>
                </c:pt>
                <c:pt idx="213">
                  <c:v>62.360637866115987</c:v>
                </c:pt>
                <c:pt idx="214">
                  <c:v>62.494676014639744</c:v>
                </c:pt>
                <c:pt idx="215">
                  <c:v>62.545393151918994</c:v>
                </c:pt>
                <c:pt idx="216">
                  <c:v>62.65769538446591</c:v>
                </c:pt>
                <c:pt idx="217">
                  <c:v>63.059809830037125</c:v>
                </c:pt>
                <c:pt idx="218">
                  <c:v>63.327886127084618</c:v>
                </c:pt>
                <c:pt idx="219">
                  <c:v>63.345999390398639</c:v>
                </c:pt>
                <c:pt idx="220">
                  <c:v>63.628566298097319</c:v>
                </c:pt>
                <c:pt idx="221">
                  <c:v>63.885774637156402</c:v>
                </c:pt>
                <c:pt idx="222">
                  <c:v>63.929246469110034</c:v>
                </c:pt>
                <c:pt idx="223">
                  <c:v>63.476414886259555</c:v>
                </c:pt>
                <c:pt idx="224">
                  <c:v>63.067055135362736</c:v>
                </c:pt>
                <c:pt idx="225">
                  <c:v>62.929394334176209</c:v>
                </c:pt>
                <c:pt idx="226">
                  <c:v>62.918526376187785</c:v>
                </c:pt>
                <c:pt idx="227">
                  <c:v>62.951130250153028</c:v>
                </c:pt>
                <c:pt idx="228">
                  <c:v>62.896790460210966</c:v>
                </c:pt>
                <c:pt idx="229">
                  <c:v>62.795356185652444</c:v>
                </c:pt>
                <c:pt idx="230">
                  <c:v>62.719280479733577</c:v>
                </c:pt>
                <c:pt idx="231">
                  <c:v>62.693921911093952</c:v>
                </c:pt>
                <c:pt idx="232">
                  <c:v>62.701167216419549</c:v>
                </c:pt>
                <c:pt idx="233">
                  <c:v>62.813469448966465</c:v>
                </c:pt>
                <c:pt idx="234">
                  <c:v>62.954752902815819</c:v>
                </c:pt>
                <c:pt idx="235">
                  <c:v>63.092413704002368</c:v>
                </c:pt>
                <c:pt idx="236">
                  <c:v>63.211961241874889</c:v>
                </c:pt>
                <c:pt idx="237">
                  <c:v>63.255433073828527</c:v>
                </c:pt>
                <c:pt idx="238">
                  <c:v>63.335131432410215</c:v>
                </c:pt>
                <c:pt idx="239">
                  <c:v>63.418452443654701</c:v>
                </c:pt>
                <c:pt idx="240">
                  <c:v>63.480037538922375</c:v>
                </c:pt>
                <c:pt idx="241">
                  <c:v>63.610453034783305</c:v>
                </c:pt>
                <c:pt idx="242">
                  <c:v>63.686528740702173</c:v>
                </c:pt>
                <c:pt idx="243">
                  <c:v>63.824189541888735</c:v>
                </c:pt>
                <c:pt idx="244">
                  <c:v>64.103133796924624</c:v>
                </c:pt>
                <c:pt idx="245">
                  <c:v>64.077775228285006</c:v>
                </c:pt>
                <c:pt idx="246">
                  <c:v>63.958227690412471</c:v>
                </c:pt>
                <c:pt idx="247">
                  <c:v>63.563358550166846</c:v>
                </c:pt>
                <c:pt idx="248">
                  <c:v>63.233697157851708</c:v>
                </c:pt>
                <c:pt idx="249">
                  <c:v>63.096036356665174</c:v>
                </c:pt>
                <c:pt idx="250">
                  <c:v>63.226451852526104</c:v>
                </c:pt>
                <c:pt idx="251">
                  <c:v>63.425697748980312</c:v>
                </c:pt>
                <c:pt idx="252">
                  <c:v>63.650302214074152</c:v>
                </c:pt>
                <c:pt idx="253">
                  <c:v>63.711887309341812</c:v>
                </c:pt>
                <c:pt idx="254">
                  <c:v>63.722755267330221</c:v>
                </c:pt>
                <c:pt idx="255">
                  <c:v>63.795208320586298</c:v>
                </c:pt>
                <c:pt idx="256">
                  <c:v>64.023435438342943</c:v>
                </c:pt>
                <c:pt idx="257">
                  <c:v>64.277021124739207</c:v>
                </c:pt>
                <c:pt idx="258">
                  <c:v>64.443663147228179</c:v>
                </c:pt>
                <c:pt idx="259">
                  <c:v>64.436417841902568</c:v>
                </c:pt>
                <c:pt idx="260">
                  <c:v>64.363964788646484</c:v>
                </c:pt>
                <c:pt idx="261">
                  <c:v>64.200945418820339</c:v>
                </c:pt>
                <c:pt idx="262">
                  <c:v>64.085020533610617</c:v>
                </c:pt>
                <c:pt idx="263">
                  <c:v>63.91113320579602</c:v>
                </c:pt>
                <c:pt idx="264">
                  <c:v>63.762604446621054</c:v>
                </c:pt>
                <c:pt idx="265">
                  <c:v>63.693774046027791</c:v>
                </c:pt>
                <c:pt idx="266">
                  <c:v>63.635811603422937</c:v>
                </c:pt>
                <c:pt idx="267">
                  <c:v>63.682906088039381</c:v>
                </c:pt>
                <c:pt idx="268">
                  <c:v>63.758981793958263</c:v>
                </c:pt>
                <c:pt idx="269">
                  <c:v>63.787963015260694</c:v>
                </c:pt>
                <c:pt idx="270">
                  <c:v>63.715509962004624</c:v>
                </c:pt>
                <c:pt idx="271">
                  <c:v>63.570603855492465</c:v>
                </c:pt>
                <c:pt idx="272">
                  <c:v>63.447433664957131</c:v>
                </c:pt>
                <c:pt idx="273">
                  <c:v>63.389471222352277</c:v>
                </c:pt>
                <c:pt idx="274">
                  <c:v>63.349622043061437</c:v>
                </c:pt>
                <c:pt idx="275">
                  <c:v>63.345999390398639</c:v>
                </c:pt>
                <c:pt idx="276">
                  <c:v>63.259055726491333</c:v>
                </c:pt>
                <c:pt idx="277">
                  <c:v>63.117772272642</c:v>
                </c:pt>
                <c:pt idx="278">
                  <c:v>62.969243513467042</c:v>
                </c:pt>
                <c:pt idx="279">
                  <c:v>62.788110880326855</c:v>
                </c:pt>
                <c:pt idx="280">
                  <c:v>62.567129067895813</c:v>
                </c:pt>
                <c:pt idx="281">
                  <c:v>62.309920728836744</c:v>
                </c:pt>
                <c:pt idx="282">
                  <c:v>62.414977656058049</c:v>
                </c:pt>
                <c:pt idx="283">
                  <c:v>63.106904314653583</c:v>
                </c:pt>
                <c:pt idx="284">
                  <c:v>63.266301031816937</c:v>
                </c:pt>
                <c:pt idx="285">
                  <c:v>63.360490001049847</c:v>
                </c:pt>
                <c:pt idx="286">
                  <c:v>62.588864983872647</c:v>
                </c:pt>
                <c:pt idx="287">
                  <c:v>61.762900176753369</c:v>
                </c:pt>
                <c:pt idx="288">
                  <c:v>61.121690655437106</c:v>
                </c:pt>
                <c:pt idx="289">
                  <c:v>60.589160714004954</c:v>
                </c:pt>
                <c:pt idx="290">
                  <c:v>60.234140753050184</c:v>
                </c:pt>
                <c:pt idx="291">
                  <c:v>60.049385467247184</c:v>
                </c:pt>
                <c:pt idx="292">
                  <c:v>59.944328540025865</c:v>
                </c:pt>
                <c:pt idx="293">
                  <c:v>59.871875486769802</c:v>
                </c:pt>
                <c:pt idx="294">
                  <c:v>59.694365506292414</c:v>
                </c:pt>
                <c:pt idx="295">
                  <c:v>59.332100240012032</c:v>
                </c:pt>
                <c:pt idx="296">
                  <c:v>58.966212321068852</c:v>
                </c:pt>
                <c:pt idx="297">
                  <c:v>58.527871348869589</c:v>
                </c:pt>
                <c:pt idx="298">
                  <c:v>58.165606082589214</c:v>
                </c:pt>
                <c:pt idx="299">
                  <c:v>60.331952374945871</c:v>
                </c:pt>
                <c:pt idx="300">
                  <c:v>73.029349958073155</c:v>
                </c:pt>
                <c:pt idx="301">
                  <c:v>77.423627638054157</c:v>
                </c:pt>
                <c:pt idx="302">
                  <c:v>80.749222782508042</c:v>
                </c:pt>
                <c:pt idx="303">
                  <c:v>73.022104652747558</c:v>
                </c:pt>
                <c:pt idx="304">
                  <c:v>62.277316854871522</c:v>
                </c:pt>
                <c:pt idx="305">
                  <c:v>57.683793278436305</c:v>
                </c:pt>
                <c:pt idx="306">
                  <c:v>56.19126038136114</c:v>
                </c:pt>
                <c:pt idx="307">
                  <c:v>55.655107787266189</c:v>
                </c:pt>
                <c:pt idx="308">
                  <c:v>55.118955193171224</c:v>
                </c:pt>
                <c:pt idx="309">
                  <c:v>54.5212175038086</c:v>
                </c:pt>
                <c:pt idx="310">
                  <c:v>53.919857161783163</c:v>
                </c:pt>
                <c:pt idx="311">
                  <c:v>53.238798461176053</c:v>
                </c:pt>
                <c:pt idx="312">
                  <c:v>52.525135886603714</c:v>
                </c:pt>
                <c:pt idx="313">
                  <c:v>51.768001480077722</c:v>
                </c:pt>
                <c:pt idx="314">
                  <c:v>51.057961558168174</c:v>
                </c:pt>
                <c:pt idx="315">
                  <c:v>50.376902857561063</c:v>
                </c:pt>
                <c:pt idx="316">
                  <c:v>49.587164577069835</c:v>
                </c:pt>
                <c:pt idx="317">
                  <c:v>48.757577117287767</c:v>
                </c:pt>
                <c:pt idx="318">
                  <c:v>47.837423340935608</c:v>
                </c:pt>
                <c:pt idx="319">
                  <c:v>47.149119335002887</c:v>
                </c:pt>
                <c:pt idx="320">
                  <c:v>46.689042446826804</c:v>
                </c:pt>
                <c:pt idx="321">
                  <c:v>45.906549471661187</c:v>
                </c:pt>
                <c:pt idx="322">
                  <c:v>45.076962011879118</c:v>
                </c:pt>
                <c:pt idx="323">
                  <c:v>43.674995431374057</c:v>
                </c:pt>
                <c:pt idx="324">
                  <c:v>42.39257638874151</c:v>
                </c:pt>
                <c:pt idx="325">
                  <c:v>41.251440799958317</c:v>
                </c:pt>
                <c:pt idx="326">
                  <c:v>40.244343359698867</c:v>
                </c:pt>
                <c:pt idx="327">
                  <c:v>39.092339812927257</c:v>
                </c:pt>
                <c:pt idx="328">
                  <c:v>37.849769949585557</c:v>
                </c:pt>
                <c:pt idx="329">
                  <c:v>36.38621827381283</c:v>
                </c:pt>
                <c:pt idx="330">
                  <c:v>34.893685376737665</c:v>
                </c:pt>
                <c:pt idx="331">
                  <c:v>33.33956738439484</c:v>
                </c:pt>
                <c:pt idx="332">
                  <c:v>31.665901854179484</c:v>
                </c:pt>
                <c:pt idx="333">
                  <c:v>29.912537965382455</c:v>
                </c:pt>
                <c:pt idx="334">
                  <c:v>28.083098370666541</c:v>
                </c:pt>
                <c:pt idx="335">
                  <c:v>26.297130607904272</c:v>
                </c:pt>
                <c:pt idx="336">
                  <c:v>24.569125287746864</c:v>
                </c:pt>
                <c:pt idx="337">
                  <c:v>22.93168628415955</c:v>
                </c:pt>
                <c:pt idx="338">
                  <c:v>21.344964417851493</c:v>
                </c:pt>
                <c:pt idx="339">
                  <c:v>19.848808868113526</c:v>
                </c:pt>
                <c:pt idx="340">
                  <c:v>19.921261921369602</c:v>
                </c:pt>
                <c:pt idx="341">
                  <c:v>20.323376366940821</c:v>
                </c:pt>
                <c:pt idx="342">
                  <c:v>19.457562380530717</c:v>
                </c:pt>
                <c:pt idx="343">
                  <c:v>16.472496586380394</c:v>
                </c:pt>
                <c:pt idx="344">
                  <c:v>12.864334534227819</c:v>
                </c:pt>
                <c:pt idx="345">
                  <c:v>11.168933088035645</c:v>
                </c:pt>
                <c:pt idx="346">
                  <c:v>10.158212995113388</c:v>
                </c:pt>
                <c:pt idx="347">
                  <c:v>9.1438702495283302</c:v>
                </c:pt>
                <c:pt idx="348">
                  <c:v>7.8433379435817692</c:v>
                </c:pt>
                <c:pt idx="349">
                  <c:v>6.5391829849723999</c:v>
                </c:pt>
                <c:pt idx="350">
                  <c:v>5.4197833121660324</c:v>
                </c:pt>
                <c:pt idx="351">
                  <c:v>4.4923842304882609</c:v>
                </c:pt>
                <c:pt idx="352">
                  <c:v>3.6772873813574094</c:v>
                </c:pt>
                <c:pt idx="353">
                  <c:v>2.9600021541222574</c:v>
                </c:pt>
                <c:pt idx="354">
                  <c:v>2.4600760866553348</c:v>
                </c:pt>
                <c:pt idx="355">
                  <c:v>2.202867747596267</c:v>
                </c:pt>
                <c:pt idx="356">
                  <c:v>1.9999991984792513</c:v>
                </c:pt>
              </c:numCache>
            </c:numRef>
          </c:yVal>
          <c:smooth val="1"/>
          <c:extLst>
            <c:ext xmlns:c16="http://schemas.microsoft.com/office/drawing/2014/chart" uri="{C3380CC4-5D6E-409C-BE32-E72D297353CC}">
              <c16:uniqueId val="{00000000-6C55-4540-A99B-AF279F0EE33F}"/>
            </c:ext>
          </c:extLst>
        </c:ser>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0.51300000000000001</c:v>
                </c:pt>
                <c:pt idx="1">
                  <c:v>0.53900000000000003</c:v>
                </c:pt>
                <c:pt idx="2">
                  <c:v>0.56599999999999995</c:v>
                </c:pt>
                <c:pt idx="3">
                  <c:v>0.59299999999999997</c:v>
                </c:pt>
                <c:pt idx="4">
                  <c:v>0.61899999999999999</c:v>
                </c:pt>
                <c:pt idx="5">
                  <c:v>0.64600000000000002</c:v>
                </c:pt>
                <c:pt idx="6">
                  <c:v>0.67300000000000004</c:v>
                </c:pt>
                <c:pt idx="7">
                  <c:v>0.69899999999999995</c:v>
                </c:pt>
                <c:pt idx="8">
                  <c:v>0.72599999999999998</c:v>
                </c:pt>
                <c:pt idx="9">
                  <c:v>0.753</c:v>
                </c:pt>
                <c:pt idx="10">
                  <c:v>0.77900000000000003</c:v>
                </c:pt>
                <c:pt idx="11">
                  <c:v>0.80600000000000005</c:v>
                </c:pt>
                <c:pt idx="12">
                  <c:v>0.83299999999999996</c:v>
                </c:pt>
                <c:pt idx="13">
                  <c:v>0.85899999999999999</c:v>
                </c:pt>
                <c:pt idx="14">
                  <c:v>0.88600000000000001</c:v>
                </c:pt>
                <c:pt idx="15">
                  <c:v>0.91300000000000003</c:v>
                </c:pt>
                <c:pt idx="16">
                  <c:v>0.93899999999999995</c:v>
                </c:pt>
                <c:pt idx="17">
                  <c:v>0.96599999999999997</c:v>
                </c:pt>
                <c:pt idx="18">
                  <c:v>0.99299999999999999</c:v>
                </c:pt>
                <c:pt idx="19">
                  <c:v>1.0189999999999999</c:v>
                </c:pt>
                <c:pt idx="20">
                  <c:v>1.046</c:v>
                </c:pt>
                <c:pt idx="21">
                  <c:v>1.073</c:v>
                </c:pt>
                <c:pt idx="22">
                  <c:v>1.099</c:v>
                </c:pt>
                <c:pt idx="23">
                  <c:v>1.1259999999999999</c:v>
                </c:pt>
                <c:pt idx="24">
                  <c:v>1.153</c:v>
                </c:pt>
                <c:pt idx="25">
                  <c:v>1.179</c:v>
                </c:pt>
                <c:pt idx="26">
                  <c:v>1.206</c:v>
                </c:pt>
                <c:pt idx="27">
                  <c:v>1.2330000000000001</c:v>
                </c:pt>
                <c:pt idx="28">
                  <c:v>1.2589999999999999</c:v>
                </c:pt>
                <c:pt idx="29">
                  <c:v>1.286</c:v>
                </c:pt>
                <c:pt idx="30">
                  <c:v>1.3129999999999999</c:v>
                </c:pt>
                <c:pt idx="31">
                  <c:v>1.339</c:v>
                </c:pt>
                <c:pt idx="32">
                  <c:v>1.3660000000000001</c:v>
                </c:pt>
                <c:pt idx="33">
                  <c:v>1.393</c:v>
                </c:pt>
                <c:pt idx="34">
                  <c:v>1.419</c:v>
                </c:pt>
                <c:pt idx="35">
                  <c:v>1.446</c:v>
                </c:pt>
                <c:pt idx="36">
                  <c:v>1.4730000000000001</c:v>
                </c:pt>
                <c:pt idx="37">
                  <c:v>1.4990000000000001</c:v>
                </c:pt>
                <c:pt idx="38">
                  <c:v>1.526</c:v>
                </c:pt>
                <c:pt idx="39">
                  <c:v>1.5529999999999999</c:v>
                </c:pt>
                <c:pt idx="40">
                  <c:v>1.579</c:v>
                </c:pt>
                <c:pt idx="41">
                  <c:v>1.6060000000000001</c:v>
                </c:pt>
                <c:pt idx="42">
                  <c:v>1.633</c:v>
                </c:pt>
                <c:pt idx="43">
                  <c:v>1.659</c:v>
                </c:pt>
                <c:pt idx="44">
                  <c:v>1.6859999999999999</c:v>
                </c:pt>
                <c:pt idx="45">
                  <c:v>1.7130000000000001</c:v>
                </c:pt>
                <c:pt idx="46">
                  <c:v>1.7390000000000001</c:v>
                </c:pt>
                <c:pt idx="47">
                  <c:v>1.766</c:v>
                </c:pt>
                <c:pt idx="48">
                  <c:v>1.7929999999999999</c:v>
                </c:pt>
                <c:pt idx="49">
                  <c:v>1.819</c:v>
                </c:pt>
                <c:pt idx="50">
                  <c:v>1.8460000000000001</c:v>
                </c:pt>
                <c:pt idx="51">
                  <c:v>1.873</c:v>
                </c:pt>
                <c:pt idx="52">
                  <c:v>1.899</c:v>
                </c:pt>
                <c:pt idx="53">
                  <c:v>1.9259999999999999</c:v>
                </c:pt>
                <c:pt idx="54">
                  <c:v>1.9530000000000001</c:v>
                </c:pt>
                <c:pt idx="55">
                  <c:v>1.9790000000000001</c:v>
                </c:pt>
                <c:pt idx="56">
                  <c:v>2.0059999999999998</c:v>
                </c:pt>
                <c:pt idx="57">
                  <c:v>2.0329999999999999</c:v>
                </c:pt>
                <c:pt idx="58">
                  <c:v>2.0590000000000002</c:v>
                </c:pt>
                <c:pt idx="59">
                  <c:v>2.0859999999999999</c:v>
                </c:pt>
                <c:pt idx="60">
                  <c:v>2.113</c:v>
                </c:pt>
                <c:pt idx="61">
                  <c:v>2.1389999999999998</c:v>
                </c:pt>
                <c:pt idx="62">
                  <c:v>2.1659999999999999</c:v>
                </c:pt>
                <c:pt idx="63">
                  <c:v>2.1930000000000001</c:v>
                </c:pt>
                <c:pt idx="64">
                  <c:v>2.2189999999999999</c:v>
                </c:pt>
                <c:pt idx="65">
                  <c:v>2.246</c:v>
                </c:pt>
                <c:pt idx="66">
                  <c:v>2.2730000000000001</c:v>
                </c:pt>
                <c:pt idx="67">
                  <c:v>2.2989999999999999</c:v>
                </c:pt>
                <c:pt idx="68">
                  <c:v>2.3260000000000001</c:v>
                </c:pt>
                <c:pt idx="69">
                  <c:v>2.3530000000000002</c:v>
                </c:pt>
                <c:pt idx="70">
                  <c:v>2.379</c:v>
                </c:pt>
                <c:pt idx="71">
                  <c:v>2.4060000000000001</c:v>
                </c:pt>
                <c:pt idx="72">
                  <c:v>2.4329999999999998</c:v>
                </c:pt>
                <c:pt idx="73">
                  <c:v>2.4590000000000001</c:v>
                </c:pt>
                <c:pt idx="74">
                  <c:v>2.4860000000000002</c:v>
                </c:pt>
                <c:pt idx="75">
                  <c:v>2.5129999999999999</c:v>
                </c:pt>
                <c:pt idx="76">
                  <c:v>2.5390000000000001</c:v>
                </c:pt>
                <c:pt idx="77">
                  <c:v>2.5659999999999998</c:v>
                </c:pt>
                <c:pt idx="78">
                  <c:v>2.593</c:v>
                </c:pt>
                <c:pt idx="79">
                  <c:v>2.6190000000000002</c:v>
                </c:pt>
                <c:pt idx="80">
                  <c:v>2.6459999999999999</c:v>
                </c:pt>
                <c:pt idx="81">
                  <c:v>2.673</c:v>
                </c:pt>
                <c:pt idx="82">
                  <c:v>2.6989999999999998</c:v>
                </c:pt>
                <c:pt idx="83">
                  <c:v>2.726</c:v>
                </c:pt>
                <c:pt idx="84">
                  <c:v>2.7530000000000001</c:v>
                </c:pt>
                <c:pt idx="85">
                  <c:v>2.7789999999999999</c:v>
                </c:pt>
                <c:pt idx="86">
                  <c:v>2.806</c:v>
                </c:pt>
                <c:pt idx="87">
                  <c:v>2.8330000000000002</c:v>
                </c:pt>
                <c:pt idx="88">
                  <c:v>2.859</c:v>
                </c:pt>
                <c:pt idx="89">
                  <c:v>2.8860000000000001</c:v>
                </c:pt>
                <c:pt idx="90">
                  <c:v>2.9129999999999998</c:v>
                </c:pt>
                <c:pt idx="91">
                  <c:v>2.9390000000000001</c:v>
                </c:pt>
                <c:pt idx="92">
                  <c:v>2.9660000000000002</c:v>
                </c:pt>
                <c:pt idx="93">
                  <c:v>2.9929999999999999</c:v>
                </c:pt>
                <c:pt idx="94">
                  <c:v>3.0190000000000001</c:v>
                </c:pt>
                <c:pt idx="95">
                  <c:v>3.0459999999999998</c:v>
                </c:pt>
                <c:pt idx="96">
                  <c:v>3.073</c:v>
                </c:pt>
                <c:pt idx="97">
                  <c:v>3.0990000000000002</c:v>
                </c:pt>
                <c:pt idx="98">
                  <c:v>3.1259999999999999</c:v>
                </c:pt>
                <c:pt idx="99">
                  <c:v>3.153</c:v>
                </c:pt>
                <c:pt idx="100">
                  <c:v>3.1789999999999998</c:v>
                </c:pt>
                <c:pt idx="101">
                  <c:v>3.206</c:v>
                </c:pt>
                <c:pt idx="102">
                  <c:v>3.2330000000000001</c:v>
                </c:pt>
                <c:pt idx="103">
                  <c:v>3.2589999999999999</c:v>
                </c:pt>
                <c:pt idx="104">
                  <c:v>3.286</c:v>
                </c:pt>
                <c:pt idx="105">
                  <c:v>3.3130000000000002</c:v>
                </c:pt>
                <c:pt idx="106">
                  <c:v>3.339</c:v>
                </c:pt>
                <c:pt idx="107">
                  <c:v>3.3660000000000001</c:v>
                </c:pt>
                <c:pt idx="108">
                  <c:v>3.3929999999999998</c:v>
                </c:pt>
                <c:pt idx="109">
                  <c:v>3.419</c:v>
                </c:pt>
                <c:pt idx="110">
                  <c:v>3.4460000000000002</c:v>
                </c:pt>
                <c:pt idx="111">
                  <c:v>3.4729999999999999</c:v>
                </c:pt>
                <c:pt idx="112">
                  <c:v>3.4990000000000001</c:v>
                </c:pt>
                <c:pt idx="113">
                  <c:v>3.5259999999999998</c:v>
                </c:pt>
                <c:pt idx="114">
                  <c:v>3.5529999999999999</c:v>
                </c:pt>
                <c:pt idx="115">
                  <c:v>3.5790000000000002</c:v>
                </c:pt>
                <c:pt idx="116">
                  <c:v>3.6059999999999999</c:v>
                </c:pt>
                <c:pt idx="117">
                  <c:v>3.633</c:v>
                </c:pt>
                <c:pt idx="118">
                  <c:v>3.6589999999999998</c:v>
                </c:pt>
                <c:pt idx="119">
                  <c:v>3.6859999999999999</c:v>
                </c:pt>
                <c:pt idx="120">
                  <c:v>3.7130000000000001</c:v>
                </c:pt>
                <c:pt idx="121">
                  <c:v>3.7389999999999999</c:v>
                </c:pt>
                <c:pt idx="122">
                  <c:v>3.766</c:v>
                </c:pt>
                <c:pt idx="123">
                  <c:v>3.7930000000000001</c:v>
                </c:pt>
                <c:pt idx="124">
                  <c:v>3.819</c:v>
                </c:pt>
                <c:pt idx="125">
                  <c:v>3.8460000000000001</c:v>
                </c:pt>
                <c:pt idx="126">
                  <c:v>3.8730000000000002</c:v>
                </c:pt>
                <c:pt idx="127">
                  <c:v>3.899</c:v>
                </c:pt>
                <c:pt idx="128">
                  <c:v>3.9260000000000002</c:v>
                </c:pt>
                <c:pt idx="129">
                  <c:v>3.9529999999999998</c:v>
                </c:pt>
                <c:pt idx="130">
                  <c:v>3.9790000000000001</c:v>
                </c:pt>
                <c:pt idx="131">
                  <c:v>4.0060000000000002</c:v>
                </c:pt>
                <c:pt idx="132">
                  <c:v>4.0330000000000004</c:v>
                </c:pt>
                <c:pt idx="133">
                  <c:v>4.0590000000000002</c:v>
                </c:pt>
                <c:pt idx="134">
                  <c:v>4.0860000000000003</c:v>
                </c:pt>
                <c:pt idx="135">
                  <c:v>4.1130000000000004</c:v>
                </c:pt>
                <c:pt idx="136">
                  <c:v>4.1390000000000002</c:v>
                </c:pt>
                <c:pt idx="137">
                  <c:v>4.1660000000000004</c:v>
                </c:pt>
                <c:pt idx="138">
                  <c:v>4.1929999999999996</c:v>
                </c:pt>
                <c:pt idx="139">
                  <c:v>4.2190000000000003</c:v>
                </c:pt>
                <c:pt idx="140">
                  <c:v>4.2460000000000004</c:v>
                </c:pt>
                <c:pt idx="141">
                  <c:v>4.2729999999999997</c:v>
                </c:pt>
                <c:pt idx="142">
                  <c:v>4.2990000000000004</c:v>
                </c:pt>
                <c:pt idx="143">
                  <c:v>4.3259999999999996</c:v>
                </c:pt>
                <c:pt idx="144">
                  <c:v>4.3529999999999998</c:v>
                </c:pt>
                <c:pt idx="145">
                  <c:v>4.3789999999999996</c:v>
                </c:pt>
                <c:pt idx="146">
                  <c:v>4.4059999999999997</c:v>
                </c:pt>
                <c:pt idx="147">
                  <c:v>4.4329999999999998</c:v>
                </c:pt>
                <c:pt idx="148">
                  <c:v>4.4589999999999996</c:v>
                </c:pt>
                <c:pt idx="149">
                  <c:v>4.4859999999999998</c:v>
                </c:pt>
                <c:pt idx="150">
                  <c:v>4.5129999999999999</c:v>
                </c:pt>
                <c:pt idx="151">
                  <c:v>4.5389999999999997</c:v>
                </c:pt>
                <c:pt idx="152">
                  <c:v>4.5659999999999998</c:v>
                </c:pt>
                <c:pt idx="153">
                  <c:v>4.593</c:v>
                </c:pt>
                <c:pt idx="154">
                  <c:v>4.6189999999999998</c:v>
                </c:pt>
                <c:pt idx="155">
                  <c:v>4.6459999999999999</c:v>
                </c:pt>
                <c:pt idx="156">
                  <c:v>4.673</c:v>
                </c:pt>
                <c:pt idx="157">
                  <c:v>4.6989999999999998</c:v>
                </c:pt>
                <c:pt idx="158">
                  <c:v>4.726</c:v>
                </c:pt>
                <c:pt idx="159">
                  <c:v>4.7530000000000001</c:v>
                </c:pt>
                <c:pt idx="160">
                  <c:v>4.7789999999999999</c:v>
                </c:pt>
                <c:pt idx="161">
                  <c:v>4.806</c:v>
                </c:pt>
                <c:pt idx="162">
                  <c:v>4.8330000000000002</c:v>
                </c:pt>
                <c:pt idx="163">
                  <c:v>4.859</c:v>
                </c:pt>
                <c:pt idx="164">
                  <c:v>4.8860000000000001</c:v>
                </c:pt>
                <c:pt idx="165">
                  <c:v>4.9130000000000003</c:v>
                </c:pt>
                <c:pt idx="166">
                  <c:v>4.9390000000000001</c:v>
                </c:pt>
                <c:pt idx="167">
                  <c:v>4.9660000000000002</c:v>
                </c:pt>
                <c:pt idx="168">
                  <c:v>4.9930000000000003</c:v>
                </c:pt>
                <c:pt idx="169">
                  <c:v>5.0190000000000001</c:v>
                </c:pt>
                <c:pt idx="170">
                  <c:v>5.0460000000000003</c:v>
                </c:pt>
                <c:pt idx="171">
                  <c:v>5.0730000000000004</c:v>
                </c:pt>
                <c:pt idx="172">
                  <c:v>5.0990000000000002</c:v>
                </c:pt>
                <c:pt idx="173">
                  <c:v>5.1260000000000003</c:v>
                </c:pt>
                <c:pt idx="174">
                  <c:v>5.1529999999999996</c:v>
                </c:pt>
                <c:pt idx="175">
                  <c:v>5.1790000000000003</c:v>
                </c:pt>
                <c:pt idx="176">
                  <c:v>5.2060000000000004</c:v>
                </c:pt>
                <c:pt idx="177">
                  <c:v>5.2329999999999997</c:v>
                </c:pt>
                <c:pt idx="178">
                  <c:v>5.2590000000000003</c:v>
                </c:pt>
                <c:pt idx="179">
                  <c:v>5.2859999999999996</c:v>
                </c:pt>
                <c:pt idx="180">
                  <c:v>5.3129999999999997</c:v>
                </c:pt>
                <c:pt idx="181">
                  <c:v>5.3390000000000004</c:v>
                </c:pt>
                <c:pt idx="182">
                  <c:v>5.3659999999999997</c:v>
                </c:pt>
                <c:pt idx="183">
                  <c:v>5.3929999999999998</c:v>
                </c:pt>
                <c:pt idx="184">
                  <c:v>5.4189999999999996</c:v>
                </c:pt>
                <c:pt idx="185">
                  <c:v>5.4459999999999997</c:v>
                </c:pt>
                <c:pt idx="186">
                  <c:v>5.4729999999999999</c:v>
                </c:pt>
                <c:pt idx="187">
                  <c:v>5.4989999999999997</c:v>
                </c:pt>
                <c:pt idx="188">
                  <c:v>5.5259999999999998</c:v>
                </c:pt>
                <c:pt idx="189">
                  <c:v>5.5529999999999999</c:v>
                </c:pt>
                <c:pt idx="190">
                  <c:v>5.5789999999999997</c:v>
                </c:pt>
                <c:pt idx="191">
                  <c:v>5.6059999999999999</c:v>
                </c:pt>
                <c:pt idx="192">
                  <c:v>5.633</c:v>
                </c:pt>
                <c:pt idx="193">
                  <c:v>5.6589999999999998</c:v>
                </c:pt>
                <c:pt idx="194">
                  <c:v>5.6859999999999999</c:v>
                </c:pt>
                <c:pt idx="195">
                  <c:v>5.7130000000000001</c:v>
                </c:pt>
                <c:pt idx="196">
                  <c:v>5.7389999999999999</c:v>
                </c:pt>
                <c:pt idx="197">
                  <c:v>5.766</c:v>
                </c:pt>
                <c:pt idx="198">
                  <c:v>5.7930000000000001</c:v>
                </c:pt>
                <c:pt idx="199">
                  <c:v>5.819</c:v>
                </c:pt>
                <c:pt idx="200">
                  <c:v>5.8460000000000001</c:v>
                </c:pt>
                <c:pt idx="201">
                  <c:v>5.8730000000000002</c:v>
                </c:pt>
                <c:pt idx="202">
                  <c:v>5.899</c:v>
                </c:pt>
                <c:pt idx="203">
                  <c:v>5.9260000000000002</c:v>
                </c:pt>
                <c:pt idx="204">
                  <c:v>5.9530000000000003</c:v>
                </c:pt>
                <c:pt idx="205">
                  <c:v>5.9790000000000001</c:v>
                </c:pt>
                <c:pt idx="206">
                  <c:v>6.0060000000000002</c:v>
                </c:pt>
                <c:pt idx="207">
                  <c:v>6.0330000000000004</c:v>
                </c:pt>
                <c:pt idx="208">
                  <c:v>6.0590000000000002</c:v>
                </c:pt>
                <c:pt idx="209">
                  <c:v>6.0860000000000003</c:v>
                </c:pt>
                <c:pt idx="210">
                  <c:v>6.1130000000000004</c:v>
                </c:pt>
                <c:pt idx="211">
                  <c:v>6.1390000000000002</c:v>
                </c:pt>
                <c:pt idx="212">
                  <c:v>6.1660000000000004</c:v>
                </c:pt>
                <c:pt idx="213">
                  <c:v>6.1929999999999996</c:v>
                </c:pt>
                <c:pt idx="214">
                  <c:v>6.2190000000000003</c:v>
                </c:pt>
                <c:pt idx="215">
                  <c:v>6.2460000000000004</c:v>
                </c:pt>
                <c:pt idx="216">
                  <c:v>6.2729999999999997</c:v>
                </c:pt>
                <c:pt idx="217">
                  <c:v>6.2990000000000004</c:v>
                </c:pt>
                <c:pt idx="218">
                  <c:v>6.3259999999999996</c:v>
                </c:pt>
                <c:pt idx="219">
                  <c:v>6.3529999999999998</c:v>
                </c:pt>
                <c:pt idx="220">
                  <c:v>6.3789999999999996</c:v>
                </c:pt>
                <c:pt idx="221">
                  <c:v>6.4059999999999997</c:v>
                </c:pt>
                <c:pt idx="222">
                  <c:v>6.4329999999999998</c:v>
                </c:pt>
                <c:pt idx="223">
                  <c:v>6.4589999999999996</c:v>
                </c:pt>
                <c:pt idx="224">
                  <c:v>6.4859999999999998</c:v>
                </c:pt>
                <c:pt idx="225">
                  <c:v>6.5129999999999999</c:v>
                </c:pt>
                <c:pt idx="226">
                  <c:v>6.5389999999999997</c:v>
                </c:pt>
                <c:pt idx="227">
                  <c:v>6.5659999999999998</c:v>
                </c:pt>
                <c:pt idx="228">
                  <c:v>6.593</c:v>
                </c:pt>
                <c:pt idx="229">
                  <c:v>6.6189999999999998</c:v>
                </c:pt>
                <c:pt idx="230">
                  <c:v>6.6459999999999999</c:v>
                </c:pt>
                <c:pt idx="231">
                  <c:v>6.673</c:v>
                </c:pt>
                <c:pt idx="232">
                  <c:v>6.6989999999999998</c:v>
                </c:pt>
                <c:pt idx="233">
                  <c:v>6.726</c:v>
                </c:pt>
                <c:pt idx="234">
                  <c:v>6.7530000000000001</c:v>
                </c:pt>
                <c:pt idx="235">
                  <c:v>6.7789999999999999</c:v>
                </c:pt>
                <c:pt idx="236">
                  <c:v>6.806</c:v>
                </c:pt>
                <c:pt idx="237">
                  <c:v>6.8330000000000002</c:v>
                </c:pt>
                <c:pt idx="238">
                  <c:v>6.859</c:v>
                </c:pt>
                <c:pt idx="239">
                  <c:v>6.8860000000000001</c:v>
                </c:pt>
                <c:pt idx="240">
                  <c:v>6.9130000000000003</c:v>
                </c:pt>
                <c:pt idx="241">
                  <c:v>6.9390000000000001</c:v>
                </c:pt>
                <c:pt idx="242">
                  <c:v>6.9660000000000002</c:v>
                </c:pt>
                <c:pt idx="243">
                  <c:v>6.9930000000000003</c:v>
                </c:pt>
                <c:pt idx="244">
                  <c:v>7.0190000000000001</c:v>
                </c:pt>
                <c:pt idx="245">
                  <c:v>7.0460000000000003</c:v>
                </c:pt>
                <c:pt idx="246">
                  <c:v>7.0730000000000004</c:v>
                </c:pt>
                <c:pt idx="247">
                  <c:v>7.0990000000000002</c:v>
                </c:pt>
                <c:pt idx="248">
                  <c:v>7.1260000000000003</c:v>
                </c:pt>
                <c:pt idx="249">
                  <c:v>7.1529999999999996</c:v>
                </c:pt>
                <c:pt idx="250">
                  <c:v>7.1790000000000003</c:v>
                </c:pt>
                <c:pt idx="251">
                  <c:v>7.2060000000000004</c:v>
                </c:pt>
                <c:pt idx="252">
                  <c:v>7.2329999999999997</c:v>
                </c:pt>
                <c:pt idx="253">
                  <c:v>7.2590000000000003</c:v>
                </c:pt>
                <c:pt idx="254">
                  <c:v>7.2859999999999996</c:v>
                </c:pt>
                <c:pt idx="255">
                  <c:v>7.3129999999999997</c:v>
                </c:pt>
                <c:pt idx="256">
                  <c:v>7.3390000000000004</c:v>
                </c:pt>
                <c:pt idx="257">
                  <c:v>7.3659999999999997</c:v>
                </c:pt>
                <c:pt idx="258">
                  <c:v>7.3929999999999998</c:v>
                </c:pt>
                <c:pt idx="259">
                  <c:v>7.4189999999999996</c:v>
                </c:pt>
                <c:pt idx="260">
                  <c:v>7.4459999999999997</c:v>
                </c:pt>
                <c:pt idx="261">
                  <c:v>7.4729999999999999</c:v>
                </c:pt>
                <c:pt idx="262">
                  <c:v>7.4989999999999997</c:v>
                </c:pt>
                <c:pt idx="263">
                  <c:v>7.5259999999999998</c:v>
                </c:pt>
                <c:pt idx="264">
                  <c:v>7.5529999999999999</c:v>
                </c:pt>
                <c:pt idx="265">
                  <c:v>7.5789999999999997</c:v>
                </c:pt>
                <c:pt idx="266">
                  <c:v>7.6059999999999999</c:v>
                </c:pt>
                <c:pt idx="267">
                  <c:v>7.633</c:v>
                </c:pt>
                <c:pt idx="268">
                  <c:v>7.6589999999999998</c:v>
                </c:pt>
                <c:pt idx="269">
                  <c:v>7.6859999999999999</c:v>
                </c:pt>
                <c:pt idx="270">
                  <c:v>7.7130000000000001</c:v>
                </c:pt>
                <c:pt idx="271">
                  <c:v>7.7389999999999999</c:v>
                </c:pt>
                <c:pt idx="272">
                  <c:v>7.766</c:v>
                </c:pt>
                <c:pt idx="273">
                  <c:v>7.7930000000000001</c:v>
                </c:pt>
                <c:pt idx="274">
                  <c:v>7.819</c:v>
                </c:pt>
                <c:pt idx="275">
                  <c:v>7.8460000000000001</c:v>
                </c:pt>
                <c:pt idx="276">
                  <c:v>7.8730000000000002</c:v>
                </c:pt>
                <c:pt idx="277">
                  <c:v>7.899</c:v>
                </c:pt>
                <c:pt idx="278">
                  <c:v>7.9260000000000002</c:v>
                </c:pt>
                <c:pt idx="279">
                  <c:v>7.9530000000000003</c:v>
                </c:pt>
                <c:pt idx="280">
                  <c:v>7.9790000000000001</c:v>
                </c:pt>
                <c:pt idx="281">
                  <c:v>8.0060000000000002</c:v>
                </c:pt>
                <c:pt idx="282">
                  <c:v>8.0329999999999995</c:v>
                </c:pt>
                <c:pt idx="283">
                  <c:v>8.0589999999999993</c:v>
                </c:pt>
                <c:pt idx="284">
                  <c:v>8.0860000000000003</c:v>
                </c:pt>
                <c:pt idx="285">
                  <c:v>8.1129999999999995</c:v>
                </c:pt>
                <c:pt idx="286">
                  <c:v>8.1389999999999993</c:v>
                </c:pt>
                <c:pt idx="287">
                  <c:v>8.1660000000000004</c:v>
                </c:pt>
                <c:pt idx="288">
                  <c:v>8.1929999999999996</c:v>
                </c:pt>
                <c:pt idx="289">
                  <c:v>8.2189999999999994</c:v>
                </c:pt>
                <c:pt idx="290">
                  <c:v>8.2460000000000004</c:v>
                </c:pt>
                <c:pt idx="291">
                  <c:v>8.2729999999999997</c:v>
                </c:pt>
                <c:pt idx="292">
                  <c:v>8.2989999999999995</c:v>
                </c:pt>
                <c:pt idx="293">
                  <c:v>8.3260000000000005</c:v>
                </c:pt>
                <c:pt idx="294">
                  <c:v>8.3529999999999998</c:v>
                </c:pt>
                <c:pt idx="295">
                  <c:v>8.3789999999999996</c:v>
                </c:pt>
                <c:pt idx="296">
                  <c:v>8.4060000000000006</c:v>
                </c:pt>
                <c:pt idx="297">
                  <c:v>8.4329999999999998</c:v>
                </c:pt>
                <c:pt idx="298">
                  <c:v>8.4589999999999996</c:v>
                </c:pt>
                <c:pt idx="299">
                  <c:v>8.4860000000000007</c:v>
                </c:pt>
                <c:pt idx="300">
                  <c:v>8.5129999999999999</c:v>
                </c:pt>
                <c:pt idx="301">
                  <c:v>8.5389999999999997</c:v>
                </c:pt>
                <c:pt idx="302">
                  <c:v>8.5660000000000007</c:v>
                </c:pt>
                <c:pt idx="303">
                  <c:v>8.593</c:v>
                </c:pt>
                <c:pt idx="304">
                  <c:v>8.6189999999999998</c:v>
                </c:pt>
                <c:pt idx="305">
                  <c:v>8.6460000000000008</c:v>
                </c:pt>
                <c:pt idx="306">
                  <c:v>8.673</c:v>
                </c:pt>
                <c:pt idx="307">
                  <c:v>8.6989999999999998</c:v>
                </c:pt>
                <c:pt idx="308">
                  <c:v>8.7260000000000009</c:v>
                </c:pt>
                <c:pt idx="309">
                  <c:v>8.7530000000000001</c:v>
                </c:pt>
                <c:pt idx="310">
                  <c:v>8.7789999999999999</c:v>
                </c:pt>
                <c:pt idx="311">
                  <c:v>8.8059999999999992</c:v>
                </c:pt>
                <c:pt idx="312">
                  <c:v>8.8330000000000002</c:v>
                </c:pt>
                <c:pt idx="313">
                  <c:v>8.859</c:v>
                </c:pt>
                <c:pt idx="314">
                  <c:v>8.8859999999999992</c:v>
                </c:pt>
                <c:pt idx="315">
                  <c:v>8.9130000000000003</c:v>
                </c:pt>
                <c:pt idx="316">
                  <c:v>8.9390000000000001</c:v>
                </c:pt>
                <c:pt idx="317">
                  <c:v>8.9659999999999993</c:v>
                </c:pt>
                <c:pt idx="318">
                  <c:v>8.9930000000000003</c:v>
                </c:pt>
                <c:pt idx="319">
                  <c:v>9.0190000000000001</c:v>
                </c:pt>
                <c:pt idx="320">
                  <c:v>9.0459999999999994</c:v>
                </c:pt>
                <c:pt idx="321">
                  <c:v>9.0730000000000004</c:v>
                </c:pt>
                <c:pt idx="322">
                  <c:v>9.0990000000000002</c:v>
                </c:pt>
                <c:pt idx="323">
                  <c:v>9.1259999999999994</c:v>
                </c:pt>
                <c:pt idx="324">
                  <c:v>9.1530000000000005</c:v>
                </c:pt>
                <c:pt idx="325">
                  <c:v>9.1790000000000003</c:v>
                </c:pt>
                <c:pt idx="326">
                  <c:v>9.2059999999999995</c:v>
                </c:pt>
                <c:pt idx="327">
                  <c:v>9.2330000000000005</c:v>
                </c:pt>
                <c:pt idx="328">
                  <c:v>9.2590000000000003</c:v>
                </c:pt>
                <c:pt idx="329">
                  <c:v>9.2859999999999996</c:v>
                </c:pt>
                <c:pt idx="330">
                  <c:v>9.3130000000000006</c:v>
                </c:pt>
                <c:pt idx="331">
                  <c:v>9.3390000000000004</c:v>
                </c:pt>
                <c:pt idx="332">
                  <c:v>9.3659999999999997</c:v>
                </c:pt>
                <c:pt idx="333">
                  <c:v>9.3930000000000007</c:v>
                </c:pt>
                <c:pt idx="334">
                  <c:v>9.4190000000000005</c:v>
                </c:pt>
                <c:pt idx="335">
                  <c:v>9.4459999999999997</c:v>
                </c:pt>
                <c:pt idx="336">
                  <c:v>9.4730000000000008</c:v>
                </c:pt>
                <c:pt idx="337">
                  <c:v>9.4990000000000006</c:v>
                </c:pt>
                <c:pt idx="338">
                  <c:v>9.5259999999999998</c:v>
                </c:pt>
                <c:pt idx="339">
                  <c:v>9.5530000000000008</c:v>
                </c:pt>
                <c:pt idx="340">
                  <c:v>9.5790000000000006</c:v>
                </c:pt>
                <c:pt idx="341">
                  <c:v>9.6059999999999999</c:v>
                </c:pt>
                <c:pt idx="342">
                  <c:v>9.6329999999999991</c:v>
                </c:pt>
                <c:pt idx="343">
                  <c:v>9.6590000000000007</c:v>
                </c:pt>
                <c:pt idx="344">
                  <c:v>9.6859999999999999</c:v>
                </c:pt>
                <c:pt idx="345">
                  <c:v>9.7129999999999992</c:v>
                </c:pt>
                <c:pt idx="346">
                  <c:v>9.7390000000000008</c:v>
                </c:pt>
                <c:pt idx="347">
                  <c:v>9.766</c:v>
                </c:pt>
                <c:pt idx="348">
                  <c:v>9.7929999999999993</c:v>
                </c:pt>
                <c:pt idx="349">
                  <c:v>9.8190000000000008</c:v>
                </c:pt>
                <c:pt idx="350">
                  <c:v>9.8460000000000001</c:v>
                </c:pt>
                <c:pt idx="351">
                  <c:v>9.8729999999999993</c:v>
                </c:pt>
                <c:pt idx="352">
                  <c:v>9.8989999999999991</c:v>
                </c:pt>
                <c:pt idx="353">
                  <c:v>9.9260000000000002</c:v>
                </c:pt>
                <c:pt idx="354">
                  <c:v>9.9529999999999994</c:v>
                </c:pt>
                <c:pt idx="355">
                  <c:v>9.9789999999999992</c:v>
                </c:pt>
                <c:pt idx="356">
                  <c:v>10.006</c:v>
                </c:pt>
              </c:numCache>
            </c:numRef>
          </c:xVal>
          <c:yVal>
            <c:numRef>
              <c:f>ChromatogramData!$C$2:$C$10001</c:f>
              <c:numCache>
                <c:formatCode>General</c:formatCode>
                <c:ptCount val="10000"/>
                <c:pt idx="0">
                  <c:v>20.058923615629908</c:v>
                </c:pt>
                <c:pt idx="1">
                  <c:v>14.034452237387207</c:v>
                </c:pt>
                <c:pt idx="2">
                  <c:v>11.056631748562491</c:v>
                </c:pt>
                <c:pt idx="3">
                  <c:v>10.339346521327341</c:v>
                </c:pt>
                <c:pt idx="4">
                  <c:v>11.342821308923989</c:v>
                </c:pt>
                <c:pt idx="5">
                  <c:v>13.049090713104574</c:v>
                </c:pt>
                <c:pt idx="6">
                  <c:v>13.831583688270195</c:v>
                </c:pt>
                <c:pt idx="7">
                  <c:v>13.748262677025707</c:v>
                </c:pt>
                <c:pt idx="8">
                  <c:v>13.603356570513554</c:v>
                </c:pt>
                <c:pt idx="9">
                  <c:v>12.672334836172981</c:v>
                </c:pt>
                <c:pt idx="10">
                  <c:v>10.353837131978556</c:v>
                </c:pt>
                <c:pt idx="11">
                  <c:v>7.7020553828061811</c:v>
                </c:pt>
                <c:pt idx="12">
                  <c:v>6.3652965502315828</c:v>
                </c:pt>
                <c:pt idx="13">
                  <c:v>6.9159397549777584</c:v>
                </c:pt>
                <c:pt idx="14">
                  <c:v>9.9662132970585517</c:v>
                </c:pt>
                <c:pt idx="15">
                  <c:v>16.352949941581631</c:v>
                </c:pt>
                <c:pt idx="16">
                  <c:v>24.779240035263246</c:v>
                </c:pt>
                <c:pt idx="17">
                  <c:v>32.205677994011019</c:v>
                </c:pt>
                <c:pt idx="18">
                  <c:v>37.41505252312286</c:v>
                </c:pt>
                <c:pt idx="19">
                  <c:v>40.534156465796926</c:v>
                </c:pt>
                <c:pt idx="20">
                  <c:v>41.320272093625356</c:v>
                </c:pt>
                <c:pt idx="21">
                  <c:v>38.936566641500455</c:v>
                </c:pt>
                <c:pt idx="22">
                  <c:v>33.32145501415458</c:v>
                </c:pt>
                <c:pt idx="23">
                  <c:v>25.438562819893537</c:v>
                </c:pt>
                <c:pt idx="24">
                  <c:v>16.99778211556071</c:v>
                </c:pt>
                <c:pt idx="25">
                  <c:v>10.259648162745655</c:v>
                </c:pt>
                <c:pt idx="26">
                  <c:v>6.3979004241968163</c:v>
                </c:pt>
                <c:pt idx="27">
                  <c:v>4.7604614206095039</c:v>
                </c:pt>
                <c:pt idx="28">
                  <c:v>4.1373651626072521</c:v>
                </c:pt>
                <c:pt idx="29">
                  <c:v>3.8475529495829486</c:v>
                </c:pt>
                <c:pt idx="30">
                  <c:v>3.5867219578610765</c:v>
                </c:pt>
                <c:pt idx="31">
                  <c:v>3.2860417868483616</c:v>
                </c:pt>
                <c:pt idx="32">
                  <c:v>2.9744936578472361</c:v>
                </c:pt>
                <c:pt idx="33">
                  <c:v>2.7136626661253627</c:v>
                </c:pt>
                <c:pt idx="34">
                  <c:v>2.5071714643455469</c:v>
                </c:pt>
                <c:pt idx="35">
                  <c:v>2.3550200525077876</c:v>
                </c:pt>
                <c:pt idx="36">
                  <c:v>2.246340472623674</c:v>
                </c:pt>
                <c:pt idx="37">
                  <c:v>2.1412835454023638</c:v>
                </c:pt>
                <c:pt idx="38">
                  <c:v>2.0615851868206807</c:v>
                </c:pt>
                <c:pt idx="39">
                  <c:v>2.0181133548670354</c:v>
                </c:pt>
                <c:pt idx="40">
                  <c:v>2.0036227442158201</c:v>
                </c:pt>
                <c:pt idx="41">
                  <c:v>2.0000000915530163</c:v>
                </c:pt>
                <c:pt idx="42">
                  <c:v>2.0434719235066621</c:v>
                </c:pt>
                <c:pt idx="43">
                  <c:v>2.1449061980651676</c:v>
                </c:pt>
                <c:pt idx="44">
                  <c:v>2.2173592513212435</c:v>
                </c:pt>
                <c:pt idx="45">
                  <c:v>2.2535857779492816</c:v>
                </c:pt>
                <c:pt idx="46">
                  <c:v>2.2825669992517117</c:v>
                </c:pt>
                <c:pt idx="47">
                  <c:v>2.2789443465889079</c:v>
                </c:pt>
                <c:pt idx="48">
                  <c:v>2.2644537359376926</c:v>
                </c:pt>
                <c:pt idx="49">
                  <c:v>2.246340472623674</c:v>
                </c:pt>
                <c:pt idx="50">
                  <c:v>2.2354725146352625</c:v>
                </c:pt>
                <c:pt idx="51">
                  <c:v>2.2753216939261041</c:v>
                </c:pt>
                <c:pt idx="52">
                  <c:v>2.3441520945193761</c:v>
                </c:pt>
                <c:pt idx="53">
                  <c:v>2.4492090217406863</c:v>
                </c:pt>
                <c:pt idx="54">
                  <c:v>2.6086057389040529</c:v>
                </c:pt>
                <c:pt idx="55">
                  <c:v>2.8006063300326538</c:v>
                </c:pt>
                <c:pt idx="56">
                  <c:v>3.0252107951264886</c:v>
                </c:pt>
                <c:pt idx="57">
                  <c:v>3.3150230081507917</c:v>
                </c:pt>
                <c:pt idx="58">
                  <c:v>3.688156232419582</c:v>
                </c:pt>
                <c:pt idx="59">
                  <c:v>4.0721574146767843</c:v>
                </c:pt>
                <c:pt idx="60">
                  <c:v>4.2931392271078153</c:v>
                </c:pt>
                <c:pt idx="61">
                  <c:v>4.4199320703059479</c:v>
                </c:pt>
                <c:pt idx="62">
                  <c:v>4.4960077762248272</c:v>
                </c:pt>
                <c:pt idx="63">
                  <c:v>4.4525359442711814</c:v>
                </c:pt>
                <c:pt idx="64">
                  <c:v>4.5612155241552959</c:v>
                </c:pt>
                <c:pt idx="65">
                  <c:v>4.7640840732723078</c:v>
                </c:pt>
                <c:pt idx="66">
                  <c:v>5.0249150649941807</c:v>
                </c:pt>
                <c:pt idx="67">
                  <c:v>5.2096703507971736</c:v>
                </c:pt>
                <c:pt idx="68">
                  <c:v>5.2676327934020346</c:v>
                </c:pt>
                <c:pt idx="69">
                  <c:v>5.3545764573093262</c:v>
                </c:pt>
                <c:pt idx="70">
                  <c:v>5.3944256366001664</c:v>
                </c:pt>
                <c:pt idx="71">
                  <c:v>5.4777466478446541</c:v>
                </c:pt>
                <c:pt idx="72">
                  <c:v>5.6371433650080203</c:v>
                </c:pt>
                <c:pt idx="73">
                  <c:v>5.8074080401597996</c:v>
                </c:pt>
                <c:pt idx="74">
                  <c:v>6.2022771804054129</c:v>
                </c:pt>
                <c:pt idx="75">
                  <c:v>6.58265570999981</c:v>
                </c:pt>
                <c:pt idx="76">
                  <c:v>6.6261275419534558</c:v>
                </c:pt>
                <c:pt idx="77">
                  <c:v>6.4123910348480324</c:v>
                </c:pt>
                <c:pt idx="78">
                  <c:v>6.2855981916498997</c:v>
                </c:pt>
                <c:pt idx="79">
                  <c:v>6.4884667407669117</c:v>
                </c:pt>
                <c:pt idx="80">
                  <c:v>6.6261275419534558</c:v>
                </c:pt>
                <c:pt idx="81">
                  <c:v>6.5536744886973803</c:v>
                </c:pt>
                <c:pt idx="82">
                  <c:v>6.4558628668016773</c:v>
                </c:pt>
                <c:pt idx="83">
                  <c:v>6.5754104046742032</c:v>
                </c:pt>
                <c:pt idx="84">
                  <c:v>6.8833358810125249</c:v>
                </c:pt>
                <c:pt idx="85">
                  <c:v>7.2057519680020619</c:v>
                </c:pt>
                <c:pt idx="86">
                  <c:v>7.5281680549915988</c:v>
                </c:pt>
                <c:pt idx="87">
                  <c:v>7.7165459934573963</c:v>
                </c:pt>
                <c:pt idx="88">
                  <c:v>7.7636404780738451</c:v>
                </c:pt>
                <c:pt idx="89">
                  <c:v>7.7020553828061811</c:v>
                </c:pt>
                <c:pt idx="90">
                  <c:v>7.4955641810263653</c:v>
                </c:pt>
                <c:pt idx="91">
                  <c:v>7.3035635898977649</c:v>
                </c:pt>
                <c:pt idx="92">
                  <c:v>7.3542807271770174</c:v>
                </c:pt>
                <c:pt idx="93">
                  <c:v>7.1188083040947712</c:v>
                </c:pt>
                <c:pt idx="94">
                  <c:v>6.622504889290652</c:v>
                </c:pt>
                <c:pt idx="95">
                  <c:v>6.2819755389870968</c:v>
                </c:pt>
                <c:pt idx="96">
                  <c:v>6.3073341076267218</c:v>
                </c:pt>
                <c:pt idx="97">
                  <c:v>6.5971463206510261</c:v>
                </c:pt>
                <c:pt idx="98">
                  <c:v>7.2673370632697267</c:v>
                </c:pt>
                <c:pt idx="99">
                  <c:v>8.0353394277841304</c:v>
                </c:pt>
                <c:pt idx="100">
                  <c:v>8.8504362769149836</c:v>
                </c:pt>
                <c:pt idx="101">
                  <c:v>9.4191927449751791</c:v>
                </c:pt>
                <c:pt idx="102">
                  <c:v>9.5242496721964862</c:v>
                </c:pt>
                <c:pt idx="103">
                  <c:v>9.0170782994039573</c:v>
                </c:pt>
                <c:pt idx="104">
                  <c:v>8.1730002289706736</c:v>
                </c:pt>
                <c:pt idx="105">
                  <c:v>7.4484696964099166</c:v>
                </c:pt>
                <c:pt idx="106">
                  <c:v>7.1369215674087894</c:v>
                </c:pt>
                <c:pt idx="107">
                  <c:v>7.4883188757007568</c:v>
                </c:pt>
                <c:pt idx="108">
                  <c:v>8.5062842739486229</c:v>
                </c:pt>
                <c:pt idx="109">
                  <c:v>10.016930434337802</c:v>
                </c:pt>
                <c:pt idx="110">
                  <c:v>11.886219208344558</c:v>
                </c:pt>
                <c:pt idx="111">
                  <c:v>17.45423635107398</c:v>
                </c:pt>
                <c:pt idx="112">
                  <c:v>22.01877870620676</c:v>
                </c:pt>
                <c:pt idx="113">
                  <c:v>23.069347978419859</c:v>
                </c:pt>
                <c:pt idx="114">
                  <c:v>18.910542721521107</c:v>
                </c:pt>
                <c:pt idx="115">
                  <c:v>13.400488021396542</c:v>
                </c:pt>
                <c:pt idx="116">
                  <c:v>9.9481000337445309</c:v>
                </c:pt>
                <c:pt idx="117">
                  <c:v>8.4410765260181559</c:v>
                </c:pt>
                <c:pt idx="118">
                  <c:v>7.9447731112140358</c:v>
                </c:pt>
                <c:pt idx="119">
                  <c:v>7.8904333212719786</c:v>
                </c:pt>
                <c:pt idx="120">
                  <c:v>8.2164720609243194</c:v>
                </c:pt>
                <c:pt idx="121">
                  <c:v>10.857385852108282</c:v>
                </c:pt>
                <c:pt idx="122">
                  <c:v>12.183276726694469</c:v>
                </c:pt>
                <c:pt idx="123">
                  <c:v>12.190522032020077</c:v>
                </c:pt>
                <c:pt idx="124">
                  <c:v>10.060402266291447</c:v>
                </c:pt>
                <c:pt idx="125">
                  <c:v>8.8902854562058238</c:v>
                </c:pt>
                <c:pt idx="126">
                  <c:v>8.6330771171467564</c:v>
                </c:pt>
                <c:pt idx="127">
                  <c:v>8.346887556785255</c:v>
                </c:pt>
                <c:pt idx="128">
                  <c:v>7.9157918899116053</c:v>
                </c:pt>
                <c:pt idx="129">
                  <c:v>8.3867367360760987</c:v>
                </c:pt>
                <c:pt idx="130">
                  <c:v>12.520183424335222</c:v>
                </c:pt>
                <c:pt idx="131">
                  <c:v>15.987062022638451</c:v>
                </c:pt>
                <c:pt idx="132">
                  <c:v>15.708117767602559</c:v>
                </c:pt>
                <c:pt idx="133">
                  <c:v>13.09256254505822</c:v>
                </c:pt>
                <c:pt idx="134">
                  <c:v>10.035043697651822</c:v>
                </c:pt>
                <c:pt idx="135">
                  <c:v>7.8505841419811366</c:v>
                </c:pt>
                <c:pt idx="136">
                  <c:v>6.8760905756869164</c:v>
                </c:pt>
                <c:pt idx="137">
                  <c:v>6.618882236627849</c:v>
                </c:pt>
                <c:pt idx="138">
                  <c:v>6.6695993739071016</c:v>
                </c:pt>
                <c:pt idx="139">
                  <c:v>8.2200947135871232</c:v>
                </c:pt>
                <c:pt idx="140">
                  <c:v>10.763196882875384</c:v>
                </c:pt>
                <c:pt idx="141">
                  <c:v>11.455123541470908</c:v>
                </c:pt>
                <c:pt idx="142">
                  <c:v>10.650894650328466</c:v>
                </c:pt>
                <c:pt idx="143">
                  <c:v>8.459189789332175</c:v>
                </c:pt>
                <c:pt idx="144">
                  <c:v>7.5861304975964599</c:v>
                </c:pt>
                <c:pt idx="145">
                  <c:v>19.25831737715027</c:v>
                </c:pt>
                <c:pt idx="146">
                  <c:v>44.671225806718851</c:v>
                </c:pt>
                <c:pt idx="147">
                  <c:v>50.199393770157442</c:v>
                </c:pt>
                <c:pt idx="148">
                  <c:v>33.238134002910101</c:v>
                </c:pt>
                <c:pt idx="149">
                  <c:v>17.189782706689307</c:v>
                </c:pt>
                <c:pt idx="150">
                  <c:v>12.107201020775591</c:v>
                </c:pt>
                <c:pt idx="151">
                  <c:v>10.451648753874258</c:v>
                </c:pt>
                <c:pt idx="152">
                  <c:v>9.0895313526600319</c:v>
                </c:pt>
                <c:pt idx="153">
                  <c:v>8.1585096183194583</c:v>
                </c:pt>
                <c:pt idx="154">
                  <c:v>7.8542067946439396</c:v>
                </c:pt>
                <c:pt idx="155">
                  <c:v>7.6549608981897324</c:v>
                </c:pt>
                <c:pt idx="156">
                  <c:v>7.9701316798536617</c:v>
                </c:pt>
                <c:pt idx="157">
                  <c:v>8.3867367360760987</c:v>
                </c:pt>
                <c:pt idx="158">
                  <c:v>8.6874169070888119</c:v>
                </c:pt>
                <c:pt idx="159">
                  <c:v>8.1657549236450677</c:v>
                </c:pt>
                <c:pt idx="160">
                  <c:v>7.1260536094203797</c:v>
                </c:pt>
                <c:pt idx="161">
                  <c:v>6.4123910348480324</c:v>
                </c:pt>
                <c:pt idx="162">
                  <c:v>6.2855981916498997</c:v>
                </c:pt>
                <c:pt idx="163">
                  <c:v>6.8724679230241135</c:v>
                </c:pt>
                <c:pt idx="164">
                  <c:v>7.5607719289568331</c:v>
                </c:pt>
                <c:pt idx="165">
                  <c:v>8.7127754757284386</c:v>
                </c:pt>
                <c:pt idx="166">
                  <c:v>9.2670413331374171</c:v>
                </c:pt>
                <c:pt idx="167">
                  <c:v>9.0750407420088166</c:v>
                </c:pt>
                <c:pt idx="168">
                  <c:v>8.1403963550054392</c:v>
                </c:pt>
                <c:pt idx="169">
                  <c:v>7.4013752117934661</c:v>
                </c:pt>
                <c:pt idx="170">
                  <c:v>7.0391099455130881</c:v>
                </c:pt>
                <c:pt idx="171">
                  <c:v>7.0137513768734614</c:v>
                </c:pt>
                <c:pt idx="172">
                  <c:v>8.2128494082615155</c:v>
                </c:pt>
                <c:pt idx="173">
                  <c:v>9.7234955686506961</c:v>
                </c:pt>
                <c:pt idx="174">
                  <c:v>9.8502884118488296</c:v>
                </c:pt>
                <c:pt idx="175">
                  <c:v>10.582064249735195</c:v>
                </c:pt>
                <c:pt idx="176">
                  <c:v>10.353837131978556</c:v>
                </c:pt>
                <c:pt idx="177">
                  <c:v>9.0134556467411535</c:v>
                </c:pt>
                <c:pt idx="178">
                  <c:v>8.223717366249927</c:v>
                </c:pt>
                <c:pt idx="179">
                  <c:v>8.1114151337030087</c:v>
                </c:pt>
                <c:pt idx="180">
                  <c:v>7.7563951727482383</c:v>
                </c:pt>
                <c:pt idx="181">
                  <c:v>6.9195624076405622</c:v>
                </c:pt>
                <c:pt idx="182">
                  <c:v>6.6623540685814939</c:v>
                </c:pt>
                <c:pt idx="183">
                  <c:v>8.365000820099274</c:v>
                </c:pt>
                <c:pt idx="184">
                  <c:v>42.106387721453771</c:v>
                </c:pt>
                <c:pt idx="185">
                  <c:v>74.228448882534977</c:v>
                </c:pt>
                <c:pt idx="186">
                  <c:v>71.562176522711383</c:v>
                </c:pt>
                <c:pt idx="187">
                  <c:v>37.636034335553894</c:v>
                </c:pt>
                <c:pt idx="188">
                  <c:v>15.418305554578255</c:v>
                </c:pt>
                <c:pt idx="189">
                  <c:v>7.1985066626764551</c:v>
                </c:pt>
                <c:pt idx="190">
                  <c:v>6.3254473709407417</c:v>
                </c:pt>
                <c:pt idx="191">
                  <c:v>8.1150377863658125</c:v>
                </c:pt>
                <c:pt idx="192">
                  <c:v>10.172704498838366</c:v>
                </c:pt>
                <c:pt idx="193">
                  <c:v>10.313987952687713</c:v>
                </c:pt>
                <c:pt idx="194">
                  <c:v>8.8287003609381607</c:v>
                </c:pt>
                <c:pt idx="195">
                  <c:v>7.0572232088271072</c:v>
                </c:pt>
                <c:pt idx="196">
                  <c:v>6.560919794022988</c:v>
                </c:pt>
                <c:pt idx="197">
                  <c:v>6.542806530708968</c:v>
                </c:pt>
                <c:pt idx="198">
                  <c:v>6.5174479620693422</c:v>
                </c:pt>
                <c:pt idx="199">
                  <c:v>6.300088802301115</c:v>
                </c:pt>
                <c:pt idx="200">
                  <c:v>6.1551826957889624</c:v>
                </c:pt>
                <c:pt idx="201">
                  <c:v>6.0428804632420459</c:v>
                </c:pt>
                <c:pt idx="202">
                  <c:v>5.9378235360207352</c:v>
                </c:pt>
                <c:pt idx="203">
                  <c:v>5.9559367993347543</c:v>
                </c:pt>
                <c:pt idx="204">
                  <c:v>6.3037114549639188</c:v>
                </c:pt>
                <c:pt idx="205">
                  <c:v>6.4196363401736392</c:v>
                </c:pt>
                <c:pt idx="206">
                  <c:v>6.1914092224170005</c:v>
                </c:pt>
                <c:pt idx="207">
                  <c:v>5.9342008833579314</c:v>
                </c:pt>
                <c:pt idx="208">
                  <c:v>5.9088423147183056</c:v>
                </c:pt>
                <c:pt idx="209">
                  <c:v>6.0138992419396153</c:v>
                </c:pt>
                <c:pt idx="210">
                  <c:v>6.0609937265560641</c:v>
                </c:pt>
                <c:pt idx="211">
                  <c:v>6.0935976005212984</c:v>
                </c:pt>
                <c:pt idx="212">
                  <c:v>5.981295367974381</c:v>
                </c:pt>
                <c:pt idx="213">
                  <c:v>5.9124649673811085</c:v>
                </c:pt>
                <c:pt idx="214">
                  <c:v>5.9160876200439141</c:v>
                </c:pt>
                <c:pt idx="215">
                  <c:v>5.9486914940091475</c:v>
                </c:pt>
                <c:pt idx="216">
                  <c:v>6.0175218946024192</c:v>
                </c:pt>
                <c:pt idx="217">
                  <c:v>6.0283898525908306</c:v>
                </c:pt>
                <c:pt idx="218">
                  <c:v>6.021144547265223</c:v>
                </c:pt>
                <c:pt idx="219">
                  <c:v>6.021144547265223</c:v>
                </c:pt>
                <c:pt idx="220">
                  <c:v>6.0863522951956917</c:v>
                </c:pt>
                <c:pt idx="221">
                  <c:v>6.1262014744865327</c:v>
                </c:pt>
                <c:pt idx="222">
                  <c:v>6.1189561691609251</c:v>
                </c:pt>
                <c:pt idx="223">
                  <c:v>6.0428804632420459</c:v>
                </c:pt>
                <c:pt idx="224">
                  <c:v>6.0066539366140077</c:v>
                </c:pt>
                <c:pt idx="225">
                  <c:v>6.0682390318816717</c:v>
                </c:pt>
                <c:pt idx="226">
                  <c:v>6.2131451383938234</c:v>
                </c:pt>
                <c:pt idx="227">
                  <c:v>6.3652965502315828</c:v>
                </c:pt>
                <c:pt idx="228">
                  <c:v>6.3979004241968163</c:v>
                </c:pt>
                <c:pt idx="229">
                  <c:v>6.2493716650218616</c:v>
                </c:pt>
                <c:pt idx="230">
                  <c:v>6.1044655585097098</c:v>
                </c:pt>
                <c:pt idx="231">
                  <c:v>6.0320125052536335</c:v>
                </c:pt>
                <c:pt idx="232">
                  <c:v>6.0066539366140077</c:v>
                </c:pt>
                <c:pt idx="233">
                  <c:v>6.0102765892768106</c:v>
                </c:pt>
                <c:pt idx="234">
                  <c:v>6.021144547265223</c:v>
                </c:pt>
                <c:pt idx="235">
                  <c:v>6.0465031159048497</c:v>
                </c:pt>
                <c:pt idx="236">
                  <c:v>6.0718616845444764</c:v>
                </c:pt>
                <c:pt idx="237">
                  <c:v>6.079106989870084</c:v>
                </c:pt>
                <c:pt idx="238">
                  <c:v>6.1225788218237289</c:v>
                </c:pt>
                <c:pt idx="239">
                  <c:v>6.1986545277426091</c:v>
                </c:pt>
                <c:pt idx="240">
                  <c:v>6.2131451383938234</c:v>
                </c:pt>
                <c:pt idx="241">
                  <c:v>6.260239623010273</c:v>
                </c:pt>
                <c:pt idx="242">
                  <c:v>6.2674849283358807</c:v>
                </c:pt>
                <c:pt idx="243">
                  <c:v>6.2855981916498997</c:v>
                </c:pt>
                <c:pt idx="244">
                  <c:v>6.3399379815919561</c:v>
                </c:pt>
                <c:pt idx="245">
                  <c:v>6.3326926762663494</c:v>
                </c:pt>
                <c:pt idx="246">
                  <c:v>6.2964661496383112</c:v>
                </c:pt>
                <c:pt idx="247">
                  <c:v>6.2022771804054129</c:v>
                </c:pt>
                <c:pt idx="248">
                  <c:v>6.140692085137748</c:v>
                </c:pt>
                <c:pt idx="249">
                  <c:v>6.1189561691609251</c:v>
                </c:pt>
                <c:pt idx="250">
                  <c:v>6.1370694324749442</c:v>
                </c:pt>
                <c:pt idx="251">
                  <c:v>6.1479373904633556</c:v>
                </c:pt>
                <c:pt idx="252">
                  <c:v>6.1769186117657853</c:v>
                </c:pt>
                <c:pt idx="253">
                  <c:v>6.1914092224170005</c:v>
                </c:pt>
                <c:pt idx="254">
                  <c:v>6.2058998330682158</c:v>
                </c:pt>
                <c:pt idx="255">
                  <c:v>6.242126359696254</c:v>
                </c:pt>
                <c:pt idx="256">
                  <c:v>6.3979004241968163</c:v>
                </c:pt>
                <c:pt idx="257">
                  <c:v>6.5464291833717727</c:v>
                </c:pt>
                <c:pt idx="258">
                  <c:v>6.5971463206510261</c:v>
                </c:pt>
                <c:pt idx="259">
                  <c:v>6.542806530708968</c:v>
                </c:pt>
                <c:pt idx="260">
                  <c:v>6.4993346987553231</c:v>
                </c:pt>
                <c:pt idx="261">
                  <c:v>6.4594855194644811</c:v>
                </c:pt>
                <c:pt idx="262">
                  <c:v>6.5717877520113985</c:v>
                </c:pt>
                <c:pt idx="263">
                  <c:v>6.6261275419534558</c:v>
                </c:pt>
                <c:pt idx="264">
                  <c:v>6.6369954999418672</c:v>
                </c:pt>
                <c:pt idx="265">
                  <c:v>6.6877126372211206</c:v>
                </c:pt>
                <c:pt idx="266">
                  <c:v>6.58265570999981</c:v>
                </c:pt>
                <c:pt idx="267">
                  <c:v>6.542806530708968</c:v>
                </c:pt>
                <c:pt idx="268">
                  <c:v>6.5065800040809307</c:v>
                </c:pt>
                <c:pt idx="269">
                  <c:v>6.4667308247900896</c:v>
                </c:pt>
                <c:pt idx="270">
                  <c:v>6.4305042981620506</c:v>
                </c:pt>
                <c:pt idx="271">
                  <c:v>6.401523076859621</c:v>
                </c:pt>
                <c:pt idx="272">
                  <c:v>6.4051457295224239</c:v>
                </c:pt>
                <c:pt idx="273">
                  <c:v>6.4341269508248544</c:v>
                </c:pt>
                <c:pt idx="274">
                  <c:v>6.4594855194644811</c:v>
                </c:pt>
                <c:pt idx="275">
                  <c:v>6.481221435441304</c:v>
                </c:pt>
                <c:pt idx="276">
                  <c:v>6.4703534774528926</c:v>
                </c:pt>
                <c:pt idx="277">
                  <c:v>6.4703534774528926</c:v>
                </c:pt>
                <c:pt idx="278">
                  <c:v>6.5065800040809307</c:v>
                </c:pt>
                <c:pt idx="279">
                  <c:v>6.5899010153254185</c:v>
                </c:pt>
                <c:pt idx="280">
                  <c:v>6.7130712058607473</c:v>
                </c:pt>
                <c:pt idx="281">
                  <c:v>6.7674109958028037</c:v>
                </c:pt>
                <c:pt idx="282">
                  <c:v>6.781901606454019</c:v>
                </c:pt>
                <c:pt idx="283">
                  <c:v>6.7492977324887855</c:v>
                </c:pt>
                <c:pt idx="284">
                  <c:v>6.6840899845583168</c:v>
                </c:pt>
                <c:pt idx="285">
                  <c:v>6.644240805267474</c:v>
                </c:pt>
                <c:pt idx="286">
                  <c:v>6.644240805267474</c:v>
                </c:pt>
                <c:pt idx="287">
                  <c:v>6.618882236627849</c:v>
                </c:pt>
                <c:pt idx="288">
                  <c:v>6.622504889290652</c:v>
                </c:pt>
                <c:pt idx="289">
                  <c:v>6.618882236627849</c:v>
                </c:pt>
                <c:pt idx="290">
                  <c:v>6.6297501946162596</c:v>
                </c:pt>
                <c:pt idx="291">
                  <c:v>6.6623540685814939</c:v>
                </c:pt>
                <c:pt idx="292">
                  <c:v>6.7058259005351388</c:v>
                </c:pt>
                <c:pt idx="293">
                  <c:v>6.7927695644424304</c:v>
                </c:pt>
                <c:pt idx="294">
                  <c:v>6.9304303656289736</c:v>
                </c:pt>
                <c:pt idx="295">
                  <c:v>6.9666568922570127</c:v>
                </c:pt>
                <c:pt idx="296">
                  <c:v>7.0536005561643034</c:v>
                </c:pt>
                <c:pt idx="297">
                  <c:v>7.0209966821990681</c:v>
                </c:pt>
                <c:pt idx="298">
                  <c:v>6.9231850603033678</c:v>
                </c:pt>
                <c:pt idx="299">
                  <c:v>6.8833358810125249</c:v>
                </c:pt>
                <c:pt idx="300">
                  <c:v>6.9050717969893469</c:v>
                </c:pt>
                <c:pt idx="301">
                  <c:v>6.9594115869314042</c:v>
                </c:pt>
                <c:pt idx="302">
                  <c:v>6.9992607662222461</c:v>
                </c:pt>
                <c:pt idx="303">
                  <c:v>7.0644685141527139</c:v>
                </c:pt>
                <c:pt idx="304">
                  <c:v>7.1079403461063588</c:v>
                </c:pt>
                <c:pt idx="305">
                  <c:v>7.1550348307228093</c:v>
                </c:pt>
                <c:pt idx="306">
                  <c:v>7.1803933993624351</c:v>
                </c:pt>
                <c:pt idx="307">
                  <c:v>7.2129972733276704</c:v>
                </c:pt>
                <c:pt idx="308">
                  <c:v>7.2202425786532771</c:v>
                </c:pt>
                <c:pt idx="309">
                  <c:v>7.1985066626764551</c:v>
                </c:pt>
                <c:pt idx="310">
                  <c:v>7.2202425786532771</c:v>
                </c:pt>
                <c:pt idx="311">
                  <c:v>7.2166199259904742</c:v>
                </c:pt>
                <c:pt idx="312">
                  <c:v>7.2238652313160809</c:v>
                </c:pt>
                <c:pt idx="313">
                  <c:v>7.2383558419672962</c:v>
                </c:pt>
                <c:pt idx="314">
                  <c:v>7.2963182845721564</c:v>
                </c:pt>
                <c:pt idx="315">
                  <c:v>7.3325448112001954</c:v>
                </c:pt>
                <c:pt idx="316">
                  <c:v>7.3506580745142145</c:v>
                </c:pt>
                <c:pt idx="317">
                  <c:v>7.3723939904910356</c:v>
                </c:pt>
                <c:pt idx="318">
                  <c:v>7.4086205171190747</c:v>
                </c:pt>
                <c:pt idx="319">
                  <c:v>7.444847043747111</c:v>
                </c:pt>
                <c:pt idx="320">
                  <c:v>7.5209227496659921</c:v>
                </c:pt>
                <c:pt idx="321">
                  <c:v>7.5969984555848722</c:v>
                </c:pt>
                <c:pt idx="322">
                  <c:v>7.6585835508525362</c:v>
                </c:pt>
                <c:pt idx="323">
                  <c:v>7.6984327301433781</c:v>
                </c:pt>
                <c:pt idx="324">
                  <c:v>7.7672631307366489</c:v>
                </c:pt>
                <c:pt idx="325">
                  <c:v>7.8288482260043146</c:v>
                </c:pt>
                <c:pt idx="326">
                  <c:v>7.8542067946439396</c:v>
                </c:pt>
                <c:pt idx="327">
                  <c:v>7.9049239319231939</c:v>
                </c:pt>
                <c:pt idx="328">
                  <c:v>7.9302825005628206</c:v>
                </c:pt>
                <c:pt idx="329">
                  <c:v>7.9592637218652511</c:v>
                </c:pt>
                <c:pt idx="330">
                  <c:v>7.9954902484932884</c:v>
                </c:pt>
                <c:pt idx="331">
                  <c:v>8.0244714697957189</c:v>
                </c:pt>
                <c:pt idx="332">
                  <c:v>8.0570753437609532</c:v>
                </c:pt>
                <c:pt idx="333">
                  <c:v>8.0860565650633838</c:v>
                </c:pt>
                <c:pt idx="334">
                  <c:v>8.1367737023426372</c:v>
                </c:pt>
                <c:pt idx="335">
                  <c:v>8.2019814502731041</c:v>
                </c:pt>
                <c:pt idx="336">
                  <c:v>8.2853024615175919</c:v>
                </c:pt>
                <c:pt idx="337">
                  <c:v>8.404849999390116</c:v>
                </c:pt>
                <c:pt idx="338">
                  <c:v>8.5352654952510534</c:v>
                </c:pt>
                <c:pt idx="339">
                  <c:v>8.6765489491004022</c:v>
                </c:pt>
                <c:pt idx="340">
                  <c:v>8.7381340443680671</c:v>
                </c:pt>
                <c:pt idx="341">
                  <c:v>8.8395683189265704</c:v>
                </c:pt>
                <c:pt idx="342">
                  <c:v>8.9011534141942352</c:v>
                </c:pt>
                <c:pt idx="343">
                  <c:v>8.9373799408222752</c:v>
                </c:pt>
                <c:pt idx="344">
                  <c:v>9.024323604729565</c:v>
                </c:pt>
                <c:pt idx="345">
                  <c:v>9.1511164479276967</c:v>
                </c:pt>
                <c:pt idx="346">
                  <c:v>9.2742866384630265</c:v>
                </c:pt>
                <c:pt idx="347">
                  <c:v>9.3720982603587277</c:v>
                </c:pt>
                <c:pt idx="348">
                  <c:v>9.4228153976379829</c:v>
                </c:pt>
                <c:pt idx="349">
                  <c:v>9.4626645769288231</c:v>
                </c:pt>
                <c:pt idx="350">
                  <c:v>9.6365519047434045</c:v>
                </c:pt>
                <c:pt idx="351">
                  <c:v>9.8249298432092012</c:v>
                </c:pt>
                <c:pt idx="352">
                  <c:v>9.9191188124421004</c:v>
                </c:pt>
                <c:pt idx="353">
                  <c:v>9.9299867704305136</c:v>
                </c:pt>
                <c:pt idx="354">
                  <c:v>9.9118735071164927</c:v>
                </c:pt>
                <c:pt idx="355">
                  <c:v>9.9589679917329441</c:v>
                </c:pt>
                <c:pt idx="356">
                  <c:v>10.038666350314626</c:v>
                </c:pt>
              </c:numCache>
            </c:numRef>
          </c:yVal>
          <c:smooth val="1"/>
          <c:extLst>
            <c:ext xmlns:c16="http://schemas.microsoft.com/office/drawing/2014/chart" uri="{C3380CC4-5D6E-409C-BE32-E72D297353CC}">
              <c16:uniqueId val="{00000001-6C55-4540-A99B-AF279F0EE33F}"/>
            </c:ext>
          </c:extLst>
        </c:ser>
        <c:ser>
          <c:idx val="4"/>
          <c:order val="4"/>
          <c:tx>
            <c:v>Labels</c:v>
          </c:tx>
          <c:spPr>
            <a:ln w="19050" cap="rnd">
              <a:noFill/>
              <a:round/>
            </a:ln>
            <a:effectLst/>
          </c:spPr>
          <c:marker>
            <c:symbol val="none"/>
          </c:marker>
          <c:dLbls>
            <c:dLbl>
              <c:idx val="0"/>
              <c:tx>
                <c:rich>
                  <a:bodyPr/>
                  <a:lstStyle/>
                  <a:p>
                    <a:fld id="{64B8BFFE-6DFD-4068-B79A-12D1D04D4A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7335-49D1-8C6A-8F3F4FBD2926}"/>
                </c:ext>
              </c:extLst>
            </c:dLbl>
            <c:dLbl>
              <c:idx val="1"/>
              <c:tx>
                <c:rich>
                  <a:bodyPr/>
                  <a:lstStyle/>
                  <a:p>
                    <a:fld id="{38D6C363-AB9B-4374-9E09-D6A0825BD8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7335-49D1-8C6A-8F3F4FBD2926}"/>
                </c:ext>
              </c:extLst>
            </c:dLbl>
            <c:dLbl>
              <c:idx val="2"/>
              <c:tx>
                <c:rich>
                  <a:bodyPr/>
                  <a:lstStyle/>
                  <a:p>
                    <a:fld id="{55D19F02-7EA0-425A-892A-2256A1C8E2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7335-49D1-8C6A-8F3F4FBD2926}"/>
                </c:ext>
              </c:extLst>
            </c:dLbl>
            <c:dLbl>
              <c:idx val="3"/>
              <c:tx>
                <c:rich>
                  <a:bodyPr/>
                  <a:lstStyle/>
                  <a:p>
                    <a:fld id="{F6E335F6-82A5-4E0A-B0EE-E57DA874C7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335-49D1-8C6A-8F3F4FBD2926}"/>
                </c:ext>
              </c:extLst>
            </c:dLbl>
            <c:dLbl>
              <c:idx val="4"/>
              <c:tx>
                <c:rich>
                  <a:bodyPr/>
                  <a:lstStyle/>
                  <a:p>
                    <a:fld id="{C3B71B65-C445-4047-B568-92217875FE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335-49D1-8C6A-8F3F4FBD2926}"/>
                </c:ext>
              </c:extLst>
            </c:dLbl>
            <c:dLbl>
              <c:idx val="5"/>
              <c:tx>
                <c:rich>
                  <a:bodyPr/>
                  <a:lstStyle/>
                  <a:p>
                    <a:fld id="{52A74BEA-1723-45DA-A837-3A2EF83EF2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335-49D1-8C6A-8F3F4FBD2926}"/>
                </c:ext>
              </c:extLst>
            </c:dLbl>
            <c:dLbl>
              <c:idx val="6"/>
              <c:tx>
                <c:rich>
                  <a:bodyPr/>
                  <a:lstStyle/>
                  <a:p>
                    <a:fld id="{EFE3883A-0EAC-4725-917E-4BDF776BBF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7335-49D1-8C6A-8F3F4FBD2926}"/>
                </c:ext>
              </c:extLst>
            </c:dLbl>
            <c:dLbl>
              <c:idx val="7"/>
              <c:tx>
                <c:rich>
                  <a:bodyPr/>
                  <a:lstStyle/>
                  <a:p>
                    <a:fld id="{DB28286E-0392-433C-83AF-8445B88B19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335-49D1-8C6A-8F3F4FBD2926}"/>
                </c:ext>
              </c:extLst>
            </c:dLbl>
            <c:dLbl>
              <c:idx val="8"/>
              <c:tx>
                <c:rich>
                  <a:bodyPr/>
                  <a:lstStyle/>
                  <a:p>
                    <a:fld id="{97F9D0C4-F4FC-482F-B8C7-1438D15E5D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7335-49D1-8C6A-8F3F4FBD2926}"/>
                </c:ext>
              </c:extLst>
            </c:dLbl>
            <c:dLbl>
              <c:idx val="9"/>
              <c:tx>
                <c:rich>
                  <a:bodyPr/>
                  <a:lstStyle/>
                  <a:p>
                    <a:fld id="{F459BF34-F535-43AF-A9CF-DD3553EEA8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7335-49D1-8C6A-8F3F4FBD2926}"/>
                </c:ext>
              </c:extLst>
            </c:dLbl>
            <c:dLbl>
              <c:idx val="10"/>
              <c:tx>
                <c:rich>
                  <a:bodyPr/>
                  <a:lstStyle/>
                  <a:p>
                    <a:fld id="{D647C738-82E7-43B4-81A5-1B7C69D890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7335-49D1-8C6A-8F3F4FBD2926}"/>
                </c:ext>
              </c:extLst>
            </c:dLbl>
            <c:dLbl>
              <c:idx val="11"/>
              <c:tx>
                <c:rich>
                  <a:bodyPr/>
                  <a:lstStyle/>
                  <a:p>
                    <a:fld id="{EACEC275-CBF6-4FAD-8E86-7D152D8602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7335-49D1-8C6A-8F3F4FBD2926}"/>
                </c:ext>
              </c:extLst>
            </c:dLbl>
            <c:dLbl>
              <c:idx val="12"/>
              <c:tx>
                <c:rich>
                  <a:bodyPr/>
                  <a:lstStyle/>
                  <a:p>
                    <a:fld id="{A4810D9C-D633-4490-96AB-E3A5B3C12C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7335-49D1-8C6A-8F3F4FBD2926}"/>
                </c:ext>
              </c:extLst>
            </c:dLbl>
            <c:dLbl>
              <c:idx val="1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7335-49D1-8C6A-8F3F4FBD2926}"/>
                </c:ext>
              </c:extLst>
            </c:dLbl>
            <c:dLbl>
              <c:idx val="1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7335-49D1-8C6A-8F3F4FBD2926}"/>
                </c:ext>
              </c:extLst>
            </c:dLbl>
            <c:dLbl>
              <c:idx val="1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7335-49D1-8C6A-8F3F4FBD2926}"/>
                </c:ext>
              </c:extLst>
            </c:dLbl>
            <c:dLbl>
              <c:idx val="1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7335-49D1-8C6A-8F3F4FBD2926}"/>
                </c:ext>
              </c:extLst>
            </c:dLbl>
            <c:dLbl>
              <c:idx val="1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7335-49D1-8C6A-8F3F4FBD2926}"/>
                </c:ext>
              </c:extLst>
            </c:dLbl>
            <c:dLbl>
              <c:idx val="1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7335-49D1-8C6A-8F3F4FBD2926}"/>
                </c:ext>
              </c:extLst>
            </c:dLbl>
            <c:dLbl>
              <c:idx val="1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7335-49D1-8C6A-8F3F4FBD2926}"/>
                </c:ext>
              </c:extLst>
            </c:dLbl>
            <c:dLbl>
              <c:idx val="2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7335-49D1-8C6A-8F3F4FBD2926}"/>
                </c:ext>
              </c:extLst>
            </c:dLbl>
            <c:dLbl>
              <c:idx val="2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7335-49D1-8C6A-8F3F4FBD2926}"/>
                </c:ext>
              </c:extLst>
            </c:dLbl>
            <c:dLbl>
              <c:idx val="2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7335-49D1-8C6A-8F3F4FBD2926}"/>
                </c:ext>
              </c:extLst>
            </c:dLbl>
            <c:dLbl>
              <c:idx val="2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7335-49D1-8C6A-8F3F4FBD2926}"/>
                </c:ext>
              </c:extLst>
            </c:dLbl>
            <c:dLbl>
              <c:idx val="2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7335-49D1-8C6A-8F3F4FBD2926}"/>
                </c:ext>
              </c:extLst>
            </c:dLbl>
            <c:dLbl>
              <c:idx val="2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7335-49D1-8C6A-8F3F4FBD2926}"/>
                </c:ext>
              </c:extLst>
            </c:dLbl>
            <c:dLbl>
              <c:idx val="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7335-49D1-8C6A-8F3F4FBD2926}"/>
                </c:ext>
              </c:extLst>
            </c:dLbl>
            <c:dLbl>
              <c:idx val="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7335-49D1-8C6A-8F3F4FBD2926}"/>
                </c:ext>
              </c:extLst>
            </c:dLbl>
            <c:dLbl>
              <c:idx val="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7335-49D1-8C6A-8F3F4FBD2926}"/>
                </c:ext>
              </c:extLst>
            </c:dLbl>
            <c:dLbl>
              <c:idx val="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7335-49D1-8C6A-8F3F4FBD2926}"/>
                </c:ext>
              </c:extLst>
            </c:dLbl>
            <c:dLbl>
              <c:idx val="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7335-49D1-8C6A-8F3F4FBD2926}"/>
                </c:ext>
              </c:extLst>
            </c:dLbl>
            <c:dLbl>
              <c:idx val="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7335-49D1-8C6A-8F3F4FBD2926}"/>
                </c:ext>
              </c:extLst>
            </c:dLbl>
            <c:dLbl>
              <c:idx val="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7335-49D1-8C6A-8F3F4FBD2926}"/>
                </c:ext>
              </c:extLst>
            </c:dLbl>
            <c:dLbl>
              <c:idx val="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7335-49D1-8C6A-8F3F4FBD2926}"/>
                </c:ext>
              </c:extLst>
            </c:dLbl>
            <c:dLbl>
              <c:idx val="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7335-49D1-8C6A-8F3F4FBD2926}"/>
                </c:ext>
              </c:extLst>
            </c:dLbl>
            <c:dLbl>
              <c:idx val="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7335-49D1-8C6A-8F3F4FBD2926}"/>
                </c:ext>
              </c:extLst>
            </c:dLbl>
            <c:dLbl>
              <c:idx val="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7335-49D1-8C6A-8F3F4FBD2926}"/>
                </c:ext>
              </c:extLst>
            </c:dLbl>
            <c:dLbl>
              <c:idx val="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7335-49D1-8C6A-8F3F4FBD2926}"/>
                </c:ext>
              </c:extLst>
            </c:dLbl>
            <c:dLbl>
              <c:idx val="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7335-49D1-8C6A-8F3F4FBD2926}"/>
                </c:ext>
              </c:extLst>
            </c:dLbl>
            <c:dLbl>
              <c:idx val="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7335-49D1-8C6A-8F3F4FBD2926}"/>
                </c:ext>
              </c:extLst>
            </c:dLbl>
            <c:dLbl>
              <c:idx val="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7335-49D1-8C6A-8F3F4FBD2926}"/>
                </c:ext>
              </c:extLst>
            </c:dLbl>
            <c:dLbl>
              <c:idx val="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7335-49D1-8C6A-8F3F4FBD2926}"/>
                </c:ext>
              </c:extLst>
            </c:dLbl>
            <c:dLbl>
              <c:idx val="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7335-49D1-8C6A-8F3F4FBD2926}"/>
                </c:ext>
              </c:extLst>
            </c:dLbl>
            <c:dLbl>
              <c:idx val="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7335-49D1-8C6A-8F3F4FBD2926}"/>
                </c:ext>
              </c:extLst>
            </c:dLbl>
            <c:dLbl>
              <c:idx val="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7335-49D1-8C6A-8F3F4FBD2926}"/>
                </c:ext>
              </c:extLst>
            </c:dLbl>
            <c:dLbl>
              <c:idx val="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7335-49D1-8C6A-8F3F4FBD2926}"/>
                </c:ext>
              </c:extLst>
            </c:dLbl>
            <c:dLbl>
              <c:idx val="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7335-49D1-8C6A-8F3F4FBD2926}"/>
                </c:ext>
              </c:extLst>
            </c:dLbl>
            <c:dLbl>
              <c:idx val="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7335-49D1-8C6A-8F3F4FBD2926}"/>
                </c:ext>
              </c:extLst>
            </c:dLbl>
            <c:dLbl>
              <c:idx val="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7335-49D1-8C6A-8F3F4FBD2926}"/>
                </c:ext>
              </c:extLst>
            </c:dLbl>
            <c:dLbl>
              <c:idx val="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7335-49D1-8C6A-8F3F4FBD2926}"/>
                </c:ext>
              </c:extLst>
            </c:dLbl>
            <c:dLbl>
              <c:idx val="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7335-49D1-8C6A-8F3F4FBD2926}"/>
                </c:ext>
              </c:extLst>
            </c:dLbl>
            <c:dLbl>
              <c:idx val="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7335-49D1-8C6A-8F3F4FBD2926}"/>
                </c:ext>
              </c:extLst>
            </c:dLbl>
            <c:dLbl>
              <c:idx val="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7335-49D1-8C6A-8F3F4FBD2926}"/>
                </c:ext>
              </c:extLst>
            </c:dLbl>
            <c:dLbl>
              <c:idx val="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7335-49D1-8C6A-8F3F4FBD2926}"/>
                </c:ext>
              </c:extLst>
            </c:dLbl>
            <c:dLbl>
              <c:idx val="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7335-49D1-8C6A-8F3F4FBD2926}"/>
                </c:ext>
              </c:extLst>
            </c:dLbl>
            <c:dLbl>
              <c:idx val="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7335-49D1-8C6A-8F3F4FBD2926}"/>
                </c:ext>
              </c:extLst>
            </c:dLbl>
            <c:dLbl>
              <c:idx val="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7335-49D1-8C6A-8F3F4FBD2926}"/>
                </c:ext>
              </c:extLst>
            </c:dLbl>
            <c:dLbl>
              <c:idx val="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7335-49D1-8C6A-8F3F4FBD2926}"/>
                </c:ext>
              </c:extLst>
            </c:dLbl>
            <c:dLbl>
              <c:idx val="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7335-49D1-8C6A-8F3F4FBD2926}"/>
                </c:ext>
              </c:extLst>
            </c:dLbl>
            <c:dLbl>
              <c:idx val="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7335-49D1-8C6A-8F3F4FBD2926}"/>
                </c:ext>
              </c:extLst>
            </c:dLbl>
            <c:dLbl>
              <c:idx val="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7335-49D1-8C6A-8F3F4FBD2926}"/>
                </c:ext>
              </c:extLst>
            </c:dLbl>
            <c:dLbl>
              <c:idx val="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7335-49D1-8C6A-8F3F4FBD2926}"/>
                </c:ext>
              </c:extLst>
            </c:dLbl>
            <c:dLbl>
              <c:idx val="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7335-49D1-8C6A-8F3F4FBD2926}"/>
                </c:ext>
              </c:extLst>
            </c:dLbl>
            <c:dLbl>
              <c:idx val="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7335-49D1-8C6A-8F3F4FBD2926}"/>
                </c:ext>
              </c:extLst>
            </c:dLbl>
            <c:dLbl>
              <c:idx val="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7335-49D1-8C6A-8F3F4FBD2926}"/>
                </c:ext>
              </c:extLst>
            </c:dLbl>
            <c:dLbl>
              <c:idx val="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7335-49D1-8C6A-8F3F4FBD2926}"/>
                </c:ext>
              </c:extLst>
            </c:dLbl>
            <c:dLbl>
              <c:idx val="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7335-49D1-8C6A-8F3F4FBD2926}"/>
                </c:ext>
              </c:extLst>
            </c:dLbl>
            <c:dLbl>
              <c:idx val="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7335-49D1-8C6A-8F3F4FBD2926}"/>
                </c:ext>
              </c:extLst>
            </c:dLbl>
            <c:dLbl>
              <c:idx val="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7335-49D1-8C6A-8F3F4FBD2926}"/>
                </c:ext>
              </c:extLst>
            </c:dLbl>
            <c:dLbl>
              <c:idx val="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7335-49D1-8C6A-8F3F4FBD2926}"/>
                </c:ext>
              </c:extLst>
            </c:dLbl>
            <c:dLbl>
              <c:idx val="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7335-49D1-8C6A-8F3F4FBD2926}"/>
                </c:ext>
              </c:extLst>
            </c:dLbl>
            <c:dLbl>
              <c:idx val="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7335-49D1-8C6A-8F3F4FBD2926}"/>
                </c:ext>
              </c:extLst>
            </c:dLbl>
            <c:dLbl>
              <c:idx val="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7335-49D1-8C6A-8F3F4FBD2926}"/>
                </c:ext>
              </c:extLst>
            </c:dLbl>
            <c:dLbl>
              <c:idx val="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7335-49D1-8C6A-8F3F4FBD2926}"/>
                </c:ext>
              </c:extLst>
            </c:dLbl>
            <c:dLbl>
              <c:idx val="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7335-49D1-8C6A-8F3F4FBD2926}"/>
                </c:ext>
              </c:extLst>
            </c:dLbl>
            <c:dLbl>
              <c:idx val="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7335-49D1-8C6A-8F3F4FBD2926}"/>
                </c:ext>
              </c:extLst>
            </c:dLbl>
            <c:dLbl>
              <c:idx val="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7335-49D1-8C6A-8F3F4FBD2926}"/>
                </c:ext>
              </c:extLst>
            </c:dLbl>
            <c:dLbl>
              <c:idx val="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7335-49D1-8C6A-8F3F4FBD2926}"/>
                </c:ext>
              </c:extLst>
            </c:dLbl>
            <c:dLbl>
              <c:idx val="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7335-49D1-8C6A-8F3F4FBD2926}"/>
                </c:ext>
              </c:extLst>
            </c:dLbl>
            <c:dLbl>
              <c:idx val="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7335-49D1-8C6A-8F3F4FBD2926}"/>
                </c:ext>
              </c:extLst>
            </c:dLbl>
            <c:dLbl>
              <c:idx val="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7335-49D1-8C6A-8F3F4FBD2926}"/>
                </c:ext>
              </c:extLst>
            </c:dLbl>
            <c:dLbl>
              <c:idx val="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7335-49D1-8C6A-8F3F4FBD2926}"/>
                </c:ext>
              </c:extLst>
            </c:dLbl>
            <c:dLbl>
              <c:idx val="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7335-49D1-8C6A-8F3F4FBD2926}"/>
                </c:ext>
              </c:extLst>
            </c:dLbl>
            <c:dLbl>
              <c:idx val="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7335-49D1-8C6A-8F3F4FBD2926}"/>
                </c:ext>
              </c:extLst>
            </c:dLbl>
            <c:dLbl>
              <c:idx val="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7335-49D1-8C6A-8F3F4FBD2926}"/>
                </c:ext>
              </c:extLst>
            </c:dLbl>
            <c:dLbl>
              <c:idx val="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7335-49D1-8C6A-8F3F4FBD2926}"/>
                </c:ext>
              </c:extLst>
            </c:dLbl>
            <c:dLbl>
              <c:idx val="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7335-49D1-8C6A-8F3F4FBD2926}"/>
                </c:ext>
              </c:extLst>
            </c:dLbl>
            <c:dLbl>
              <c:idx val="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7335-49D1-8C6A-8F3F4FBD2926}"/>
                </c:ext>
              </c:extLst>
            </c:dLbl>
            <c:dLbl>
              <c:idx val="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7335-49D1-8C6A-8F3F4FBD2926}"/>
                </c:ext>
              </c:extLst>
            </c:dLbl>
            <c:dLbl>
              <c:idx val="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7335-49D1-8C6A-8F3F4FBD2926}"/>
                </c:ext>
              </c:extLst>
            </c:dLbl>
            <c:dLbl>
              <c:idx val="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7335-49D1-8C6A-8F3F4FBD2926}"/>
                </c:ext>
              </c:extLst>
            </c:dLbl>
            <c:dLbl>
              <c:idx val="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7335-49D1-8C6A-8F3F4FBD2926}"/>
                </c:ext>
              </c:extLst>
            </c:dLbl>
            <c:dLbl>
              <c:idx val="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7335-49D1-8C6A-8F3F4FBD2926}"/>
                </c:ext>
              </c:extLst>
            </c:dLbl>
            <c:dLbl>
              <c:idx val="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7335-49D1-8C6A-8F3F4FBD2926}"/>
                </c:ext>
              </c:extLst>
            </c:dLbl>
            <c:dLbl>
              <c:idx val="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7335-49D1-8C6A-8F3F4FBD2926}"/>
                </c:ext>
              </c:extLst>
            </c:dLbl>
            <c:dLbl>
              <c:idx val="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7335-49D1-8C6A-8F3F4FBD2926}"/>
                </c:ext>
              </c:extLst>
            </c:dLbl>
            <c:dLbl>
              <c:idx val="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7335-49D1-8C6A-8F3F4FBD2926}"/>
                </c:ext>
              </c:extLst>
            </c:dLbl>
            <c:dLbl>
              <c:idx val="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7335-49D1-8C6A-8F3F4FBD2926}"/>
                </c:ext>
              </c:extLst>
            </c:dLbl>
            <c:dLbl>
              <c:idx val="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7335-49D1-8C6A-8F3F4FBD2926}"/>
                </c:ext>
              </c:extLst>
            </c:dLbl>
            <c:dLbl>
              <c:idx val="9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7335-49D1-8C6A-8F3F4FBD2926}"/>
                </c:ext>
              </c:extLst>
            </c:dLbl>
            <c:spPr>
              <a:noFill/>
              <a:ln>
                <a:noFill/>
              </a:ln>
              <a:effectLst/>
            </c:spPr>
            <c:txPr>
              <a:bodyPr rot="-5400000" spcFirstLastPara="1" vertOverflow="ellipsis" vert="horz" wrap="square" lIns="127000" tIns="19050" rIns="38100" bIns="19050" anchor="ctr" anchorCtr="1">
                <a:spAutoFit/>
              </a:bodyPr>
              <a:lstStyle/>
              <a:p>
                <a:pPr>
                  <a:defRPr sz="1200" b="0" i="0" u="none" strike="noStrike" kern="1200" baseline="0">
                    <a:solidFill>
                      <a:schemeClr val="tx1">
                        <a:lumMod val="100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ysClr val="windowText" lastClr="000000">
                          <a:lumMod val="100000"/>
                        </a:sysClr>
                      </a:solidFill>
                      <a:prstDash val="solid"/>
                      <a:round/>
                      <a:headEnd type="none" w="med" len="med"/>
                      <a:tailEnd type="none" w="med" len="med"/>
                    </a:ln>
                    <a:effectLst/>
                  </c:spPr>
                </c15:leaderLines>
              </c:ext>
            </c:extLst>
          </c:dLbls>
          <c:xVal>
            <c:numRef>
              <c:f>Peaks!$B$5:$B$104</c:f>
              <c:numCache>
                <c:formatCode>0.00</c:formatCode>
                <c:ptCount val="100"/>
                <c:pt idx="0">
                  <c:v>1.0365329999999999</c:v>
                </c:pt>
                <c:pt idx="1">
                  <c:v>2.5560399999999999</c:v>
                </c:pt>
                <c:pt idx="2">
                  <c:v>3.204631</c:v>
                </c:pt>
                <c:pt idx="3">
                  <c:v>3.5169709999999998</c:v>
                </c:pt>
                <c:pt idx="4">
                  <c:v>3.7843619999999998</c:v>
                </c:pt>
                <c:pt idx="5">
                  <c:v>4.0231880000000002</c:v>
                </c:pt>
                <c:pt idx="6">
                  <c:v>4.2717910000000003</c:v>
                </c:pt>
                <c:pt idx="7">
                  <c:v>4.4267830000000004</c:v>
                </c:pt>
                <c:pt idx="8">
                  <c:v>4.7411899999999996</c:v>
                </c:pt>
                <c:pt idx="9">
                  <c:v>4.9512619999999998</c:v>
                </c:pt>
                <c:pt idx="10">
                  <c:v>5.4557019999999996</c:v>
                </c:pt>
                <c:pt idx="11">
                  <c:v>5.6547900000000002</c:v>
                </c:pt>
                <c:pt idx="12">
                  <c:v>8.5678719999999995</c:v>
                </c:pt>
              </c:numCache>
            </c:numRef>
          </c:xVal>
          <c:yVal>
            <c:numRef>
              <c:f>Peaks!$R$5:$R$104</c:f>
              <c:numCache>
                <c:formatCode>0.0</c:formatCode>
                <c:ptCount val="100"/>
                <c:pt idx="0">
                  <c:v>81.195230791981061</c:v>
                </c:pt>
                <c:pt idx="1">
                  <c:v>18.726505035817748</c:v>
                </c:pt>
                <c:pt idx="2">
                  <c:v>13.064693517652699</c:v>
                </c:pt>
                <c:pt idx="3">
                  <c:v>100</c:v>
                </c:pt>
                <c:pt idx="4">
                  <c:v>28.102920612327377</c:v>
                </c:pt>
                <c:pt idx="5">
                  <c:v>41.425623419104184</c:v>
                </c:pt>
                <c:pt idx="6">
                  <c:v>55.710025528176018</c:v>
                </c:pt>
                <c:pt idx="7">
                  <c:v>63.198243916033896</c:v>
                </c:pt>
                <c:pt idx="8">
                  <c:v>15.1299684800773</c:v>
                </c:pt>
                <c:pt idx="9">
                  <c:v>28.848715392319964</c:v>
                </c:pt>
                <c:pt idx="10">
                  <c:v>93.582015482895784</c:v>
                </c:pt>
                <c:pt idx="11">
                  <c:v>53.884191573737247</c:v>
                </c:pt>
                <c:pt idx="12">
                  <c:v>69.973830864261544</c:v>
                </c:pt>
              </c:numCache>
            </c:numRef>
          </c:yVal>
          <c:smooth val="1"/>
          <c:extLst>
            <c:ext xmlns:c15="http://schemas.microsoft.com/office/drawing/2012/chart" uri="{02D57815-91ED-43cb-92C2-25804820EDAC}">
              <c15:datalabelsRange>
                <c15:f>Peaks!$S$5:$S$104</c15:f>
                <c15:dlblRangeCache>
                  <c:ptCount val="100"/>
                  <c:pt idx="0">
                    <c:v>1</c:v>
                  </c:pt>
                  <c:pt idx="1">
                    <c:v>2</c:v>
                  </c:pt>
                  <c:pt idx="2">
                    <c:v>3</c:v>
                  </c:pt>
                  <c:pt idx="3">
                    <c:v>4</c:v>
                  </c:pt>
                  <c:pt idx="4">
                    <c:v>5</c:v>
                  </c:pt>
                  <c:pt idx="5">
                    <c:v>6</c:v>
                  </c:pt>
                  <c:pt idx="6">
                    <c:v>7</c:v>
                  </c:pt>
                  <c:pt idx="7">
                    <c:v>8</c:v>
                  </c:pt>
                  <c:pt idx="8">
                    <c:v>9</c:v>
                  </c:pt>
                  <c:pt idx="9">
                    <c:v>10</c:v>
                  </c:pt>
                  <c:pt idx="10">
                    <c:v>11</c:v>
                  </c:pt>
                  <c:pt idx="11">
                    <c:v>12</c:v>
                  </c:pt>
                  <c:pt idx="12">
                    <c:v>13</c:v>
                  </c:pt>
                </c15:dlblRangeCache>
              </c15:datalabelsRange>
            </c:ext>
            <c:ext xmlns:c16="http://schemas.microsoft.com/office/drawing/2014/chart" uri="{C3380CC4-5D6E-409C-BE32-E72D297353CC}">
              <c16:uniqueId val="{00000002-6C55-4540-A99B-AF279F0EE33F}"/>
            </c:ext>
          </c:extLst>
        </c:ser>
        <c:dLbls>
          <c:showLegendKey val="0"/>
          <c:showVal val="0"/>
          <c:showCatName val="0"/>
          <c:showSerName val="0"/>
          <c:showPercent val="0"/>
          <c:showBubbleSize val="0"/>
        </c:dLbls>
        <c:axId val="1816217984"/>
        <c:axId val="1816223424"/>
      </c:scatterChart>
      <c:scatterChart>
        <c:scatterStyle val="smoothMarker"/>
        <c:varyColors val="0"/>
        <c:ser>
          <c:idx val="2"/>
          <c:order val="2"/>
          <c:tx>
            <c:strRef>
              <c:f>ChromatogramData!$E$1</c:f>
              <c:strCache>
                <c:ptCount val="1"/>
                <c:pt idx="0">
                  <c:v>MS Pos</c:v>
                </c:pt>
              </c:strCache>
            </c:strRef>
          </c:tx>
          <c:spPr>
            <a:ln w="12700" cap="rnd">
              <a:noFill/>
              <a:round/>
            </a:ln>
            <a:effectLst/>
            <a:extLst>
              <a:ext uri="{91240B29-F687-4F45-9708-019B960494DF}">
                <a14:hiddenLine xmlns:a14="http://schemas.microsoft.com/office/drawing/2010/main" w="12700" cap="rnd">
                  <a:solidFill>
                    <a:srgbClr val="ED7D31">
                      <a:lumMod val="75000"/>
                    </a:srgbClr>
                  </a:solidFill>
                  <a:round/>
                </a14:hiddenLine>
              </a:ext>
            </a:extLst>
          </c:spPr>
          <c:marker>
            <c:symbol val="none"/>
          </c:marker>
          <c:xVal>
            <c:numRef>
              <c:f>ChromatogramData!$D$2:$D$2000</c:f>
              <c:numCache>
                <c:formatCode>General</c:formatCode>
                <c:ptCount val="1999"/>
              </c:numCache>
            </c:numRef>
          </c:xVal>
          <c:yVal>
            <c:numRef>
              <c:f>ChromatogramData!$E$2:$E$2000</c:f>
              <c:numCache>
                <c:formatCode>General</c:formatCode>
                <c:ptCount val="1999"/>
              </c:numCache>
            </c:numRef>
          </c:yVal>
          <c:smooth val="1"/>
          <c:extLst>
            <c:ext xmlns:c16="http://schemas.microsoft.com/office/drawing/2014/chart" uri="{C3380CC4-5D6E-409C-BE32-E72D297353CC}">
              <c16:uniqueId val="{00000003-6C55-4540-A99B-AF279F0EE33F}"/>
            </c:ext>
          </c:extLst>
        </c:ser>
        <c:ser>
          <c:idx val="3"/>
          <c:order val="3"/>
          <c:tx>
            <c:strRef>
              <c:f>ChromatogramData!$F$1</c:f>
              <c:strCache>
                <c:ptCount val="1"/>
                <c:pt idx="0">
                  <c:v>MS Neg</c:v>
                </c:pt>
              </c:strCache>
            </c:strRef>
          </c:tx>
          <c:spPr>
            <a:ln w="12700" cap="rnd">
              <a:noFill/>
              <a:round/>
            </a:ln>
            <a:effectLst/>
            <a:extLst>
              <a:ext uri="{91240B29-F687-4F45-9708-019B960494DF}">
                <a14:hiddenLine xmlns:a14="http://schemas.microsoft.com/office/drawing/2010/main" w="12700" cap="rnd">
                  <a:solidFill>
                    <a:srgbClr val="00B050"/>
                  </a:solidFill>
                  <a:round/>
                </a14:hiddenLine>
              </a:ext>
            </a:extLst>
          </c:spPr>
          <c:marker>
            <c:symbol val="none"/>
          </c:marker>
          <c:xVal>
            <c:numRef>
              <c:f>ChromatogramData!$D$2:$D$2000</c:f>
              <c:numCache>
                <c:formatCode>General</c:formatCode>
                <c:ptCount val="1999"/>
              </c:numCache>
            </c:numRef>
          </c:xVal>
          <c:yVal>
            <c:numRef>
              <c:f>ChromatogramData!$F$2:$F$2000</c:f>
              <c:numCache>
                <c:formatCode>General</c:formatCode>
                <c:ptCount val="1999"/>
              </c:numCache>
            </c:numRef>
          </c:yVal>
          <c:smooth val="1"/>
          <c:extLst>
            <c:ext xmlns:c16="http://schemas.microsoft.com/office/drawing/2014/chart" uri="{C3380CC4-5D6E-409C-BE32-E72D297353CC}">
              <c16:uniqueId val="{00000004-6C55-4540-A99B-AF279F0EE33F}"/>
            </c:ext>
          </c:extLst>
        </c:ser>
        <c:dLbls>
          <c:showLegendKey val="0"/>
          <c:showVal val="0"/>
          <c:showCatName val="0"/>
          <c:showSerName val="0"/>
          <c:showPercent val="0"/>
          <c:showBubbleSize val="0"/>
        </c:dLbls>
        <c:axId val="1816214176"/>
        <c:axId val="1816223968"/>
      </c:scatterChart>
      <c:valAx>
        <c:axId val="1816217984"/>
        <c:scaling>
          <c:orientation val="minMax"/>
          <c:max val="10"/>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r>
                  <a:rPr lang="en-AU" sz="1000">
                    <a:solidFill>
                      <a:schemeClr val="tx1"/>
                    </a:solidFill>
                    <a:latin typeface="Arial" panose="020B0604020202020204" pitchFamily="34" charset="0"/>
                    <a:cs typeface="Arial" panose="020B0604020202020204" pitchFamily="34" charset="0"/>
                  </a:rPr>
                  <a:t>Retention</a:t>
                </a:r>
                <a:r>
                  <a:rPr lang="en-AU" sz="1000" baseline="0">
                    <a:solidFill>
                      <a:schemeClr val="tx1"/>
                    </a:solidFill>
                    <a:latin typeface="Arial" panose="020B0604020202020204" pitchFamily="34" charset="0"/>
                    <a:cs typeface="Arial" panose="020B0604020202020204" pitchFamily="34" charset="0"/>
                  </a:rPr>
                  <a:t> Time (min)</a:t>
                </a:r>
                <a:endParaRPr lang="en-AU" sz="1000">
                  <a:solidFill>
                    <a:schemeClr val="tx1"/>
                  </a:solidFill>
                  <a:latin typeface="Arial" panose="020B0604020202020204" pitchFamily="34" charset="0"/>
                  <a:cs typeface="Arial" panose="020B0604020202020204" pitchFamily="34" charset="0"/>
                </a:endParaRPr>
              </a:p>
            </c:rich>
          </c:tx>
          <c:layout>
            <c:manualLayout>
              <c:xMode val="edge"/>
              <c:yMode val="edge"/>
              <c:x val="0.42837352576358767"/>
              <c:y val="0.962087685442098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23424"/>
        <c:crosses val="autoZero"/>
        <c:crossBetween val="midCat"/>
        <c:majorUnit val="0.5"/>
      </c:valAx>
      <c:valAx>
        <c:axId val="1816223424"/>
        <c:scaling>
          <c:orientation val="minMax"/>
          <c:max val="10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816217984"/>
        <c:crosses val="autoZero"/>
        <c:crossBetween val="midCat"/>
        <c:majorUnit val="20"/>
        <c:minorUnit val="5"/>
      </c:valAx>
      <c:valAx>
        <c:axId val="1816223968"/>
        <c:scaling>
          <c:orientation val="minMax"/>
          <c:max val="105"/>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214176"/>
        <c:crosses val="max"/>
        <c:crossBetween val="midCat"/>
        <c:minorUnit val="5"/>
      </c:valAx>
      <c:valAx>
        <c:axId val="1816214176"/>
        <c:scaling>
          <c:orientation val="minMax"/>
        </c:scaling>
        <c:delete val="1"/>
        <c:axPos val="b"/>
        <c:numFmt formatCode="General" sourceLinked="1"/>
        <c:majorTickMark val="out"/>
        <c:minorTickMark val="none"/>
        <c:tickLblPos val="nextTo"/>
        <c:crossAx val="1816223968"/>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1"/>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2"/>
        <c:delete val="1"/>
      </c:legendEntry>
      <c:legendEntry>
        <c:idx val="3"/>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egendEntry>
        <c:idx val="4"/>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ayout>
        <c:manualLayout>
          <c:xMode val="edge"/>
          <c:yMode val="edge"/>
          <c:x val="0.93181006421194734"/>
          <c:y val="0.43600100238726441"/>
          <c:w val="6.3838325692317177E-2"/>
          <c:h val="0.5166071828961078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873769042577249E-2"/>
          <c:y val="7.4673103048048639E-2"/>
          <c:w val="0.8806190105088566"/>
          <c:h val="0.72290323006106649"/>
        </c:manualLayout>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0.51300000000000001</c:v>
                </c:pt>
                <c:pt idx="1">
                  <c:v>0.53900000000000003</c:v>
                </c:pt>
                <c:pt idx="2">
                  <c:v>0.56599999999999995</c:v>
                </c:pt>
                <c:pt idx="3">
                  <c:v>0.59299999999999997</c:v>
                </c:pt>
                <c:pt idx="4">
                  <c:v>0.61899999999999999</c:v>
                </c:pt>
                <c:pt idx="5">
                  <c:v>0.64600000000000002</c:v>
                </c:pt>
                <c:pt idx="6">
                  <c:v>0.67300000000000004</c:v>
                </c:pt>
                <c:pt idx="7">
                  <c:v>0.69899999999999995</c:v>
                </c:pt>
                <c:pt idx="8">
                  <c:v>0.72599999999999998</c:v>
                </c:pt>
                <c:pt idx="9">
                  <c:v>0.753</c:v>
                </c:pt>
                <c:pt idx="10">
                  <c:v>0.77900000000000003</c:v>
                </c:pt>
                <c:pt idx="11">
                  <c:v>0.80600000000000005</c:v>
                </c:pt>
                <c:pt idx="12">
                  <c:v>0.83299999999999996</c:v>
                </c:pt>
                <c:pt idx="13">
                  <c:v>0.85899999999999999</c:v>
                </c:pt>
                <c:pt idx="14">
                  <c:v>0.88600000000000001</c:v>
                </c:pt>
                <c:pt idx="15">
                  <c:v>0.91300000000000003</c:v>
                </c:pt>
                <c:pt idx="16">
                  <c:v>0.93899999999999995</c:v>
                </c:pt>
                <c:pt idx="17">
                  <c:v>0.96599999999999997</c:v>
                </c:pt>
                <c:pt idx="18">
                  <c:v>0.99299999999999999</c:v>
                </c:pt>
                <c:pt idx="19">
                  <c:v>1.0189999999999999</c:v>
                </c:pt>
                <c:pt idx="20">
                  <c:v>1.046</c:v>
                </c:pt>
                <c:pt idx="21">
                  <c:v>1.073</c:v>
                </c:pt>
                <c:pt idx="22">
                  <c:v>1.099</c:v>
                </c:pt>
                <c:pt idx="23">
                  <c:v>1.1259999999999999</c:v>
                </c:pt>
                <c:pt idx="24">
                  <c:v>1.153</c:v>
                </c:pt>
                <c:pt idx="25">
                  <c:v>1.179</c:v>
                </c:pt>
                <c:pt idx="26">
                  <c:v>1.206</c:v>
                </c:pt>
                <c:pt idx="27">
                  <c:v>1.2330000000000001</c:v>
                </c:pt>
                <c:pt idx="28">
                  <c:v>1.2589999999999999</c:v>
                </c:pt>
                <c:pt idx="29">
                  <c:v>1.286</c:v>
                </c:pt>
                <c:pt idx="30">
                  <c:v>1.3129999999999999</c:v>
                </c:pt>
                <c:pt idx="31">
                  <c:v>1.339</c:v>
                </c:pt>
                <c:pt idx="32">
                  <c:v>1.3660000000000001</c:v>
                </c:pt>
                <c:pt idx="33">
                  <c:v>1.393</c:v>
                </c:pt>
                <c:pt idx="34">
                  <c:v>1.419</c:v>
                </c:pt>
                <c:pt idx="35">
                  <c:v>1.446</c:v>
                </c:pt>
                <c:pt idx="36">
                  <c:v>1.4730000000000001</c:v>
                </c:pt>
                <c:pt idx="37">
                  <c:v>1.4990000000000001</c:v>
                </c:pt>
                <c:pt idx="38">
                  <c:v>1.526</c:v>
                </c:pt>
                <c:pt idx="39">
                  <c:v>1.5529999999999999</c:v>
                </c:pt>
                <c:pt idx="40">
                  <c:v>1.579</c:v>
                </c:pt>
                <c:pt idx="41">
                  <c:v>1.6060000000000001</c:v>
                </c:pt>
                <c:pt idx="42">
                  <c:v>1.633</c:v>
                </c:pt>
                <c:pt idx="43">
                  <c:v>1.659</c:v>
                </c:pt>
                <c:pt idx="44">
                  <c:v>1.6859999999999999</c:v>
                </c:pt>
                <c:pt idx="45">
                  <c:v>1.7130000000000001</c:v>
                </c:pt>
                <c:pt idx="46">
                  <c:v>1.7390000000000001</c:v>
                </c:pt>
                <c:pt idx="47">
                  <c:v>1.766</c:v>
                </c:pt>
                <c:pt idx="48">
                  <c:v>1.7929999999999999</c:v>
                </c:pt>
                <c:pt idx="49">
                  <c:v>1.819</c:v>
                </c:pt>
                <c:pt idx="50">
                  <c:v>1.8460000000000001</c:v>
                </c:pt>
                <c:pt idx="51">
                  <c:v>1.873</c:v>
                </c:pt>
                <c:pt idx="52">
                  <c:v>1.899</c:v>
                </c:pt>
                <c:pt idx="53">
                  <c:v>1.9259999999999999</c:v>
                </c:pt>
                <c:pt idx="54">
                  <c:v>1.9530000000000001</c:v>
                </c:pt>
                <c:pt idx="55">
                  <c:v>1.9790000000000001</c:v>
                </c:pt>
                <c:pt idx="56">
                  <c:v>2.0059999999999998</c:v>
                </c:pt>
                <c:pt idx="57">
                  <c:v>2.0329999999999999</c:v>
                </c:pt>
                <c:pt idx="58">
                  <c:v>2.0590000000000002</c:v>
                </c:pt>
                <c:pt idx="59">
                  <c:v>2.0859999999999999</c:v>
                </c:pt>
                <c:pt idx="60">
                  <c:v>2.113</c:v>
                </c:pt>
                <c:pt idx="61">
                  <c:v>2.1389999999999998</c:v>
                </c:pt>
                <c:pt idx="62">
                  <c:v>2.1659999999999999</c:v>
                </c:pt>
                <c:pt idx="63">
                  <c:v>2.1930000000000001</c:v>
                </c:pt>
                <c:pt idx="64">
                  <c:v>2.2189999999999999</c:v>
                </c:pt>
                <c:pt idx="65">
                  <c:v>2.246</c:v>
                </c:pt>
                <c:pt idx="66">
                  <c:v>2.2730000000000001</c:v>
                </c:pt>
                <c:pt idx="67">
                  <c:v>2.2989999999999999</c:v>
                </c:pt>
                <c:pt idx="68">
                  <c:v>2.3260000000000001</c:v>
                </c:pt>
                <c:pt idx="69">
                  <c:v>2.3530000000000002</c:v>
                </c:pt>
                <c:pt idx="70">
                  <c:v>2.379</c:v>
                </c:pt>
                <c:pt idx="71">
                  <c:v>2.4060000000000001</c:v>
                </c:pt>
                <c:pt idx="72">
                  <c:v>2.4329999999999998</c:v>
                </c:pt>
                <c:pt idx="73">
                  <c:v>2.4590000000000001</c:v>
                </c:pt>
                <c:pt idx="74">
                  <c:v>2.4860000000000002</c:v>
                </c:pt>
                <c:pt idx="75">
                  <c:v>2.5129999999999999</c:v>
                </c:pt>
                <c:pt idx="76">
                  <c:v>2.5390000000000001</c:v>
                </c:pt>
                <c:pt idx="77">
                  <c:v>2.5659999999999998</c:v>
                </c:pt>
                <c:pt idx="78">
                  <c:v>2.593</c:v>
                </c:pt>
                <c:pt idx="79">
                  <c:v>2.6190000000000002</c:v>
                </c:pt>
                <c:pt idx="80">
                  <c:v>2.6459999999999999</c:v>
                </c:pt>
                <c:pt idx="81">
                  <c:v>2.673</c:v>
                </c:pt>
                <c:pt idx="82">
                  <c:v>2.6989999999999998</c:v>
                </c:pt>
                <c:pt idx="83">
                  <c:v>2.726</c:v>
                </c:pt>
                <c:pt idx="84">
                  <c:v>2.7530000000000001</c:v>
                </c:pt>
                <c:pt idx="85">
                  <c:v>2.7789999999999999</c:v>
                </c:pt>
                <c:pt idx="86">
                  <c:v>2.806</c:v>
                </c:pt>
                <c:pt idx="87">
                  <c:v>2.8330000000000002</c:v>
                </c:pt>
                <c:pt idx="88">
                  <c:v>2.859</c:v>
                </c:pt>
                <c:pt idx="89">
                  <c:v>2.8860000000000001</c:v>
                </c:pt>
                <c:pt idx="90">
                  <c:v>2.9129999999999998</c:v>
                </c:pt>
                <c:pt idx="91">
                  <c:v>2.9390000000000001</c:v>
                </c:pt>
                <c:pt idx="92">
                  <c:v>2.9660000000000002</c:v>
                </c:pt>
                <c:pt idx="93">
                  <c:v>2.9929999999999999</c:v>
                </c:pt>
                <c:pt idx="94">
                  <c:v>3.0190000000000001</c:v>
                </c:pt>
                <c:pt idx="95">
                  <c:v>3.0459999999999998</c:v>
                </c:pt>
                <c:pt idx="96">
                  <c:v>3.073</c:v>
                </c:pt>
                <c:pt idx="97">
                  <c:v>3.0990000000000002</c:v>
                </c:pt>
                <c:pt idx="98">
                  <c:v>3.1259999999999999</c:v>
                </c:pt>
                <c:pt idx="99">
                  <c:v>3.153</c:v>
                </c:pt>
                <c:pt idx="100">
                  <c:v>3.1789999999999998</c:v>
                </c:pt>
                <c:pt idx="101">
                  <c:v>3.206</c:v>
                </c:pt>
                <c:pt idx="102">
                  <c:v>3.2330000000000001</c:v>
                </c:pt>
                <c:pt idx="103">
                  <c:v>3.2589999999999999</c:v>
                </c:pt>
                <c:pt idx="104">
                  <c:v>3.286</c:v>
                </c:pt>
                <c:pt idx="105">
                  <c:v>3.3130000000000002</c:v>
                </c:pt>
                <c:pt idx="106">
                  <c:v>3.339</c:v>
                </c:pt>
                <c:pt idx="107">
                  <c:v>3.3660000000000001</c:v>
                </c:pt>
                <c:pt idx="108">
                  <c:v>3.3929999999999998</c:v>
                </c:pt>
                <c:pt idx="109">
                  <c:v>3.419</c:v>
                </c:pt>
                <c:pt idx="110">
                  <c:v>3.4460000000000002</c:v>
                </c:pt>
                <c:pt idx="111">
                  <c:v>3.4729999999999999</c:v>
                </c:pt>
                <c:pt idx="112">
                  <c:v>3.4990000000000001</c:v>
                </c:pt>
                <c:pt idx="113">
                  <c:v>3.5259999999999998</c:v>
                </c:pt>
                <c:pt idx="114">
                  <c:v>3.5529999999999999</c:v>
                </c:pt>
                <c:pt idx="115">
                  <c:v>3.5790000000000002</c:v>
                </c:pt>
                <c:pt idx="116">
                  <c:v>3.6059999999999999</c:v>
                </c:pt>
                <c:pt idx="117">
                  <c:v>3.633</c:v>
                </c:pt>
                <c:pt idx="118">
                  <c:v>3.6589999999999998</c:v>
                </c:pt>
                <c:pt idx="119">
                  <c:v>3.6859999999999999</c:v>
                </c:pt>
                <c:pt idx="120">
                  <c:v>3.7130000000000001</c:v>
                </c:pt>
                <c:pt idx="121">
                  <c:v>3.7389999999999999</c:v>
                </c:pt>
                <c:pt idx="122">
                  <c:v>3.766</c:v>
                </c:pt>
                <c:pt idx="123">
                  <c:v>3.7930000000000001</c:v>
                </c:pt>
                <c:pt idx="124">
                  <c:v>3.819</c:v>
                </c:pt>
                <c:pt idx="125">
                  <c:v>3.8460000000000001</c:v>
                </c:pt>
                <c:pt idx="126">
                  <c:v>3.8730000000000002</c:v>
                </c:pt>
                <c:pt idx="127">
                  <c:v>3.899</c:v>
                </c:pt>
                <c:pt idx="128">
                  <c:v>3.9260000000000002</c:v>
                </c:pt>
                <c:pt idx="129">
                  <c:v>3.9529999999999998</c:v>
                </c:pt>
                <c:pt idx="130">
                  <c:v>3.9790000000000001</c:v>
                </c:pt>
                <c:pt idx="131">
                  <c:v>4.0060000000000002</c:v>
                </c:pt>
                <c:pt idx="132">
                  <c:v>4.0330000000000004</c:v>
                </c:pt>
                <c:pt idx="133">
                  <c:v>4.0590000000000002</c:v>
                </c:pt>
                <c:pt idx="134">
                  <c:v>4.0860000000000003</c:v>
                </c:pt>
                <c:pt idx="135">
                  <c:v>4.1130000000000004</c:v>
                </c:pt>
                <c:pt idx="136">
                  <c:v>4.1390000000000002</c:v>
                </c:pt>
                <c:pt idx="137">
                  <c:v>4.1660000000000004</c:v>
                </c:pt>
                <c:pt idx="138">
                  <c:v>4.1929999999999996</c:v>
                </c:pt>
                <c:pt idx="139">
                  <c:v>4.2190000000000003</c:v>
                </c:pt>
                <c:pt idx="140">
                  <c:v>4.2460000000000004</c:v>
                </c:pt>
                <c:pt idx="141">
                  <c:v>4.2729999999999997</c:v>
                </c:pt>
                <c:pt idx="142">
                  <c:v>4.2990000000000004</c:v>
                </c:pt>
                <c:pt idx="143">
                  <c:v>4.3259999999999996</c:v>
                </c:pt>
                <c:pt idx="144">
                  <c:v>4.3529999999999998</c:v>
                </c:pt>
                <c:pt idx="145">
                  <c:v>4.3789999999999996</c:v>
                </c:pt>
                <c:pt idx="146">
                  <c:v>4.4059999999999997</c:v>
                </c:pt>
                <c:pt idx="147">
                  <c:v>4.4329999999999998</c:v>
                </c:pt>
                <c:pt idx="148">
                  <c:v>4.4589999999999996</c:v>
                </c:pt>
                <c:pt idx="149">
                  <c:v>4.4859999999999998</c:v>
                </c:pt>
                <c:pt idx="150">
                  <c:v>4.5129999999999999</c:v>
                </c:pt>
                <c:pt idx="151">
                  <c:v>4.5389999999999997</c:v>
                </c:pt>
                <c:pt idx="152">
                  <c:v>4.5659999999999998</c:v>
                </c:pt>
                <c:pt idx="153">
                  <c:v>4.593</c:v>
                </c:pt>
                <c:pt idx="154">
                  <c:v>4.6189999999999998</c:v>
                </c:pt>
                <c:pt idx="155">
                  <c:v>4.6459999999999999</c:v>
                </c:pt>
                <c:pt idx="156">
                  <c:v>4.673</c:v>
                </c:pt>
                <c:pt idx="157">
                  <c:v>4.6989999999999998</c:v>
                </c:pt>
                <c:pt idx="158">
                  <c:v>4.726</c:v>
                </c:pt>
                <c:pt idx="159">
                  <c:v>4.7530000000000001</c:v>
                </c:pt>
                <c:pt idx="160">
                  <c:v>4.7789999999999999</c:v>
                </c:pt>
                <c:pt idx="161">
                  <c:v>4.806</c:v>
                </c:pt>
                <c:pt idx="162">
                  <c:v>4.8330000000000002</c:v>
                </c:pt>
                <c:pt idx="163">
                  <c:v>4.859</c:v>
                </c:pt>
                <c:pt idx="164">
                  <c:v>4.8860000000000001</c:v>
                </c:pt>
                <c:pt idx="165">
                  <c:v>4.9130000000000003</c:v>
                </c:pt>
                <c:pt idx="166">
                  <c:v>4.9390000000000001</c:v>
                </c:pt>
                <c:pt idx="167">
                  <c:v>4.9660000000000002</c:v>
                </c:pt>
                <c:pt idx="168">
                  <c:v>4.9930000000000003</c:v>
                </c:pt>
                <c:pt idx="169">
                  <c:v>5.0190000000000001</c:v>
                </c:pt>
                <c:pt idx="170">
                  <c:v>5.0460000000000003</c:v>
                </c:pt>
                <c:pt idx="171">
                  <c:v>5.0730000000000004</c:v>
                </c:pt>
                <c:pt idx="172">
                  <c:v>5.0990000000000002</c:v>
                </c:pt>
                <c:pt idx="173">
                  <c:v>5.1260000000000003</c:v>
                </c:pt>
                <c:pt idx="174">
                  <c:v>5.1529999999999996</c:v>
                </c:pt>
                <c:pt idx="175">
                  <c:v>5.1790000000000003</c:v>
                </c:pt>
                <c:pt idx="176">
                  <c:v>5.2060000000000004</c:v>
                </c:pt>
                <c:pt idx="177">
                  <c:v>5.2329999999999997</c:v>
                </c:pt>
                <c:pt idx="178">
                  <c:v>5.2590000000000003</c:v>
                </c:pt>
                <c:pt idx="179">
                  <c:v>5.2859999999999996</c:v>
                </c:pt>
                <c:pt idx="180">
                  <c:v>5.3129999999999997</c:v>
                </c:pt>
                <c:pt idx="181">
                  <c:v>5.3390000000000004</c:v>
                </c:pt>
                <c:pt idx="182">
                  <c:v>5.3659999999999997</c:v>
                </c:pt>
                <c:pt idx="183">
                  <c:v>5.3929999999999998</c:v>
                </c:pt>
                <c:pt idx="184">
                  <c:v>5.4189999999999996</c:v>
                </c:pt>
                <c:pt idx="185">
                  <c:v>5.4459999999999997</c:v>
                </c:pt>
                <c:pt idx="186">
                  <c:v>5.4729999999999999</c:v>
                </c:pt>
                <c:pt idx="187">
                  <c:v>5.4989999999999997</c:v>
                </c:pt>
                <c:pt idx="188">
                  <c:v>5.5259999999999998</c:v>
                </c:pt>
                <c:pt idx="189">
                  <c:v>5.5529999999999999</c:v>
                </c:pt>
                <c:pt idx="190">
                  <c:v>5.5789999999999997</c:v>
                </c:pt>
                <c:pt idx="191">
                  <c:v>5.6059999999999999</c:v>
                </c:pt>
                <c:pt idx="192">
                  <c:v>5.633</c:v>
                </c:pt>
                <c:pt idx="193">
                  <c:v>5.6589999999999998</c:v>
                </c:pt>
                <c:pt idx="194">
                  <c:v>5.6859999999999999</c:v>
                </c:pt>
                <c:pt idx="195">
                  <c:v>5.7130000000000001</c:v>
                </c:pt>
                <c:pt idx="196">
                  <c:v>5.7389999999999999</c:v>
                </c:pt>
                <c:pt idx="197">
                  <c:v>5.766</c:v>
                </c:pt>
                <c:pt idx="198">
                  <c:v>5.7930000000000001</c:v>
                </c:pt>
                <c:pt idx="199">
                  <c:v>5.819</c:v>
                </c:pt>
                <c:pt idx="200">
                  <c:v>5.8460000000000001</c:v>
                </c:pt>
                <c:pt idx="201">
                  <c:v>5.8730000000000002</c:v>
                </c:pt>
                <c:pt idx="202">
                  <c:v>5.899</c:v>
                </c:pt>
                <c:pt idx="203">
                  <c:v>5.9260000000000002</c:v>
                </c:pt>
                <c:pt idx="204">
                  <c:v>5.9530000000000003</c:v>
                </c:pt>
                <c:pt idx="205">
                  <c:v>5.9790000000000001</c:v>
                </c:pt>
                <c:pt idx="206">
                  <c:v>6.0060000000000002</c:v>
                </c:pt>
                <c:pt idx="207">
                  <c:v>6.0330000000000004</c:v>
                </c:pt>
                <c:pt idx="208">
                  <c:v>6.0590000000000002</c:v>
                </c:pt>
                <c:pt idx="209">
                  <c:v>6.0860000000000003</c:v>
                </c:pt>
                <c:pt idx="210">
                  <c:v>6.1130000000000004</c:v>
                </c:pt>
                <c:pt idx="211">
                  <c:v>6.1390000000000002</c:v>
                </c:pt>
                <c:pt idx="212">
                  <c:v>6.1660000000000004</c:v>
                </c:pt>
                <c:pt idx="213">
                  <c:v>6.1929999999999996</c:v>
                </c:pt>
                <c:pt idx="214">
                  <c:v>6.2190000000000003</c:v>
                </c:pt>
                <c:pt idx="215">
                  <c:v>6.2460000000000004</c:v>
                </c:pt>
                <c:pt idx="216">
                  <c:v>6.2729999999999997</c:v>
                </c:pt>
                <c:pt idx="217">
                  <c:v>6.2990000000000004</c:v>
                </c:pt>
                <c:pt idx="218">
                  <c:v>6.3259999999999996</c:v>
                </c:pt>
                <c:pt idx="219">
                  <c:v>6.3529999999999998</c:v>
                </c:pt>
                <c:pt idx="220">
                  <c:v>6.3789999999999996</c:v>
                </c:pt>
                <c:pt idx="221">
                  <c:v>6.4059999999999997</c:v>
                </c:pt>
                <c:pt idx="222">
                  <c:v>6.4329999999999998</c:v>
                </c:pt>
                <c:pt idx="223">
                  <c:v>6.4589999999999996</c:v>
                </c:pt>
                <c:pt idx="224">
                  <c:v>6.4859999999999998</c:v>
                </c:pt>
                <c:pt idx="225">
                  <c:v>6.5129999999999999</c:v>
                </c:pt>
                <c:pt idx="226">
                  <c:v>6.5389999999999997</c:v>
                </c:pt>
                <c:pt idx="227">
                  <c:v>6.5659999999999998</c:v>
                </c:pt>
                <c:pt idx="228">
                  <c:v>6.593</c:v>
                </c:pt>
                <c:pt idx="229">
                  <c:v>6.6189999999999998</c:v>
                </c:pt>
                <c:pt idx="230">
                  <c:v>6.6459999999999999</c:v>
                </c:pt>
                <c:pt idx="231">
                  <c:v>6.673</c:v>
                </c:pt>
                <c:pt idx="232">
                  <c:v>6.6989999999999998</c:v>
                </c:pt>
                <c:pt idx="233">
                  <c:v>6.726</c:v>
                </c:pt>
                <c:pt idx="234">
                  <c:v>6.7530000000000001</c:v>
                </c:pt>
                <c:pt idx="235">
                  <c:v>6.7789999999999999</c:v>
                </c:pt>
                <c:pt idx="236">
                  <c:v>6.806</c:v>
                </c:pt>
                <c:pt idx="237">
                  <c:v>6.8330000000000002</c:v>
                </c:pt>
                <c:pt idx="238">
                  <c:v>6.859</c:v>
                </c:pt>
                <c:pt idx="239">
                  <c:v>6.8860000000000001</c:v>
                </c:pt>
                <c:pt idx="240">
                  <c:v>6.9130000000000003</c:v>
                </c:pt>
                <c:pt idx="241">
                  <c:v>6.9390000000000001</c:v>
                </c:pt>
                <c:pt idx="242">
                  <c:v>6.9660000000000002</c:v>
                </c:pt>
                <c:pt idx="243">
                  <c:v>6.9930000000000003</c:v>
                </c:pt>
                <c:pt idx="244">
                  <c:v>7.0190000000000001</c:v>
                </c:pt>
                <c:pt idx="245">
                  <c:v>7.0460000000000003</c:v>
                </c:pt>
                <c:pt idx="246">
                  <c:v>7.0730000000000004</c:v>
                </c:pt>
                <c:pt idx="247">
                  <c:v>7.0990000000000002</c:v>
                </c:pt>
                <c:pt idx="248">
                  <c:v>7.1260000000000003</c:v>
                </c:pt>
                <c:pt idx="249">
                  <c:v>7.1529999999999996</c:v>
                </c:pt>
                <c:pt idx="250">
                  <c:v>7.1790000000000003</c:v>
                </c:pt>
                <c:pt idx="251">
                  <c:v>7.2060000000000004</c:v>
                </c:pt>
                <c:pt idx="252">
                  <c:v>7.2329999999999997</c:v>
                </c:pt>
                <c:pt idx="253">
                  <c:v>7.2590000000000003</c:v>
                </c:pt>
                <c:pt idx="254">
                  <c:v>7.2859999999999996</c:v>
                </c:pt>
                <c:pt idx="255">
                  <c:v>7.3129999999999997</c:v>
                </c:pt>
                <c:pt idx="256">
                  <c:v>7.3390000000000004</c:v>
                </c:pt>
                <c:pt idx="257">
                  <c:v>7.3659999999999997</c:v>
                </c:pt>
                <c:pt idx="258">
                  <c:v>7.3929999999999998</c:v>
                </c:pt>
                <c:pt idx="259">
                  <c:v>7.4189999999999996</c:v>
                </c:pt>
                <c:pt idx="260">
                  <c:v>7.4459999999999997</c:v>
                </c:pt>
                <c:pt idx="261">
                  <c:v>7.4729999999999999</c:v>
                </c:pt>
                <c:pt idx="262">
                  <c:v>7.4989999999999997</c:v>
                </c:pt>
                <c:pt idx="263">
                  <c:v>7.5259999999999998</c:v>
                </c:pt>
                <c:pt idx="264">
                  <c:v>7.5529999999999999</c:v>
                </c:pt>
                <c:pt idx="265">
                  <c:v>7.5789999999999997</c:v>
                </c:pt>
                <c:pt idx="266">
                  <c:v>7.6059999999999999</c:v>
                </c:pt>
                <c:pt idx="267">
                  <c:v>7.633</c:v>
                </c:pt>
                <c:pt idx="268">
                  <c:v>7.6589999999999998</c:v>
                </c:pt>
                <c:pt idx="269">
                  <c:v>7.6859999999999999</c:v>
                </c:pt>
                <c:pt idx="270">
                  <c:v>7.7130000000000001</c:v>
                </c:pt>
                <c:pt idx="271">
                  <c:v>7.7389999999999999</c:v>
                </c:pt>
                <c:pt idx="272">
                  <c:v>7.766</c:v>
                </c:pt>
                <c:pt idx="273">
                  <c:v>7.7930000000000001</c:v>
                </c:pt>
                <c:pt idx="274">
                  <c:v>7.819</c:v>
                </c:pt>
                <c:pt idx="275">
                  <c:v>7.8460000000000001</c:v>
                </c:pt>
                <c:pt idx="276">
                  <c:v>7.8730000000000002</c:v>
                </c:pt>
                <c:pt idx="277">
                  <c:v>7.899</c:v>
                </c:pt>
                <c:pt idx="278">
                  <c:v>7.9260000000000002</c:v>
                </c:pt>
                <c:pt idx="279">
                  <c:v>7.9530000000000003</c:v>
                </c:pt>
                <c:pt idx="280">
                  <c:v>7.9790000000000001</c:v>
                </c:pt>
                <c:pt idx="281">
                  <c:v>8.0060000000000002</c:v>
                </c:pt>
                <c:pt idx="282">
                  <c:v>8.0329999999999995</c:v>
                </c:pt>
                <c:pt idx="283">
                  <c:v>8.0589999999999993</c:v>
                </c:pt>
                <c:pt idx="284">
                  <c:v>8.0860000000000003</c:v>
                </c:pt>
                <c:pt idx="285">
                  <c:v>8.1129999999999995</c:v>
                </c:pt>
                <c:pt idx="286">
                  <c:v>8.1389999999999993</c:v>
                </c:pt>
                <c:pt idx="287">
                  <c:v>8.1660000000000004</c:v>
                </c:pt>
                <c:pt idx="288">
                  <c:v>8.1929999999999996</c:v>
                </c:pt>
                <c:pt idx="289">
                  <c:v>8.2189999999999994</c:v>
                </c:pt>
                <c:pt idx="290">
                  <c:v>8.2460000000000004</c:v>
                </c:pt>
                <c:pt idx="291">
                  <c:v>8.2729999999999997</c:v>
                </c:pt>
                <c:pt idx="292">
                  <c:v>8.2989999999999995</c:v>
                </c:pt>
                <c:pt idx="293">
                  <c:v>8.3260000000000005</c:v>
                </c:pt>
                <c:pt idx="294">
                  <c:v>8.3529999999999998</c:v>
                </c:pt>
                <c:pt idx="295">
                  <c:v>8.3789999999999996</c:v>
                </c:pt>
                <c:pt idx="296">
                  <c:v>8.4060000000000006</c:v>
                </c:pt>
                <c:pt idx="297">
                  <c:v>8.4329999999999998</c:v>
                </c:pt>
                <c:pt idx="298">
                  <c:v>8.4589999999999996</c:v>
                </c:pt>
                <c:pt idx="299">
                  <c:v>8.4860000000000007</c:v>
                </c:pt>
                <c:pt idx="300">
                  <c:v>8.5129999999999999</c:v>
                </c:pt>
                <c:pt idx="301">
                  <c:v>8.5389999999999997</c:v>
                </c:pt>
                <c:pt idx="302">
                  <c:v>8.5660000000000007</c:v>
                </c:pt>
                <c:pt idx="303">
                  <c:v>8.593</c:v>
                </c:pt>
                <c:pt idx="304">
                  <c:v>8.6189999999999998</c:v>
                </c:pt>
                <c:pt idx="305">
                  <c:v>8.6460000000000008</c:v>
                </c:pt>
                <c:pt idx="306">
                  <c:v>8.673</c:v>
                </c:pt>
                <c:pt idx="307">
                  <c:v>8.6989999999999998</c:v>
                </c:pt>
                <c:pt idx="308">
                  <c:v>8.7260000000000009</c:v>
                </c:pt>
                <c:pt idx="309">
                  <c:v>8.7530000000000001</c:v>
                </c:pt>
                <c:pt idx="310">
                  <c:v>8.7789999999999999</c:v>
                </c:pt>
                <c:pt idx="311">
                  <c:v>8.8059999999999992</c:v>
                </c:pt>
                <c:pt idx="312">
                  <c:v>8.8330000000000002</c:v>
                </c:pt>
                <c:pt idx="313">
                  <c:v>8.859</c:v>
                </c:pt>
                <c:pt idx="314">
                  <c:v>8.8859999999999992</c:v>
                </c:pt>
                <c:pt idx="315">
                  <c:v>8.9130000000000003</c:v>
                </c:pt>
                <c:pt idx="316">
                  <c:v>8.9390000000000001</c:v>
                </c:pt>
                <c:pt idx="317">
                  <c:v>8.9659999999999993</c:v>
                </c:pt>
                <c:pt idx="318">
                  <c:v>8.9930000000000003</c:v>
                </c:pt>
                <c:pt idx="319">
                  <c:v>9.0190000000000001</c:v>
                </c:pt>
                <c:pt idx="320">
                  <c:v>9.0459999999999994</c:v>
                </c:pt>
                <c:pt idx="321">
                  <c:v>9.0730000000000004</c:v>
                </c:pt>
                <c:pt idx="322">
                  <c:v>9.0990000000000002</c:v>
                </c:pt>
                <c:pt idx="323">
                  <c:v>9.1259999999999994</c:v>
                </c:pt>
                <c:pt idx="324">
                  <c:v>9.1530000000000005</c:v>
                </c:pt>
                <c:pt idx="325">
                  <c:v>9.1790000000000003</c:v>
                </c:pt>
                <c:pt idx="326">
                  <c:v>9.2059999999999995</c:v>
                </c:pt>
                <c:pt idx="327">
                  <c:v>9.2330000000000005</c:v>
                </c:pt>
                <c:pt idx="328">
                  <c:v>9.2590000000000003</c:v>
                </c:pt>
                <c:pt idx="329">
                  <c:v>9.2859999999999996</c:v>
                </c:pt>
                <c:pt idx="330">
                  <c:v>9.3130000000000006</c:v>
                </c:pt>
                <c:pt idx="331">
                  <c:v>9.3390000000000004</c:v>
                </c:pt>
                <c:pt idx="332">
                  <c:v>9.3659999999999997</c:v>
                </c:pt>
                <c:pt idx="333">
                  <c:v>9.3930000000000007</c:v>
                </c:pt>
                <c:pt idx="334">
                  <c:v>9.4190000000000005</c:v>
                </c:pt>
                <c:pt idx="335">
                  <c:v>9.4459999999999997</c:v>
                </c:pt>
                <c:pt idx="336">
                  <c:v>9.4730000000000008</c:v>
                </c:pt>
                <c:pt idx="337">
                  <c:v>9.4990000000000006</c:v>
                </c:pt>
                <c:pt idx="338">
                  <c:v>9.5259999999999998</c:v>
                </c:pt>
                <c:pt idx="339">
                  <c:v>9.5530000000000008</c:v>
                </c:pt>
                <c:pt idx="340">
                  <c:v>9.5790000000000006</c:v>
                </c:pt>
                <c:pt idx="341">
                  <c:v>9.6059999999999999</c:v>
                </c:pt>
                <c:pt idx="342">
                  <c:v>9.6329999999999991</c:v>
                </c:pt>
                <c:pt idx="343">
                  <c:v>9.6590000000000007</c:v>
                </c:pt>
                <c:pt idx="344">
                  <c:v>9.6859999999999999</c:v>
                </c:pt>
                <c:pt idx="345">
                  <c:v>9.7129999999999992</c:v>
                </c:pt>
                <c:pt idx="346">
                  <c:v>9.7390000000000008</c:v>
                </c:pt>
                <c:pt idx="347">
                  <c:v>9.766</c:v>
                </c:pt>
                <c:pt idx="348">
                  <c:v>9.7929999999999993</c:v>
                </c:pt>
                <c:pt idx="349">
                  <c:v>9.8190000000000008</c:v>
                </c:pt>
                <c:pt idx="350">
                  <c:v>9.8460000000000001</c:v>
                </c:pt>
                <c:pt idx="351">
                  <c:v>9.8729999999999993</c:v>
                </c:pt>
                <c:pt idx="352">
                  <c:v>9.8989999999999991</c:v>
                </c:pt>
                <c:pt idx="353">
                  <c:v>9.9260000000000002</c:v>
                </c:pt>
                <c:pt idx="354">
                  <c:v>9.9529999999999994</c:v>
                </c:pt>
                <c:pt idx="355">
                  <c:v>9.9789999999999992</c:v>
                </c:pt>
                <c:pt idx="356">
                  <c:v>10.006</c:v>
                </c:pt>
              </c:numCache>
            </c:numRef>
          </c:xVal>
          <c:yVal>
            <c:numRef>
              <c:f>ChromatogramData!$B$2:$B$10001</c:f>
              <c:numCache>
                <c:formatCode>General</c:formatCode>
                <c:ptCount val="10000"/>
                <c:pt idx="0">
                  <c:v>78.550272616186135</c:v>
                </c:pt>
                <c:pt idx="1">
                  <c:v>77.343929279472476</c:v>
                </c:pt>
                <c:pt idx="2">
                  <c:v>73.30829421310905</c:v>
                </c:pt>
                <c:pt idx="3">
                  <c:v>69.580584623083951</c:v>
                </c:pt>
                <c:pt idx="4">
                  <c:v>67.461332815343738</c:v>
                </c:pt>
                <c:pt idx="5">
                  <c:v>66.128196635431948</c:v>
                </c:pt>
                <c:pt idx="6">
                  <c:v>64.200945418820339</c:v>
                </c:pt>
                <c:pt idx="7">
                  <c:v>62.585242331209834</c:v>
                </c:pt>
                <c:pt idx="8">
                  <c:v>61.878825061963099</c:v>
                </c:pt>
                <c:pt idx="9">
                  <c:v>60.835501095075593</c:v>
                </c:pt>
                <c:pt idx="10">
                  <c:v>58.857532741184734</c:v>
                </c:pt>
                <c:pt idx="11">
                  <c:v>56.767262154746952</c:v>
                </c:pt>
                <c:pt idx="12">
                  <c:v>55.568164123358898</c:v>
                </c:pt>
                <c:pt idx="13">
                  <c:v>55.376163532230294</c:v>
                </c:pt>
                <c:pt idx="14">
                  <c:v>56.897677650607882</c:v>
                </c:pt>
                <c:pt idx="15">
                  <c:v>61.357163078519356</c:v>
                </c:pt>
                <c:pt idx="16">
                  <c:v>68.171372737253279</c:v>
                </c:pt>
                <c:pt idx="17">
                  <c:v>74.47116571786907</c:v>
                </c:pt>
                <c:pt idx="18">
                  <c:v>79.024840115013433</c:v>
                </c:pt>
                <c:pt idx="19">
                  <c:v>81.785301444069916</c:v>
                </c:pt>
                <c:pt idx="20">
                  <c:v>82.162057321001512</c:v>
                </c:pt>
                <c:pt idx="21">
                  <c:v>79.546502098457182</c:v>
                </c:pt>
                <c:pt idx="22">
                  <c:v>74.141504325553925</c:v>
                </c:pt>
                <c:pt idx="23">
                  <c:v>66.89619899994635</c:v>
                </c:pt>
                <c:pt idx="24">
                  <c:v>59.361081461314463</c:v>
                </c:pt>
                <c:pt idx="25">
                  <c:v>53.477893536921108</c:v>
                </c:pt>
                <c:pt idx="26">
                  <c:v>50.065354728559939</c:v>
                </c:pt>
                <c:pt idx="27">
                  <c:v>48.551085915507954</c:v>
                </c:pt>
                <c:pt idx="28">
                  <c:v>47.880895172889254</c:v>
                </c:pt>
                <c:pt idx="29">
                  <c:v>47.384591758085129</c:v>
                </c:pt>
                <c:pt idx="30">
                  <c:v>46.786854068722512</c:v>
                </c:pt>
                <c:pt idx="31">
                  <c:v>46.163757810720256</c:v>
                </c:pt>
                <c:pt idx="32">
                  <c:v>45.544284205380812</c:v>
                </c:pt>
                <c:pt idx="33">
                  <c:v>45.037112832588278</c:v>
                </c:pt>
                <c:pt idx="34">
                  <c:v>44.754545924889584</c:v>
                </c:pt>
                <c:pt idx="35">
                  <c:v>44.613262471040237</c:v>
                </c:pt>
                <c:pt idx="36">
                  <c:v>44.490092280504903</c:v>
                </c:pt>
                <c:pt idx="37">
                  <c:v>44.417639227248834</c:v>
                </c:pt>
                <c:pt idx="38">
                  <c:v>44.403148616597612</c:v>
                </c:pt>
                <c:pt idx="39">
                  <c:v>44.424884532574431</c:v>
                </c:pt>
                <c:pt idx="40">
                  <c:v>44.519073501807334</c:v>
                </c:pt>
                <c:pt idx="41">
                  <c:v>44.649488997668279</c:v>
                </c:pt>
                <c:pt idx="42">
                  <c:v>44.848734894122479</c:v>
                </c:pt>
                <c:pt idx="43">
                  <c:v>45.171150981112021</c:v>
                </c:pt>
                <c:pt idx="44">
                  <c:v>45.413868709519868</c:v>
                </c:pt>
                <c:pt idx="45">
                  <c:v>45.595001342660062</c:v>
                </c:pt>
                <c:pt idx="46">
                  <c:v>45.739907449172215</c:v>
                </c:pt>
                <c:pt idx="47">
                  <c:v>45.794247239114263</c:v>
                </c:pt>
                <c:pt idx="48">
                  <c:v>45.87394559769595</c:v>
                </c:pt>
                <c:pt idx="49">
                  <c:v>46.004361093556888</c:v>
                </c:pt>
                <c:pt idx="50">
                  <c:v>46.236210863976332</c:v>
                </c:pt>
                <c:pt idx="51">
                  <c:v>46.627457351559137</c:v>
                </c:pt>
                <c:pt idx="52">
                  <c:v>47.127383419026067</c:v>
                </c:pt>
                <c:pt idx="53">
                  <c:v>47.681649276435046</c:v>
                </c:pt>
                <c:pt idx="54">
                  <c:v>48.388066545681781</c:v>
                </c:pt>
                <c:pt idx="55">
                  <c:v>49.214031352801044</c:v>
                </c:pt>
                <c:pt idx="56">
                  <c:v>50.047241465245918</c:v>
                </c:pt>
                <c:pt idx="57">
                  <c:v>50.920300756981632</c:v>
                </c:pt>
                <c:pt idx="58">
                  <c:v>52.057813693102027</c:v>
                </c:pt>
                <c:pt idx="59">
                  <c:v>53.387327220351011</c:v>
                </c:pt>
                <c:pt idx="60">
                  <c:v>54.314726302028788</c:v>
                </c:pt>
                <c:pt idx="61">
                  <c:v>54.94869051801944</c:v>
                </c:pt>
                <c:pt idx="62">
                  <c:v>55.379786184893099</c:v>
                </c:pt>
                <c:pt idx="63">
                  <c:v>55.278351910334592</c:v>
                </c:pt>
                <c:pt idx="64">
                  <c:v>55.655107787266189</c:v>
                </c:pt>
                <c:pt idx="65">
                  <c:v>56.397751583140966</c:v>
                </c:pt>
                <c:pt idx="66">
                  <c:v>57.144018031678549</c:v>
                </c:pt>
                <c:pt idx="67">
                  <c:v>57.61858553050584</c:v>
                </c:pt>
                <c:pt idx="68">
                  <c:v>58.056926502705096</c:v>
                </c:pt>
                <c:pt idx="69">
                  <c:v>58.821306214556692</c:v>
                </c:pt>
                <c:pt idx="70">
                  <c:v>59.665384284989976</c:v>
                </c:pt>
                <c:pt idx="71">
                  <c:v>60.404405428201947</c:v>
                </c:pt>
                <c:pt idx="72">
                  <c:v>61.110822697448697</c:v>
                </c:pt>
                <c:pt idx="73">
                  <c:v>61.777390787404592</c:v>
                </c:pt>
                <c:pt idx="74">
                  <c:v>62.889545154885347</c:v>
                </c:pt>
                <c:pt idx="75">
                  <c:v>64.479889673856206</c:v>
                </c:pt>
                <c:pt idx="76">
                  <c:v>65.606534651988198</c:v>
                </c:pt>
                <c:pt idx="77">
                  <c:v>65.75506341116315</c:v>
                </c:pt>
                <c:pt idx="78">
                  <c:v>65.04140083659081</c:v>
                </c:pt>
                <c:pt idx="79">
                  <c:v>65.150080416474921</c:v>
                </c:pt>
                <c:pt idx="80">
                  <c:v>65.356571618254733</c:v>
                </c:pt>
                <c:pt idx="81">
                  <c:v>64.892872077415859</c:v>
                </c:pt>
                <c:pt idx="82">
                  <c:v>63.773472404609478</c:v>
                </c:pt>
                <c:pt idx="83">
                  <c:v>63.001847387432264</c:v>
                </c:pt>
                <c:pt idx="84">
                  <c:v>62.925771681513389</c:v>
                </c:pt>
                <c:pt idx="85">
                  <c:v>63.215583894537694</c:v>
                </c:pt>
                <c:pt idx="86">
                  <c:v>64.045171354319763</c:v>
                </c:pt>
                <c:pt idx="87">
                  <c:v>64.679135570310422</c:v>
                </c:pt>
                <c:pt idx="88">
                  <c:v>64.798683108182956</c:v>
                </c:pt>
                <c:pt idx="89">
                  <c:v>64.291511735390415</c:v>
                </c:pt>
                <c:pt idx="90">
                  <c:v>63.556113244841256</c:v>
                </c:pt>
                <c:pt idx="91">
                  <c:v>62.730148437722001</c:v>
                </c:pt>
                <c:pt idx="92">
                  <c:v>62.335279297476376</c:v>
                </c:pt>
                <c:pt idx="93">
                  <c:v>62.041844431789272</c:v>
                </c:pt>
                <c:pt idx="94">
                  <c:v>61.694069776160106</c:v>
                </c:pt>
                <c:pt idx="95">
                  <c:v>61.259351456623641</c:v>
                </c:pt>
                <c:pt idx="96">
                  <c:v>60.889840885017655</c:v>
                </c:pt>
                <c:pt idx="97">
                  <c:v>60.976784548924947</c:v>
                </c:pt>
                <c:pt idx="98">
                  <c:v>62.596110289198243</c:v>
                </c:pt>
                <c:pt idx="99">
                  <c:v>64.287889082727617</c:v>
                </c:pt>
                <c:pt idx="100">
                  <c:v>65.505100377429684</c:v>
                </c:pt>
                <c:pt idx="101">
                  <c:v>66.084724803478295</c:v>
                </c:pt>
                <c:pt idx="102">
                  <c:v>65.668119747255872</c:v>
                </c:pt>
                <c:pt idx="103">
                  <c:v>64.863890856113414</c:v>
                </c:pt>
                <c:pt idx="104">
                  <c:v>63.831434847214339</c:v>
                </c:pt>
                <c:pt idx="105">
                  <c:v>62.911281070862181</c:v>
                </c:pt>
                <c:pt idx="106">
                  <c:v>63.135885535956007</c:v>
                </c:pt>
                <c:pt idx="107">
                  <c:v>63.932869121772839</c:v>
                </c:pt>
                <c:pt idx="108">
                  <c:v>65.936196044303344</c:v>
                </c:pt>
                <c:pt idx="109">
                  <c:v>70.475379830796484</c:v>
                </c:pt>
                <c:pt idx="110">
                  <c:v>75.539848253396187</c:v>
                </c:pt>
                <c:pt idx="111">
                  <c:v>88.998002895712261</c:v>
                </c:pt>
                <c:pt idx="112">
                  <c:v>98.717579990014841</c:v>
                </c:pt>
                <c:pt idx="113">
                  <c:v>99.999999032647366</c:v>
                </c:pt>
                <c:pt idx="114">
                  <c:v>89.291437761399365</c:v>
                </c:pt>
                <c:pt idx="115">
                  <c:v>76.126717984770409</c:v>
                </c:pt>
                <c:pt idx="116">
                  <c:v>68.41046781299832</c:v>
                </c:pt>
                <c:pt idx="117">
                  <c:v>65.04140083659081</c:v>
                </c:pt>
                <c:pt idx="118">
                  <c:v>63.715509962004624</c:v>
                </c:pt>
                <c:pt idx="119">
                  <c:v>63.121394925304791</c:v>
                </c:pt>
                <c:pt idx="120">
                  <c:v>63.730000572655825</c:v>
                </c:pt>
                <c:pt idx="121">
                  <c:v>69.388584031955347</c:v>
                </c:pt>
                <c:pt idx="122">
                  <c:v>72.489574711315385</c:v>
                </c:pt>
                <c:pt idx="123">
                  <c:v>72.840972019607364</c:v>
                </c:pt>
                <c:pt idx="124">
                  <c:v>68.446694339626362</c:v>
                </c:pt>
                <c:pt idx="125">
                  <c:v>65.251514691033435</c:v>
                </c:pt>
                <c:pt idx="126">
                  <c:v>64.171964197517894</c:v>
                </c:pt>
                <c:pt idx="127">
                  <c:v>63.701019351353402</c:v>
                </c:pt>
                <c:pt idx="128">
                  <c:v>63.15762145193284</c:v>
                </c:pt>
                <c:pt idx="129">
                  <c:v>63.570603855492465</c:v>
                </c:pt>
                <c:pt idx="130">
                  <c:v>68.874167353837208</c:v>
                </c:pt>
                <c:pt idx="131">
                  <c:v>75.992679836246666</c:v>
                </c:pt>
                <c:pt idx="132">
                  <c:v>77.043249108459747</c:v>
                </c:pt>
                <c:pt idx="133">
                  <c:v>73.844446807204022</c:v>
                </c:pt>
                <c:pt idx="134">
                  <c:v>67.555521784576626</c:v>
                </c:pt>
                <c:pt idx="135">
                  <c:v>62.867809238908528</c:v>
                </c:pt>
                <c:pt idx="136">
                  <c:v>61.259351456623641</c:v>
                </c:pt>
                <c:pt idx="137">
                  <c:v>60.842746400401211</c:v>
                </c:pt>
                <c:pt idx="138">
                  <c:v>60.690594988563447</c:v>
                </c:pt>
                <c:pt idx="139">
                  <c:v>67.349030582796814</c:v>
                </c:pt>
                <c:pt idx="140">
                  <c:v>79.282048454072495</c:v>
                </c:pt>
                <c:pt idx="141">
                  <c:v>81.723716348802256</c:v>
                </c:pt>
                <c:pt idx="142">
                  <c:v>76.775172811412276</c:v>
                </c:pt>
                <c:pt idx="143">
                  <c:v>66.262234783955677</c:v>
                </c:pt>
                <c:pt idx="144">
                  <c:v>61.360785731182162</c:v>
                </c:pt>
                <c:pt idx="145">
                  <c:v>66.88533104195794</c:v>
                </c:pt>
                <c:pt idx="146">
                  <c:v>80.861525015054937</c:v>
                </c:pt>
                <c:pt idx="147">
                  <c:v>84.745008669580628</c:v>
                </c:pt>
                <c:pt idx="148">
                  <c:v>77.083098287750602</c:v>
                </c:pt>
                <c:pt idx="149">
                  <c:v>69.149488956210305</c:v>
                </c:pt>
                <c:pt idx="150">
                  <c:v>67.551899131913814</c:v>
                </c:pt>
                <c:pt idx="151">
                  <c:v>66.044875624187455</c:v>
                </c:pt>
                <c:pt idx="152">
                  <c:v>63.748113835969853</c:v>
                </c:pt>
                <c:pt idx="153">
                  <c:v>62.146901359010577</c:v>
                </c:pt>
                <c:pt idx="154">
                  <c:v>62.020108515812453</c:v>
                </c:pt>
                <c:pt idx="155">
                  <c:v>62.20124114895264</c:v>
                </c:pt>
                <c:pt idx="156">
                  <c:v>62.639582121151889</c:v>
                </c:pt>
                <c:pt idx="157">
                  <c:v>63.2192065472005</c:v>
                </c:pt>
                <c:pt idx="158">
                  <c:v>65.494232419441275</c:v>
                </c:pt>
                <c:pt idx="159">
                  <c:v>65.765931369151559</c:v>
                </c:pt>
                <c:pt idx="160">
                  <c:v>63.835057499877145</c:v>
                </c:pt>
                <c:pt idx="161">
                  <c:v>61.614371417578418</c:v>
                </c:pt>
                <c:pt idx="162">
                  <c:v>60.534820924062892</c:v>
                </c:pt>
                <c:pt idx="163">
                  <c:v>60.37904685956233</c:v>
                </c:pt>
                <c:pt idx="164">
                  <c:v>61.168785140053558</c:v>
                </c:pt>
                <c:pt idx="165">
                  <c:v>66.541179038991586</c:v>
                </c:pt>
                <c:pt idx="166">
                  <c:v>70.953569982286581</c:v>
                </c:pt>
                <c:pt idx="167">
                  <c:v>70.88473958169331</c:v>
                </c:pt>
                <c:pt idx="168">
                  <c:v>66.664349229526906</c:v>
                </c:pt>
                <c:pt idx="169">
                  <c:v>63.20833858921209</c:v>
                </c:pt>
                <c:pt idx="170">
                  <c:v>61.773768134741786</c:v>
                </c:pt>
                <c:pt idx="171">
                  <c:v>61.665088554857668</c:v>
                </c:pt>
                <c:pt idx="172">
                  <c:v>62.878677196896938</c:v>
                </c:pt>
                <c:pt idx="173">
                  <c:v>64.193700113494714</c:v>
                </c:pt>
                <c:pt idx="174">
                  <c:v>64.066907270296596</c:v>
                </c:pt>
                <c:pt idx="175">
                  <c:v>64.012567480354534</c:v>
                </c:pt>
                <c:pt idx="176">
                  <c:v>63.483660191585173</c:v>
                </c:pt>
                <c:pt idx="177">
                  <c:v>62.462072140674508</c:v>
                </c:pt>
                <c:pt idx="178">
                  <c:v>61.770145482078988</c:v>
                </c:pt>
                <c:pt idx="179">
                  <c:v>61.556408974973564</c:v>
                </c:pt>
                <c:pt idx="180">
                  <c:v>61.288332677926071</c:v>
                </c:pt>
                <c:pt idx="181">
                  <c:v>60.857237011052426</c:v>
                </c:pt>
                <c:pt idx="182">
                  <c:v>61.143426571413926</c:v>
                </c:pt>
                <c:pt idx="183">
                  <c:v>62.360637866115987</c:v>
                </c:pt>
                <c:pt idx="184">
                  <c:v>79.361746812654175</c:v>
                </c:pt>
                <c:pt idx="185">
                  <c:v>95.247078739048803</c:v>
                </c:pt>
                <c:pt idx="186">
                  <c:v>93.87047072718336</c:v>
                </c:pt>
                <c:pt idx="187">
                  <c:v>77.199023172960324</c:v>
                </c:pt>
                <c:pt idx="188">
                  <c:v>66.178913772711198</c:v>
                </c:pt>
                <c:pt idx="189">
                  <c:v>61.933164851905147</c:v>
                </c:pt>
                <c:pt idx="190">
                  <c:v>61.632484680892432</c:v>
                </c:pt>
                <c:pt idx="191">
                  <c:v>69.797943782852187</c:v>
                </c:pt>
                <c:pt idx="192">
                  <c:v>79.821823700830265</c:v>
                </c:pt>
                <c:pt idx="193">
                  <c:v>81.397677609149909</c:v>
                </c:pt>
                <c:pt idx="194">
                  <c:v>74.992827701312819</c:v>
                </c:pt>
                <c:pt idx="195">
                  <c:v>66.479593943723899</c:v>
                </c:pt>
                <c:pt idx="196">
                  <c:v>62.715657827070771</c:v>
                </c:pt>
                <c:pt idx="197">
                  <c:v>61.762900176753369</c:v>
                </c:pt>
                <c:pt idx="198">
                  <c:v>61.730296302788133</c:v>
                </c:pt>
                <c:pt idx="199">
                  <c:v>61.730296302788133</c:v>
                </c:pt>
                <c:pt idx="200">
                  <c:v>61.708560386811314</c:v>
                </c:pt>
                <c:pt idx="201">
                  <c:v>61.636107333555238</c:v>
                </c:pt>
                <c:pt idx="202">
                  <c:v>61.512937143019911</c:v>
                </c:pt>
                <c:pt idx="203">
                  <c:v>61.505691837694307</c:v>
                </c:pt>
                <c:pt idx="204">
                  <c:v>61.70131508148571</c:v>
                </c:pt>
                <c:pt idx="205">
                  <c:v>61.806372008707015</c:v>
                </c:pt>
                <c:pt idx="206">
                  <c:v>61.773768134741786</c:v>
                </c:pt>
                <c:pt idx="207">
                  <c:v>61.817239966695432</c:v>
                </c:pt>
                <c:pt idx="208">
                  <c:v>61.991127294510022</c:v>
                </c:pt>
                <c:pt idx="209">
                  <c:v>62.157769316998987</c:v>
                </c:pt>
                <c:pt idx="210">
                  <c:v>62.19037319096423</c:v>
                </c:pt>
                <c:pt idx="211">
                  <c:v>62.233845022917869</c:v>
                </c:pt>
                <c:pt idx="212">
                  <c:v>62.208486454278237</c:v>
                </c:pt>
                <c:pt idx="213">
                  <c:v>62.360637866115987</c:v>
                </c:pt>
                <c:pt idx="214">
                  <c:v>62.494676014639744</c:v>
                </c:pt>
                <c:pt idx="215">
                  <c:v>62.545393151918994</c:v>
                </c:pt>
                <c:pt idx="216">
                  <c:v>62.65769538446591</c:v>
                </c:pt>
                <c:pt idx="217">
                  <c:v>63.059809830037125</c:v>
                </c:pt>
                <c:pt idx="218">
                  <c:v>63.327886127084618</c:v>
                </c:pt>
                <c:pt idx="219">
                  <c:v>63.345999390398639</c:v>
                </c:pt>
                <c:pt idx="220">
                  <c:v>63.628566298097319</c:v>
                </c:pt>
                <c:pt idx="221">
                  <c:v>63.885774637156402</c:v>
                </c:pt>
                <c:pt idx="222">
                  <c:v>63.929246469110034</c:v>
                </c:pt>
                <c:pt idx="223">
                  <c:v>63.476414886259555</c:v>
                </c:pt>
                <c:pt idx="224">
                  <c:v>63.067055135362736</c:v>
                </c:pt>
                <c:pt idx="225">
                  <c:v>62.929394334176209</c:v>
                </c:pt>
                <c:pt idx="226">
                  <c:v>62.918526376187785</c:v>
                </c:pt>
                <c:pt idx="227">
                  <c:v>62.951130250153028</c:v>
                </c:pt>
                <c:pt idx="228">
                  <c:v>62.896790460210966</c:v>
                </c:pt>
                <c:pt idx="229">
                  <c:v>62.795356185652444</c:v>
                </c:pt>
                <c:pt idx="230">
                  <c:v>62.719280479733577</c:v>
                </c:pt>
                <c:pt idx="231">
                  <c:v>62.693921911093952</c:v>
                </c:pt>
                <c:pt idx="232">
                  <c:v>62.701167216419549</c:v>
                </c:pt>
                <c:pt idx="233">
                  <c:v>62.813469448966465</c:v>
                </c:pt>
                <c:pt idx="234">
                  <c:v>62.954752902815819</c:v>
                </c:pt>
                <c:pt idx="235">
                  <c:v>63.092413704002368</c:v>
                </c:pt>
                <c:pt idx="236">
                  <c:v>63.211961241874889</c:v>
                </c:pt>
                <c:pt idx="237">
                  <c:v>63.255433073828527</c:v>
                </c:pt>
                <c:pt idx="238">
                  <c:v>63.335131432410215</c:v>
                </c:pt>
                <c:pt idx="239">
                  <c:v>63.418452443654701</c:v>
                </c:pt>
                <c:pt idx="240">
                  <c:v>63.480037538922375</c:v>
                </c:pt>
                <c:pt idx="241">
                  <c:v>63.610453034783305</c:v>
                </c:pt>
                <c:pt idx="242">
                  <c:v>63.686528740702173</c:v>
                </c:pt>
                <c:pt idx="243">
                  <c:v>63.824189541888735</c:v>
                </c:pt>
                <c:pt idx="244">
                  <c:v>64.103133796924624</c:v>
                </c:pt>
                <c:pt idx="245">
                  <c:v>64.077775228285006</c:v>
                </c:pt>
                <c:pt idx="246">
                  <c:v>63.958227690412471</c:v>
                </c:pt>
                <c:pt idx="247">
                  <c:v>63.563358550166846</c:v>
                </c:pt>
                <c:pt idx="248">
                  <c:v>63.233697157851708</c:v>
                </c:pt>
                <c:pt idx="249">
                  <c:v>63.096036356665174</c:v>
                </c:pt>
                <c:pt idx="250">
                  <c:v>63.226451852526104</c:v>
                </c:pt>
                <c:pt idx="251">
                  <c:v>63.425697748980312</c:v>
                </c:pt>
                <c:pt idx="252">
                  <c:v>63.650302214074152</c:v>
                </c:pt>
                <c:pt idx="253">
                  <c:v>63.711887309341812</c:v>
                </c:pt>
                <c:pt idx="254">
                  <c:v>63.722755267330221</c:v>
                </c:pt>
                <c:pt idx="255">
                  <c:v>63.795208320586298</c:v>
                </c:pt>
                <c:pt idx="256">
                  <c:v>64.023435438342943</c:v>
                </c:pt>
                <c:pt idx="257">
                  <c:v>64.277021124739207</c:v>
                </c:pt>
                <c:pt idx="258">
                  <c:v>64.443663147228179</c:v>
                </c:pt>
                <c:pt idx="259">
                  <c:v>64.436417841902568</c:v>
                </c:pt>
                <c:pt idx="260">
                  <c:v>64.363964788646484</c:v>
                </c:pt>
                <c:pt idx="261">
                  <c:v>64.200945418820339</c:v>
                </c:pt>
                <c:pt idx="262">
                  <c:v>64.085020533610617</c:v>
                </c:pt>
                <c:pt idx="263">
                  <c:v>63.91113320579602</c:v>
                </c:pt>
                <c:pt idx="264">
                  <c:v>63.762604446621054</c:v>
                </c:pt>
                <c:pt idx="265">
                  <c:v>63.693774046027791</c:v>
                </c:pt>
                <c:pt idx="266">
                  <c:v>63.635811603422937</c:v>
                </c:pt>
                <c:pt idx="267">
                  <c:v>63.682906088039381</c:v>
                </c:pt>
                <c:pt idx="268">
                  <c:v>63.758981793958263</c:v>
                </c:pt>
                <c:pt idx="269">
                  <c:v>63.787963015260694</c:v>
                </c:pt>
                <c:pt idx="270">
                  <c:v>63.715509962004624</c:v>
                </c:pt>
                <c:pt idx="271">
                  <c:v>63.570603855492465</c:v>
                </c:pt>
                <c:pt idx="272">
                  <c:v>63.447433664957131</c:v>
                </c:pt>
                <c:pt idx="273">
                  <c:v>63.389471222352277</c:v>
                </c:pt>
                <c:pt idx="274">
                  <c:v>63.349622043061437</c:v>
                </c:pt>
                <c:pt idx="275">
                  <c:v>63.345999390398639</c:v>
                </c:pt>
                <c:pt idx="276">
                  <c:v>63.259055726491333</c:v>
                </c:pt>
                <c:pt idx="277">
                  <c:v>63.117772272642</c:v>
                </c:pt>
                <c:pt idx="278">
                  <c:v>62.969243513467042</c:v>
                </c:pt>
                <c:pt idx="279">
                  <c:v>62.788110880326855</c:v>
                </c:pt>
                <c:pt idx="280">
                  <c:v>62.567129067895813</c:v>
                </c:pt>
                <c:pt idx="281">
                  <c:v>62.309920728836744</c:v>
                </c:pt>
                <c:pt idx="282">
                  <c:v>62.414977656058049</c:v>
                </c:pt>
                <c:pt idx="283">
                  <c:v>63.106904314653583</c:v>
                </c:pt>
                <c:pt idx="284">
                  <c:v>63.266301031816937</c:v>
                </c:pt>
                <c:pt idx="285">
                  <c:v>63.360490001049847</c:v>
                </c:pt>
                <c:pt idx="286">
                  <c:v>62.588864983872647</c:v>
                </c:pt>
                <c:pt idx="287">
                  <c:v>61.762900176753369</c:v>
                </c:pt>
                <c:pt idx="288">
                  <c:v>61.121690655437106</c:v>
                </c:pt>
                <c:pt idx="289">
                  <c:v>60.589160714004954</c:v>
                </c:pt>
                <c:pt idx="290">
                  <c:v>60.234140753050184</c:v>
                </c:pt>
                <c:pt idx="291">
                  <c:v>60.049385467247184</c:v>
                </c:pt>
                <c:pt idx="292">
                  <c:v>59.944328540025865</c:v>
                </c:pt>
                <c:pt idx="293">
                  <c:v>59.871875486769802</c:v>
                </c:pt>
                <c:pt idx="294">
                  <c:v>59.694365506292414</c:v>
                </c:pt>
                <c:pt idx="295">
                  <c:v>59.332100240012032</c:v>
                </c:pt>
                <c:pt idx="296">
                  <c:v>58.966212321068852</c:v>
                </c:pt>
                <c:pt idx="297">
                  <c:v>58.527871348869589</c:v>
                </c:pt>
                <c:pt idx="298">
                  <c:v>58.165606082589214</c:v>
                </c:pt>
                <c:pt idx="299">
                  <c:v>60.331952374945871</c:v>
                </c:pt>
                <c:pt idx="300">
                  <c:v>73.029349958073155</c:v>
                </c:pt>
                <c:pt idx="301">
                  <c:v>77.423627638054157</c:v>
                </c:pt>
                <c:pt idx="302">
                  <c:v>80.749222782508042</c:v>
                </c:pt>
                <c:pt idx="303">
                  <c:v>73.022104652747558</c:v>
                </c:pt>
                <c:pt idx="304">
                  <c:v>62.277316854871522</c:v>
                </c:pt>
                <c:pt idx="305">
                  <c:v>57.683793278436305</c:v>
                </c:pt>
                <c:pt idx="306">
                  <c:v>56.19126038136114</c:v>
                </c:pt>
                <c:pt idx="307">
                  <c:v>55.655107787266189</c:v>
                </c:pt>
                <c:pt idx="308">
                  <c:v>55.118955193171224</c:v>
                </c:pt>
                <c:pt idx="309">
                  <c:v>54.5212175038086</c:v>
                </c:pt>
                <c:pt idx="310">
                  <c:v>53.919857161783163</c:v>
                </c:pt>
                <c:pt idx="311">
                  <c:v>53.238798461176053</c:v>
                </c:pt>
                <c:pt idx="312">
                  <c:v>52.525135886603714</c:v>
                </c:pt>
                <c:pt idx="313">
                  <c:v>51.768001480077722</c:v>
                </c:pt>
                <c:pt idx="314">
                  <c:v>51.057961558168174</c:v>
                </c:pt>
                <c:pt idx="315">
                  <c:v>50.376902857561063</c:v>
                </c:pt>
                <c:pt idx="316">
                  <c:v>49.587164577069835</c:v>
                </c:pt>
                <c:pt idx="317">
                  <c:v>48.757577117287767</c:v>
                </c:pt>
                <c:pt idx="318">
                  <c:v>47.837423340935608</c:v>
                </c:pt>
                <c:pt idx="319">
                  <c:v>47.149119335002887</c:v>
                </c:pt>
                <c:pt idx="320">
                  <c:v>46.689042446826804</c:v>
                </c:pt>
                <c:pt idx="321">
                  <c:v>45.906549471661187</c:v>
                </c:pt>
                <c:pt idx="322">
                  <c:v>45.076962011879118</c:v>
                </c:pt>
                <c:pt idx="323">
                  <c:v>43.674995431374057</c:v>
                </c:pt>
                <c:pt idx="324">
                  <c:v>42.39257638874151</c:v>
                </c:pt>
                <c:pt idx="325">
                  <c:v>41.251440799958317</c:v>
                </c:pt>
                <c:pt idx="326">
                  <c:v>40.244343359698867</c:v>
                </c:pt>
                <c:pt idx="327">
                  <c:v>39.092339812927257</c:v>
                </c:pt>
                <c:pt idx="328">
                  <c:v>37.849769949585557</c:v>
                </c:pt>
                <c:pt idx="329">
                  <c:v>36.38621827381283</c:v>
                </c:pt>
                <c:pt idx="330">
                  <c:v>34.893685376737665</c:v>
                </c:pt>
                <c:pt idx="331">
                  <c:v>33.33956738439484</c:v>
                </c:pt>
                <c:pt idx="332">
                  <c:v>31.665901854179484</c:v>
                </c:pt>
                <c:pt idx="333">
                  <c:v>29.912537965382455</c:v>
                </c:pt>
                <c:pt idx="334">
                  <c:v>28.083098370666541</c:v>
                </c:pt>
                <c:pt idx="335">
                  <c:v>26.297130607904272</c:v>
                </c:pt>
                <c:pt idx="336">
                  <c:v>24.569125287746864</c:v>
                </c:pt>
                <c:pt idx="337">
                  <c:v>22.93168628415955</c:v>
                </c:pt>
                <c:pt idx="338">
                  <c:v>21.344964417851493</c:v>
                </c:pt>
                <c:pt idx="339">
                  <c:v>19.848808868113526</c:v>
                </c:pt>
                <c:pt idx="340">
                  <c:v>19.921261921369602</c:v>
                </c:pt>
                <c:pt idx="341">
                  <c:v>20.323376366940821</c:v>
                </c:pt>
                <c:pt idx="342">
                  <c:v>19.457562380530717</c:v>
                </c:pt>
                <c:pt idx="343">
                  <c:v>16.472496586380394</c:v>
                </c:pt>
                <c:pt idx="344">
                  <c:v>12.864334534227819</c:v>
                </c:pt>
                <c:pt idx="345">
                  <c:v>11.168933088035645</c:v>
                </c:pt>
                <c:pt idx="346">
                  <c:v>10.158212995113388</c:v>
                </c:pt>
                <c:pt idx="347">
                  <c:v>9.1438702495283302</c:v>
                </c:pt>
                <c:pt idx="348">
                  <c:v>7.8433379435817692</c:v>
                </c:pt>
                <c:pt idx="349">
                  <c:v>6.5391829849723999</c:v>
                </c:pt>
                <c:pt idx="350">
                  <c:v>5.4197833121660324</c:v>
                </c:pt>
                <c:pt idx="351">
                  <c:v>4.4923842304882609</c:v>
                </c:pt>
                <c:pt idx="352">
                  <c:v>3.6772873813574094</c:v>
                </c:pt>
                <c:pt idx="353">
                  <c:v>2.9600021541222574</c:v>
                </c:pt>
                <c:pt idx="354">
                  <c:v>2.4600760866553348</c:v>
                </c:pt>
                <c:pt idx="355">
                  <c:v>2.202867747596267</c:v>
                </c:pt>
                <c:pt idx="356">
                  <c:v>1.9999991984792513</c:v>
                </c:pt>
              </c:numCache>
            </c:numRef>
          </c:yVal>
          <c:smooth val="1"/>
          <c:extLst>
            <c:ext xmlns:c16="http://schemas.microsoft.com/office/drawing/2014/chart" uri="{C3380CC4-5D6E-409C-BE32-E72D297353CC}">
              <c16:uniqueId val="{00000000-E192-4130-B7D2-7905CBA103B5}"/>
            </c:ext>
          </c:extLst>
        </c:ser>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0.51300000000000001</c:v>
                </c:pt>
                <c:pt idx="1">
                  <c:v>0.53900000000000003</c:v>
                </c:pt>
                <c:pt idx="2">
                  <c:v>0.56599999999999995</c:v>
                </c:pt>
                <c:pt idx="3">
                  <c:v>0.59299999999999997</c:v>
                </c:pt>
                <c:pt idx="4">
                  <c:v>0.61899999999999999</c:v>
                </c:pt>
                <c:pt idx="5">
                  <c:v>0.64600000000000002</c:v>
                </c:pt>
                <c:pt idx="6">
                  <c:v>0.67300000000000004</c:v>
                </c:pt>
                <c:pt idx="7">
                  <c:v>0.69899999999999995</c:v>
                </c:pt>
                <c:pt idx="8">
                  <c:v>0.72599999999999998</c:v>
                </c:pt>
                <c:pt idx="9">
                  <c:v>0.753</c:v>
                </c:pt>
                <c:pt idx="10">
                  <c:v>0.77900000000000003</c:v>
                </c:pt>
                <c:pt idx="11">
                  <c:v>0.80600000000000005</c:v>
                </c:pt>
                <c:pt idx="12">
                  <c:v>0.83299999999999996</c:v>
                </c:pt>
                <c:pt idx="13">
                  <c:v>0.85899999999999999</c:v>
                </c:pt>
                <c:pt idx="14">
                  <c:v>0.88600000000000001</c:v>
                </c:pt>
                <c:pt idx="15">
                  <c:v>0.91300000000000003</c:v>
                </c:pt>
                <c:pt idx="16">
                  <c:v>0.93899999999999995</c:v>
                </c:pt>
                <c:pt idx="17">
                  <c:v>0.96599999999999997</c:v>
                </c:pt>
                <c:pt idx="18">
                  <c:v>0.99299999999999999</c:v>
                </c:pt>
                <c:pt idx="19">
                  <c:v>1.0189999999999999</c:v>
                </c:pt>
                <c:pt idx="20">
                  <c:v>1.046</c:v>
                </c:pt>
                <c:pt idx="21">
                  <c:v>1.073</c:v>
                </c:pt>
                <c:pt idx="22">
                  <c:v>1.099</c:v>
                </c:pt>
                <c:pt idx="23">
                  <c:v>1.1259999999999999</c:v>
                </c:pt>
                <c:pt idx="24">
                  <c:v>1.153</c:v>
                </c:pt>
                <c:pt idx="25">
                  <c:v>1.179</c:v>
                </c:pt>
                <c:pt idx="26">
                  <c:v>1.206</c:v>
                </c:pt>
                <c:pt idx="27">
                  <c:v>1.2330000000000001</c:v>
                </c:pt>
                <c:pt idx="28">
                  <c:v>1.2589999999999999</c:v>
                </c:pt>
                <c:pt idx="29">
                  <c:v>1.286</c:v>
                </c:pt>
                <c:pt idx="30">
                  <c:v>1.3129999999999999</c:v>
                </c:pt>
                <c:pt idx="31">
                  <c:v>1.339</c:v>
                </c:pt>
                <c:pt idx="32">
                  <c:v>1.3660000000000001</c:v>
                </c:pt>
                <c:pt idx="33">
                  <c:v>1.393</c:v>
                </c:pt>
                <c:pt idx="34">
                  <c:v>1.419</c:v>
                </c:pt>
                <c:pt idx="35">
                  <c:v>1.446</c:v>
                </c:pt>
                <c:pt idx="36">
                  <c:v>1.4730000000000001</c:v>
                </c:pt>
                <c:pt idx="37">
                  <c:v>1.4990000000000001</c:v>
                </c:pt>
                <c:pt idx="38">
                  <c:v>1.526</c:v>
                </c:pt>
                <c:pt idx="39">
                  <c:v>1.5529999999999999</c:v>
                </c:pt>
                <c:pt idx="40">
                  <c:v>1.579</c:v>
                </c:pt>
                <c:pt idx="41">
                  <c:v>1.6060000000000001</c:v>
                </c:pt>
                <c:pt idx="42">
                  <c:v>1.633</c:v>
                </c:pt>
                <c:pt idx="43">
                  <c:v>1.659</c:v>
                </c:pt>
                <c:pt idx="44">
                  <c:v>1.6859999999999999</c:v>
                </c:pt>
                <c:pt idx="45">
                  <c:v>1.7130000000000001</c:v>
                </c:pt>
                <c:pt idx="46">
                  <c:v>1.7390000000000001</c:v>
                </c:pt>
                <c:pt idx="47">
                  <c:v>1.766</c:v>
                </c:pt>
                <c:pt idx="48">
                  <c:v>1.7929999999999999</c:v>
                </c:pt>
                <c:pt idx="49">
                  <c:v>1.819</c:v>
                </c:pt>
                <c:pt idx="50">
                  <c:v>1.8460000000000001</c:v>
                </c:pt>
                <c:pt idx="51">
                  <c:v>1.873</c:v>
                </c:pt>
                <c:pt idx="52">
                  <c:v>1.899</c:v>
                </c:pt>
                <c:pt idx="53">
                  <c:v>1.9259999999999999</c:v>
                </c:pt>
                <c:pt idx="54">
                  <c:v>1.9530000000000001</c:v>
                </c:pt>
                <c:pt idx="55">
                  <c:v>1.9790000000000001</c:v>
                </c:pt>
                <c:pt idx="56">
                  <c:v>2.0059999999999998</c:v>
                </c:pt>
                <c:pt idx="57">
                  <c:v>2.0329999999999999</c:v>
                </c:pt>
                <c:pt idx="58">
                  <c:v>2.0590000000000002</c:v>
                </c:pt>
                <c:pt idx="59">
                  <c:v>2.0859999999999999</c:v>
                </c:pt>
                <c:pt idx="60">
                  <c:v>2.113</c:v>
                </c:pt>
                <c:pt idx="61">
                  <c:v>2.1389999999999998</c:v>
                </c:pt>
                <c:pt idx="62">
                  <c:v>2.1659999999999999</c:v>
                </c:pt>
                <c:pt idx="63">
                  <c:v>2.1930000000000001</c:v>
                </c:pt>
                <c:pt idx="64">
                  <c:v>2.2189999999999999</c:v>
                </c:pt>
                <c:pt idx="65">
                  <c:v>2.246</c:v>
                </c:pt>
                <c:pt idx="66">
                  <c:v>2.2730000000000001</c:v>
                </c:pt>
                <c:pt idx="67">
                  <c:v>2.2989999999999999</c:v>
                </c:pt>
                <c:pt idx="68">
                  <c:v>2.3260000000000001</c:v>
                </c:pt>
                <c:pt idx="69">
                  <c:v>2.3530000000000002</c:v>
                </c:pt>
                <c:pt idx="70">
                  <c:v>2.379</c:v>
                </c:pt>
                <c:pt idx="71">
                  <c:v>2.4060000000000001</c:v>
                </c:pt>
                <c:pt idx="72">
                  <c:v>2.4329999999999998</c:v>
                </c:pt>
                <c:pt idx="73">
                  <c:v>2.4590000000000001</c:v>
                </c:pt>
                <c:pt idx="74">
                  <c:v>2.4860000000000002</c:v>
                </c:pt>
                <c:pt idx="75">
                  <c:v>2.5129999999999999</c:v>
                </c:pt>
                <c:pt idx="76">
                  <c:v>2.5390000000000001</c:v>
                </c:pt>
                <c:pt idx="77">
                  <c:v>2.5659999999999998</c:v>
                </c:pt>
                <c:pt idx="78">
                  <c:v>2.593</c:v>
                </c:pt>
                <c:pt idx="79">
                  <c:v>2.6190000000000002</c:v>
                </c:pt>
                <c:pt idx="80">
                  <c:v>2.6459999999999999</c:v>
                </c:pt>
                <c:pt idx="81">
                  <c:v>2.673</c:v>
                </c:pt>
                <c:pt idx="82">
                  <c:v>2.6989999999999998</c:v>
                </c:pt>
                <c:pt idx="83">
                  <c:v>2.726</c:v>
                </c:pt>
                <c:pt idx="84">
                  <c:v>2.7530000000000001</c:v>
                </c:pt>
                <c:pt idx="85">
                  <c:v>2.7789999999999999</c:v>
                </c:pt>
                <c:pt idx="86">
                  <c:v>2.806</c:v>
                </c:pt>
                <c:pt idx="87">
                  <c:v>2.8330000000000002</c:v>
                </c:pt>
                <c:pt idx="88">
                  <c:v>2.859</c:v>
                </c:pt>
                <c:pt idx="89">
                  <c:v>2.8860000000000001</c:v>
                </c:pt>
                <c:pt idx="90">
                  <c:v>2.9129999999999998</c:v>
                </c:pt>
                <c:pt idx="91">
                  <c:v>2.9390000000000001</c:v>
                </c:pt>
                <c:pt idx="92">
                  <c:v>2.9660000000000002</c:v>
                </c:pt>
                <c:pt idx="93">
                  <c:v>2.9929999999999999</c:v>
                </c:pt>
                <c:pt idx="94">
                  <c:v>3.0190000000000001</c:v>
                </c:pt>
                <c:pt idx="95">
                  <c:v>3.0459999999999998</c:v>
                </c:pt>
                <c:pt idx="96">
                  <c:v>3.073</c:v>
                </c:pt>
                <c:pt idx="97">
                  <c:v>3.0990000000000002</c:v>
                </c:pt>
                <c:pt idx="98">
                  <c:v>3.1259999999999999</c:v>
                </c:pt>
                <c:pt idx="99">
                  <c:v>3.153</c:v>
                </c:pt>
                <c:pt idx="100">
                  <c:v>3.1789999999999998</c:v>
                </c:pt>
                <c:pt idx="101">
                  <c:v>3.206</c:v>
                </c:pt>
                <c:pt idx="102">
                  <c:v>3.2330000000000001</c:v>
                </c:pt>
                <c:pt idx="103">
                  <c:v>3.2589999999999999</c:v>
                </c:pt>
                <c:pt idx="104">
                  <c:v>3.286</c:v>
                </c:pt>
                <c:pt idx="105">
                  <c:v>3.3130000000000002</c:v>
                </c:pt>
                <c:pt idx="106">
                  <c:v>3.339</c:v>
                </c:pt>
                <c:pt idx="107">
                  <c:v>3.3660000000000001</c:v>
                </c:pt>
                <c:pt idx="108">
                  <c:v>3.3929999999999998</c:v>
                </c:pt>
                <c:pt idx="109">
                  <c:v>3.419</c:v>
                </c:pt>
                <c:pt idx="110">
                  <c:v>3.4460000000000002</c:v>
                </c:pt>
                <c:pt idx="111">
                  <c:v>3.4729999999999999</c:v>
                </c:pt>
                <c:pt idx="112">
                  <c:v>3.4990000000000001</c:v>
                </c:pt>
                <c:pt idx="113">
                  <c:v>3.5259999999999998</c:v>
                </c:pt>
                <c:pt idx="114">
                  <c:v>3.5529999999999999</c:v>
                </c:pt>
                <c:pt idx="115">
                  <c:v>3.5790000000000002</c:v>
                </c:pt>
                <c:pt idx="116">
                  <c:v>3.6059999999999999</c:v>
                </c:pt>
                <c:pt idx="117">
                  <c:v>3.633</c:v>
                </c:pt>
                <c:pt idx="118">
                  <c:v>3.6589999999999998</c:v>
                </c:pt>
                <c:pt idx="119">
                  <c:v>3.6859999999999999</c:v>
                </c:pt>
                <c:pt idx="120">
                  <c:v>3.7130000000000001</c:v>
                </c:pt>
                <c:pt idx="121">
                  <c:v>3.7389999999999999</c:v>
                </c:pt>
                <c:pt idx="122">
                  <c:v>3.766</c:v>
                </c:pt>
                <c:pt idx="123">
                  <c:v>3.7930000000000001</c:v>
                </c:pt>
                <c:pt idx="124">
                  <c:v>3.819</c:v>
                </c:pt>
                <c:pt idx="125">
                  <c:v>3.8460000000000001</c:v>
                </c:pt>
                <c:pt idx="126">
                  <c:v>3.8730000000000002</c:v>
                </c:pt>
                <c:pt idx="127">
                  <c:v>3.899</c:v>
                </c:pt>
                <c:pt idx="128">
                  <c:v>3.9260000000000002</c:v>
                </c:pt>
                <c:pt idx="129">
                  <c:v>3.9529999999999998</c:v>
                </c:pt>
                <c:pt idx="130">
                  <c:v>3.9790000000000001</c:v>
                </c:pt>
                <c:pt idx="131">
                  <c:v>4.0060000000000002</c:v>
                </c:pt>
                <c:pt idx="132">
                  <c:v>4.0330000000000004</c:v>
                </c:pt>
                <c:pt idx="133">
                  <c:v>4.0590000000000002</c:v>
                </c:pt>
                <c:pt idx="134">
                  <c:v>4.0860000000000003</c:v>
                </c:pt>
                <c:pt idx="135">
                  <c:v>4.1130000000000004</c:v>
                </c:pt>
                <c:pt idx="136">
                  <c:v>4.1390000000000002</c:v>
                </c:pt>
                <c:pt idx="137">
                  <c:v>4.1660000000000004</c:v>
                </c:pt>
                <c:pt idx="138">
                  <c:v>4.1929999999999996</c:v>
                </c:pt>
                <c:pt idx="139">
                  <c:v>4.2190000000000003</c:v>
                </c:pt>
                <c:pt idx="140">
                  <c:v>4.2460000000000004</c:v>
                </c:pt>
                <c:pt idx="141">
                  <c:v>4.2729999999999997</c:v>
                </c:pt>
                <c:pt idx="142">
                  <c:v>4.2990000000000004</c:v>
                </c:pt>
                <c:pt idx="143">
                  <c:v>4.3259999999999996</c:v>
                </c:pt>
                <c:pt idx="144">
                  <c:v>4.3529999999999998</c:v>
                </c:pt>
                <c:pt idx="145">
                  <c:v>4.3789999999999996</c:v>
                </c:pt>
                <c:pt idx="146">
                  <c:v>4.4059999999999997</c:v>
                </c:pt>
                <c:pt idx="147">
                  <c:v>4.4329999999999998</c:v>
                </c:pt>
                <c:pt idx="148">
                  <c:v>4.4589999999999996</c:v>
                </c:pt>
                <c:pt idx="149">
                  <c:v>4.4859999999999998</c:v>
                </c:pt>
                <c:pt idx="150">
                  <c:v>4.5129999999999999</c:v>
                </c:pt>
                <c:pt idx="151">
                  <c:v>4.5389999999999997</c:v>
                </c:pt>
                <c:pt idx="152">
                  <c:v>4.5659999999999998</c:v>
                </c:pt>
                <c:pt idx="153">
                  <c:v>4.593</c:v>
                </c:pt>
                <c:pt idx="154">
                  <c:v>4.6189999999999998</c:v>
                </c:pt>
                <c:pt idx="155">
                  <c:v>4.6459999999999999</c:v>
                </c:pt>
                <c:pt idx="156">
                  <c:v>4.673</c:v>
                </c:pt>
                <c:pt idx="157">
                  <c:v>4.6989999999999998</c:v>
                </c:pt>
                <c:pt idx="158">
                  <c:v>4.726</c:v>
                </c:pt>
                <c:pt idx="159">
                  <c:v>4.7530000000000001</c:v>
                </c:pt>
                <c:pt idx="160">
                  <c:v>4.7789999999999999</c:v>
                </c:pt>
                <c:pt idx="161">
                  <c:v>4.806</c:v>
                </c:pt>
                <c:pt idx="162">
                  <c:v>4.8330000000000002</c:v>
                </c:pt>
                <c:pt idx="163">
                  <c:v>4.859</c:v>
                </c:pt>
                <c:pt idx="164">
                  <c:v>4.8860000000000001</c:v>
                </c:pt>
                <c:pt idx="165">
                  <c:v>4.9130000000000003</c:v>
                </c:pt>
                <c:pt idx="166">
                  <c:v>4.9390000000000001</c:v>
                </c:pt>
                <c:pt idx="167">
                  <c:v>4.9660000000000002</c:v>
                </c:pt>
                <c:pt idx="168">
                  <c:v>4.9930000000000003</c:v>
                </c:pt>
                <c:pt idx="169">
                  <c:v>5.0190000000000001</c:v>
                </c:pt>
                <c:pt idx="170">
                  <c:v>5.0460000000000003</c:v>
                </c:pt>
                <c:pt idx="171">
                  <c:v>5.0730000000000004</c:v>
                </c:pt>
                <c:pt idx="172">
                  <c:v>5.0990000000000002</c:v>
                </c:pt>
                <c:pt idx="173">
                  <c:v>5.1260000000000003</c:v>
                </c:pt>
                <c:pt idx="174">
                  <c:v>5.1529999999999996</c:v>
                </c:pt>
                <c:pt idx="175">
                  <c:v>5.1790000000000003</c:v>
                </c:pt>
                <c:pt idx="176">
                  <c:v>5.2060000000000004</c:v>
                </c:pt>
                <c:pt idx="177">
                  <c:v>5.2329999999999997</c:v>
                </c:pt>
                <c:pt idx="178">
                  <c:v>5.2590000000000003</c:v>
                </c:pt>
                <c:pt idx="179">
                  <c:v>5.2859999999999996</c:v>
                </c:pt>
                <c:pt idx="180">
                  <c:v>5.3129999999999997</c:v>
                </c:pt>
                <c:pt idx="181">
                  <c:v>5.3390000000000004</c:v>
                </c:pt>
                <c:pt idx="182">
                  <c:v>5.3659999999999997</c:v>
                </c:pt>
                <c:pt idx="183">
                  <c:v>5.3929999999999998</c:v>
                </c:pt>
                <c:pt idx="184">
                  <c:v>5.4189999999999996</c:v>
                </c:pt>
                <c:pt idx="185">
                  <c:v>5.4459999999999997</c:v>
                </c:pt>
                <c:pt idx="186">
                  <c:v>5.4729999999999999</c:v>
                </c:pt>
                <c:pt idx="187">
                  <c:v>5.4989999999999997</c:v>
                </c:pt>
                <c:pt idx="188">
                  <c:v>5.5259999999999998</c:v>
                </c:pt>
                <c:pt idx="189">
                  <c:v>5.5529999999999999</c:v>
                </c:pt>
                <c:pt idx="190">
                  <c:v>5.5789999999999997</c:v>
                </c:pt>
                <c:pt idx="191">
                  <c:v>5.6059999999999999</c:v>
                </c:pt>
                <c:pt idx="192">
                  <c:v>5.633</c:v>
                </c:pt>
                <c:pt idx="193">
                  <c:v>5.6589999999999998</c:v>
                </c:pt>
                <c:pt idx="194">
                  <c:v>5.6859999999999999</c:v>
                </c:pt>
                <c:pt idx="195">
                  <c:v>5.7130000000000001</c:v>
                </c:pt>
                <c:pt idx="196">
                  <c:v>5.7389999999999999</c:v>
                </c:pt>
                <c:pt idx="197">
                  <c:v>5.766</c:v>
                </c:pt>
                <c:pt idx="198">
                  <c:v>5.7930000000000001</c:v>
                </c:pt>
                <c:pt idx="199">
                  <c:v>5.819</c:v>
                </c:pt>
                <c:pt idx="200">
                  <c:v>5.8460000000000001</c:v>
                </c:pt>
                <c:pt idx="201">
                  <c:v>5.8730000000000002</c:v>
                </c:pt>
                <c:pt idx="202">
                  <c:v>5.899</c:v>
                </c:pt>
                <c:pt idx="203">
                  <c:v>5.9260000000000002</c:v>
                </c:pt>
                <c:pt idx="204">
                  <c:v>5.9530000000000003</c:v>
                </c:pt>
                <c:pt idx="205">
                  <c:v>5.9790000000000001</c:v>
                </c:pt>
                <c:pt idx="206">
                  <c:v>6.0060000000000002</c:v>
                </c:pt>
                <c:pt idx="207">
                  <c:v>6.0330000000000004</c:v>
                </c:pt>
                <c:pt idx="208">
                  <c:v>6.0590000000000002</c:v>
                </c:pt>
                <c:pt idx="209">
                  <c:v>6.0860000000000003</c:v>
                </c:pt>
                <c:pt idx="210">
                  <c:v>6.1130000000000004</c:v>
                </c:pt>
                <c:pt idx="211">
                  <c:v>6.1390000000000002</c:v>
                </c:pt>
                <c:pt idx="212">
                  <c:v>6.1660000000000004</c:v>
                </c:pt>
                <c:pt idx="213">
                  <c:v>6.1929999999999996</c:v>
                </c:pt>
                <c:pt idx="214">
                  <c:v>6.2190000000000003</c:v>
                </c:pt>
                <c:pt idx="215">
                  <c:v>6.2460000000000004</c:v>
                </c:pt>
                <c:pt idx="216">
                  <c:v>6.2729999999999997</c:v>
                </c:pt>
                <c:pt idx="217">
                  <c:v>6.2990000000000004</c:v>
                </c:pt>
                <c:pt idx="218">
                  <c:v>6.3259999999999996</c:v>
                </c:pt>
                <c:pt idx="219">
                  <c:v>6.3529999999999998</c:v>
                </c:pt>
                <c:pt idx="220">
                  <c:v>6.3789999999999996</c:v>
                </c:pt>
                <c:pt idx="221">
                  <c:v>6.4059999999999997</c:v>
                </c:pt>
                <c:pt idx="222">
                  <c:v>6.4329999999999998</c:v>
                </c:pt>
                <c:pt idx="223">
                  <c:v>6.4589999999999996</c:v>
                </c:pt>
                <c:pt idx="224">
                  <c:v>6.4859999999999998</c:v>
                </c:pt>
                <c:pt idx="225">
                  <c:v>6.5129999999999999</c:v>
                </c:pt>
                <c:pt idx="226">
                  <c:v>6.5389999999999997</c:v>
                </c:pt>
                <c:pt idx="227">
                  <c:v>6.5659999999999998</c:v>
                </c:pt>
                <c:pt idx="228">
                  <c:v>6.593</c:v>
                </c:pt>
                <c:pt idx="229">
                  <c:v>6.6189999999999998</c:v>
                </c:pt>
                <c:pt idx="230">
                  <c:v>6.6459999999999999</c:v>
                </c:pt>
                <c:pt idx="231">
                  <c:v>6.673</c:v>
                </c:pt>
                <c:pt idx="232">
                  <c:v>6.6989999999999998</c:v>
                </c:pt>
                <c:pt idx="233">
                  <c:v>6.726</c:v>
                </c:pt>
                <c:pt idx="234">
                  <c:v>6.7530000000000001</c:v>
                </c:pt>
                <c:pt idx="235">
                  <c:v>6.7789999999999999</c:v>
                </c:pt>
                <c:pt idx="236">
                  <c:v>6.806</c:v>
                </c:pt>
                <c:pt idx="237">
                  <c:v>6.8330000000000002</c:v>
                </c:pt>
                <c:pt idx="238">
                  <c:v>6.859</c:v>
                </c:pt>
                <c:pt idx="239">
                  <c:v>6.8860000000000001</c:v>
                </c:pt>
                <c:pt idx="240">
                  <c:v>6.9130000000000003</c:v>
                </c:pt>
                <c:pt idx="241">
                  <c:v>6.9390000000000001</c:v>
                </c:pt>
                <c:pt idx="242">
                  <c:v>6.9660000000000002</c:v>
                </c:pt>
                <c:pt idx="243">
                  <c:v>6.9930000000000003</c:v>
                </c:pt>
                <c:pt idx="244">
                  <c:v>7.0190000000000001</c:v>
                </c:pt>
                <c:pt idx="245">
                  <c:v>7.0460000000000003</c:v>
                </c:pt>
                <c:pt idx="246">
                  <c:v>7.0730000000000004</c:v>
                </c:pt>
                <c:pt idx="247">
                  <c:v>7.0990000000000002</c:v>
                </c:pt>
                <c:pt idx="248">
                  <c:v>7.1260000000000003</c:v>
                </c:pt>
                <c:pt idx="249">
                  <c:v>7.1529999999999996</c:v>
                </c:pt>
                <c:pt idx="250">
                  <c:v>7.1790000000000003</c:v>
                </c:pt>
                <c:pt idx="251">
                  <c:v>7.2060000000000004</c:v>
                </c:pt>
                <c:pt idx="252">
                  <c:v>7.2329999999999997</c:v>
                </c:pt>
                <c:pt idx="253">
                  <c:v>7.2590000000000003</c:v>
                </c:pt>
                <c:pt idx="254">
                  <c:v>7.2859999999999996</c:v>
                </c:pt>
                <c:pt idx="255">
                  <c:v>7.3129999999999997</c:v>
                </c:pt>
                <c:pt idx="256">
                  <c:v>7.3390000000000004</c:v>
                </c:pt>
                <c:pt idx="257">
                  <c:v>7.3659999999999997</c:v>
                </c:pt>
                <c:pt idx="258">
                  <c:v>7.3929999999999998</c:v>
                </c:pt>
                <c:pt idx="259">
                  <c:v>7.4189999999999996</c:v>
                </c:pt>
                <c:pt idx="260">
                  <c:v>7.4459999999999997</c:v>
                </c:pt>
                <c:pt idx="261">
                  <c:v>7.4729999999999999</c:v>
                </c:pt>
                <c:pt idx="262">
                  <c:v>7.4989999999999997</c:v>
                </c:pt>
                <c:pt idx="263">
                  <c:v>7.5259999999999998</c:v>
                </c:pt>
                <c:pt idx="264">
                  <c:v>7.5529999999999999</c:v>
                </c:pt>
                <c:pt idx="265">
                  <c:v>7.5789999999999997</c:v>
                </c:pt>
                <c:pt idx="266">
                  <c:v>7.6059999999999999</c:v>
                </c:pt>
                <c:pt idx="267">
                  <c:v>7.633</c:v>
                </c:pt>
                <c:pt idx="268">
                  <c:v>7.6589999999999998</c:v>
                </c:pt>
                <c:pt idx="269">
                  <c:v>7.6859999999999999</c:v>
                </c:pt>
                <c:pt idx="270">
                  <c:v>7.7130000000000001</c:v>
                </c:pt>
                <c:pt idx="271">
                  <c:v>7.7389999999999999</c:v>
                </c:pt>
                <c:pt idx="272">
                  <c:v>7.766</c:v>
                </c:pt>
                <c:pt idx="273">
                  <c:v>7.7930000000000001</c:v>
                </c:pt>
                <c:pt idx="274">
                  <c:v>7.819</c:v>
                </c:pt>
                <c:pt idx="275">
                  <c:v>7.8460000000000001</c:v>
                </c:pt>
                <c:pt idx="276">
                  <c:v>7.8730000000000002</c:v>
                </c:pt>
                <c:pt idx="277">
                  <c:v>7.899</c:v>
                </c:pt>
                <c:pt idx="278">
                  <c:v>7.9260000000000002</c:v>
                </c:pt>
                <c:pt idx="279">
                  <c:v>7.9530000000000003</c:v>
                </c:pt>
                <c:pt idx="280">
                  <c:v>7.9790000000000001</c:v>
                </c:pt>
                <c:pt idx="281">
                  <c:v>8.0060000000000002</c:v>
                </c:pt>
                <c:pt idx="282">
                  <c:v>8.0329999999999995</c:v>
                </c:pt>
                <c:pt idx="283">
                  <c:v>8.0589999999999993</c:v>
                </c:pt>
                <c:pt idx="284">
                  <c:v>8.0860000000000003</c:v>
                </c:pt>
                <c:pt idx="285">
                  <c:v>8.1129999999999995</c:v>
                </c:pt>
                <c:pt idx="286">
                  <c:v>8.1389999999999993</c:v>
                </c:pt>
                <c:pt idx="287">
                  <c:v>8.1660000000000004</c:v>
                </c:pt>
                <c:pt idx="288">
                  <c:v>8.1929999999999996</c:v>
                </c:pt>
                <c:pt idx="289">
                  <c:v>8.2189999999999994</c:v>
                </c:pt>
                <c:pt idx="290">
                  <c:v>8.2460000000000004</c:v>
                </c:pt>
                <c:pt idx="291">
                  <c:v>8.2729999999999997</c:v>
                </c:pt>
                <c:pt idx="292">
                  <c:v>8.2989999999999995</c:v>
                </c:pt>
                <c:pt idx="293">
                  <c:v>8.3260000000000005</c:v>
                </c:pt>
                <c:pt idx="294">
                  <c:v>8.3529999999999998</c:v>
                </c:pt>
                <c:pt idx="295">
                  <c:v>8.3789999999999996</c:v>
                </c:pt>
                <c:pt idx="296">
                  <c:v>8.4060000000000006</c:v>
                </c:pt>
                <c:pt idx="297">
                  <c:v>8.4329999999999998</c:v>
                </c:pt>
                <c:pt idx="298">
                  <c:v>8.4589999999999996</c:v>
                </c:pt>
                <c:pt idx="299">
                  <c:v>8.4860000000000007</c:v>
                </c:pt>
                <c:pt idx="300">
                  <c:v>8.5129999999999999</c:v>
                </c:pt>
                <c:pt idx="301">
                  <c:v>8.5389999999999997</c:v>
                </c:pt>
                <c:pt idx="302">
                  <c:v>8.5660000000000007</c:v>
                </c:pt>
                <c:pt idx="303">
                  <c:v>8.593</c:v>
                </c:pt>
                <c:pt idx="304">
                  <c:v>8.6189999999999998</c:v>
                </c:pt>
                <c:pt idx="305">
                  <c:v>8.6460000000000008</c:v>
                </c:pt>
                <c:pt idx="306">
                  <c:v>8.673</c:v>
                </c:pt>
                <c:pt idx="307">
                  <c:v>8.6989999999999998</c:v>
                </c:pt>
                <c:pt idx="308">
                  <c:v>8.7260000000000009</c:v>
                </c:pt>
                <c:pt idx="309">
                  <c:v>8.7530000000000001</c:v>
                </c:pt>
                <c:pt idx="310">
                  <c:v>8.7789999999999999</c:v>
                </c:pt>
                <c:pt idx="311">
                  <c:v>8.8059999999999992</c:v>
                </c:pt>
                <c:pt idx="312">
                  <c:v>8.8330000000000002</c:v>
                </c:pt>
                <c:pt idx="313">
                  <c:v>8.859</c:v>
                </c:pt>
                <c:pt idx="314">
                  <c:v>8.8859999999999992</c:v>
                </c:pt>
                <c:pt idx="315">
                  <c:v>8.9130000000000003</c:v>
                </c:pt>
                <c:pt idx="316">
                  <c:v>8.9390000000000001</c:v>
                </c:pt>
                <c:pt idx="317">
                  <c:v>8.9659999999999993</c:v>
                </c:pt>
                <c:pt idx="318">
                  <c:v>8.9930000000000003</c:v>
                </c:pt>
                <c:pt idx="319">
                  <c:v>9.0190000000000001</c:v>
                </c:pt>
                <c:pt idx="320">
                  <c:v>9.0459999999999994</c:v>
                </c:pt>
                <c:pt idx="321">
                  <c:v>9.0730000000000004</c:v>
                </c:pt>
                <c:pt idx="322">
                  <c:v>9.0990000000000002</c:v>
                </c:pt>
                <c:pt idx="323">
                  <c:v>9.1259999999999994</c:v>
                </c:pt>
                <c:pt idx="324">
                  <c:v>9.1530000000000005</c:v>
                </c:pt>
                <c:pt idx="325">
                  <c:v>9.1790000000000003</c:v>
                </c:pt>
                <c:pt idx="326">
                  <c:v>9.2059999999999995</c:v>
                </c:pt>
                <c:pt idx="327">
                  <c:v>9.2330000000000005</c:v>
                </c:pt>
                <c:pt idx="328">
                  <c:v>9.2590000000000003</c:v>
                </c:pt>
                <c:pt idx="329">
                  <c:v>9.2859999999999996</c:v>
                </c:pt>
                <c:pt idx="330">
                  <c:v>9.3130000000000006</c:v>
                </c:pt>
                <c:pt idx="331">
                  <c:v>9.3390000000000004</c:v>
                </c:pt>
                <c:pt idx="332">
                  <c:v>9.3659999999999997</c:v>
                </c:pt>
                <c:pt idx="333">
                  <c:v>9.3930000000000007</c:v>
                </c:pt>
                <c:pt idx="334">
                  <c:v>9.4190000000000005</c:v>
                </c:pt>
                <c:pt idx="335">
                  <c:v>9.4459999999999997</c:v>
                </c:pt>
                <c:pt idx="336">
                  <c:v>9.4730000000000008</c:v>
                </c:pt>
                <c:pt idx="337">
                  <c:v>9.4990000000000006</c:v>
                </c:pt>
                <c:pt idx="338">
                  <c:v>9.5259999999999998</c:v>
                </c:pt>
                <c:pt idx="339">
                  <c:v>9.5530000000000008</c:v>
                </c:pt>
                <c:pt idx="340">
                  <c:v>9.5790000000000006</c:v>
                </c:pt>
                <c:pt idx="341">
                  <c:v>9.6059999999999999</c:v>
                </c:pt>
                <c:pt idx="342">
                  <c:v>9.6329999999999991</c:v>
                </c:pt>
                <c:pt idx="343">
                  <c:v>9.6590000000000007</c:v>
                </c:pt>
                <c:pt idx="344">
                  <c:v>9.6859999999999999</c:v>
                </c:pt>
                <c:pt idx="345">
                  <c:v>9.7129999999999992</c:v>
                </c:pt>
                <c:pt idx="346">
                  <c:v>9.7390000000000008</c:v>
                </c:pt>
                <c:pt idx="347">
                  <c:v>9.766</c:v>
                </c:pt>
                <c:pt idx="348">
                  <c:v>9.7929999999999993</c:v>
                </c:pt>
                <c:pt idx="349">
                  <c:v>9.8190000000000008</c:v>
                </c:pt>
                <c:pt idx="350">
                  <c:v>9.8460000000000001</c:v>
                </c:pt>
                <c:pt idx="351">
                  <c:v>9.8729999999999993</c:v>
                </c:pt>
                <c:pt idx="352">
                  <c:v>9.8989999999999991</c:v>
                </c:pt>
                <c:pt idx="353">
                  <c:v>9.9260000000000002</c:v>
                </c:pt>
                <c:pt idx="354">
                  <c:v>9.9529999999999994</c:v>
                </c:pt>
                <c:pt idx="355">
                  <c:v>9.9789999999999992</c:v>
                </c:pt>
                <c:pt idx="356">
                  <c:v>10.006</c:v>
                </c:pt>
              </c:numCache>
            </c:numRef>
          </c:xVal>
          <c:yVal>
            <c:numRef>
              <c:f>ChromatogramData!$C$2:$C$10001</c:f>
              <c:numCache>
                <c:formatCode>General</c:formatCode>
                <c:ptCount val="10000"/>
                <c:pt idx="0">
                  <c:v>20.058923615629908</c:v>
                </c:pt>
                <c:pt idx="1">
                  <c:v>14.034452237387207</c:v>
                </c:pt>
                <c:pt idx="2">
                  <c:v>11.056631748562491</c:v>
                </c:pt>
                <c:pt idx="3">
                  <c:v>10.339346521327341</c:v>
                </c:pt>
                <c:pt idx="4">
                  <c:v>11.342821308923989</c:v>
                </c:pt>
                <c:pt idx="5">
                  <c:v>13.049090713104574</c:v>
                </c:pt>
                <c:pt idx="6">
                  <c:v>13.831583688270195</c:v>
                </c:pt>
                <c:pt idx="7">
                  <c:v>13.748262677025707</c:v>
                </c:pt>
                <c:pt idx="8">
                  <c:v>13.603356570513554</c:v>
                </c:pt>
                <c:pt idx="9">
                  <c:v>12.672334836172981</c:v>
                </c:pt>
                <c:pt idx="10">
                  <c:v>10.353837131978556</c:v>
                </c:pt>
                <c:pt idx="11">
                  <c:v>7.7020553828061811</c:v>
                </c:pt>
                <c:pt idx="12">
                  <c:v>6.3652965502315828</c:v>
                </c:pt>
                <c:pt idx="13">
                  <c:v>6.9159397549777584</c:v>
                </c:pt>
                <c:pt idx="14">
                  <c:v>9.9662132970585517</c:v>
                </c:pt>
                <c:pt idx="15">
                  <c:v>16.352949941581631</c:v>
                </c:pt>
                <c:pt idx="16">
                  <c:v>24.779240035263246</c:v>
                </c:pt>
                <c:pt idx="17">
                  <c:v>32.205677994011019</c:v>
                </c:pt>
                <c:pt idx="18">
                  <c:v>37.41505252312286</c:v>
                </c:pt>
                <c:pt idx="19">
                  <c:v>40.534156465796926</c:v>
                </c:pt>
                <c:pt idx="20">
                  <c:v>41.320272093625356</c:v>
                </c:pt>
                <c:pt idx="21">
                  <c:v>38.936566641500455</c:v>
                </c:pt>
                <c:pt idx="22">
                  <c:v>33.32145501415458</c:v>
                </c:pt>
                <c:pt idx="23">
                  <c:v>25.438562819893537</c:v>
                </c:pt>
                <c:pt idx="24">
                  <c:v>16.99778211556071</c:v>
                </c:pt>
                <c:pt idx="25">
                  <c:v>10.259648162745655</c:v>
                </c:pt>
                <c:pt idx="26">
                  <c:v>6.3979004241968163</c:v>
                </c:pt>
                <c:pt idx="27">
                  <c:v>4.7604614206095039</c:v>
                </c:pt>
                <c:pt idx="28">
                  <c:v>4.1373651626072521</c:v>
                </c:pt>
                <c:pt idx="29">
                  <c:v>3.8475529495829486</c:v>
                </c:pt>
                <c:pt idx="30">
                  <c:v>3.5867219578610765</c:v>
                </c:pt>
                <c:pt idx="31">
                  <c:v>3.2860417868483616</c:v>
                </c:pt>
                <c:pt idx="32">
                  <c:v>2.9744936578472361</c:v>
                </c:pt>
                <c:pt idx="33">
                  <c:v>2.7136626661253627</c:v>
                </c:pt>
                <c:pt idx="34">
                  <c:v>2.5071714643455469</c:v>
                </c:pt>
                <c:pt idx="35">
                  <c:v>2.3550200525077876</c:v>
                </c:pt>
                <c:pt idx="36">
                  <c:v>2.246340472623674</c:v>
                </c:pt>
                <c:pt idx="37">
                  <c:v>2.1412835454023638</c:v>
                </c:pt>
                <c:pt idx="38">
                  <c:v>2.0615851868206807</c:v>
                </c:pt>
                <c:pt idx="39">
                  <c:v>2.0181133548670354</c:v>
                </c:pt>
                <c:pt idx="40">
                  <c:v>2.0036227442158201</c:v>
                </c:pt>
                <c:pt idx="41">
                  <c:v>2.0000000915530163</c:v>
                </c:pt>
                <c:pt idx="42">
                  <c:v>2.0434719235066621</c:v>
                </c:pt>
                <c:pt idx="43">
                  <c:v>2.1449061980651676</c:v>
                </c:pt>
                <c:pt idx="44">
                  <c:v>2.2173592513212435</c:v>
                </c:pt>
                <c:pt idx="45">
                  <c:v>2.2535857779492816</c:v>
                </c:pt>
                <c:pt idx="46">
                  <c:v>2.2825669992517117</c:v>
                </c:pt>
                <c:pt idx="47">
                  <c:v>2.2789443465889079</c:v>
                </c:pt>
                <c:pt idx="48">
                  <c:v>2.2644537359376926</c:v>
                </c:pt>
                <c:pt idx="49">
                  <c:v>2.246340472623674</c:v>
                </c:pt>
                <c:pt idx="50">
                  <c:v>2.2354725146352625</c:v>
                </c:pt>
                <c:pt idx="51">
                  <c:v>2.2753216939261041</c:v>
                </c:pt>
                <c:pt idx="52">
                  <c:v>2.3441520945193761</c:v>
                </c:pt>
                <c:pt idx="53">
                  <c:v>2.4492090217406863</c:v>
                </c:pt>
                <c:pt idx="54">
                  <c:v>2.6086057389040529</c:v>
                </c:pt>
                <c:pt idx="55">
                  <c:v>2.8006063300326538</c:v>
                </c:pt>
                <c:pt idx="56">
                  <c:v>3.0252107951264886</c:v>
                </c:pt>
                <c:pt idx="57">
                  <c:v>3.3150230081507917</c:v>
                </c:pt>
                <c:pt idx="58">
                  <c:v>3.688156232419582</c:v>
                </c:pt>
                <c:pt idx="59">
                  <c:v>4.0721574146767843</c:v>
                </c:pt>
                <c:pt idx="60">
                  <c:v>4.2931392271078153</c:v>
                </c:pt>
                <c:pt idx="61">
                  <c:v>4.4199320703059479</c:v>
                </c:pt>
                <c:pt idx="62">
                  <c:v>4.4960077762248272</c:v>
                </c:pt>
                <c:pt idx="63">
                  <c:v>4.4525359442711814</c:v>
                </c:pt>
                <c:pt idx="64">
                  <c:v>4.5612155241552959</c:v>
                </c:pt>
                <c:pt idx="65">
                  <c:v>4.7640840732723078</c:v>
                </c:pt>
                <c:pt idx="66">
                  <c:v>5.0249150649941807</c:v>
                </c:pt>
                <c:pt idx="67">
                  <c:v>5.2096703507971736</c:v>
                </c:pt>
                <c:pt idx="68">
                  <c:v>5.2676327934020346</c:v>
                </c:pt>
                <c:pt idx="69">
                  <c:v>5.3545764573093262</c:v>
                </c:pt>
                <c:pt idx="70">
                  <c:v>5.3944256366001664</c:v>
                </c:pt>
                <c:pt idx="71">
                  <c:v>5.4777466478446541</c:v>
                </c:pt>
                <c:pt idx="72">
                  <c:v>5.6371433650080203</c:v>
                </c:pt>
                <c:pt idx="73">
                  <c:v>5.8074080401597996</c:v>
                </c:pt>
                <c:pt idx="74">
                  <c:v>6.2022771804054129</c:v>
                </c:pt>
                <c:pt idx="75">
                  <c:v>6.58265570999981</c:v>
                </c:pt>
                <c:pt idx="76">
                  <c:v>6.6261275419534558</c:v>
                </c:pt>
                <c:pt idx="77">
                  <c:v>6.4123910348480324</c:v>
                </c:pt>
                <c:pt idx="78">
                  <c:v>6.2855981916498997</c:v>
                </c:pt>
                <c:pt idx="79">
                  <c:v>6.4884667407669117</c:v>
                </c:pt>
                <c:pt idx="80">
                  <c:v>6.6261275419534558</c:v>
                </c:pt>
                <c:pt idx="81">
                  <c:v>6.5536744886973803</c:v>
                </c:pt>
                <c:pt idx="82">
                  <c:v>6.4558628668016773</c:v>
                </c:pt>
                <c:pt idx="83">
                  <c:v>6.5754104046742032</c:v>
                </c:pt>
                <c:pt idx="84">
                  <c:v>6.8833358810125249</c:v>
                </c:pt>
                <c:pt idx="85">
                  <c:v>7.2057519680020619</c:v>
                </c:pt>
                <c:pt idx="86">
                  <c:v>7.5281680549915988</c:v>
                </c:pt>
                <c:pt idx="87">
                  <c:v>7.7165459934573963</c:v>
                </c:pt>
                <c:pt idx="88">
                  <c:v>7.7636404780738451</c:v>
                </c:pt>
                <c:pt idx="89">
                  <c:v>7.7020553828061811</c:v>
                </c:pt>
                <c:pt idx="90">
                  <c:v>7.4955641810263653</c:v>
                </c:pt>
                <c:pt idx="91">
                  <c:v>7.3035635898977649</c:v>
                </c:pt>
                <c:pt idx="92">
                  <c:v>7.3542807271770174</c:v>
                </c:pt>
                <c:pt idx="93">
                  <c:v>7.1188083040947712</c:v>
                </c:pt>
                <c:pt idx="94">
                  <c:v>6.622504889290652</c:v>
                </c:pt>
                <c:pt idx="95">
                  <c:v>6.2819755389870968</c:v>
                </c:pt>
                <c:pt idx="96">
                  <c:v>6.3073341076267218</c:v>
                </c:pt>
                <c:pt idx="97">
                  <c:v>6.5971463206510261</c:v>
                </c:pt>
                <c:pt idx="98">
                  <c:v>7.2673370632697267</c:v>
                </c:pt>
                <c:pt idx="99">
                  <c:v>8.0353394277841304</c:v>
                </c:pt>
                <c:pt idx="100">
                  <c:v>8.8504362769149836</c:v>
                </c:pt>
                <c:pt idx="101">
                  <c:v>9.4191927449751791</c:v>
                </c:pt>
                <c:pt idx="102">
                  <c:v>9.5242496721964862</c:v>
                </c:pt>
                <c:pt idx="103">
                  <c:v>9.0170782994039573</c:v>
                </c:pt>
                <c:pt idx="104">
                  <c:v>8.1730002289706736</c:v>
                </c:pt>
                <c:pt idx="105">
                  <c:v>7.4484696964099166</c:v>
                </c:pt>
                <c:pt idx="106">
                  <c:v>7.1369215674087894</c:v>
                </c:pt>
                <c:pt idx="107">
                  <c:v>7.4883188757007568</c:v>
                </c:pt>
                <c:pt idx="108">
                  <c:v>8.5062842739486229</c:v>
                </c:pt>
                <c:pt idx="109">
                  <c:v>10.016930434337802</c:v>
                </c:pt>
                <c:pt idx="110">
                  <c:v>11.886219208344558</c:v>
                </c:pt>
                <c:pt idx="111">
                  <c:v>17.45423635107398</c:v>
                </c:pt>
                <c:pt idx="112">
                  <c:v>22.01877870620676</c:v>
                </c:pt>
                <c:pt idx="113">
                  <c:v>23.069347978419859</c:v>
                </c:pt>
                <c:pt idx="114">
                  <c:v>18.910542721521107</c:v>
                </c:pt>
                <c:pt idx="115">
                  <c:v>13.400488021396542</c:v>
                </c:pt>
                <c:pt idx="116">
                  <c:v>9.9481000337445309</c:v>
                </c:pt>
                <c:pt idx="117">
                  <c:v>8.4410765260181559</c:v>
                </c:pt>
                <c:pt idx="118">
                  <c:v>7.9447731112140358</c:v>
                </c:pt>
                <c:pt idx="119">
                  <c:v>7.8904333212719786</c:v>
                </c:pt>
                <c:pt idx="120">
                  <c:v>8.2164720609243194</c:v>
                </c:pt>
                <c:pt idx="121">
                  <c:v>10.857385852108282</c:v>
                </c:pt>
                <c:pt idx="122">
                  <c:v>12.183276726694469</c:v>
                </c:pt>
                <c:pt idx="123">
                  <c:v>12.190522032020077</c:v>
                </c:pt>
                <c:pt idx="124">
                  <c:v>10.060402266291447</c:v>
                </c:pt>
                <c:pt idx="125">
                  <c:v>8.8902854562058238</c:v>
                </c:pt>
                <c:pt idx="126">
                  <c:v>8.6330771171467564</c:v>
                </c:pt>
                <c:pt idx="127">
                  <c:v>8.346887556785255</c:v>
                </c:pt>
                <c:pt idx="128">
                  <c:v>7.9157918899116053</c:v>
                </c:pt>
                <c:pt idx="129">
                  <c:v>8.3867367360760987</c:v>
                </c:pt>
                <c:pt idx="130">
                  <c:v>12.520183424335222</c:v>
                </c:pt>
                <c:pt idx="131">
                  <c:v>15.987062022638451</c:v>
                </c:pt>
                <c:pt idx="132">
                  <c:v>15.708117767602559</c:v>
                </c:pt>
                <c:pt idx="133">
                  <c:v>13.09256254505822</c:v>
                </c:pt>
                <c:pt idx="134">
                  <c:v>10.035043697651822</c:v>
                </c:pt>
                <c:pt idx="135">
                  <c:v>7.8505841419811366</c:v>
                </c:pt>
                <c:pt idx="136">
                  <c:v>6.8760905756869164</c:v>
                </c:pt>
                <c:pt idx="137">
                  <c:v>6.618882236627849</c:v>
                </c:pt>
                <c:pt idx="138">
                  <c:v>6.6695993739071016</c:v>
                </c:pt>
                <c:pt idx="139">
                  <c:v>8.2200947135871232</c:v>
                </c:pt>
                <c:pt idx="140">
                  <c:v>10.763196882875384</c:v>
                </c:pt>
                <c:pt idx="141">
                  <c:v>11.455123541470908</c:v>
                </c:pt>
                <c:pt idx="142">
                  <c:v>10.650894650328466</c:v>
                </c:pt>
                <c:pt idx="143">
                  <c:v>8.459189789332175</c:v>
                </c:pt>
                <c:pt idx="144">
                  <c:v>7.5861304975964599</c:v>
                </c:pt>
                <c:pt idx="145">
                  <c:v>19.25831737715027</c:v>
                </c:pt>
                <c:pt idx="146">
                  <c:v>44.671225806718851</c:v>
                </c:pt>
                <c:pt idx="147">
                  <c:v>50.199393770157442</c:v>
                </c:pt>
                <c:pt idx="148">
                  <c:v>33.238134002910101</c:v>
                </c:pt>
                <c:pt idx="149">
                  <c:v>17.189782706689307</c:v>
                </c:pt>
                <c:pt idx="150">
                  <c:v>12.107201020775591</c:v>
                </c:pt>
                <c:pt idx="151">
                  <c:v>10.451648753874258</c:v>
                </c:pt>
                <c:pt idx="152">
                  <c:v>9.0895313526600319</c:v>
                </c:pt>
                <c:pt idx="153">
                  <c:v>8.1585096183194583</c:v>
                </c:pt>
                <c:pt idx="154">
                  <c:v>7.8542067946439396</c:v>
                </c:pt>
                <c:pt idx="155">
                  <c:v>7.6549608981897324</c:v>
                </c:pt>
                <c:pt idx="156">
                  <c:v>7.9701316798536617</c:v>
                </c:pt>
                <c:pt idx="157">
                  <c:v>8.3867367360760987</c:v>
                </c:pt>
                <c:pt idx="158">
                  <c:v>8.6874169070888119</c:v>
                </c:pt>
                <c:pt idx="159">
                  <c:v>8.1657549236450677</c:v>
                </c:pt>
                <c:pt idx="160">
                  <c:v>7.1260536094203797</c:v>
                </c:pt>
                <c:pt idx="161">
                  <c:v>6.4123910348480324</c:v>
                </c:pt>
                <c:pt idx="162">
                  <c:v>6.2855981916498997</c:v>
                </c:pt>
                <c:pt idx="163">
                  <c:v>6.8724679230241135</c:v>
                </c:pt>
                <c:pt idx="164">
                  <c:v>7.5607719289568331</c:v>
                </c:pt>
                <c:pt idx="165">
                  <c:v>8.7127754757284386</c:v>
                </c:pt>
                <c:pt idx="166">
                  <c:v>9.2670413331374171</c:v>
                </c:pt>
                <c:pt idx="167">
                  <c:v>9.0750407420088166</c:v>
                </c:pt>
                <c:pt idx="168">
                  <c:v>8.1403963550054392</c:v>
                </c:pt>
                <c:pt idx="169">
                  <c:v>7.4013752117934661</c:v>
                </c:pt>
                <c:pt idx="170">
                  <c:v>7.0391099455130881</c:v>
                </c:pt>
                <c:pt idx="171">
                  <c:v>7.0137513768734614</c:v>
                </c:pt>
                <c:pt idx="172">
                  <c:v>8.2128494082615155</c:v>
                </c:pt>
                <c:pt idx="173">
                  <c:v>9.7234955686506961</c:v>
                </c:pt>
                <c:pt idx="174">
                  <c:v>9.8502884118488296</c:v>
                </c:pt>
                <c:pt idx="175">
                  <c:v>10.582064249735195</c:v>
                </c:pt>
                <c:pt idx="176">
                  <c:v>10.353837131978556</c:v>
                </c:pt>
                <c:pt idx="177">
                  <c:v>9.0134556467411535</c:v>
                </c:pt>
                <c:pt idx="178">
                  <c:v>8.223717366249927</c:v>
                </c:pt>
                <c:pt idx="179">
                  <c:v>8.1114151337030087</c:v>
                </c:pt>
                <c:pt idx="180">
                  <c:v>7.7563951727482383</c:v>
                </c:pt>
                <c:pt idx="181">
                  <c:v>6.9195624076405622</c:v>
                </c:pt>
                <c:pt idx="182">
                  <c:v>6.6623540685814939</c:v>
                </c:pt>
                <c:pt idx="183">
                  <c:v>8.365000820099274</c:v>
                </c:pt>
                <c:pt idx="184">
                  <c:v>42.106387721453771</c:v>
                </c:pt>
                <c:pt idx="185">
                  <c:v>74.228448882534977</c:v>
                </c:pt>
                <c:pt idx="186">
                  <c:v>71.562176522711383</c:v>
                </c:pt>
                <c:pt idx="187">
                  <c:v>37.636034335553894</c:v>
                </c:pt>
                <c:pt idx="188">
                  <c:v>15.418305554578255</c:v>
                </c:pt>
                <c:pt idx="189">
                  <c:v>7.1985066626764551</c:v>
                </c:pt>
                <c:pt idx="190">
                  <c:v>6.3254473709407417</c:v>
                </c:pt>
                <c:pt idx="191">
                  <c:v>8.1150377863658125</c:v>
                </c:pt>
                <c:pt idx="192">
                  <c:v>10.172704498838366</c:v>
                </c:pt>
                <c:pt idx="193">
                  <c:v>10.313987952687713</c:v>
                </c:pt>
                <c:pt idx="194">
                  <c:v>8.8287003609381607</c:v>
                </c:pt>
                <c:pt idx="195">
                  <c:v>7.0572232088271072</c:v>
                </c:pt>
                <c:pt idx="196">
                  <c:v>6.560919794022988</c:v>
                </c:pt>
                <c:pt idx="197">
                  <c:v>6.542806530708968</c:v>
                </c:pt>
                <c:pt idx="198">
                  <c:v>6.5174479620693422</c:v>
                </c:pt>
                <c:pt idx="199">
                  <c:v>6.300088802301115</c:v>
                </c:pt>
                <c:pt idx="200">
                  <c:v>6.1551826957889624</c:v>
                </c:pt>
                <c:pt idx="201">
                  <c:v>6.0428804632420459</c:v>
                </c:pt>
                <c:pt idx="202">
                  <c:v>5.9378235360207352</c:v>
                </c:pt>
                <c:pt idx="203">
                  <c:v>5.9559367993347543</c:v>
                </c:pt>
                <c:pt idx="204">
                  <c:v>6.3037114549639188</c:v>
                </c:pt>
                <c:pt idx="205">
                  <c:v>6.4196363401736392</c:v>
                </c:pt>
                <c:pt idx="206">
                  <c:v>6.1914092224170005</c:v>
                </c:pt>
                <c:pt idx="207">
                  <c:v>5.9342008833579314</c:v>
                </c:pt>
                <c:pt idx="208">
                  <c:v>5.9088423147183056</c:v>
                </c:pt>
                <c:pt idx="209">
                  <c:v>6.0138992419396153</c:v>
                </c:pt>
                <c:pt idx="210">
                  <c:v>6.0609937265560641</c:v>
                </c:pt>
                <c:pt idx="211">
                  <c:v>6.0935976005212984</c:v>
                </c:pt>
                <c:pt idx="212">
                  <c:v>5.981295367974381</c:v>
                </c:pt>
                <c:pt idx="213">
                  <c:v>5.9124649673811085</c:v>
                </c:pt>
                <c:pt idx="214">
                  <c:v>5.9160876200439141</c:v>
                </c:pt>
                <c:pt idx="215">
                  <c:v>5.9486914940091475</c:v>
                </c:pt>
                <c:pt idx="216">
                  <c:v>6.0175218946024192</c:v>
                </c:pt>
                <c:pt idx="217">
                  <c:v>6.0283898525908306</c:v>
                </c:pt>
                <c:pt idx="218">
                  <c:v>6.021144547265223</c:v>
                </c:pt>
                <c:pt idx="219">
                  <c:v>6.021144547265223</c:v>
                </c:pt>
                <c:pt idx="220">
                  <c:v>6.0863522951956917</c:v>
                </c:pt>
                <c:pt idx="221">
                  <c:v>6.1262014744865327</c:v>
                </c:pt>
                <c:pt idx="222">
                  <c:v>6.1189561691609251</c:v>
                </c:pt>
                <c:pt idx="223">
                  <c:v>6.0428804632420459</c:v>
                </c:pt>
                <c:pt idx="224">
                  <c:v>6.0066539366140077</c:v>
                </c:pt>
                <c:pt idx="225">
                  <c:v>6.0682390318816717</c:v>
                </c:pt>
                <c:pt idx="226">
                  <c:v>6.2131451383938234</c:v>
                </c:pt>
                <c:pt idx="227">
                  <c:v>6.3652965502315828</c:v>
                </c:pt>
                <c:pt idx="228">
                  <c:v>6.3979004241968163</c:v>
                </c:pt>
                <c:pt idx="229">
                  <c:v>6.2493716650218616</c:v>
                </c:pt>
                <c:pt idx="230">
                  <c:v>6.1044655585097098</c:v>
                </c:pt>
                <c:pt idx="231">
                  <c:v>6.0320125052536335</c:v>
                </c:pt>
                <c:pt idx="232">
                  <c:v>6.0066539366140077</c:v>
                </c:pt>
                <c:pt idx="233">
                  <c:v>6.0102765892768106</c:v>
                </c:pt>
                <c:pt idx="234">
                  <c:v>6.021144547265223</c:v>
                </c:pt>
                <c:pt idx="235">
                  <c:v>6.0465031159048497</c:v>
                </c:pt>
                <c:pt idx="236">
                  <c:v>6.0718616845444764</c:v>
                </c:pt>
                <c:pt idx="237">
                  <c:v>6.079106989870084</c:v>
                </c:pt>
                <c:pt idx="238">
                  <c:v>6.1225788218237289</c:v>
                </c:pt>
                <c:pt idx="239">
                  <c:v>6.1986545277426091</c:v>
                </c:pt>
                <c:pt idx="240">
                  <c:v>6.2131451383938234</c:v>
                </c:pt>
                <c:pt idx="241">
                  <c:v>6.260239623010273</c:v>
                </c:pt>
                <c:pt idx="242">
                  <c:v>6.2674849283358807</c:v>
                </c:pt>
                <c:pt idx="243">
                  <c:v>6.2855981916498997</c:v>
                </c:pt>
                <c:pt idx="244">
                  <c:v>6.3399379815919561</c:v>
                </c:pt>
                <c:pt idx="245">
                  <c:v>6.3326926762663494</c:v>
                </c:pt>
                <c:pt idx="246">
                  <c:v>6.2964661496383112</c:v>
                </c:pt>
                <c:pt idx="247">
                  <c:v>6.2022771804054129</c:v>
                </c:pt>
                <c:pt idx="248">
                  <c:v>6.140692085137748</c:v>
                </c:pt>
                <c:pt idx="249">
                  <c:v>6.1189561691609251</c:v>
                </c:pt>
                <c:pt idx="250">
                  <c:v>6.1370694324749442</c:v>
                </c:pt>
                <c:pt idx="251">
                  <c:v>6.1479373904633556</c:v>
                </c:pt>
                <c:pt idx="252">
                  <c:v>6.1769186117657853</c:v>
                </c:pt>
                <c:pt idx="253">
                  <c:v>6.1914092224170005</c:v>
                </c:pt>
                <c:pt idx="254">
                  <c:v>6.2058998330682158</c:v>
                </c:pt>
                <c:pt idx="255">
                  <c:v>6.242126359696254</c:v>
                </c:pt>
                <c:pt idx="256">
                  <c:v>6.3979004241968163</c:v>
                </c:pt>
                <c:pt idx="257">
                  <c:v>6.5464291833717727</c:v>
                </c:pt>
                <c:pt idx="258">
                  <c:v>6.5971463206510261</c:v>
                </c:pt>
                <c:pt idx="259">
                  <c:v>6.542806530708968</c:v>
                </c:pt>
                <c:pt idx="260">
                  <c:v>6.4993346987553231</c:v>
                </c:pt>
                <c:pt idx="261">
                  <c:v>6.4594855194644811</c:v>
                </c:pt>
                <c:pt idx="262">
                  <c:v>6.5717877520113985</c:v>
                </c:pt>
                <c:pt idx="263">
                  <c:v>6.6261275419534558</c:v>
                </c:pt>
                <c:pt idx="264">
                  <c:v>6.6369954999418672</c:v>
                </c:pt>
                <c:pt idx="265">
                  <c:v>6.6877126372211206</c:v>
                </c:pt>
                <c:pt idx="266">
                  <c:v>6.58265570999981</c:v>
                </c:pt>
                <c:pt idx="267">
                  <c:v>6.542806530708968</c:v>
                </c:pt>
                <c:pt idx="268">
                  <c:v>6.5065800040809307</c:v>
                </c:pt>
                <c:pt idx="269">
                  <c:v>6.4667308247900896</c:v>
                </c:pt>
                <c:pt idx="270">
                  <c:v>6.4305042981620506</c:v>
                </c:pt>
                <c:pt idx="271">
                  <c:v>6.401523076859621</c:v>
                </c:pt>
                <c:pt idx="272">
                  <c:v>6.4051457295224239</c:v>
                </c:pt>
                <c:pt idx="273">
                  <c:v>6.4341269508248544</c:v>
                </c:pt>
                <c:pt idx="274">
                  <c:v>6.4594855194644811</c:v>
                </c:pt>
                <c:pt idx="275">
                  <c:v>6.481221435441304</c:v>
                </c:pt>
                <c:pt idx="276">
                  <c:v>6.4703534774528926</c:v>
                </c:pt>
                <c:pt idx="277">
                  <c:v>6.4703534774528926</c:v>
                </c:pt>
                <c:pt idx="278">
                  <c:v>6.5065800040809307</c:v>
                </c:pt>
                <c:pt idx="279">
                  <c:v>6.5899010153254185</c:v>
                </c:pt>
                <c:pt idx="280">
                  <c:v>6.7130712058607473</c:v>
                </c:pt>
                <c:pt idx="281">
                  <c:v>6.7674109958028037</c:v>
                </c:pt>
                <c:pt idx="282">
                  <c:v>6.781901606454019</c:v>
                </c:pt>
                <c:pt idx="283">
                  <c:v>6.7492977324887855</c:v>
                </c:pt>
                <c:pt idx="284">
                  <c:v>6.6840899845583168</c:v>
                </c:pt>
                <c:pt idx="285">
                  <c:v>6.644240805267474</c:v>
                </c:pt>
                <c:pt idx="286">
                  <c:v>6.644240805267474</c:v>
                </c:pt>
                <c:pt idx="287">
                  <c:v>6.618882236627849</c:v>
                </c:pt>
                <c:pt idx="288">
                  <c:v>6.622504889290652</c:v>
                </c:pt>
                <c:pt idx="289">
                  <c:v>6.618882236627849</c:v>
                </c:pt>
                <c:pt idx="290">
                  <c:v>6.6297501946162596</c:v>
                </c:pt>
                <c:pt idx="291">
                  <c:v>6.6623540685814939</c:v>
                </c:pt>
                <c:pt idx="292">
                  <c:v>6.7058259005351388</c:v>
                </c:pt>
                <c:pt idx="293">
                  <c:v>6.7927695644424304</c:v>
                </c:pt>
                <c:pt idx="294">
                  <c:v>6.9304303656289736</c:v>
                </c:pt>
                <c:pt idx="295">
                  <c:v>6.9666568922570127</c:v>
                </c:pt>
                <c:pt idx="296">
                  <c:v>7.0536005561643034</c:v>
                </c:pt>
                <c:pt idx="297">
                  <c:v>7.0209966821990681</c:v>
                </c:pt>
                <c:pt idx="298">
                  <c:v>6.9231850603033678</c:v>
                </c:pt>
                <c:pt idx="299">
                  <c:v>6.8833358810125249</c:v>
                </c:pt>
                <c:pt idx="300">
                  <c:v>6.9050717969893469</c:v>
                </c:pt>
                <c:pt idx="301">
                  <c:v>6.9594115869314042</c:v>
                </c:pt>
                <c:pt idx="302">
                  <c:v>6.9992607662222461</c:v>
                </c:pt>
                <c:pt idx="303">
                  <c:v>7.0644685141527139</c:v>
                </c:pt>
                <c:pt idx="304">
                  <c:v>7.1079403461063588</c:v>
                </c:pt>
                <c:pt idx="305">
                  <c:v>7.1550348307228093</c:v>
                </c:pt>
                <c:pt idx="306">
                  <c:v>7.1803933993624351</c:v>
                </c:pt>
                <c:pt idx="307">
                  <c:v>7.2129972733276704</c:v>
                </c:pt>
                <c:pt idx="308">
                  <c:v>7.2202425786532771</c:v>
                </c:pt>
                <c:pt idx="309">
                  <c:v>7.1985066626764551</c:v>
                </c:pt>
                <c:pt idx="310">
                  <c:v>7.2202425786532771</c:v>
                </c:pt>
                <c:pt idx="311">
                  <c:v>7.2166199259904742</c:v>
                </c:pt>
                <c:pt idx="312">
                  <c:v>7.2238652313160809</c:v>
                </c:pt>
                <c:pt idx="313">
                  <c:v>7.2383558419672962</c:v>
                </c:pt>
                <c:pt idx="314">
                  <c:v>7.2963182845721564</c:v>
                </c:pt>
                <c:pt idx="315">
                  <c:v>7.3325448112001954</c:v>
                </c:pt>
                <c:pt idx="316">
                  <c:v>7.3506580745142145</c:v>
                </c:pt>
                <c:pt idx="317">
                  <c:v>7.3723939904910356</c:v>
                </c:pt>
                <c:pt idx="318">
                  <c:v>7.4086205171190747</c:v>
                </c:pt>
                <c:pt idx="319">
                  <c:v>7.444847043747111</c:v>
                </c:pt>
                <c:pt idx="320">
                  <c:v>7.5209227496659921</c:v>
                </c:pt>
                <c:pt idx="321">
                  <c:v>7.5969984555848722</c:v>
                </c:pt>
                <c:pt idx="322">
                  <c:v>7.6585835508525362</c:v>
                </c:pt>
                <c:pt idx="323">
                  <c:v>7.6984327301433781</c:v>
                </c:pt>
                <c:pt idx="324">
                  <c:v>7.7672631307366489</c:v>
                </c:pt>
                <c:pt idx="325">
                  <c:v>7.8288482260043146</c:v>
                </c:pt>
                <c:pt idx="326">
                  <c:v>7.8542067946439396</c:v>
                </c:pt>
                <c:pt idx="327">
                  <c:v>7.9049239319231939</c:v>
                </c:pt>
                <c:pt idx="328">
                  <c:v>7.9302825005628206</c:v>
                </c:pt>
                <c:pt idx="329">
                  <c:v>7.9592637218652511</c:v>
                </c:pt>
                <c:pt idx="330">
                  <c:v>7.9954902484932884</c:v>
                </c:pt>
                <c:pt idx="331">
                  <c:v>8.0244714697957189</c:v>
                </c:pt>
                <c:pt idx="332">
                  <c:v>8.0570753437609532</c:v>
                </c:pt>
                <c:pt idx="333">
                  <c:v>8.0860565650633838</c:v>
                </c:pt>
                <c:pt idx="334">
                  <c:v>8.1367737023426372</c:v>
                </c:pt>
                <c:pt idx="335">
                  <c:v>8.2019814502731041</c:v>
                </c:pt>
                <c:pt idx="336">
                  <c:v>8.2853024615175919</c:v>
                </c:pt>
                <c:pt idx="337">
                  <c:v>8.404849999390116</c:v>
                </c:pt>
                <c:pt idx="338">
                  <c:v>8.5352654952510534</c:v>
                </c:pt>
                <c:pt idx="339">
                  <c:v>8.6765489491004022</c:v>
                </c:pt>
                <c:pt idx="340">
                  <c:v>8.7381340443680671</c:v>
                </c:pt>
                <c:pt idx="341">
                  <c:v>8.8395683189265704</c:v>
                </c:pt>
                <c:pt idx="342">
                  <c:v>8.9011534141942352</c:v>
                </c:pt>
                <c:pt idx="343">
                  <c:v>8.9373799408222752</c:v>
                </c:pt>
                <c:pt idx="344">
                  <c:v>9.024323604729565</c:v>
                </c:pt>
                <c:pt idx="345">
                  <c:v>9.1511164479276967</c:v>
                </c:pt>
                <c:pt idx="346">
                  <c:v>9.2742866384630265</c:v>
                </c:pt>
                <c:pt idx="347">
                  <c:v>9.3720982603587277</c:v>
                </c:pt>
                <c:pt idx="348">
                  <c:v>9.4228153976379829</c:v>
                </c:pt>
                <c:pt idx="349">
                  <c:v>9.4626645769288231</c:v>
                </c:pt>
                <c:pt idx="350">
                  <c:v>9.6365519047434045</c:v>
                </c:pt>
                <c:pt idx="351">
                  <c:v>9.8249298432092012</c:v>
                </c:pt>
                <c:pt idx="352">
                  <c:v>9.9191188124421004</c:v>
                </c:pt>
                <c:pt idx="353">
                  <c:v>9.9299867704305136</c:v>
                </c:pt>
                <c:pt idx="354">
                  <c:v>9.9118735071164927</c:v>
                </c:pt>
                <c:pt idx="355">
                  <c:v>9.9589679917329441</c:v>
                </c:pt>
                <c:pt idx="356">
                  <c:v>10.038666350314626</c:v>
                </c:pt>
              </c:numCache>
            </c:numRef>
          </c:yVal>
          <c:smooth val="1"/>
          <c:extLst>
            <c:ext xmlns:c16="http://schemas.microsoft.com/office/drawing/2014/chart" uri="{C3380CC4-5D6E-409C-BE32-E72D297353CC}">
              <c16:uniqueId val="{00000001-E192-4130-B7D2-7905CBA103B5}"/>
            </c:ext>
          </c:extLst>
        </c:ser>
        <c:ser>
          <c:idx val="4"/>
          <c:order val="4"/>
          <c:tx>
            <c:v>Labels</c:v>
          </c:tx>
          <c:spPr>
            <a:ln w="19050" cap="rnd">
              <a:noFill/>
              <a:round/>
            </a:ln>
            <a:effectLst/>
          </c:spPr>
          <c:marker>
            <c:symbol val="none"/>
          </c:marker>
          <c:dLbls>
            <c:dLbl>
              <c:idx val="0"/>
              <c:tx>
                <c:rich>
                  <a:bodyPr/>
                  <a:lstStyle/>
                  <a:p>
                    <a:fld id="{65C4A21E-3028-4D15-8992-42622AEFAC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F1A0-4EC8-BEBE-AE9929E527EF}"/>
                </c:ext>
              </c:extLst>
            </c:dLbl>
            <c:dLbl>
              <c:idx val="1"/>
              <c:tx>
                <c:rich>
                  <a:bodyPr/>
                  <a:lstStyle/>
                  <a:p>
                    <a:fld id="{AA57FEB3-9036-421C-A079-7BC38F27F2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1A0-4EC8-BEBE-AE9929E527EF}"/>
                </c:ext>
              </c:extLst>
            </c:dLbl>
            <c:dLbl>
              <c:idx val="2"/>
              <c:tx>
                <c:rich>
                  <a:bodyPr/>
                  <a:lstStyle/>
                  <a:p>
                    <a:fld id="{9CF8822D-FA4D-4871-AB64-B457210A43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1A0-4EC8-BEBE-AE9929E527EF}"/>
                </c:ext>
              </c:extLst>
            </c:dLbl>
            <c:dLbl>
              <c:idx val="3"/>
              <c:tx>
                <c:rich>
                  <a:bodyPr/>
                  <a:lstStyle/>
                  <a:p>
                    <a:fld id="{A7AD0D7D-8263-43B4-83F7-C0BD3F6F66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1A0-4EC8-BEBE-AE9929E527EF}"/>
                </c:ext>
              </c:extLst>
            </c:dLbl>
            <c:dLbl>
              <c:idx val="4"/>
              <c:tx>
                <c:rich>
                  <a:bodyPr/>
                  <a:lstStyle/>
                  <a:p>
                    <a:fld id="{269D7A72-5EE1-4A60-BC9F-76732B52D0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1A0-4EC8-BEBE-AE9929E527EF}"/>
                </c:ext>
              </c:extLst>
            </c:dLbl>
            <c:dLbl>
              <c:idx val="5"/>
              <c:tx>
                <c:rich>
                  <a:bodyPr/>
                  <a:lstStyle/>
                  <a:p>
                    <a:fld id="{142465ED-C248-4CAF-B237-F15DD535FF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1A0-4EC8-BEBE-AE9929E527EF}"/>
                </c:ext>
              </c:extLst>
            </c:dLbl>
            <c:dLbl>
              <c:idx val="6"/>
              <c:tx>
                <c:rich>
                  <a:bodyPr/>
                  <a:lstStyle/>
                  <a:p>
                    <a:fld id="{E1EA7949-CCFD-4F35-B57B-0AF3A25DC0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1A0-4EC8-BEBE-AE9929E527EF}"/>
                </c:ext>
              </c:extLst>
            </c:dLbl>
            <c:dLbl>
              <c:idx val="7"/>
              <c:tx>
                <c:rich>
                  <a:bodyPr/>
                  <a:lstStyle/>
                  <a:p>
                    <a:fld id="{C4DDC5F5-562B-4801-9D79-4E88C7CE56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1A0-4EC8-BEBE-AE9929E527EF}"/>
                </c:ext>
              </c:extLst>
            </c:dLbl>
            <c:dLbl>
              <c:idx val="8"/>
              <c:tx>
                <c:rich>
                  <a:bodyPr/>
                  <a:lstStyle/>
                  <a:p>
                    <a:fld id="{329F6825-7192-44A1-A11D-C0FAD3E7DD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F1A0-4EC8-BEBE-AE9929E527EF}"/>
                </c:ext>
              </c:extLst>
            </c:dLbl>
            <c:dLbl>
              <c:idx val="9"/>
              <c:tx>
                <c:rich>
                  <a:bodyPr/>
                  <a:lstStyle/>
                  <a:p>
                    <a:fld id="{2544E7AA-D92E-4EE0-8B5A-49953C4565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1A0-4EC8-BEBE-AE9929E527EF}"/>
                </c:ext>
              </c:extLst>
            </c:dLbl>
            <c:dLbl>
              <c:idx val="10"/>
              <c:tx>
                <c:rich>
                  <a:bodyPr/>
                  <a:lstStyle/>
                  <a:p>
                    <a:fld id="{53D31864-6AC6-43D2-A953-E4A90875D4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1A0-4EC8-BEBE-AE9929E527EF}"/>
                </c:ext>
              </c:extLst>
            </c:dLbl>
            <c:dLbl>
              <c:idx val="11"/>
              <c:tx>
                <c:rich>
                  <a:bodyPr/>
                  <a:lstStyle/>
                  <a:p>
                    <a:fld id="{A543660F-83DD-48AF-937A-6EF91E221E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1A0-4EC8-BEBE-AE9929E527EF}"/>
                </c:ext>
              </c:extLst>
            </c:dLbl>
            <c:dLbl>
              <c:idx val="12"/>
              <c:tx>
                <c:rich>
                  <a:bodyPr/>
                  <a:lstStyle/>
                  <a:p>
                    <a:fld id="{3C7AE404-609B-4619-B057-37013DF453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1A0-4EC8-BEBE-AE9929E527EF}"/>
                </c:ext>
              </c:extLst>
            </c:dLbl>
            <c:dLbl>
              <c:idx val="1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F1A0-4EC8-BEBE-AE9929E527EF}"/>
                </c:ext>
              </c:extLst>
            </c:dLbl>
            <c:dLbl>
              <c:idx val="1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F1A0-4EC8-BEBE-AE9929E527EF}"/>
                </c:ext>
              </c:extLst>
            </c:dLbl>
            <c:dLbl>
              <c:idx val="1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F1A0-4EC8-BEBE-AE9929E527EF}"/>
                </c:ext>
              </c:extLst>
            </c:dLbl>
            <c:dLbl>
              <c:idx val="1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F1A0-4EC8-BEBE-AE9929E527EF}"/>
                </c:ext>
              </c:extLst>
            </c:dLbl>
            <c:dLbl>
              <c:idx val="1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F1A0-4EC8-BEBE-AE9929E527EF}"/>
                </c:ext>
              </c:extLst>
            </c:dLbl>
            <c:dLbl>
              <c:idx val="1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F1A0-4EC8-BEBE-AE9929E527EF}"/>
                </c:ext>
              </c:extLst>
            </c:dLbl>
            <c:dLbl>
              <c:idx val="1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F1A0-4EC8-BEBE-AE9929E527EF}"/>
                </c:ext>
              </c:extLst>
            </c:dLbl>
            <c:dLbl>
              <c:idx val="2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F1A0-4EC8-BEBE-AE9929E527EF}"/>
                </c:ext>
              </c:extLst>
            </c:dLbl>
            <c:dLbl>
              <c:idx val="2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F1A0-4EC8-BEBE-AE9929E527EF}"/>
                </c:ext>
              </c:extLst>
            </c:dLbl>
            <c:dLbl>
              <c:idx val="2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F1A0-4EC8-BEBE-AE9929E527EF}"/>
                </c:ext>
              </c:extLst>
            </c:dLbl>
            <c:dLbl>
              <c:idx val="2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F1A0-4EC8-BEBE-AE9929E527EF}"/>
                </c:ext>
              </c:extLst>
            </c:dLbl>
            <c:dLbl>
              <c:idx val="2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F1A0-4EC8-BEBE-AE9929E527EF}"/>
                </c:ext>
              </c:extLst>
            </c:dLbl>
            <c:dLbl>
              <c:idx val="2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F1A0-4EC8-BEBE-AE9929E527EF}"/>
                </c:ext>
              </c:extLst>
            </c:dLbl>
            <c:dLbl>
              <c:idx val="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F1A0-4EC8-BEBE-AE9929E527EF}"/>
                </c:ext>
              </c:extLst>
            </c:dLbl>
            <c:dLbl>
              <c:idx val="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F1A0-4EC8-BEBE-AE9929E527EF}"/>
                </c:ext>
              </c:extLst>
            </c:dLbl>
            <c:dLbl>
              <c:idx val="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F1A0-4EC8-BEBE-AE9929E527EF}"/>
                </c:ext>
              </c:extLst>
            </c:dLbl>
            <c:dLbl>
              <c:idx val="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F1A0-4EC8-BEBE-AE9929E527EF}"/>
                </c:ext>
              </c:extLst>
            </c:dLbl>
            <c:dLbl>
              <c:idx val="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F1A0-4EC8-BEBE-AE9929E527EF}"/>
                </c:ext>
              </c:extLst>
            </c:dLbl>
            <c:dLbl>
              <c:idx val="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F1A0-4EC8-BEBE-AE9929E527EF}"/>
                </c:ext>
              </c:extLst>
            </c:dLbl>
            <c:dLbl>
              <c:idx val="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F1A0-4EC8-BEBE-AE9929E527EF}"/>
                </c:ext>
              </c:extLst>
            </c:dLbl>
            <c:dLbl>
              <c:idx val="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F1A0-4EC8-BEBE-AE9929E527EF}"/>
                </c:ext>
              </c:extLst>
            </c:dLbl>
            <c:dLbl>
              <c:idx val="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F1A0-4EC8-BEBE-AE9929E527EF}"/>
                </c:ext>
              </c:extLst>
            </c:dLbl>
            <c:dLbl>
              <c:idx val="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F1A0-4EC8-BEBE-AE9929E527EF}"/>
                </c:ext>
              </c:extLst>
            </c:dLbl>
            <c:dLbl>
              <c:idx val="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F1A0-4EC8-BEBE-AE9929E527EF}"/>
                </c:ext>
              </c:extLst>
            </c:dLbl>
            <c:dLbl>
              <c:idx val="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F1A0-4EC8-BEBE-AE9929E527EF}"/>
                </c:ext>
              </c:extLst>
            </c:dLbl>
            <c:dLbl>
              <c:idx val="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F1A0-4EC8-BEBE-AE9929E527EF}"/>
                </c:ext>
              </c:extLst>
            </c:dLbl>
            <c:dLbl>
              <c:idx val="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F1A0-4EC8-BEBE-AE9929E527EF}"/>
                </c:ext>
              </c:extLst>
            </c:dLbl>
            <c:dLbl>
              <c:idx val="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F1A0-4EC8-BEBE-AE9929E527EF}"/>
                </c:ext>
              </c:extLst>
            </c:dLbl>
            <c:dLbl>
              <c:idx val="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F1A0-4EC8-BEBE-AE9929E527EF}"/>
                </c:ext>
              </c:extLst>
            </c:dLbl>
            <c:dLbl>
              <c:idx val="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F1A0-4EC8-BEBE-AE9929E527EF}"/>
                </c:ext>
              </c:extLst>
            </c:dLbl>
            <c:dLbl>
              <c:idx val="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F1A0-4EC8-BEBE-AE9929E527EF}"/>
                </c:ext>
              </c:extLst>
            </c:dLbl>
            <c:dLbl>
              <c:idx val="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F1A0-4EC8-BEBE-AE9929E527EF}"/>
                </c:ext>
              </c:extLst>
            </c:dLbl>
            <c:dLbl>
              <c:idx val="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F1A0-4EC8-BEBE-AE9929E527EF}"/>
                </c:ext>
              </c:extLst>
            </c:dLbl>
            <c:dLbl>
              <c:idx val="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F1A0-4EC8-BEBE-AE9929E527EF}"/>
                </c:ext>
              </c:extLst>
            </c:dLbl>
            <c:dLbl>
              <c:idx val="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F1A0-4EC8-BEBE-AE9929E527EF}"/>
                </c:ext>
              </c:extLst>
            </c:dLbl>
            <c:dLbl>
              <c:idx val="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F1A0-4EC8-BEBE-AE9929E527EF}"/>
                </c:ext>
              </c:extLst>
            </c:dLbl>
            <c:dLbl>
              <c:idx val="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F1A0-4EC8-BEBE-AE9929E527EF}"/>
                </c:ext>
              </c:extLst>
            </c:dLbl>
            <c:dLbl>
              <c:idx val="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F1A0-4EC8-BEBE-AE9929E527EF}"/>
                </c:ext>
              </c:extLst>
            </c:dLbl>
            <c:dLbl>
              <c:idx val="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F1A0-4EC8-BEBE-AE9929E527EF}"/>
                </c:ext>
              </c:extLst>
            </c:dLbl>
            <c:dLbl>
              <c:idx val="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F1A0-4EC8-BEBE-AE9929E527EF}"/>
                </c:ext>
              </c:extLst>
            </c:dLbl>
            <c:dLbl>
              <c:idx val="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F1A0-4EC8-BEBE-AE9929E527EF}"/>
                </c:ext>
              </c:extLst>
            </c:dLbl>
            <c:dLbl>
              <c:idx val="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F1A0-4EC8-BEBE-AE9929E527EF}"/>
                </c:ext>
              </c:extLst>
            </c:dLbl>
            <c:dLbl>
              <c:idx val="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F1A0-4EC8-BEBE-AE9929E527EF}"/>
                </c:ext>
              </c:extLst>
            </c:dLbl>
            <c:dLbl>
              <c:idx val="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F1A0-4EC8-BEBE-AE9929E527EF}"/>
                </c:ext>
              </c:extLst>
            </c:dLbl>
            <c:dLbl>
              <c:idx val="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F1A0-4EC8-BEBE-AE9929E527EF}"/>
                </c:ext>
              </c:extLst>
            </c:dLbl>
            <c:dLbl>
              <c:idx val="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F1A0-4EC8-BEBE-AE9929E527EF}"/>
                </c:ext>
              </c:extLst>
            </c:dLbl>
            <c:dLbl>
              <c:idx val="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F1A0-4EC8-BEBE-AE9929E527EF}"/>
                </c:ext>
              </c:extLst>
            </c:dLbl>
            <c:dLbl>
              <c:idx val="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F1A0-4EC8-BEBE-AE9929E527EF}"/>
                </c:ext>
              </c:extLst>
            </c:dLbl>
            <c:dLbl>
              <c:idx val="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F1A0-4EC8-BEBE-AE9929E527EF}"/>
                </c:ext>
              </c:extLst>
            </c:dLbl>
            <c:dLbl>
              <c:idx val="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F1A0-4EC8-BEBE-AE9929E527EF}"/>
                </c:ext>
              </c:extLst>
            </c:dLbl>
            <c:dLbl>
              <c:idx val="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F1A0-4EC8-BEBE-AE9929E527EF}"/>
                </c:ext>
              </c:extLst>
            </c:dLbl>
            <c:dLbl>
              <c:idx val="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F1A0-4EC8-BEBE-AE9929E527EF}"/>
                </c:ext>
              </c:extLst>
            </c:dLbl>
            <c:dLbl>
              <c:idx val="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F1A0-4EC8-BEBE-AE9929E527EF}"/>
                </c:ext>
              </c:extLst>
            </c:dLbl>
            <c:dLbl>
              <c:idx val="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F1A0-4EC8-BEBE-AE9929E527EF}"/>
                </c:ext>
              </c:extLst>
            </c:dLbl>
            <c:dLbl>
              <c:idx val="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F1A0-4EC8-BEBE-AE9929E527EF}"/>
                </c:ext>
              </c:extLst>
            </c:dLbl>
            <c:dLbl>
              <c:idx val="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F1A0-4EC8-BEBE-AE9929E527EF}"/>
                </c:ext>
              </c:extLst>
            </c:dLbl>
            <c:dLbl>
              <c:idx val="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F1A0-4EC8-BEBE-AE9929E527EF}"/>
                </c:ext>
              </c:extLst>
            </c:dLbl>
            <c:dLbl>
              <c:idx val="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F1A0-4EC8-BEBE-AE9929E527EF}"/>
                </c:ext>
              </c:extLst>
            </c:dLbl>
            <c:dLbl>
              <c:idx val="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F1A0-4EC8-BEBE-AE9929E527EF}"/>
                </c:ext>
              </c:extLst>
            </c:dLbl>
            <c:dLbl>
              <c:idx val="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F1A0-4EC8-BEBE-AE9929E527EF}"/>
                </c:ext>
              </c:extLst>
            </c:dLbl>
            <c:dLbl>
              <c:idx val="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F1A0-4EC8-BEBE-AE9929E527EF}"/>
                </c:ext>
              </c:extLst>
            </c:dLbl>
            <c:dLbl>
              <c:idx val="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F1A0-4EC8-BEBE-AE9929E527EF}"/>
                </c:ext>
              </c:extLst>
            </c:dLbl>
            <c:dLbl>
              <c:idx val="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F1A0-4EC8-BEBE-AE9929E527EF}"/>
                </c:ext>
              </c:extLst>
            </c:dLbl>
            <c:dLbl>
              <c:idx val="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F1A0-4EC8-BEBE-AE9929E527EF}"/>
                </c:ext>
              </c:extLst>
            </c:dLbl>
            <c:dLbl>
              <c:idx val="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F1A0-4EC8-BEBE-AE9929E527EF}"/>
                </c:ext>
              </c:extLst>
            </c:dLbl>
            <c:dLbl>
              <c:idx val="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F1A0-4EC8-BEBE-AE9929E527EF}"/>
                </c:ext>
              </c:extLst>
            </c:dLbl>
            <c:dLbl>
              <c:idx val="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F1A0-4EC8-BEBE-AE9929E527EF}"/>
                </c:ext>
              </c:extLst>
            </c:dLbl>
            <c:dLbl>
              <c:idx val="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F1A0-4EC8-BEBE-AE9929E527EF}"/>
                </c:ext>
              </c:extLst>
            </c:dLbl>
            <c:dLbl>
              <c:idx val="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F1A0-4EC8-BEBE-AE9929E527EF}"/>
                </c:ext>
              </c:extLst>
            </c:dLbl>
            <c:dLbl>
              <c:idx val="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F1A0-4EC8-BEBE-AE9929E527EF}"/>
                </c:ext>
              </c:extLst>
            </c:dLbl>
            <c:dLbl>
              <c:idx val="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F1A0-4EC8-BEBE-AE9929E527EF}"/>
                </c:ext>
              </c:extLst>
            </c:dLbl>
            <c:dLbl>
              <c:idx val="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F1A0-4EC8-BEBE-AE9929E527EF}"/>
                </c:ext>
              </c:extLst>
            </c:dLbl>
            <c:dLbl>
              <c:idx val="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F1A0-4EC8-BEBE-AE9929E527EF}"/>
                </c:ext>
              </c:extLst>
            </c:dLbl>
            <c:dLbl>
              <c:idx val="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F1A0-4EC8-BEBE-AE9929E527EF}"/>
                </c:ext>
              </c:extLst>
            </c:dLbl>
            <c:dLbl>
              <c:idx val="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F1A0-4EC8-BEBE-AE9929E527EF}"/>
                </c:ext>
              </c:extLst>
            </c:dLbl>
            <c:dLbl>
              <c:idx val="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F1A0-4EC8-BEBE-AE9929E527EF}"/>
                </c:ext>
              </c:extLst>
            </c:dLbl>
            <c:dLbl>
              <c:idx val="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F1A0-4EC8-BEBE-AE9929E527EF}"/>
                </c:ext>
              </c:extLst>
            </c:dLbl>
            <c:dLbl>
              <c:idx val="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F1A0-4EC8-BEBE-AE9929E527EF}"/>
                </c:ext>
              </c:extLst>
            </c:dLbl>
            <c:dLbl>
              <c:idx val="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F1A0-4EC8-BEBE-AE9929E527EF}"/>
                </c:ext>
              </c:extLst>
            </c:dLbl>
            <c:dLbl>
              <c:idx val="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F1A0-4EC8-BEBE-AE9929E527EF}"/>
                </c:ext>
              </c:extLst>
            </c:dLbl>
            <c:dLbl>
              <c:idx val="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F1A0-4EC8-BEBE-AE9929E527EF}"/>
                </c:ext>
              </c:extLst>
            </c:dLbl>
            <c:dLbl>
              <c:idx val="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F1A0-4EC8-BEBE-AE9929E527EF}"/>
                </c:ext>
              </c:extLst>
            </c:dLbl>
            <c:dLbl>
              <c:idx val="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F1A0-4EC8-BEBE-AE9929E527EF}"/>
                </c:ext>
              </c:extLst>
            </c:dLbl>
            <c:dLbl>
              <c:idx val="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F1A0-4EC8-BEBE-AE9929E527EF}"/>
                </c:ext>
              </c:extLst>
            </c:dLbl>
            <c:dLbl>
              <c:idx val="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F1A0-4EC8-BEBE-AE9929E527EF}"/>
                </c:ext>
              </c:extLst>
            </c:dLbl>
            <c:dLbl>
              <c:idx val="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F1A0-4EC8-BEBE-AE9929E527EF}"/>
                </c:ext>
              </c:extLst>
            </c:dLbl>
            <c:dLbl>
              <c:idx val="9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F1A0-4EC8-BEBE-AE9929E527EF}"/>
                </c:ext>
              </c:extLst>
            </c:dLbl>
            <c:spPr>
              <a:noFill/>
              <a:ln>
                <a:noFill/>
              </a:ln>
              <a:effectLst/>
            </c:spPr>
            <c:txPr>
              <a:bodyPr rot="-5400000" spcFirstLastPara="1" vertOverflow="ellipsis" vert="horz" wrap="square" lIns="127000" tIns="19050" rIns="38100" bIns="19050" anchor="ctr" anchorCtr="1">
                <a:spAutoFit/>
              </a:bodyPr>
              <a:lstStyle/>
              <a:p>
                <a:pPr>
                  <a:defRPr sz="1200" b="0" i="0" u="none" strike="noStrike" kern="1200" baseline="0">
                    <a:solidFill>
                      <a:schemeClr val="tx1">
                        <a:lumMod val="100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ysClr val="windowText" lastClr="000000">
                          <a:lumMod val="100000"/>
                        </a:sysClr>
                      </a:solidFill>
                      <a:prstDash val="solid"/>
                      <a:round/>
                      <a:headEnd type="none" w="med" len="med"/>
                      <a:tailEnd type="none" w="med" len="med"/>
                    </a:ln>
                    <a:effectLst/>
                  </c:spPr>
                </c15:leaderLines>
              </c:ext>
            </c:extLst>
          </c:dLbls>
          <c:xVal>
            <c:numRef>
              <c:f>Peaks!$B$5:$B$104</c:f>
              <c:numCache>
                <c:formatCode>0.00</c:formatCode>
                <c:ptCount val="100"/>
                <c:pt idx="0">
                  <c:v>1.0365329999999999</c:v>
                </c:pt>
                <c:pt idx="1">
                  <c:v>2.5560399999999999</c:v>
                </c:pt>
                <c:pt idx="2">
                  <c:v>3.204631</c:v>
                </c:pt>
                <c:pt idx="3">
                  <c:v>3.5169709999999998</c:v>
                </c:pt>
                <c:pt idx="4">
                  <c:v>3.7843619999999998</c:v>
                </c:pt>
                <c:pt idx="5">
                  <c:v>4.0231880000000002</c:v>
                </c:pt>
                <c:pt idx="6">
                  <c:v>4.2717910000000003</c:v>
                </c:pt>
                <c:pt idx="7">
                  <c:v>4.4267830000000004</c:v>
                </c:pt>
                <c:pt idx="8">
                  <c:v>4.7411899999999996</c:v>
                </c:pt>
                <c:pt idx="9">
                  <c:v>4.9512619999999998</c:v>
                </c:pt>
                <c:pt idx="10">
                  <c:v>5.4557019999999996</c:v>
                </c:pt>
                <c:pt idx="11">
                  <c:v>5.6547900000000002</c:v>
                </c:pt>
                <c:pt idx="12">
                  <c:v>8.5678719999999995</c:v>
                </c:pt>
              </c:numCache>
            </c:numRef>
          </c:xVal>
          <c:yVal>
            <c:numRef>
              <c:f>Peaks!$R$5:$R$104</c:f>
              <c:numCache>
                <c:formatCode>0.0</c:formatCode>
                <c:ptCount val="100"/>
                <c:pt idx="0">
                  <c:v>81.195230791981061</c:v>
                </c:pt>
                <c:pt idx="1">
                  <c:v>18.726505035817748</c:v>
                </c:pt>
                <c:pt idx="2">
                  <c:v>13.064693517652699</c:v>
                </c:pt>
                <c:pt idx="3">
                  <c:v>100</c:v>
                </c:pt>
                <c:pt idx="4">
                  <c:v>28.102920612327377</c:v>
                </c:pt>
                <c:pt idx="5">
                  <c:v>41.425623419104184</c:v>
                </c:pt>
                <c:pt idx="6">
                  <c:v>55.710025528176018</c:v>
                </c:pt>
                <c:pt idx="7">
                  <c:v>63.198243916033896</c:v>
                </c:pt>
                <c:pt idx="8">
                  <c:v>15.1299684800773</c:v>
                </c:pt>
                <c:pt idx="9">
                  <c:v>28.848715392319964</c:v>
                </c:pt>
                <c:pt idx="10">
                  <c:v>93.582015482895784</c:v>
                </c:pt>
                <c:pt idx="11">
                  <c:v>53.884191573737247</c:v>
                </c:pt>
                <c:pt idx="12">
                  <c:v>69.973830864261544</c:v>
                </c:pt>
              </c:numCache>
            </c:numRef>
          </c:yVal>
          <c:smooth val="1"/>
          <c:extLst>
            <c:ext xmlns:c15="http://schemas.microsoft.com/office/drawing/2012/chart" uri="{02D57815-91ED-43cb-92C2-25804820EDAC}">
              <c15:datalabelsRange>
                <c15:f>Peaks!$S$5:$S$104</c15:f>
                <c15:dlblRangeCache>
                  <c:ptCount val="100"/>
                  <c:pt idx="0">
                    <c:v>1</c:v>
                  </c:pt>
                  <c:pt idx="1">
                    <c:v>2</c:v>
                  </c:pt>
                  <c:pt idx="2">
                    <c:v>3</c:v>
                  </c:pt>
                  <c:pt idx="3">
                    <c:v>4</c:v>
                  </c:pt>
                  <c:pt idx="4">
                    <c:v>5</c:v>
                  </c:pt>
                  <c:pt idx="5">
                    <c:v>6</c:v>
                  </c:pt>
                  <c:pt idx="6">
                    <c:v>7</c:v>
                  </c:pt>
                  <c:pt idx="7">
                    <c:v>8</c:v>
                  </c:pt>
                  <c:pt idx="8">
                    <c:v>9</c:v>
                  </c:pt>
                  <c:pt idx="9">
                    <c:v>10</c:v>
                  </c:pt>
                  <c:pt idx="10">
                    <c:v>11</c:v>
                  </c:pt>
                  <c:pt idx="11">
                    <c:v>12</c:v>
                  </c:pt>
                  <c:pt idx="12">
                    <c:v>13</c:v>
                  </c:pt>
                </c15:dlblRangeCache>
              </c15:datalabelsRange>
            </c:ext>
            <c:ext xmlns:c16="http://schemas.microsoft.com/office/drawing/2014/chart" uri="{C3380CC4-5D6E-409C-BE32-E72D297353CC}">
              <c16:uniqueId val="{00000002-E192-4130-B7D2-7905CBA103B5}"/>
            </c:ext>
          </c:extLst>
        </c:ser>
        <c:dLbls>
          <c:showLegendKey val="0"/>
          <c:showVal val="0"/>
          <c:showCatName val="0"/>
          <c:showSerName val="0"/>
          <c:showPercent val="0"/>
          <c:showBubbleSize val="0"/>
        </c:dLbls>
        <c:axId val="1816219616"/>
        <c:axId val="1816224512"/>
      </c:scatterChart>
      <c:scatterChart>
        <c:scatterStyle val="smoothMarker"/>
        <c:varyColors val="0"/>
        <c:ser>
          <c:idx val="2"/>
          <c:order val="2"/>
          <c:tx>
            <c:strRef>
              <c:f>ChromatogramData!$E$1</c:f>
              <c:strCache>
                <c:ptCount val="1"/>
                <c:pt idx="0">
                  <c:v>MS Pos</c:v>
                </c:pt>
              </c:strCache>
            </c:strRef>
          </c:tx>
          <c:spPr>
            <a:ln w="12700" cap="rnd">
              <a:noFill/>
              <a:round/>
            </a:ln>
            <a:effectLst/>
            <a:extLst>
              <a:ext uri="{91240B29-F687-4F45-9708-019B960494DF}">
                <a14:hiddenLine xmlns:a14="http://schemas.microsoft.com/office/drawing/2010/main" w="12700" cap="rnd">
                  <a:solidFill>
                    <a:srgbClr val="ED7D31">
                      <a:lumMod val="75000"/>
                    </a:srgbClr>
                  </a:solidFill>
                  <a:round/>
                </a14:hiddenLine>
              </a:ext>
            </a:extLst>
          </c:spPr>
          <c:marker>
            <c:symbol val="none"/>
          </c:marker>
          <c:xVal>
            <c:numRef>
              <c:f>ChromatogramData!$D$2:$D$2000</c:f>
              <c:numCache>
                <c:formatCode>General</c:formatCode>
                <c:ptCount val="1999"/>
              </c:numCache>
            </c:numRef>
          </c:xVal>
          <c:yVal>
            <c:numRef>
              <c:f>ChromatogramData!$E$2:$E$2000</c:f>
              <c:numCache>
                <c:formatCode>General</c:formatCode>
                <c:ptCount val="1999"/>
              </c:numCache>
            </c:numRef>
          </c:yVal>
          <c:smooth val="1"/>
          <c:extLst>
            <c:ext xmlns:c16="http://schemas.microsoft.com/office/drawing/2014/chart" uri="{C3380CC4-5D6E-409C-BE32-E72D297353CC}">
              <c16:uniqueId val="{00000003-E192-4130-B7D2-7905CBA103B5}"/>
            </c:ext>
          </c:extLst>
        </c:ser>
        <c:ser>
          <c:idx val="3"/>
          <c:order val="3"/>
          <c:tx>
            <c:strRef>
              <c:f>ChromatogramData!$F$1</c:f>
              <c:strCache>
                <c:ptCount val="1"/>
                <c:pt idx="0">
                  <c:v>MS Neg</c:v>
                </c:pt>
              </c:strCache>
            </c:strRef>
          </c:tx>
          <c:spPr>
            <a:ln w="12700" cap="rnd">
              <a:noFill/>
              <a:round/>
            </a:ln>
            <a:effectLst/>
            <a:extLst>
              <a:ext uri="{91240B29-F687-4F45-9708-019B960494DF}">
                <a14:hiddenLine xmlns:a14="http://schemas.microsoft.com/office/drawing/2010/main" w="12700" cap="rnd">
                  <a:solidFill>
                    <a:srgbClr val="00B050"/>
                  </a:solidFill>
                  <a:round/>
                </a14:hiddenLine>
              </a:ext>
            </a:extLst>
          </c:spPr>
          <c:marker>
            <c:symbol val="none"/>
          </c:marker>
          <c:xVal>
            <c:numRef>
              <c:f>ChromatogramData!$D$2:$D$2000</c:f>
              <c:numCache>
                <c:formatCode>General</c:formatCode>
                <c:ptCount val="1999"/>
              </c:numCache>
            </c:numRef>
          </c:xVal>
          <c:yVal>
            <c:numRef>
              <c:f>ChromatogramData!$F$2:$F$2000</c:f>
              <c:numCache>
                <c:formatCode>General</c:formatCode>
                <c:ptCount val="1999"/>
              </c:numCache>
            </c:numRef>
          </c:yVal>
          <c:smooth val="1"/>
          <c:extLst>
            <c:ext xmlns:c16="http://schemas.microsoft.com/office/drawing/2014/chart" uri="{C3380CC4-5D6E-409C-BE32-E72D297353CC}">
              <c16:uniqueId val="{00000004-E192-4130-B7D2-7905CBA103B5}"/>
            </c:ext>
          </c:extLst>
        </c:ser>
        <c:dLbls>
          <c:showLegendKey val="0"/>
          <c:showVal val="0"/>
          <c:showCatName val="0"/>
          <c:showSerName val="0"/>
          <c:showPercent val="0"/>
          <c:showBubbleSize val="0"/>
        </c:dLbls>
        <c:axId val="1816225600"/>
        <c:axId val="1816217440"/>
      </c:scatterChart>
      <c:valAx>
        <c:axId val="1816219616"/>
        <c:scaling>
          <c:orientation val="minMax"/>
          <c:max val="10"/>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r>
                  <a:rPr lang="en-AU" sz="1000">
                    <a:solidFill>
                      <a:schemeClr val="tx1"/>
                    </a:solidFill>
                    <a:latin typeface="Arial" panose="020B0604020202020204" pitchFamily="34" charset="0"/>
                    <a:cs typeface="Arial" panose="020B0604020202020204" pitchFamily="34" charset="0"/>
                  </a:rPr>
                  <a:t>Retention</a:t>
                </a:r>
                <a:r>
                  <a:rPr lang="en-AU" sz="1000" baseline="0">
                    <a:solidFill>
                      <a:schemeClr val="tx1"/>
                    </a:solidFill>
                    <a:latin typeface="Arial" panose="020B0604020202020204" pitchFamily="34" charset="0"/>
                    <a:cs typeface="Arial" panose="020B0604020202020204" pitchFamily="34" charset="0"/>
                  </a:rPr>
                  <a:t> Time (min)</a:t>
                </a:r>
                <a:endParaRPr lang="en-AU" sz="1000">
                  <a:solidFill>
                    <a:schemeClr val="tx1"/>
                  </a:solidFill>
                  <a:latin typeface="Arial" panose="020B0604020202020204" pitchFamily="34" charset="0"/>
                  <a:cs typeface="Arial" panose="020B0604020202020204" pitchFamily="34" charset="0"/>
                </a:endParaRPr>
              </a:p>
            </c:rich>
          </c:tx>
          <c:layout>
            <c:manualLayout>
              <c:xMode val="edge"/>
              <c:yMode val="edge"/>
              <c:x val="0.42837352576358767"/>
              <c:y val="0.962087685442098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24512"/>
        <c:crosses val="autoZero"/>
        <c:crossBetween val="midCat"/>
        <c:majorUnit val="0.5"/>
      </c:valAx>
      <c:valAx>
        <c:axId val="1816224512"/>
        <c:scaling>
          <c:orientation val="minMax"/>
          <c:max val="10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816219616"/>
        <c:crosses val="autoZero"/>
        <c:crossBetween val="midCat"/>
        <c:majorUnit val="20"/>
        <c:minorUnit val="5"/>
      </c:valAx>
      <c:valAx>
        <c:axId val="1816217440"/>
        <c:scaling>
          <c:orientation val="minMax"/>
          <c:max val="105"/>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225600"/>
        <c:crosses val="max"/>
        <c:crossBetween val="midCat"/>
        <c:minorUnit val="5"/>
      </c:valAx>
      <c:valAx>
        <c:axId val="1816225600"/>
        <c:scaling>
          <c:orientation val="minMax"/>
        </c:scaling>
        <c:delete val="1"/>
        <c:axPos val="b"/>
        <c:numFmt formatCode="General" sourceLinked="1"/>
        <c:majorTickMark val="out"/>
        <c:minorTickMark val="none"/>
        <c:tickLblPos val="nextTo"/>
        <c:crossAx val="1816217440"/>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1"/>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2"/>
        <c:delete val="1"/>
      </c:legendEntry>
      <c:legendEntry>
        <c:idx val="3"/>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egendEntry>
        <c:idx val="4"/>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ayout>
        <c:manualLayout>
          <c:xMode val="edge"/>
          <c:yMode val="edge"/>
          <c:x val="0.93181006421194734"/>
          <c:y val="0.43600100238726441"/>
          <c:w val="6.3838325692317177E-2"/>
          <c:h val="0.5166071828961078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240725553496058E-2"/>
          <c:y val="2.038452480418745E-2"/>
          <c:w val="0.7786186853225624"/>
          <c:h val="0.8918530894554404"/>
        </c:manualLayout>
      </c:layout>
      <c:scatterChart>
        <c:scatterStyle val="smoothMarker"/>
        <c:varyColors val="0"/>
        <c:ser>
          <c:idx val="0"/>
          <c:order val="0"/>
          <c:tx>
            <c:v>1</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51.147224426269531</c:v>
                </c:pt>
                <c:pt idx="1">
                  <c:v>51.914592742919922</c:v>
                </c:pt>
                <c:pt idx="2">
                  <c:v>52.879619598388672</c:v>
                </c:pt>
                <c:pt idx="3">
                  <c:v>54.41485595703125</c:v>
                </c:pt>
                <c:pt idx="4">
                  <c:v>56.209144592285156</c:v>
                </c:pt>
                <c:pt idx="5">
                  <c:v>58.149112701416016</c:v>
                </c:pt>
                <c:pt idx="6">
                  <c:v>60.186489105224609</c:v>
                </c:pt>
                <c:pt idx="7">
                  <c:v>61.865200042724609</c:v>
                </c:pt>
                <c:pt idx="8">
                  <c:v>62.730113983154297</c:v>
                </c:pt>
                <c:pt idx="9">
                  <c:v>62.431877136230469</c:v>
                </c:pt>
                <c:pt idx="10">
                  <c:v>60.813739776611328</c:v>
                </c:pt>
                <c:pt idx="11">
                  <c:v>57.899517059326172</c:v>
                </c:pt>
                <c:pt idx="12">
                  <c:v>53.935047149658203</c:v>
                </c:pt>
                <c:pt idx="13">
                  <c:v>49.235240936279297</c:v>
                </c:pt>
                <c:pt idx="14">
                  <c:v>44.469818115234375</c:v>
                </c:pt>
                <c:pt idx="15">
                  <c:v>40.764991760253906</c:v>
                </c:pt>
                <c:pt idx="16">
                  <c:v>39.193565368652344</c:v>
                </c:pt>
                <c:pt idx="17">
                  <c:v>39.993412017822266</c:v>
                </c:pt>
                <c:pt idx="18">
                  <c:v>43.224372863769531</c:v>
                </c:pt>
                <c:pt idx="19">
                  <c:v>48.777080535888672</c:v>
                </c:pt>
                <c:pt idx="20">
                  <c:v>55.945850372314453</c:v>
                </c:pt>
                <c:pt idx="21">
                  <c:v>64.365486145019531</c:v>
                </c:pt>
                <c:pt idx="22">
                  <c:v>73.684730529785156</c:v>
                </c:pt>
                <c:pt idx="23">
                  <c:v>82.599327087402344</c:v>
                </c:pt>
                <c:pt idx="24">
                  <c:v>90.781494140625</c:v>
                </c:pt>
                <c:pt idx="25">
                  <c:v>96.868125915527344</c:v>
                </c:pt>
                <c:pt idx="26">
                  <c:v>99.999992370605469</c:v>
                </c:pt>
                <c:pt idx="27">
                  <c:v>99.085899353027344</c:v>
                </c:pt>
                <c:pt idx="28">
                  <c:v>94.199806213378906</c:v>
                </c:pt>
                <c:pt idx="29">
                  <c:v>87.17010498046875</c:v>
                </c:pt>
                <c:pt idx="30">
                  <c:v>79.926483154296875</c:v>
                </c:pt>
                <c:pt idx="31">
                  <c:v>74.391304016113281</c:v>
                </c:pt>
                <c:pt idx="32">
                  <c:v>70.594200134277344</c:v>
                </c:pt>
                <c:pt idx="33">
                  <c:v>68.145980834960938</c:v>
                </c:pt>
                <c:pt idx="34">
                  <c:v>66.237640380859375</c:v>
                </c:pt>
                <c:pt idx="35">
                  <c:v>63.94769287109375</c:v>
                </c:pt>
                <c:pt idx="36">
                  <c:v>60.771083831787109</c:v>
                </c:pt>
                <c:pt idx="37">
                  <c:v>56.467079162597656</c:v>
                </c:pt>
                <c:pt idx="38">
                  <c:v>51.338409423828125</c:v>
                </c:pt>
                <c:pt idx="39">
                  <c:v>45.655143737792969</c:v>
                </c:pt>
                <c:pt idx="40">
                  <c:v>40.180019378662109</c:v>
                </c:pt>
                <c:pt idx="41">
                  <c:v>35.523960113525391</c:v>
                </c:pt>
                <c:pt idx="42">
                  <c:v>32.053863525390625</c:v>
                </c:pt>
                <c:pt idx="43">
                  <c:v>29.879817962646484</c:v>
                </c:pt>
                <c:pt idx="44">
                  <c:v>28.772052764892578</c:v>
                </c:pt>
                <c:pt idx="45">
                  <c:v>28.340429306030273</c:v>
                </c:pt>
                <c:pt idx="46">
                  <c:v>28.286367416381836</c:v>
                </c:pt>
                <c:pt idx="47">
                  <c:v>28.311105728149414</c:v>
                </c:pt>
                <c:pt idx="48">
                  <c:v>28.205278396606445</c:v>
                </c:pt>
                <c:pt idx="49">
                  <c:v>27.852521896362305</c:v>
                </c:pt>
                <c:pt idx="50">
                  <c:v>27.199579238891602</c:v>
                </c:pt>
                <c:pt idx="51">
                  <c:v>26.159137725830078</c:v>
                </c:pt>
                <c:pt idx="52">
                  <c:v>24.763402938842773</c:v>
                </c:pt>
                <c:pt idx="53">
                  <c:v>23.089195251464844</c:v>
                </c:pt>
                <c:pt idx="54">
                  <c:v>21.129951477050781</c:v>
                </c:pt>
                <c:pt idx="55">
                  <c:v>19.110858917236328</c:v>
                </c:pt>
                <c:pt idx="56">
                  <c:v>17.161832809448242</c:v>
                </c:pt>
                <c:pt idx="57">
                  <c:v>15.319568634033203</c:v>
                </c:pt>
                <c:pt idx="58">
                  <c:v>13.745458602905273</c:v>
                </c:pt>
                <c:pt idx="59">
                  <c:v>12.563267707824707</c:v>
                </c:pt>
                <c:pt idx="60">
                  <c:v>11.787467956542969</c:v>
                </c:pt>
                <c:pt idx="61">
                  <c:v>11.434780120849609</c:v>
                </c:pt>
                <c:pt idx="62">
                  <c:v>11.443497657775879</c:v>
                </c:pt>
                <c:pt idx="63">
                  <c:v>11.794060707092285</c:v>
                </c:pt>
                <c:pt idx="64">
                  <c:v>12.428475379943848</c:v>
                </c:pt>
                <c:pt idx="65">
                  <c:v>13.270581245422363</c:v>
                </c:pt>
                <c:pt idx="66">
                  <c:v>14.233791351318359</c:v>
                </c:pt>
                <c:pt idx="67">
                  <c:v>15.349346160888672</c:v>
                </c:pt>
                <c:pt idx="68">
                  <c:v>16.624540328979492</c:v>
                </c:pt>
                <c:pt idx="69">
                  <c:v>17.981010437011719</c:v>
                </c:pt>
                <c:pt idx="70">
                  <c:v>19.281280517578125</c:v>
                </c:pt>
                <c:pt idx="71">
                  <c:v>20.654903411865234</c:v>
                </c:pt>
                <c:pt idx="72">
                  <c:v>22.120161056518555</c:v>
                </c:pt>
                <c:pt idx="73">
                  <c:v>23.596042633056641</c:v>
                </c:pt>
                <c:pt idx="74">
                  <c:v>25.010244369506836</c:v>
                </c:pt>
                <c:pt idx="75">
                  <c:v>26.295038223266602</c:v>
                </c:pt>
                <c:pt idx="76">
                  <c:v>27.506160736083984</c:v>
                </c:pt>
                <c:pt idx="77">
                  <c:v>28.609058380126953</c:v>
                </c:pt>
                <c:pt idx="78">
                  <c:v>29.589078903198242</c:v>
                </c:pt>
                <c:pt idx="79">
                  <c:v>30.425601959228516</c:v>
                </c:pt>
                <c:pt idx="80">
                  <c:v>31.162521362304688</c:v>
                </c:pt>
                <c:pt idx="81">
                  <c:v>31.672840118408203</c:v>
                </c:pt>
                <c:pt idx="82">
                  <c:v>32.014762878417969</c:v>
                </c:pt>
                <c:pt idx="83">
                  <c:v>32.218204498291016</c:v>
                </c:pt>
                <c:pt idx="84">
                  <c:v>32.0792236328125</c:v>
                </c:pt>
                <c:pt idx="85">
                  <c:v>31.688751220703125</c:v>
                </c:pt>
                <c:pt idx="86">
                  <c:v>31.130336761474609</c:v>
                </c:pt>
                <c:pt idx="87">
                  <c:v>30.291194915771484</c:v>
                </c:pt>
                <c:pt idx="88">
                  <c:v>29.361166000366211</c:v>
                </c:pt>
                <c:pt idx="89">
                  <c:v>28.295017242431641</c:v>
                </c:pt>
                <c:pt idx="90">
                  <c:v>27.007562637329102</c:v>
                </c:pt>
                <c:pt idx="91">
                  <c:v>25.548101425170898</c:v>
                </c:pt>
                <c:pt idx="92">
                  <c:v>24.027853012084961</c:v>
                </c:pt>
                <c:pt idx="93">
                  <c:v>22.444005966186523</c:v>
                </c:pt>
                <c:pt idx="94">
                  <c:v>20.788705825805664</c:v>
                </c:pt>
                <c:pt idx="95">
                  <c:v>19.234477996826172</c:v>
                </c:pt>
                <c:pt idx="96">
                  <c:v>17.613918304443359</c:v>
                </c:pt>
                <c:pt idx="97">
                  <c:v>15.988002777099609</c:v>
                </c:pt>
                <c:pt idx="98">
                  <c:v>14.427251815795898</c:v>
                </c:pt>
                <c:pt idx="99">
                  <c:v>13.048355102539063</c:v>
                </c:pt>
                <c:pt idx="100">
                  <c:v>11.570459365844727</c:v>
                </c:pt>
                <c:pt idx="101">
                  <c:v>10.246091842651367</c:v>
                </c:pt>
                <c:pt idx="102">
                  <c:v>9.1353769302368164</c:v>
                </c:pt>
                <c:pt idx="103">
                  <c:v>7.936272144317627</c:v>
                </c:pt>
                <c:pt idx="104">
                  <c:v>6.8836817741394043</c:v>
                </c:pt>
                <c:pt idx="105">
                  <c:v>6.0307469367980957</c:v>
                </c:pt>
                <c:pt idx="106">
                  <c:v>5.2542800903320313</c:v>
                </c:pt>
                <c:pt idx="107">
                  <c:v>4.6104397773742676</c:v>
                </c:pt>
                <c:pt idx="108">
                  <c:v>4.1574535369873047</c:v>
                </c:pt>
                <c:pt idx="109">
                  <c:v>3.7185003757476807</c:v>
                </c:pt>
                <c:pt idx="110">
                  <c:v>3.3327696323394775</c:v>
                </c:pt>
                <c:pt idx="111">
                  <c:v>3.0685203075408936</c:v>
                </c:pt>
                <c:pt idx="112">
                  <c:v>2.8767790794372559</c:v>
                </c:pt>
                <c:pt idx="113">
                  <c:v>2.7157225608825684</c:v>
                </c:pt>
                <c:pt idx="114">
                  <c:v>2.576392650604248</c:v>
                </c:pt>
                <c:pt idx="115">
                  <c:v>2.4915571212768555</c:v>
                </c:pt>
                <c:pt idx="116">
                  <c:v>2.3960025310516357</c:v>
                </c:pt>
                <c:pt idx="117">
                  <c:v>2.2901902198791504</c:v>
                </c:pt>
                <c:pt idx="118">
                  <c:v>2.2094111442565918</c:v>
                </c:pt>
                <c:pt idx="119">
                  <c:v>2.1707437038421631</c:v>
                </c:pt>
                <c:pt idx="120">
                  <c:v>2.2183215618133545</c:v>
                </c:pt>
                <c:pt idx="121">
                  <c:v>2.2237050533294678</c:v>
                </c:pt>
                <c:pt idx="122">
                  <c:v>2.200115442276001</c:v>
                </c:pt>
                <c:pt idx="123">
                  <c:v>2.248896598815918</c:v>
                </c:pt>
                <c:pt idx="124">
                  <c:v>2.2171390056610107</c:v>
                </c:pt>
                <c:pt idx="125">
                  <c:v>2.157322883605957</c:v>
                </c:pt>
                <c:pt idx="126">
                  <c:v>2.1271262168884277</c:v>
                </c:pt>
                <c:pt idx="127">
                  <c:v>2.1460542678833008</c:v>
                </c:pt>
                <c:pt idx="128">
                  <c:v>2.1692862510681152</c:v>
                </c:pt>
                <c:pt idx="129">
                  <c:v>2.1323652267456055</c:v>
                </c:pt>
                <c:pt idx="130">
                  <c:v>2.116950511932373</c:v>
                </c:pt>
                <c:pt idx="131">
                  <c:v>2.1717751026153564</c:v>
                </c:pt>
                <c:pt idx="132">
                  <c:v>2.1593513488769531</c:v>
                </c:pt>
                <c:pt idx="133">
                  <c:v>2.133760929107666</c:v>
                </c:pt>
                <c:pt idx="134">
                  <c:v>2.193742036819458</c:v>
                </c:pt>
                <c:pt idx="135">
                  <c:v>2.1661233901977539</c:v>
                </c:pt>
                <c:pt idx="136">
                  <c:v>2.7484564781188965</c:v>
                </c:pt>
                <c:pt idx="137">
                  <c:v>3.1941201686859131</c:v>
                </c:pt>
                <c:pt idx="138">
                  <c:v>2.6279098987579346</c:v>
                </c:pt>
                <c:pt idx="139">
                  <c:v>2.2059526443481445</c:v>
                </c:pt>
                <c:pt idx="140">
                  <c:v>2.1791524887084961</c:v>
                </c:pt>
                <c:pt idx="141">
                  <c:v>2.1911087036132813</c:v>
                </c:pt>
                <c:pt idx="142">
                  <c:v>2.1845633983612061</c:v>
                </c:pt>
                <c:pt idx="143">
                  <c:v>2.1138086318969727</c:v>
                </c:pt>
                <c:pt idx="144">
                  <c:v>2.1767115592956543</c:v>
                </c:pt>
                <c:pt idx="145">
                  <c:v>2.2545549869537354</c:v>
                </c:pt>
                <c:pt idx="146">
                  <c:v>2.2693850994110107</c:v>
                </c:pt>
                <c:pt idx="147">
                  <c:v>2.2763018608093262</c:v>
                </c:pt>
                <c:pt idx="148">
                  <c:v>2.2455136775970459</c:v>
                </c:pt>
                <c:pt idx="149">
                  <c:v>2.2121613025665283</c:v>
                </c:pt>
                <c:pt idx="150">
                  <c:v>2.1270368099212646</c:v>
                </c:pt>
                <c:pt idx="151">
                  <c:v>2.0589909553527832</c:v>
                </c:pt>
                <c:pt idx="152">
                  <c:v>2.1514031887054443</c:v>
                </c:pt>
                <c:pt idx="153">
                  <c:v>2.1980528831481934</c:v>
                </c:pt>
                <c:pt idx="154">
                  <c:v>2.2096104621887207</c:v>
                </c:pt>
                <c:pt idx="155">
                  <c:v>2.1907787322998047</c:v>
                </c:pt>
                <c:pt idx="156">
                  <c:v>2.1061768531799316</c:v>
                </c:pt>
                <c:pt idx="157">
                  <c:v>2.1614139080047607</c:v>
                </c:pt>
                <c:pt idx="158">
                  <c:v>2.1803967952728271</c:v>
                </c:pt>
                <c:pt idx="159">
                  <c:v>2.1242110729217529</c:v>
                </c:pt>
                <c:pt idx="160">
                  <c:v>2.2092735767364502</c:v>
                </c:pt>
                <c:pt idx="161">
                  <c:v>2.2412922382354736</c:v>
                </c:pt>
                <c:pt idx="162">
                  <c:v>2.1737277507781982</c:v>
                </c:pt>
                <c:pt idx="163">
                  <c:v>2.1200857162475586</c:v>
                </c:pt>
                <c:pt idx="164">
                  <c:v>2.2416911125183105</c:v>
                </c:pt>
                <c:pt idx="165">
                  <c:v>2.2932083606719971</c:v>
                </c:pt>
                <c:pt idx="166">
                  <c:v>2.2688627243041992</c:v>
                </c:pt>
                <c:pt idx="167">
                  <c:v>2.330878734588623</c:v>
                </c:pt>
                <c:pt idx="168">
                  <c:v>2.3306174278259277</c:v>
                </c:pt>
                <c:pt idx="169">
                  <c:v>2.2999670505523682</c:v>
                </c:pt>
                <c:pt idx="170">
                  <c:v>2.2839884757995605</c:v>
                </c:pt>
                <c:pt idx="171">
                  <c:v>2.1725313663482666</c:v>
                </c:pt>
                <c:pt idx="172">
                  <c:v>2.1210551261901855</c:v>
                </c:pt>
                <c:pt idx="173">
                  <c:v>2.1292095184326172</c:v>
                </c:pt>
                <c:pt idx="174">
                  <c:v>2.1648995876312256</c:v>
                </c:pt>
                <c:pt idx="175">
                  <c:v>2.315244197845459</c:v>
                </c:pt>
                <c:pt idx="176">
                  <c:v>2.3161516189575195</c:v>
                </c:pt>
                <c:pt idx="177">
                  <c:v>2.1852095127105713</c:v>
                </c:pt>
                <c:pt idx="178">
                  <c:v>2.2204599380493164</c:v>
                </c:pt>
                <c:pt idx="179">
                  <c:v>2.1994004249572754</c:v>
                </c:pt>
                <c:pt idx="180">
                  <c:v>2.1496844291687012</c:v>
                </c:pt>
                <c:pt idx="181">
                  <c:v>2.2526230812072754</c:v>
                </c:pt>
                <c:pt idx="182">
                  <c:v>2.1720020771026611</c:v>
                </c:pt>
                <c:pt idx="183">
                  <c:v>2.2023911476135254</c:v>
                </c:pt>
                <c:pt idx="184">
                  <c:v>2.201958179473877</c:v>
                </c:pt>
                <c:pt idx="185">
                  <c:v>2.0606341361999512</c:v>
                </c:pt>
                <c:pt idx="186">
                  <c:v>2.0905697345733643</c:v>
                </c:pt>
                <c:pt idx="187">
                  <c:v>2.179640531539917</c:v>
                </c:pt>
                <c:pt idx="188">
                  <c:v>2.1810843944549561</c:v>
                </c:pt>
                <c:pt idx="189">
                  <c:v>2.1886680126190186</c:v>
                </c:pt>
                <c:pt idx="190">
                  <c:v>2.2091085910797119</c:v>
                </c:pt>
                <c:pt idx="191">
                  <c:v>2.2488758563995361</c:v>
                </c:pt>
                <c:pt idx="192">
                  <c:v>2.3099088668823242</c:v>
                </c:pt>
                <c:pt idx="193">
                  <c:v>2.2273008823394775</c:v>
                </c:pt>
                <c:pt idx="194">
                  <c:v>2.2245094776153564</c:v>
                </c:pt>
                <c:pt idx="195">
                  <c:v>2.2497766017913818</c:v>
                </c:pt>
                <c:pt idx="196">
                  <c:v>2.2641737461090088</c:v>
                </c:pt>
                <c:pt idx="197">
                  <c:v>2.2300853729248047</c:v>
                </c:pt>
                <c:pt idx="198">
                  <c:v>2.151348352432251</c:v>
                </c:pt>
                <c:pt idx="199">
                  <c:v>2.1664328575134277</c:v>
                </c:pt>
                <c:pt idx="200">
                  <c:v>2.1757490634918213</c:v>
                </c:pt>
                <c:pt idx="201">
                  <c:v>2.2105042934417725</c:v>
                </c:pt>
                <c:pt idx="202">
                  <c:v>2.2165133953094482</c:v>
                </c:pt>
                <c:pt idx="203">
                  <c:v>2.2392158508300781</c:v>
                </c:pt>
                <c:pt idx="204">
                  <c:v>2.1616613864898682</c:v>
                </c:pt>
                <c:pt idx="205">
                  <c:v>2.1915006637573242</c:v>
                </c:pt>
                <c:pt idx="206">
                  <c:v>2.1910192966461182</c:v>
                </c:pt>
                <c:pt idx="207">
                  <c:v>2.2384665012359619</c:v>
                </c:pt>
                <c:pt idx="208">
                  <c:v>2.1915900707244873</c:v>
                </c:pt>
                <c:pt idx="209">
                  <c:v>2.141681432723999</c:v>
                </c:pt>
                <c:pt idx="210">
                  <c:v>2.1693274974822998</c:v>
                </c:pt>
                <c:pt idx="211">
                  <c:v>2.1446516513824463</c:v>
                </c:pt>
                <c:pt idx="212">
                  <c:v>2.2701346874237061</c:v>
                </c:pt>
                <c:pt idx="213">
                  <c:v>2.2218418121337891</c:v>
                </c:pt>
                <c:pt idx="214">
                  <c:v>2.2377927303314209</c:v>
                </c:pt>
                <c:pt idx="215">
                  <c:v>2.2278509140014648</c:v>
                </c:pt>
                <c:pt idx="216">
                  <c:v>2.1235165596008301</c:v>
                </c:pt>
                <c:pt idx="217">
                  <c:v>2.073594331741333</c:v>
                </c:pt>
                <c:pt idx="218">
                  <c:v>2</c:v>
                </c:pt>
                <c:pt idx="219">
                  <c:v>2.2361631393432617</c:v>
                </c:pt>
                <c:pt idx="220">
                  <c:v>2.2926721572875977</c:v>
                </c:pt>
                <c:pt idx="221">
                  <c:v>2.2210304737091064</c:v>
                </c:pt>
                <c:pt idx="222">
                  <c:v>2.1621081829071045</c:v>
                </c:pt>
                <c:pt idx="223">
                  <c:v>2.0690429210662842</c:v>
                </c:pt>
                <c:pt idx="224">
                  <c:v>2.1351842880249023</c:v>
                </c:pt>
                <c:pt idx="225">
                  <c:v>2.085853099822998</c:v>
                </c:pt>
              </c:numCache>
            </c:numRef>
          </c:yVal>
          <c:smooth val="1"/>
          <c:extLst>
            <c:ext xmlns:c16="http://schemas.microsoft.com/office/drawing/2014/chart" uri="{C3380CC4-5D6E-409C-BE32-E72D297353CC}">
              <c16:uniqueId val="{00000000-69D2-4E8F-89E0-EC448D877EBD}"/>
            </c:ext>
          </c:extLst>
        </c:ser>
        <c:dLbls>
          <c:showLegendKey val="0"/>
          <c:showVal val="0"/>
          <c:showCatName val="0"/>
          <c:showSerName val="0"/>
          <c:showPercent val="0"/>
          <c:showBubbleSize val="0"/>
        </c:dLbls>
        <c:axId val="1816227232"/>
        <c:axId val="1816218528"/>
      </c:scatterChart>
      <c:valAx>
        <c:axId val="1816227232"/>
        <c:scaling>
          <c:orientation val="minMax"/>
          <c:max val="600"/>
          <c:min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AU" sz="1400">
                    <a:solidFill>
                      <a:schemeClr val="tx1"/>
                    </a:solidFill>
                  </a:rPr>
                  <a:t>Wavelength (nm)</a:t>
                </a:r>
              </a:p>
            </c:rich>
          </c:tx>
          <c:layout>
            <c:manualLayout>
              <c:xMode val="edge"/>
              <c:yMode val="edge"/>
              <c:x val="0.40139134506920809"/>
              <c:y val="0.9550660430159899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8528"/>
        <c:crosses val="autoZero"/>
        <c:crossBetween val="midCat"/>
        <c:majorUnit val="50"/>
      </c:valAx>
      <c:valAx>
        <c:axId val="1816218528"/>
        <c:scaling>
          <c:orientation val="minMax"/>
          <c:max val="10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27232"/>
        <c:crosses val="autoZero"/>
        <c:crossBetween val="midCat"/>
        <c:majorUnit val="25"/>
      </c:valAx>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ayout>
        <c:manualLayout>
          <c:xMode val="edge"/>
          <c:yMode val="edge"/>
          <c:x val="0.82240397165544188"/>
          <c:y val="1.5864471655588207E-2"/>
          <c:w val="0.1725423562561009"/>
          <c:h val="0.9682710566888236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CheckBox" checked="Checked" lockText="1" noThreeD="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CheckBox" checked="Checked" lockText="1" noThreeD="1"/>
</file>

<file path=xl/ctrlProps/ctrlProp125.xml><?xml version="1.0" encoding="utf-8"?>
<formControlPr xmlns="http://schemas.microsoft.com/office/spreadsheetml/2009/9/main" objectType="CheckBox" checked="Checked"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CheckBox" checked="Checked" lockText="1" noThreeD="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CheckBox" checked="Checked" lockText="1" noThreeD="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CheckBox" checked="Checked"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Radio" checked="Checked" firstButton="1" lockText="1" noThreeD="1"/>
</file>

<file path=xl/ctrlProps/ctrlProp159.xml><?xml version="1.0" encoding="utf-8"?>
<formControlPr xmlns="http://schemas.microsoft.com/office/spreadsheetml/2009/9/main" objectType="Radio" lockText="1" noThreeD="1"/>
</file>

<file path=xl/ctrlProps/ctrlProp160.xml><?xml version="1.0" encoding="utf-8"?>
<formControlPr xmlns="http://schemas.microsoft.com/office/spreadsheetml/2009/9/main" objectType="Radio" lockText="1" noThreeD="1"/>
</file>

<file path=xl/ctrlProps/ctrlProp161.xml><?xml version="1.0" encoding="utf-8"?>
<formControlPr xmlns="http://schemas.microsoft.com/office/spreadsheetml/2009/9/main" objectType="Radio" lockText="1" noThreeD="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checked="Checked" lockText="1" noThreeD="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CheckBox" checked="Checked" lockText="1" noThreeD="1"/>
</file>

<file path=xl/ctrlProps/ctrlProp176.xml><?xml version="1.0" encoding="utf-8"?>
<formControlPr xmlns="http://schemas.microsoft.com/office/spreadsheetml/2009/9/main" objectType="CheckBox" checked="Checked"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CheckBox" checked="Checked" lockText="1" noThreeD="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checked="Checked"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checked="Checked" lockText="1" noThreeD="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checked="Checked" lockText="1" noThreeD="1"/>
</file>

<file path=xl/ctrlProps/ctrlProp225.xml><?xml version="1.0" encoding="utf-8"?>
<formControlPr xmlns="http://schemas.microsoft.com/office/spreadsheetml/2009/9/main" objectType="Radio" checked="Checked" firstButton="1" lockText="1" noThreeD="1"/>
</file>

<file path=xl/ctrlProps/ctrlProp226.xml><?xml version="1.0" encoding="utf-8"?>
<formControlPr xmlns="http://schemas.microsoft.com/office/spreadsheetml/2009/9/main" objectType="Radio" lockText="1" noThreeD="1"/>
</file>

<file path=xl/ctrlProps/ctrlProp227.xml><?xml version="1.0" encoding="utf-8"?>
<formControlPr xmlns="http://schemas.microsoft.com/office/spreadsheetml/2009/9/main" objectType="Radio" lockText="1" noThreeD="1"/>
</file>

<file path=xl/ctrlProps/ctrlProp228.xml><?xml version="1.0" encoding="utf-8"?>
<formControlPr xmlns="http://schemas.microsoft.com/office/spreadsheetml/2009/9/main" objectType="Radio" lockText="1" noThreeD="1"/>
</file>

<file path=xl/ctrlProps/ctrlProp229.xml><?xml version="1.0" encoding="utf-8"?>
<formControlPr xmlns="http://schemas.microsoft.com/office/spreadsheetml/2009/9/main" objectType="Radio"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Radio" checked="Checked" firstButton="1" lockText="1" noThreeD="1"/>
</file>

<file path=xl/ctrlProps/ctrlProp237.xml><?xml version="1.0" encoding="utf-8"?>
<formControlPr xmlns="http://schemas.microsoft.com/office/spreadsheetml/2009/9/main" objectType="Radio" lockText="1" noThreeD="1"/>
</file>

<file path=xl/ctrlProps/ctrlProp238.xml><?xml version="1.0" encoding="utf-8"?>
<formControlPr xmlns="http://schemas.microsoft.com/office/spreadsheetml/2009/9/main" objectType="CheckBox" checked="Checked"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13</xdr:col>
      <xdr:colOff>0</xdr:colOff>
      <xdr:row>4</xdr:row>
      <xdr:rowOff>0</xdr:rowOff>
    </xdr:from>
    <xdr:to>
      <xdr:col>14</xdr:col>
      <xdr:colOff>0</xdr:colOff>
      <xdr:row>4</xdr:row>
      <xdr:rowOff>1543050</xdr:rowOff>
    </xdr:to>
    <xdr:graphicFrame macro="">
      <xdr:nvGraphicFramePr>
        <xdr:cNvPr id="1726" name="Chart 1">
          <a:extLst>
            <a:ext uri="{FF2B5EF4-FFF2-40B4-BE49-F238E27FC236}">
              <a16:creationId xmlns:a16="http://schemas.microsoft.com/office/drawing/2014/main" id="{00000000-0008-0000-0000-0000B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xdr:row>
      <xdr:rowOff>0</xdr:rowOff>
    </xdr:from>
    <xdr:to>
      <xdr:col>14</xdr:col>
      <xdr:colOff>0</xdr:colOff>
      <xdr:row>5</xdr:row>
      <xdr:rowOff>1543050</xdr:rowOff>
    </xdr:to>
    <xdr:graphicFrame macro="">
      <xdr:nvGraphicFramePr>
        <xdr:cNvPr id="1727" name="Chart 2">
          <a:extLst>
            <a:ext uri="{FF2B5EF4-FFF2-40B4-BE49-F238E27FC236}">
              <a16:creationId xmlns:a16="http://schemas.microsoft.com/office/drawing/2014/main" id="{00000000-0008-0000-0000-0000B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6</xdr:row>
      <xdr:rowOff>0</xdr:rowOff>
    </xdr:from>
    <xdr:to>
      <xdr:col>14</xdr:col>
      <xdr:colOff>0</xdr:colOff>
      <xdr:row>6</xdr:row>
      <xdr:rowOff>1543050</xdr:rowOff>
    </xdr:to>
    <xdr:graphicFrame macro="">
      <xdr:nvGraphicFramePr>
        <xdr:cNvPr id="1728" name="Chart 3">
          <a:extLst>
            <a:ext uri="{FF2B5EF4-FFF2-40B4-BE49-F238E27FC236}">
              <a16:creationId xmlns:a16="http://schemas.microsoft.com/office/drawing/2014/main" id="{00000000-0008-0000-0000-0000C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7</xdr:row>
      <xdr:rowOff>0</xdr:rowOff>
    </xdr:from>
    <xdr:to>
      <xdr:col>14</xdr:col>
      <xdr:colOff>0</xdr:colOff>
      <xdr:row>7</xdr:row>
      <xdr:rowOff>1543050</xdr:rowOff>
    </xdr:to>
    <xdr:graphicFrame macro="">
      <xdr:nvGraphicFramePr>
        <xdr:cNvPr id="1729" name="Chart 4">
          <a:extLst>
            <a:ext uri="{FF2B5EF4-FFF2-40B4-BE49-F238E27FC236}">
              <a16:creationId xmlns:a16="http://schemas.microsoft.com/office/drawing/2014/main" id="{00000000-0008-0000-0000-0000C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8</xdr:row>
      <xdr:rowOff>0</xdr:rowOff>
    </xdr:from>
    <xdr:to>
      <xdr:col>14</xdr:col>
      <xdr:colOff>0</xdr:colOff>
      <xdr:row>8</xdr:row>
      <xdr:rowOff>1543050</xdr:rowOff>
    </xdr:to>
    <xdr:graphicFrame macro="">
      <xdr:nvGraphicFramePr>
        <xdr:cNvPr id="1730" name="Chart 5">
          <a:extLst>
            <a:ext uri="{FF2B5EF4-FFF2-40B4-BE49-F238E27FC236}">
              <a16:creationId xmlns:a16="http://schemas.microsoft.com/office/drawing/2014/main" id="{00000000-0008-0000-0000-0000C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9</xdr:row>
      <xdr:rowOff>0</xdr:rowOff>
    </xdr:from>
    <xdr:to>
      <xdr:col>14</xdr:col>
      <xdr:colOff>0</xdr:colOff>
      <xdr:row>9</xdr:row>
      <xdr:rowOff>1543050</xdr:rowOff>
    </xdr:to>
    <xdr:graphicFrame macro="">
      <xdr:nvGraphicFramePr>
        <xdr:cNvPr id="1731" name="Chart 6">
          <a:extLst>
            <a:ext uri="{FF2B5EF4-FFF2-40B4-BE49-F238E27FC236}">
              <a16:creationId xmlns:a16="http://schemas.microsoft.com/office/drawing/2014/main" id="{00000000-0008-0000-0000-0000C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10</xdr:row>
      <xdr:rowOff>0</xdr:rowOff>
    </xdr:from>
    <xdr:to>
      <xdr:col>14</xdr:col>
      <xdr:colOff>0</xdr:colOff>
      <xdr:row>10</xdr:row>
      <xdr:rowOff>1543050</xdr:rowOff>
    </xdr:to>
    <xdr:graphicFrame macro="">
      <xdr:nvGraphicFramePr>
        <xdr:cNvPr id="1732" name="Chart 7">
          <a:extLst>
            <a:ext uri="{FF2B5EF4-FFF2-40B4-BE49-F238E27FC236}">
              <a16:creationId xmlns:a16="http://schemas.microsoft.com/office/drawing/2014/main" id="{00000000-0008-0000-0000-0000C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11</xdr:row>
      <xdr:rowOff>0</xdr:rowOff>
    </xdr:from>
    <xdr:to>
      <xdr:col>14</xdr:col>
      <xdr:colOff>0</xdr:colOff>
      <xdr:row>11</xdr:row>
      <xdr:rowOff>1543050</xdr:rowOff>
    </xdr:to>
    <xdr:graphicFrame macro="">
      <xdr:nvGraphicFramePr>
        <xdr:cNvPr id="1733" name="Chart 8">
          <a:extLst>
            <a:ext uri="{FF2B5EF4-FFF2-40B4-BE49-F238E27FC236}">
              <a16:creationId xmlns:a16="http://schemas.microsoft.com/office/drawing/2014/main" id="{00000000-0008-0000-0000-0000C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12</xdr:row>
      <xdr:rowOff>0</xdr:rowOff>
    </xdr:from>
    <xdr:to>
      <xdr:col>14</xdr:col>
      <xdr:colOff>0</xdr:colOff>
      <xdr:row>12</xdr:row>
      <xdr:rowOff>1543050</xdr:rowOff>
    </xdr:to>
    <xdr:graphicFrame macro="">
      <xdr:nvGraphicFramePr>
        <xdr:cNvPr id="1734" name="Chart 9">
          <a:extLst>
            <a:ext uri="{FF2B5EF4-FFF2-40B4-BE49-F238E27FC236}">
              <a16:creationId xmlns:a16="http://schemas.microsoft.com/office/drawing/2014/main" id="{00000000-0008-0000-0000-0000C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13</xdr:row>
      <xdr:rowOff>0</xdr:rowOff>
    </xdr:from>
    <xdr:to>
      <xdr:col>14</xdr:col>
      <xdr:colOff>0</xdr:colOff>
      <xdr:row>13</xdr:row>
      <xdr:rowOff>1543050</xdr:rowOff>
    </xdr:to>
    <xdr:graphicFrame macro="">
      <xdr:nvGraphicFramePr>
        <xdr:cNvPr id="1735" name="Chart 10">
          <a:extLst>
            <a:ext uri="{FF2B5EF4-FFF2-40B4-BE49-F238E27FC236}">
              <a16:creationId xmlns:a16="http://schemas.microsoft.com/office/drawing/2014/main" id="{00000000-0008-0000-0000-0000C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14</xdr:row>
      <xdr:rowOff>0</xdr:rowOff>
    </xdr:from>
    <xdr:to>
      <xdr:col>14</xdr:col>
      <xdr:colOff>0</xdr:colOff>
      <xdr:row>14</xdr:row>
      <xdr:rowOff>1543050</xdr:rowOff>
    </xdr:to>
    <xdr:graphicFrame macro="">
      <xdr:nvGraphicFramePr>
        <xdr:cNvPr id="1736" name="Chart 11">
          <a:extLst>
            <a:ext uri="{FF2B5EF4-FFF2-40B4-BE49-F238E27FC236}">
              <a16:creationId xmlns:a16="http://schemas.microsoft.com/office/drawing/2014/main" id="{00000000-0008-0000-0000-0000C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15</xdr:row>
      <xdr:rowOff>0</xdr:rowOff>
    </xdr:from>
    <xdr:to>
      <xdr:col>14</xdr:col>
      <xdr:colOff>0</xdr:colOff>
      <xdr:row>15</xdr:row>
      <xdr:rowOff>1543050</xdr:rowOff>
    </xdr:to>
    <xdr:graphicFrame macro="">
      <xdr:nvGraphicFramePr>
        <xdr:cNvPr id="1737" name="Chart 12">
          <a:extLst>
            <a:ext uri="{FF2B5EF4-FFF2-40B4-BE49-F238E27FC236}">
              <a16:creationId xmlns:a16="http://schemas.microsoft.com/office/drawing/2014/main" id="{00000000-0008-0000-0000-0000C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16</xdr:row>
      <xdr:rowOff>0</xdr:rowOff>
    </xdr:from>
    <xdr:to>
      <xdr:col>14</xdr:col>
      <xdr:colOff>0</xdr:colOff>
      <xdr:row>16</xdr:row>
      <xdr:rowOff>1543050</xdr:rowOff>
    </xdr:to>
    <xdr:graphicFrame macro="">
      <xdr:nvGraphicFramePr>
        <xdr:cNvPr id="1738" name="Chart 13">
          <a:extLst>
            <a:ext uri="{FF2B5EF4-FFF2-40B4-BE49-F238E27FC236}">
              <a16:creationId xmlns:a16="http://schemas.microsoft.com/office/drawing/2014/main" id="{00000000-0008-0000-0000-0000C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xdr:from>
          <xdr:col>9</xdr:col>
          <xdr:colOff>9525</xdr:colOff>
          <xdr:row>1</xdr:row>
          <xdr:rowOff>0</xdr:rowOff>
        </xdr:from>
        <xdr:to>
          <xdr:col>10</xdr:col>
          <xdr:colOff>0</xdr:colOff>
          <xdr:row>2</xdr:row>
          <xdr:rowOff>9525</xdr:rowOff>
        </xdr:to>
        <xdr:sp macro="" textlink="">
          <xdr:nvSpPr>
            <xdr:cNvPr id="1026" name="Button 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Load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666750</xdr:rowOff>
        </xdr:from>
        <xdr:to>
          <xdr:col>12</xdr:col>
          <xdr:colOff>247650</xdr:colOff>
          <xdr:row>4</xdr:row>
          <xdr:rowOff>885825</xdr:rowOff>
        </xdr:to>
        <xdr:sp macro="" textlink="">
          <xdr:nvSpPr>
            <xdr:cNvPr id="1033" name="CheckBox1"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5</xdr:row>
          <xdr:rowOff>666750</xdr:rowOff>
        </xdr:from>
        <xdr:to>
          <xdr:col>12</xdr:col>
          <xdr:colOff>247650</xdr:colOff>
          <xdr:row>5</xdr:row>
          <xdr:rowOff>885825</xdr:rowOff>
        </xdr:to>
        <xdr:sp macro="" textlink="">
          <xdr:nvSpPr>
            <xdr:cNvPr id="1034" name="CheckBox2"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6</xdr:row>
          <xdr:rowOff>666750</xdr:rowOff>
        </xdr:from>
        <xdr:to>
          <xdr:col>12</xdr:col>
          <xdr:colOff>247650</xdr:colOff>
          <xdr:row>6</xdr:row>
          <xdr:rowOff>885825</xdr:rowOff>
        </xdr:to>
        <xdr:sp macro="" textlink="">
          <xdr:nvSpPr>
            <xdr:cNvPr id="1035" name="CheckBox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7</xdr:row>
          <xdr:rowOff>666750</xdr:rowOff>
        </xdr:from>
        <xdr:to>
          <xdr:col>12</xdr:col>
          <xdr:colOff>247650</xdr:colOff>
          <xdr:row>7</xdr:row>
          <xdr:rowOff>885825</xdr:rowOff>
        </xdr:to>
        <xdr:sp macro="" textlink="">
          <xdr:nvSpPr>
            <xdr:cNvPr id="1036" name="CheckBox4"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8</xdr:row>
          <xdr:rowOff>666750</xdr:rowOff>
        </xdr:from>
        <xdr:to>
          <xdr:col>12</xdr:col>
          <xdr:colOff>247650</xdr:colOff>
          <xdr:row>8</xdr:row>
          <xdr:rowOff>885825</xdr:rowOff>
        </xdr:to>
        <xdr:sp macro="" textlink="">
          <xdr:nvSpPr>
            <xdr:cNvPr id="1037" name="CheckBox5"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9</xdr:row>
          <xdr:rowOff>666750</xdr:rowOff>
        </xdr:from>
        <xdr:to>
          <xdr:col>12</xdr:col>
          <xdr:colOff>247650</xdr:colOff>
          <xdr:row>9</xdr:row>
          <xdr:rowOff>885825</xdr:rowOff>
        </xdr:to>
        <xdr:sp macro="" textlink="">
          <xdr:nvSpPr>
            <xdr:cNvPr id="1038" name="CheckBox6"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10</xdr:row>
          <xdr:rowOff>666750</xdr:rowOff>
        </xdr:from>
        <xdr:to>
          <xdr:col>12</xdr:col>
          <xdr:colOff>247650</xdr:colOff>
          <xdr:row>10</xdr:row>
          <xdr:rowOff>885825</xdr:rowOff>
        </xdr:to>
        <xdr:sp macro="" textlink="">
          <xdr:nvSpPr>
            <xdr:cNvPr id="1039" name="CheckBox7"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11</xdr:row>
          <xdr:rowOff>666750</xdr:rowOff>
        </xdr:from>
        <xdr:to>
          <xdr:col>12</xdr:col>
          <xdr:colOff>247650</xdr:colOff>
          <xdr:row>11</xdr:row>
          <xdr:rowOff>885825</xdr:rowOff>
        </xdr:to>
        <xdr:sp macro="" textlink="">
          <xdr:nvSpPr>
            <xdr:cNvPr id="1040" name="CheckBox8"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12</xdr:row>
          <xdr:rowOff>666750</xdr:rowOff>
        </xdr:from>
        <xdr:to>
          <xdr:col>12</xdr:col>
          <xdr:colOff>247650</xdr:colOff>
          <xdr:row>12</xdr:row>
          <xdr:rowOff>885825</xdr:rowOff>
        </xdr:to>
        <xdr:sp macro="" textlink="">
          <xdr:nvSpPr>
            <xdr:cNvPr id="1041" name="CheckBox9"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13</xdr:row>
          <xdr:rowOff>666750</xdr:rowOff>
        </xdr:from>
        <xdr:to>
          <xdr:col>12</xdr:col>
          <xdr:colOff>247650</xdr:colOff>
          <xdr:row>13</xdr:row>
          <xdr:rowOff>885825</xdr:rowOff>
        </xdr:to>
        <xdr:sp macro="" textlink="">
          <xdr:nvSpPr>
            <xdr:cNvPr id="1042" name="CheckBox10"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14</xdr:row>
          <xdr:rowOff>666750</xdr:rowOff>
        </xdr:from>
        <xdr:to>
          <xdr:col>12</xdr:col>
          <xdr:colOff>247650</xdr:colOff>
          <xdr:row>14</xdr:row>
          <xdr:rowOff>885825</xdr:rowOff>
        </xdr:to>
        <xdr:sp macro="" textlink="">
          <xdr:nvSpPr>
            <xdr:cNvPr id="1043" name="CheckBox11"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15</xdr:row>
          <xdr:rowOff>666750</xdr:rowOff>
        </xdr:from>
        <xdr:to>
          <xdr:col>12</xdr:col>
          <xdr:colOff>247650</xdr:colOff>
          <xdr:row>15</xdr:row>
          <xdr:rowOff>885825</xdr:rowOff>
        </xdr:to>
        <xdr:sp macro="" textlink="">
          <xdr:nvSpPr>
            <xdr:cNvPr id="1044" name="CheckBox12"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16</xdr:row>
          <xdr:rowOff>666750</xdr:rowOff>
        </xdr:from>
        <xdr:to>
          <xdr:col>12</xdr:col>
          <xdr:colOff>247650</xdr:colOff>
          <xdr:row>16</xdr:row>
          <xdr:rowOff>885825</xdr:rowOff>
        </xdr:to>
        <xdr:sp macro="" textlink="">
          <xdr:nvSpPr>
            <xdr:cNvPr id="1045" name="CheckBox13"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19050</xdr:colOff>
          <xdr:row>2</xdr:row>
          <xdr:rowOff>9525</xdr:rowOff>
        </xdr:from>
        <xdr:to>
          <xdr:col>13</xdr:col>
          <xdr:colOff>647700</xdr:colOff>
          <xdr:row>3</xdr:row>
          <xdr:rowOff>0</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Deselect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1</xdr:row>
          <xdr:rowOff>9525</xdr:rowOff>
        </xdr:from>
        <xdr:to>
          <xdr:col>13</xdr:col>
          <xdr:colOff>647700</xdr:colOff>
          <xdr:row>2</xdr:row>
          <xdr:rowOff>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Select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666750</xdr:colOff>
          <xdr:row>1</xdr:row>
          <xdr:rowOff>0</xdr:rowOff>
        </xdr:from>
        <xdr:to>
          <xdr:col>13</xdr:col>
          <xdr:colOff>1714500</xdr:colOff>
          <xdr:row>2</xdr:row>
          <xdr:rowOff>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Checked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1724025</xdr:colOff>
          <xdr:row>1</xdr:row>
          <xdr:rowOff>9525</xdr:rowOff>
        </xdr:from>
        <xdr:to>
          <xdr:col>14</xdr:col>
          <xdr:colOff>57150</xdr:colOff>
          <xdr:row>3</xdr:row>
          <xdr:rowOff>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0</xdr:rowOff>
        </xdr:from>
        <xdr:to>
          <xdr:col>5</xdr:col>
          <xdr:colOff>952500</xdr:colOff>
          <xdr:row>2</xdr:row>
          <xdr:rowOff>219075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Recalc. Cutoffs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942975</xdr:colOff>
          <xdr:row>2</xdr:row>
          <xdr:rowOff>219075</xdr:rowOff>
        </xdr:to>
        <xdr:sp macro="" textlink="">
          <xdr:nvSpPr>
            <xdr:cNvPr id="1139" name="Button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Calc. CumArea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xdr:colOff>
          <xdr:row>1</xdr:row>
          <xdr:rowOff>9525</xdr:rowOff>
        </xdr:from>
        <xdr:to>
          <xdr:col>14</xdr:col>
          <xdr:colOff>962025</xdr:colOff>
          <xdr:row>2</xdr:row>
          <xdr:rowOff>9525</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UV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xdr:colOff>
          <xdr:row>2</xdr:row>
          <xdr:rowOff>9525</xdr:rowOff>
        </xdr:from>
        <xdr:to>
          <xdr:col>14</xdr:col>
          <xdr:colOff>962025</xdr:colOff>
          <xdr:row>3</xdr:row>
          <xdr:rowOff>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UV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xdr:row>
          <xdr:rowOff>0</xdr:rowOff>
        </xdr:from>
        <xdr:to>
          <xdr:col>9</xdr:col>
          <xdr:colOff>1114425</xdr:colOff>
          <xdr:row>2</xdr:row>
          <xdr:rowOff>9525</xdr:rowOff>
        </xdr:to>
        <xdr:sp macro="" textlink="">
          <xdr:nvSpPr>
            <xdr:cNvPr id="1146" name="Button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Lock NovaC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981075</xdr:colOff>
          <xdr:row>2</xdr:row>
          <xdr:rowOff>9525</xdr:rowOff>
        </xdr:from>
        <xdr:to>
          <xdr:col>12</xdr:col>
          <xdr:colOff>0</xdr:colOff>
          <xdr:row>3</xdr:row>
          <xdr:rowOff>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UV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9525</xdr:rowOff>
        </xdr:from>
        <xdr:to>
          <xdr:col>8</xdr:col>
          <xdr:colOff>533400</xdr:colOff>
          <xdr:row>2</xdr:row>
          <xdr:rowOff>0</xdr:rowOff>
        </xdr:to>
        <xdr:sp macro="" textlink="">
          <xdr:nvSpPr>
            <xdr:cNvPr id="1149" name="Option Button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619125</xdr:colOff>
          <xdr:row>1</xdr:row>
          <xdr:rowOff>9525</xdr:rowOff>
        </xdr:from>
        <xdr:to>
          <xdr:col>8</xdr:col>
          <xdr:colOff>1057275</xdr:colOff>
          <xdr:row>2</xdr:row>
          <xdr:rowOff>0</xdr:rowOff>
        </xdr:to>
        <xdr:sp macro="" textlink="">
          <xdr:nvSpPr>
            <xdr:cNvPr id="1150" name="Option Button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Top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9525</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657225</xdr:colOff>
          <xdr:row>2</xdr:row>
          <xdr:rowOff>9525</xdr:rowOff>
        </xdr:from>
        <xdr:to>
          <xdr:col>13</xdr:col>
          <xdr:colOff>1714500</xdr:colOff>
          <xdr:row>3</xdr:row>
          <xdr:rowOff>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Unchecked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981075</xdr:colOff>
          <xdr:row>1</xdr:row>
          <xdr:rowOff>9525</xdr:rowOff>
        </xdr:from>
        <xdr:to>
          <xdr:col>12</xdr:col>
          <xdr:colOff>0</xdr:colOff>
          <xdr:row>2</xdr:row>
          <xdr:rowOff>0</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Mass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xdr:row>
          <xdr:rowOff>0</xdr:rowOff>
        </xdr:from>
        <xdr:to>
          <xdr:col>10</xdr:col>
          <xdr:colOff>1114425</xdr:colOff>
          <xdr:row>2</xdr:row>
          <xdr:rowOff>9525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Copy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2</xdr:row>
          <xdr:rowOff>9525</xdr:rowOff>
        </xdr:from>
        <xdr:to>
          <xdr:col>11</xdr:col>
          <xdr:colOff>971550</xdr:colOff>
          <xdr:row>3</xdr:row>
          <xdr:rowOff>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 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9525</xdr:rowOff>
        </xdr:from>
        <xdr:to>
          <xdr:col>11</xdr:col>
          <xdr:colOff>971550</xdr:colOff>
          <xdr:row>2</xdr:row>
          <xdr:rowOff>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Auto UV Class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xdr:colOff>
          <xdr:row>32</xdr:row>
          <xdr:rowOff>9525</xdr:rowOff>
        </xdr:from>
        <xdr:to>
          <xdr:col>2</xdr:col>
          <xdr:colOff>2133600</xdr:colOff>
          <xdr:row>34</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Update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29</xdr:row>
          <xdr:rowOff>76200</xdr:rowOff>
        </xdr:from>
        <xdr:to>
          <xdr:col>8</xdr:col>
          <xdr:colOff>266700</xdr:colOff>
          <xdr:row>30</xdr:row>
          <xdr:rowOff>123825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31</xdr:row>
          <xdr:rowOff>28575</xdr:rowOff>
        </xdr:from>
        <xdr:to>
          <xdr:col>8</xdr:col>
          <xdr:colOff>266700</xdr:colOff>
          <xdr:row>32</xdr:row>
          <xdr:rowOff>76200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36</xdr:row>
          <xdr:rowOff>76200</xdr:rowOff>
        </xdr:from>
        <xdr:to>
          <xdr:col>8</xdr:col>
          <xdr:colOff>266700</xdr:colOff>
          <xdr:row>37</xdr:row>
          <xdr:rowOff>123825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34</xdr:row>
          <xdr:rowOff>190500</xdr:rowOff>
        </xdr:from>
        <xdr:to>
          <xdr:col>2</xdr:col>
          <xdr:colOff>2181225</xdr:colOff>
          <xdr:row>36</xdr:row>
          <xdr:rowOff>9525</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Exclude Hidden Peaks from 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32</xdr:row>
          <xdr:rowOff>171450</xdr:rowOff>
        </xdr:from>
        <xdr:to>
          <xdr:col>8</xdr:col>
          <xdr:colOff>266700</xdr:colOff>
          <xdr:row>34</xdr:row>
          <xdr:rowOff>9525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Only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0</xdr:row>
          <xdr:rowOff>19050</xdr:rowOff>
        </xdr:from>
        <xdr:to>
          <xdr:col>1</xdr:col>
          <xdr:colOff>504825</xdr:colOff>
          <xdr:row>2</xdr:row>
          <xdr:rowOff>85725</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a:t>
              </a:r>
            </a:p>
            <a:p>
              <a:pPr algn="ctr" rtl="0">
                <a:defRPr sz="1000"/>
              </a:pPr>
              <a:r>
                <a:rPr lang="en-AU" sz="1100" b="0" i="0" u="none" strike="noStrike" baseline="0">
                  <a:solidFill>
                    <a:srgbClr val="000000"/>
                  </a:solidFill>
                  <a:latin typeface="Calibri"/>
                  <a:cs typeface="Calibri"/>
                </a:rPr>
                <a:t>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32</xdr:row>
          <xdr:rowOff>161925</xdr:rowOff>
        </xdr:from>
        <xdr:to>
          <xdr:col>7</xdr:col>
          <xdr:colOff>0</xdr:colOff>
          <xdr:row>34</xdr:row>
          <xdr:rowOff>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AU" sz="1100" b="0" i="0" u="none" strike="noStrike" baseline="0">
                  <a:solidFill>
                    <a:srgbClr val="000000"/>
                  </a:solidFill>
                  <a:latin typeface="Calibri"/>
                  <a:cs typeface="Calibri"/>
                </a:rPr>
                <a:t>&lt;- Show only top 'n' peaks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34</xdr:row>
          <xdr:rowOff>123825</xdr:rowOff>
        </xdr:from>
        <xdr:to>
          <xdr:col>8</xdr:col>
          <xdr:colOff>266700</xdr:colOff>
          <xdr:row>35</xdr:row>
          <xdr:rowOff>171450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Unlabelled</a:t>
              </a:r>
            </a:p>
          </xdr:txBody>
        </xdr:sp>
        <xdr:clientData fPrintsWithSheet="0"/>
      </xdr:twoCellAnchor>
    </mc:Choice>
    <mc:Fallback/>
  </mc:AlternateContent>
  <xdr:twoCellAnchor>
    <xdr:from>
      <xdr:col>1</xdr:col>
      <xdr:colOff>295275</xdr:colOff>
      <xdr:row>2</xdr:row>
      <xdr:rowOff>114300</xdr:rowOff>
    </xdr:from>
    <xdr:to>
      <xdr:col>1</xdr:col>
      <xdr:colOff>295275</xdr:colOff>
      <xdr:row>7</xdr:row>
      <xdr:rowOff>104775</xdr:rowOff>
    </xdr:to>
    <xdr:cxnSp macro="">
      <xdr:nvCxnSpPr>
        <xdr:cNvPr id="3" name="Straight Connector 2">
          <a:extLst>
            <a:ext uri="{FF2B5EF4-FFF2-40B4-BE49-F238E27FC236}">
              <a16:creationId xmlns:a16="http://schemas.microsoft.com/office/drawing/2014/main" id="{00000000-0008-0000-0100-000003000000}"/>
            </a:ext>
          </a:extLst>
        </xdr:cNvPr>
        <xdr:cNvCxnSpPr/>
      </xdr:nvCxnSpPr>
      <xdr:spPr>
        <a:xfrm>
          <a:off x="904875" y="504825"/>
          <a:ext cx="0" cy="94297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7</xdr:row>
      <xdr:rowOff>104775</xdr:rowOff>
    </xdr:from>
    <xdr:to>
      <xdr:col>1</xdr:col>
      <xdr:colOff>295275</xdr:colOff>
      <xdr:row>7</xdr:row>
      <xdr:rowOff>104775</xdr:rowOff>
    </xdr:to>
    <xdr:cxnSp macro="">
      <xdr:nvCxnSpPr>
        <xdr:cNvPr id="5" name="Straight Arrow Connector 4">
          <a:extLst>
            <a:ext uri="{FF2B5EF4-FFF2-40B4-BE49-F238E27FC236}">
              <a16:creationId xmlns:a16="http://schemas.microsoft.com/office/drawing/2014/main" id="{00000000-0008-0000-0100-000005000000}"/>
            </a:ext>
          </a:extLst>
        </xdr:cNvPr>
        <xdr:cNvCxnSpPr/>
      </xdr:nvCxnSpPr>
      <xdr:spPr>
        <a:xfrm flipH="1">
          <a:off x="676275" y="1447800"/>
          <a:ext cx="22860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57150</xdr:colOff>
      <xdr:row>5</xdr:row>
      <xdr:rowOff>95250</xdr:rowOff>
    </xdr:from>
    <xdr:to>
      <xdr:col>1</xdr:col>
      <xdr:colOff>285750</xdr:colOff>
      <xdr:row>5</xdr:row>
      <xdr:rowOff>95250</xdr:rowOff>
    </xdr:to>
    <xdr:cxnSp macro="">
      <xdr:nvCxnSpPr>
        <xdr:cNvPr id="16" name="Straight Arrow Connector 15">
          <a:extLst>
            <a:ext uri="{FF2B5EF4-FFF2-40B4-BE49-F238E27FC236}">
              <a16:creationId xmlns:a16="http://schemas.microsoft.com/office/drawing/2014/main" id="{00000000-0008-0000-0100-000010000000}"/>
            </a:ext>
          </a:extLst>
        </xdr:cNvPr>
        <xdr:cNvCxnSpPr/>
      </xdr:nvCxnSpPr>
      <xdr:spPr>
        <a:xfrm flipH="1">
          <a:off x="666750" y="1057275"/>
          <a:ext cx="22860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57150</xdr:colOff>
      <xdr:row>3</xdr:row>
      <xdr:rowOff>95250</xdr:rowOff>
    </xdr:from>
    <xdr:to>
      <xdr:col>1</xdr:col>
      <xdr:colOff>285750</xdr:colOff>
      <xdr:row>3</xdr:row>
      <xdr:rowOff>95250</xdr:rowOff>
    </xdr:to>
    <xdr:cxnSp macro="">
      <xdr:nvCxnSpPr>
        <xdr:cNvPr id="17" name="Straight Arrow Connector 16">
          <a:extLst>
            <a:ext uri="{FF2B5EF4-FFF2-40B4-BE49-F238E27FC236}">
              <a16:creationId xmlns:a16="http://schemas.microsoft.com/office/drawing/2014/main" id="{00000000-0008-0000-0100-000011000000}"/>
            </a:ext>
          </a:extLst>
        </xdr:cNvPr>
        <xdr:cNvCxnSpPr/>
      </xdr:nvCxnSpPr>
      <xdr:spPr>
        <a:xfrm flipH="1">
          <a:off x="666750" y="676275"/>
          <a:ext cx="22860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4761</xdr:rowOff>
    </xdr:from>
    <xdr:to>
      <xdr:col>23</xdr:col>
      <xdr:colOff>590550</xdr:colOff>
      <xdr:row>35</xdr:row>
      <xdr:rowOff>180974</xdr:rowOff>
    </xdr:to>
    <xdr:graphicFrame macro="">
      <xdr:nvGraphicFramePr>
        <xdr:cNvPr id="2" name="Chart Chromatogram">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9525</xdr:colOff>
          <xdr:row>3</xdr:row>
          <xdr:rowOff>9525</xdr:rowOff>
        </xdr:from>
        <xdr:to>
          <xdr:col>26</xdr:col>
          <xdr:colOff>600075</xdr:colOff>
          <xdr:row>3</xdr:row>
          <xdr:rowOff>190500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4</xdr:row>
          <xdr:rowOff>180975</xdr:rowOff>
        </xdr:from>
        <xdr:to>
          <xdr:col>26</xdr:col>
          <xdr:colOff>600075</xdr:colOff>
          <xdr:row>5</xdr:row>
          <xdr:rowOff>180975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7</xdr:row>
          <xdr:rowOff>0</xdr:rowOff>
        </xdr:from>
        <xdr:to>
          <xdr:col>26</xdr:col>
          <xdr:colOff>600075</xdr:colOff>
          <xdr:row>8</xdr:row>
          <xdr:rowOff>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9</xdr:row>
          <xdr:rowOff>0</xdr:rowOff>
        </xdr:from>
        <xdr:to>
          <xdr:col>26</xdr:col>
          <xdr:colOff>600075</xdr:colOff>
          <xdr:row>10</xdr:row>
          <xdr:rowOff>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NEG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15</xdr:row>
          <xdr:rowOff>47625</xdr:rowOff>
        </xdr:from>
        <xdr:to>
          <xdr:col>27</xdr:col>
          <xdr:colOff>0</xdr:colOff>
          <xdr:row>16</xdr:row>
          <xdr:rowOff>104775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3</xdr:row>
          <xdr:rowOff>0</xdr:rowOff>
        </xdr:from>
        <xdr:to>
          <xdr:col>25</xdr:col>
          <xdr:colOff>285750</xdr:colOff>
          <xdr:row>4</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3</xdr:row>
          <xdr:rowOff>0</xdr:rowOff>
        </xdr:from>
        <xdr:to>
          <xdr:col>25</xdr:col>
          <xdr:colOff>609600</xdr:colOff>
          <xdr:row>4</xdr:row>
          <xdr:rowOff>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5</xdr:row>
          <xdr:rowOff>0</xdr:rowOff>
        </xdr:from>
        <xdr:to>
          <xdr:col>25</xdr:col>
          <xdr:colOff>285750</xdr:colOff>
          <xdr:row>6</xdr:row>
          <xdr:rowOff>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5</xdr:row>
          <xdr:rowOff>0</xdr:rowOff>
        </xdr:from>
        <xdr:to>
          <xdr:col>25</xdr:col>
          <xdr:colOff>609600</xdr:colOff>
          <xdr:row>6</xdr:row>
          <xdr:rowOff>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2</xdr:row>
          <xdr:rowOff>190500</xdr:rowOff>
        </xdr:from>
        <xdr:to>
          <xdr:col>27</xdr:col>
          <xdr:colOff>295275</xdr:colOff>
          <xdr:row>3</xdr:row>
          <xdr:rowOff>190500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200-00000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2</xdr:row>
          <xdr:rowOff>190500</xdr:rowOff>
        </xdr:from>
        <xdr:to>
          <xdr:col>28</xdr:col>
          <xdr:colOff>0</xdr:colOff>
          <xdr:row>3</xdr:row>
          <xdr:rowOff>190500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200025</xdr:rowOff>
        </xdr:from>
        <xdr:to>
          <xdr:col>27</xdr:col>
          <xdr:colOff>295275</xdr:colOff>
          <xdr:row>5</xdr:row>
          <xdr:rowOff>200025</xdr:rowOff>
        </xdr:to>
        <xdr:sp macro="" textlink="">
          <xdr:nvSpPr>
            <xdr:cNvPr id="9232" name="Button 16" hidden="1">
              <a:extLst>
                <a:ext uri="{63B3BB69-23CF-44E3-9099-C40C66FF867C}">
                  <a14:compatExt spid="_x0000_s9232"/>
                </a:ext>
                <a:ext uri="{FF2B5EF4-FFF2-40B4-BE49-F238E27FC236}">
                  <a16:creationId xmlns:a16="http://schemas.microsoft.com/office/drawing/2014/main" id="{00000000-0008-0000-0200-00001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4</xdr:row>
          <xdr:rowOff>200025</xdr:rowOff>
        </xdr:from>
        <xdr:to>
          <xdr:col>28</xdr:col>
          <xdr:colOff>0</xdr:colOff>
          <xdr:row>6</xdr:row>
          <xdr:rowOff>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19050</xdr:colOff>
          <xdr:row>11</xdr:row>
          <xdr:rowOff>0</xdr:rowOff>
        </xdr:from>
        <xdr:to>
          <xdr:col>27</xdr:col>
          <xdr:colOff>0</xdr:colOff>
          <xdr:row>11</xdr:row>
          <xdr:rowOff>190500</xdr:rowOff>
        </xdr:to>
        <xdr:sp macro="" textlink="">
          <xdr:nvSpPr>
            <xdr:cNvPr id="9238" name="Check Box 22" hidden="1">
              <a:extLst>
                <a:ext uri="{63B3BB69-23CF-44E3-9099-C40C66FF867C}">
                  <a14:compatExt spid="_x0000_s9238"/>
                </a:ext>
                <a:ext uri="{FF2B5EF4-FFF2-40B4-BE49-F238E27FC236}">
                  <a16:creationId xmlns:a16="http://schemas.microsoft.com/office/drawing/2014/main" id="{00000000-0008-0000-0200-00001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10</xdr:row>
          <xdr:rowOff>180975</xdr:rowOff>
        </xdr:from>
        <xdr:to>
          <xdr:col>27</xdr:col>
          <xdr:colOff>295275</xdr:colOff>
          <xdr:row>12</xdr:row>
          <xdr:rowOff>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200-00001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10</xdr:row>
          <xdr:rowOff>180975</xdr:rowOff>
        </xdr:from>
        <xdr:to>
          <xdr:col>28</xdr:col>
          <xdr:colOff>0</xdr:colOff>
          <xdr:row>12</xdr:row>
          <xdr:rowOff>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200-00001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xdr:twoCellAnchor>
    <xdr:from>
      <xdr:col>25</xdr:col>
      <xdr:colOff>1</xdr:colOff>
      <xdr:row>23</xdr:row>
      <xdr:rowOff>9525</xdr:rowOff>
    </xdr:from>
    <xdr:to>
      <xdr:col>29</xdr:col>
      <xdr:colOff>1</xdr:colOff>
      <xdr:row>36</xdr:row>
      <xdr:rowOff>0</xdr:rowOff>
    </xdr:to>
    <xdr:graphicFrame macro="">
      <xdr:nvGraphicFramePr>
        <xdr:cNvPr id="27" name="Chart 26">
          <a:extLst>
            <a:ext uri="{FF2B5EF4-FFF2-40B4-BE49-F238E27FC236}">
              <a16:creationId xmlns:a16="http://schemas.microsoft.com/office/drawing/2014/main" id="{00000000-0008-0000-02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27</xdr:col>
          <xdr:colOff>19050</xdr:colOff>
          <xdr:row>19</xdr:row>
          <xdr:rowOff>104775</xdr:rowOff>
        </xdr:from>
        <xdr:to>
          <xdr:col>27</xdr:col>
          <xdr:colOff>381000</xdr:colOff>
          <xdr:row>21</xdr:row>
          <xdr:rowOff>95250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200-00001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238125</xdr:colOff>
          <xdr:row>19</xdr:row>
          <xdr:rowOff>104775</xdr:rowOff>
        </xdr:from>
        <xdr:to>
          <xdr:col>25</xdr:col>
          <xdr:colOff>600075</xdr:colOff>
          <xdr:row>21</xdr:row>
          <xdr:rowOff>85725</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200-00001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xdr:colOff>
          <xdr:row>13</xdr:row>
          <xdr:rowOff>142875</xdr:rowOff>
        </xdr:from>
        <xdr:to>
          <xdr:col>29</xdr:col>
          <xdr:colOff>9525</xdr:colOff>
          <xdr:row>15</xdr:row>
          <xdr:rowOff>38100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200-00001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0</xdr:row>
          <xdr:rowOff>57150</xdr:rowOff>
        </xdr:from>
        <xdr:to>
          <xdr:col>28</xdr:col>
          <xdr:colOff>457200</xdr:colOff>
          <xdr:row>2</xdr:row>
          <xdr:rowOff>66675</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200-00001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3</xdr:row>
          <xdr:rowOff>0</xdr:rowOff>
        </xdr:from>
        <xdr:to>
          <xdr:col>28</xdr:col>
          <xdr:colOff>457200</xdr:colOff>
          <xdr:row>4</xdr:row>
          <xdr:rowOff>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200-00001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5</xdr:row>
          <xdr:rowOff>0</xdr:rowOff>
        </xdr:from>
        <xdr:to>
          <xdr:col>28</xdr:col>
          <xdr:colOff>457200</xdr:colOff>
          <xdr:row>6</xdr:row>
          <xdr:rowOff>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200-00001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11</xdr:row>
          <xdr:rowOff>0</xdr:rowOff>
        </xdr:from>
        <xdr:to>
          <xdr:col>28</xdr:col>
          <xdr:colOff>457200</xdr:colOff>
          <xdr:row>12</xdr:row>
          <xdr:rowOff>0</xdr:rowOff>
        </xdr:to>
        <xdr:sp macro="" textlink="">
          <xdr:nvSpPr>
            <xdr:cNvPr id="9249" name="Button 33" hidden="1">
              <a:extLst>
                <a:ext uri="{63B3BB69-23CF-44E3-9099-C40C66FF867C}">
                  <a14:compatExt spid="_x0000_s9249"/>
                </a:ext>
                <a:ext uri="{FF2B5EF4-FFF2-40B4-BE49-F238E27FC236}">
                  <a16:creationId xmlns:a16="http://schemas.microsoft.com/office/drawing/2014/main" id="{00000000-0008-0000-0200-00002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xdr:colOff>
          <xdr:row>18</xdr:row>
          <xdr:rowOff>76200</xdr:rowOff>
        </xdr:from>
        <xdr:to>
          <xdr:col>27</xdr:col>
          <xdr:colOff>9525</xdr:colOff>
          <xdr:row>19</xdr:row>
          <xdr:rowOff>95250</xdr:rowOff>
        </xdr:to>
        <xdr:sp macro="" textlink="">
          <xdr:nvSpPr>
            <xdr:cNvPr id="9250" name="Button 34" hidden="1">
              <a:extLst>
                <a:ext uri="{63B3BB69-23CF-44E3-9099-C40C66FF867C}">
                  <a14:compatExt spid="_x0000_s9250"/>
                </a:ext>
                <a:ext uri="{FF2B5EF4-FFF2-40B4-BE49-F238E27FC236}">
                  <a16:creationId xmlns:a16="http://schemas.microsoft.com/office/drawing/2014/main" id="{00000000-0008-0000-0200-00002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18</xdr:row>
          <xdr:rowOff>76200</xdr:rowOff>
        </xdr:from>
        <xdr:to>
          <xdr:col>25</xdr:col>
          <xdr:colOff>609600</xdr:colOff>
          <xdr:row>19</xdr:row>
          <xdr:rowOff>95250</xdr:rowOff>
        </xdr:to>
        <xdr:sp macro="" textlink="">
          <xdr:nvSpPr>
            <xdr:cNvPr id="9252" name="Button 36" hidden="1">
              <a:extLst>
                <a:ext uri="{63B3BB69-23CF-44E3-9099-C40C66FF867C}">
                  <a14:compatExt spid="_x0000_s9252"/>
                </a:ext>
                <a:ext uri="{FF2B5EF4-FFF2-40B4-BE49-F238E27FC236}">
                  <a16:creationId xmlns:a16="http://schemas.microsoft.com/office/drawing/2014/main" id="{00000000-0008-0000-0200-00002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18</xdr:row>
          <xdr:rowOff>76200</xdr:rowOff>
        </xdr:from>
        <xdr:to>
          <xdr:col>29</xdr:col>
          <xdr:colOff>0</xdr:colOff>
          <xdr:row>19</xdr:row>
          <xdr:rowOff>95250</xdr:rowOff>
        </xdr:to>
        <xdr:sp macro="" textlink="">
          <xdr:nvSpPr>
            <xdr:cNvPr id="9253" name="Button 37" hidden="1">
              <a:extLst>
                <a:ext uri="{63B3BB69-23CF-44E3-9099-C40C66FF867C}">
                  <a14:compatExt spid="_x0000_s9253"/>
                </a:ext>
                <a:ext uri="{FF2B5EF4-FFF2-40B4-BE49-F238E27FC236}">
                  <a16:creationId xmlns:a16="http://schemas.microsoft.com/office/drawing/2014/main" id="{00000000-0008-0000-0200-00002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 &amp; 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21</xdr:row>
          <xdr:rowOff>114300</xdr:rowOff>
        </xdr:from>
        <xdr:to>
          <xdr:col>25</xdr:col>
          <xdr:colOff>600075</xdr:colOff>
          <xdr:row>22</xdr:row>
          <xdr:rowOff>114300</xdr:rowOff>
        </xdr:to>
        <xdr:sp macro="" textlink="">
          <xdr:nvSpPr>
            <xdr:cNvPr id="9254" name="Button 38" hidden="1">
              <a:extLst>
                <a:ext uri="{63B3BB69-23CF-44E3-9099-C40C66FF867C}">
                  <a14:compatExt spid="_x0000_s9254"/>
                </a:ext>
                <a:ext uri="{FF2B5EF4-FFF2-40B4-BE49-F238E27FC236}">
                  <a16:creationId xmlns:a16="http://schemas.microsoft.com/office/drawing/2014/main" id="{00000000-0008-0000-0200-00002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20</xdr:row>
          <xdr:rowOff>9525</xdr:rowOff>
        </xdr:from>
        <xdr:to>
          <xdr:col>29</xdr:col>
          <xdr:colOff>152400</xdr:colOff>
          <xdr:row>21</xdr:row>
          <xdr:rowOff>0</xdr:rowOff>
        </xdr:to>
        <xdr:sp macro="" textlink="">
          <xdr:nvSpPr>
            <xdr:cNvPr id="9255" name="Check Box 39" hidden="1">
              <a:extLst>
                <a:ext uri="{63B3BB69-23CF-44E3-9099-C40C66FF867C}">
                  <a14:compatExt spid="_x0000_s9255"/>
                </a:ext>
                <a:ext uri="{FF2B5EF4-FFF2-40B4-BE49-F238E27FC236}">
                  <a16:creationId xmlns:a16="http://schemas.microsoft.com/office/drawing/2014/main" id="{00000000-0008-0000-0200-00002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Skip hidden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19050</xdr:colOff>
          <xdr:row>21</xdr:row>
          <xdr:rowOff>104775</xdr:rowOff>
        </xdr:from>
        <xdr:to>
          <xdr:col>28</xdr:col>
          <xdr:colOff>600075</xdr:colOff>
          <xdr:row>22</xdr:row>
          <xdr:rowOff>114300</xdr:rowOff>
        </xdr:to>
        <xdr:sp macro="" textlink="">
          <xdr:nvSpPr>
            <xdr:cNvPr id="9256" name="Button 40" hidden="1">
              <a:extLst>
                <a:ext uri="{63B3BB69-23CF-44E3-9099-C40C66FF867C}">
                  <a14:compatExt spid="_x0000_s9256"/>
                </a:ext>
                <a:ext uri="{FF2B5EF4-FFF2-40B4-BE49-F238E27FC236}">
                  <a16:creationId xmlns:a16="http://schemas.microsoft.com/office/drawing/2014/main" id="{00000000-0008-0000-0200-00002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12</xdr:row>
          <xdr:rowOff>85725</xdr:rowOff>
        </xdr:from>
        <xdr:to>
          <xdr:col>25</xdr:col>
          <xdr:colOff>600075</xdr:colOff>
          <xdr:row>13</xdr:row>
          <xdr:rowOff>85725</xdr:rowOff>
        </xdr:to>
        <xdr:sp macro="" textlink="">
          <xdr:nvSpPr>
            <xdr:cNvPr id="9257" name="Check Box 41" hidden="1">
              <a:extLst>
                <a:ext uri="{63B3BB69-23CF-44E3-9099-C40C66FF867C}">
                  <a14:compatExt spid="_x0000_s9257"/>
                </a:ext>
                <a:ext uri="{FF2B5EF4-FFF2-40B4-BE49-F238E27FC236}">
                  <a16:creationId xmlns:a16="http://schemas.microsoft.com/office/drawing/2014/main" id="{00000000-0008-0000-0200-00002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600075</xdr:colOff>
          <xdr:row>12</xdr:row>
          <xdr:rowOff>85725</xdr:rowOff>
        </xdr:from>
        <xdr:to>
          <xdr:col>26</xdr:col>
          <xdr:colOff>581025</xdr:colOff>
          <xdr:row>13</xdr:row>
          <xdr:rowOff>85725</xdr:rowOff>
        </xdr:to>
        <xdr:sp macro="" textlink="">
          <xdr:nvSpPr>
            <xdr:cNvPr id="9258" name="Check Box 42" hidden="1">
              <a:extLst>
                <a:ext uri="{63B3BB69-23CF-44E3-9099-C40C66FF867C}">
                  <a14:compatExt spid="_x0000_s9258"/>
                </a:ext>
                <a:ext uri="{FF2B5EF4-FFF2-40B4-BE49-F238E27FC236}">
                  <a16:creationId xmlns:a16="http://schemas.microsoft.com/office/drawing/2014/main" id="{00000000-0008-0000-0200-00002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RetTime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12</xdr:row>
          <xdr:rowOff>85725</xdr:rowOff>
        </xdr:from>
        <xdr:to>
          <xdr:col>27</xdr:col>
          <xdr:colOff>590550</xdr:colOff>
          <xdr:row>13</xdr:row>
          <xdr:rowOff>85725</xdr:rowOff>
        </xdr:to>
        <xdr:sp macro="" textlink="">
          <xdr:nvSpPr>
            <xdr:cNvPr id="9259" name="Check Box 43" hidden="1">
              <a:extLst>
                <a:ext uri="{63B3BB69-23CF-44E3-9099-C40C66FF867C}">
                  <a14:compatExt spid="_x0000_s9259"/>
                </a:ext>
                <a:ext uri="{FF2B5EF4-FFF2-40B4-BE49-F238E27FC236}">
                  <a16:creationId xmlns:a16="http://schemas.microsoft.com/office/drawing/2014/main" id="{00000000-0008-0000-0200-00002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13</xdr:row>
          <xdr:rowOff>142875</xdr:rowOff>
        </xdr:from>
        <xdr:to>
          <xdr:col>28</xdr:col>
          <xdr:colOff>0</xdr:colOff>
          <xdr:row>15</xdr:row>
          <xdr:rowOff>38100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200-00002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104775</xdr:rowOff>
        </xdr:from>
        <xdr:to>
          <xdr:col>27</xdr:col>
          <xdr:colOff>0</xdr:colOff>
          <xdr:row>22</xdr:row>
          <xdr:rowOff>114300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200-00002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314325</xdr:colOff>
          <xdr:row>17</xdr:row>
          <xdr:rowOff>0</xdr:rowOff>
        </xdr:from>
        <xdr:to>
          <xdr:col>28</xdr:col>
          <xdr:colOff>609600</xdr:colOff>
          <xdr:row>17</xdr:row>
          <xdr:rowOff>200025</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200-00002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15</xdr:row>
          <xdr:rowOff>57150</xdr:rowOff>
        </xdr:from>
        <xdr:to>
          <xdr:col>29</xdr:col>
          <xdr:colOff>0</xdr:colOff>
          <xdr:row>16</xdr:row>
          <xdr:rowOff>104775</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200-00003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ALL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xdr:colOff>
          <xdr:row>12</xdr:row>
          <xdr:rowOff>76200</xdr:rowOff>
        </xdr:from>
        <xdr:to>
          <xdr:col>29</xdr:col>
          <xdr:colOff>9525</xdr:colOff>
          <xdr:row>13</xdr:row>
          <xdr:rowOff>95250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200-00003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0</xdr:row>
          <xdr:rowOff>57150</xdr:rowOff>
        </xdr:from>
        <xdr:to>
          <xdr:col>29</xdr:col>
          <xdr:colOff>295275</xdr:colOff>
          <xdr:row>2</xdr:row>
          <xdr:rowOff>66675</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200-00003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3</xdr:row>
          <xdr:rowOff>0</xdr:rowOff>
        </xdr:from>
        <xdr:to>
          <xdr:col>29</xdr:col>
          <xdr:colOff>285750</xdr:colOff>
          <xdr:row>4</xdr:row>
          <xdr:rowOff>0</xdr:rowOff>
        </xdr:to>
        <xdr:sp macro="" textlink="">
          <xdr:nvSpPr>
            <xdr:cNvPr id="9267" name="Button 51" hidden="1">
              <a:extLst>
                <a:ext uri="{63B3BB69-23CF-44E3-9099-C40C66FF867C}">
                  <a14:compatExt spid="_x0000_s9267"/>
                </a:ext>
                <a:ext uri="{FF2B5EF4-FFF2-40B4-BE49-F238E27FC236}">
                  <a16:creationId xmlns:a16="http://schemas.microsoft.com/office/drawing/2014/main" id="{00000000-0008-0000-0200-00003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5</xdr:row>
          <xdr:rowOff>0</xdr:rowOff>
        </xdr:from>
        <xdr:to>
          <xdr:col>29</xdr:col>
          <xdr:colOff>285750</xdr:colOff>
          <xdr:row>6</xdr:row>
          <xdr:rowOff>0</xdr:rowOff>
        </xdr:to>
        <xdr:sp macro="" textlink="">
          <xdr:nvSpPr>
            <xdr:cNvPr id="9268" name="Button 52" hidden="1">
              <a:extLst>
                <a:ext uri="{63B3BB69-23CF-44E3-9099-C40C66FF867C}">
                  <a14:compatExt spid="_x0000_s9268"/>
                </a:ext>
                <a:ext uri="{FF2B5EF4-FFF2-40B4-BE49-F238E27FC236}">
                  <a16:creationId xmlns:a16="http://schemas.microsoft.com/office/drawing/2014/main" id="{00000000-0008-0000-0200-00003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11</xdr:row>
          <xdr:rowOff>0</xdr:rowOff>
        </xdr:from>
        <xdr:to>
          <xdr:col>29</xdr:col>
          <xdr:colOff>285750</xdr:colOff>
          <xdr:row>12</xdr:row>
          <xdr:rowOff>0</xdr:rowOff>
        </xdr:to>
        <xdr:sp macro="" textlink="">
          <xdr:nvSpPr>
            <xdr:cNvPr id="9271" name="Button 55" hidden="1">
              <a:extLst>
                <a:ext uri="{63B3BB69-23CF-44E3-9099-C40C66FF867C}">
                  <a14:compatExt spid="_x0000_s9271"/>
                </a:ext>
                <a:ext uri="{FF2B5EF4-FFF2-40B4-BE49-F238E27FC236}">
                  <a16:creationId xmlns:a16="http://schemas.microsoft.com/office/drawing/2014/main" id="{00000000-0008-0000-0200-00003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19</xdr:row>
          <xdr:rowOff>104775</xdr:rowOff>
        </xdr:from>
        <xdr:to>
          <xdr:col>25</xdr:col>
          <xdr:colOff>228600</xdr:colOff>
          <xdr:row>21</xdr:row>
          <xdr:rowOff>85725</xdr:rowOff>
        </xdr:to>
        <xdr:sp macro="" textlink="">
          <xdr:nvSpPr>
            <xdr:cNvPr id="9272" name="Button 56" hidden="1">
              <a:extLst>
                <a:ext uri="{63B3BB69-23CF-44E3-9099-C40C66FF867C}">
                  <a14:compatExt spid="_x0000_s9272"/>
                </a:ext>
                <a:ext uri="{FF2B5EF4-FFF2-40B4-BE49-F238E27FC236}">
                  <a16:creationId xmlns:a16="http://schemas.microsoft.com/office/drawing/2014/main" id="{00000000-0008-0000-0200-000038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390525</xdr:colOff>
          <xdr:row>19</xdr:row>
          <xdr:rowOff>104775</xdr:rowOff>
        </xdr:from>
        <xdr:to>
          <xdr:col>28</xdr:col>
          <xdr:colOff>0</xdr:colOff>
          <xdr:row>21</xdr:row>
          <xdr:rowOff>95250</xdr:rowOff>
        </xdr:to>
        <xdr:sp macro="" textlink="">
          <xdr:nvSpPr>
            <xdr:cNvPr id="9273" name="Button 57" hidden="1">
              <a:extLst>
                <a:ext uri="{63B3BB69-23CF-44E3-9099-C40C66FF867C}">
                  <a14:compatExt spid="_x0000_s9273"/>
                </a:ext>
                <a:ext uri="{FF2B5EF4-FFF2-40B4-BE49-F238E27FC236}">
                  <a16:creationId xmlns:a16="http://schemas.microsoft.com/office/drawing/2014/main" id="{00000000-0008-0000-0200-00003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&gt;&gt;</a:t>
              </a:r>
            </a:p>
          </xdr:txBody>
        </xdr:sp>
        <xdr:clientData fPrint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0.01632</cdr:x>
      <cdr:y>0.0198</cdr:y>
    </cdr:from>
    <cdr:to>
      <cdr:x>0.01632</cdr:x>
      <cdr:y>0.91263</cdr:y>
    </cdr:to>
    <cdr:cxnSp macro="">
      <cdr:nvCxnSpPr>
        <cdr:cNvPr id="3" name="Straight Connector 2">
          <a:extLst xmlns:a="http://schemas.openxmlformats.org/drawingml/2006/main">
            <a:ext uri="{FF2B5EF4-FFF2-40B4-BE49-F238E27FC236}">
              <a16:creationId xmlns:a16="http://schemas.microsoft.com/office/drawing/2014/main" id="{4A8914BD-7B63-480D-9B73-FCAEA74DEAD6}"/>
            </a:ext>
          </a:extLst>
        </cdr:cNvPr>
        <cdr:cNvCxnSpPr/>
      </cdr:nvCxnSpPr>
      <cdr:spPr>
        <a:xfrm xmlns:a="http://schemas.openxmlformats.org/drawingml/2006/main" flipV="1">
          <a:off x="238125" y="138114"/>
          <a:ext cx="0" cy="6229350"/>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0.9158</cdr:x>
      <cdr:y>0.02105</cdr:y>
    </cdr:from>
    <cdr:to>
      <cdr:x>0.99478</cdr:x>
      <cdr:y>0.12559</cdr:y>
    </cdr:to>
    <cdr:sp macro="" textlink="">
      <cdr:nvSpPr>
        <cdr:cNvPr id="2" name="TextBox 1"/>
        <cdr:cNvSpPr txBox="1"/>
      </cdr:nvSpPr>
      <cdr:spPr>
        <a:xfrm xmlns:a="http://schemas.openxmlformats.org/drawingml/2006/main">
          <a:off x="13363575" y="147639"/>
          <a:ext cx="1152525" cy="733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210: 17
254: 21</a:t>
          </a:r>
        </a:p>
        <a:p xmlns:a="http://schemas.openxmlformats.org/drawingml/2006/main">
          <a:pPr algn="r"/>
          <a:endParaRPr lang="en-AU" sz="1000">
            <a:latin typeface="Arial" panose="020B0604020202020204" pitchFamily="34" charset="0"/>
            <a:cs typeface="Arial" panose="020B0604020202020204" pitchFamily="34" charset="0"/>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0.71318</cdr:x>
      <cdr:y>0.33591</cdr:y>
    </cdr:from>
    <cdr:to>
      <cdr:x>0.90458</cdr:x>
      <cdr:y>0.81853</cdr:y>
    </cdr:to>
    <cdr:sp macro="" textlink="">
      <cdr:nvSpPr>
        <cdr:cNvPr id="2" name="TextBox 1"/>
        <cdr:cNvSpPr txBox="1"/>
      </cdr:nvSpPr>
      <cdr:spPr>
        <a:xfrm xmlns:a="http://schemas.openxmlformats.org/drawingml/2006/main">
          <a:off x="1744733" y="828675"/>
          <a:ext cx="468245" cy="1190618"/>
        </a:xfrm>
        <a:prstGeom xmlns:a="http://schemas.openxmlformats.org/drawingml/2006/main" prst="rect">
          <a:avLst/>
        </a:prstGeom>
      </cdr:spPr>
      <cdr:txBody>
        <a:bodyPr xmlns:a="http://schemas.openxmlformats.org/drawingml/2006/main" vertOverflow="clip" wrap="square" lIns="46800" rIns="46800" rtlCol="0"/>
        <a:lstStyle xmlns:a="http://schemas.openxmlformats.org/drawingml/2006/main"/>
        <a:p xmlns:a="http://schemas.openxmlformats.org/drawingml/2006/main">
          <a:pPr algn="r"/>
          <a:r>
            <a:rPr lang="en-AU" sz="1100">
              <a:latin typeface="Arial" panose="020B0604020202020204" pitchFamily="34" charset="0"/>
              <a:cs typeface="Arial" panose="020B0604020202020204" pitchFamily="34" charset="0"/>
            </a:rPr>
            <a:t>MW</a:t>
          </a:r>
        </a:p>
      </cdr:txBody>
    </cdr:sp>
  </cdr:relSizeAnchor>
  <cdr:relSizeAnchor xmlns:cdr="http://schemas.openxmlformats.org/drawingml/2006/chartDrawing">
    <cdr:from>
      <cdr:x>0.69141</cdr:x>
      <cdr:y>0.01544</cdr:y>
    </cdr:from>
    <cdr:to>
      <cdr:x>0.89844</cdr:x>
      <cdr:y>0.07336</cdr:y>
    </cdr:to>
    <cdr:sp macro="" textlink="">
      <cdr:nvSpPr>
        <cdr:cNvPr id="3" name="TextBox 2"/>
        <cdr:cNvSpPr txBox="1"/>
      </cdr:nvSpPr>
      <cdr:spPr>
        <a:xfrm xmlns:a="http://schemas.openxmlformats.org/drawingml/2006/main">
          <a:off x="1685924" y="38100"/>
          <a:ext cx="504825" cy="142875"/>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Max</a:t>
          </a:r>
        </a:p>
      </cdr:txBody>
    </cdr:sp>
  </cdr:relSizeAnchor>
</c:userShapes>
</file>

<file path=xl/drawings/drawing6.xml><?xml version="1.0" encoding="utf-8"?>
<xdr:wsDr xmlns:xdr="http://schemas.openxmlformats.org/drawingml/2006/spreadsheetDrawing" xmlns:a="http://schemas.openxmlformats.org/drawingml/2006/main">
  <xdr:twoCellAnchor>
    <xdr:from>
      <xdr:col>0</xdr:col>
      <xdr:colOff>9525</xdr:colOff>
      <xdr:row>6</xdr:row>
      <xdr:rowOff>104775</xdr:rowOff>
    </xdr:from>
    <xdr:to>
      <xdr:col>22</xdr:col>
      <xdr:colOff>600075</xdr:colOff>
      <xdr:row>36</xdr:row>
      <xdr:rowOff>152399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23</xdr:col>
          <xdr:colOff>457200</xdr:colOff>
          <xdr:row>0</xdr:row>
          <xdr:rowOff>38100</xdr:rowOff>
        </xdr:from>
        <xdr:to>
          <xdr:col>26</xdr:col>
          <xdr:colOff>161925</xdr:colOff>
          <xdr:row>1</xdr:row>
          <xdr:rowOff>114300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Overlay Checked Peaks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30</xdr:row>
          <xdr:rowOff>171450</xdr:rowOff>
        </xdr:from>
        <xdr:to>
          <xdr:col>26</xdr:col>
          <xdr:colOff>171450</xdr:colOff>
          <xdr:row>32</xdr:row>
          <xdr:rowOff>180975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Overlay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34</xdr:row>
          <xdr:rowOff>0</xdr:rowOff>
        </xdr:from>
        <xdr:to>
          <xdr:col>26</xdr:col>
          <xdr:colOff>171450</xdr:colOff>
          <xdr:row>35</xdr:row>
          <xdr:rowOff>180975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28</xdr:row>
          <xdr:rowOff>104775</xdr:rowOff>
        </xdr:from>
        <xdr:to>
          <xdr:col>26</xdr:col>
          <xdr:colOff>171450</xdr:colOff>
          <xdr:row>29</xdr:row>
          <xdr:rowOff>180975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Not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26</xdr:row>
          <xdr:rowOff>114300</xdr:rowOff>
        </xdr:from>
        <xdr:to>
          <xdr:col>26</xdr:col>
          <xdr:colOff>171450</xdr:colOff>
          <xdr:row>28</xdr:row>
          <xdr:rowOff>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Only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12</xdr:row>
          <xdr:rowOff>152400</xdr:rowOff>
        </xdr:from>
        <xdr:to>
          <xdr:col>28</xdr:col>
          <xdr:colOff>600075</xdr:colOff>
          <xdr:row>14</xdr:row>
          <xdr:rowOff>19050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14</xdr:row>
          <xdr:rowOff>180975</xdr:rowOff>
        </xdr:from>
        <xdr:to>
          <xdr:col>28</xdr:col>
          <xdr:colOff>600075</xdr:colOff>
          <xdr:row>17</xdr:row>
          <xdr:rowOff>9525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Only</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18</xdr:row>
          <xdr:rowOff>152400</xdr:rowOff>
        </xdr:from>
        <xdr:to>
          <xdr:col>28</xdr:col>
          <xdr:colOff>600075</xdr:colOff>
          <xdr:row>20</xdr:row>
          <xdr:rowOff>28575</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20</xdr:row>
          <xdr:rowOff>180975</xdr:rowOff>
        </xdr:from>
        <xdr:to>
          <xdr:col>28</xdr:col>
          <xdr:colOff>600075</xdr:colOff>
          <xdr:row>23</xdr:row>
          <xdr:rowOff>9525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Not</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0</xdr:row>
          <xdr:rowOff>161925</xdr:rowOff>
        </xdr:from>
        <xdr:to>
          <xdr:col>28</xdr:col>
          <xdr:colOff>600075</xdr:colOff>
          <xdr:row>2</xdr:row>
          <xdr:rowOff>28575</xdr:rowOff>
        </xdr:to>
        <xdr:sp macro="" textlink="">
          <xdr:nvSpPr>
            <xdr:cNvPr id="4110" name="Button 14"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xdr:row>
          <xdr:rowOff>0</xdr:rowOff>
        </xdr:from>
        <xdr:to>
          <xdr:col>28</xdr:col>
          <xdr:colOff>600075</xdr:colOff>
          <xdr:row>5</xdr:row>
          <xdr:rowOff>0</xdr:rowOff>
        </xdr:to>
        <xdr:sp macro="" textlink="">
          <xdr:nvSpPr>
            <xdr:cNvPr id="4111" name="Button 15"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Add</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6</xdr:row>
          <xdr:rowOff>152400</xdr:rowOff>
        </xdr:from>
        <xdr:to>
          <xdr:col>28</xdr:col>
          <xdr:colOff>600075</xdr:colOff>
          <xdr:row>8</xdr:row>
          <xdr:rowOff>28575</xdr:rowOff>
        </xdr:to>
        <xdr:sp macro="" textlink="">
          <xdr:nvSpPr>
            <xdr:cNvPr id="4112" name="Button 16"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8</xdr:row>
          <xdr:rowOff>180975</xdr:rowOff>
        </xdr:from>
        <xdr:to>
          <xdr:col>28</xdr:col>
          <xdr:colOff>600075</xdr:colOff>
          <xdr:row>11</xdr:row>
          <xdr:rowOff>9525</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Remove</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24</xdr:row>
          <xdr:rowOff>114300</xdr:rowOff>
        </xdr:from>
        <xdr:to>
          <xdr:col>26</xdr:col>
          <xdr:colOff>171450</xdr:colOff>
          <xdr:row>26</xdr:row>
          <xdr:rowOff>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Remove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25</xdr:row>
          <xdr:rowOff>0</xdr:rowOff>
        </xdr:from>
        <xdr:to>
          <xdr:col>28</xdr:col>
          <xdr:colOff>600075</xdr:colOff>
          <xdr:row>26</xdr:row>
          <xdr:rowOff>9525</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Polar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28</xdr:row>
          <xdr:rowOff>0</xdr:rowOff>
        </xdr:from>
        <xdr:to>
          <xdr:col>29</xdr:col>
          <xdr:colOff>0</xdr:colOff>
          <xdr:row>29</xdr:row>
          <xdr:rowOff>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NonPol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26</xdr:row>
          <xdr:rowOff>95250</xdr:rowOff>
        </xdr:from>
        <xdr:to>
          <xdr:col>28</xdr:col>
          <xdr:colOff>600075</xdr:colOff>
          <xdr:row>27</xdr:row>
          <xdr:rowOff>95250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3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Intermed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30</xdr:row>
          <xdr:rowOff>180975</xdr:rowOff>
        </xdr:from>
        <xdr:to>
          <xdr:col>28</xdr:col>
          <xdr:colOff>600075</xdr:colOff>
          <xdr:row>32</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3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Acidic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34</xdr:row>
          <xdr:rowOff>0</xdr:rowOff>
        </xdr:from>
        <xdr:to>
          <xdr:col>28</xdr:col>
          <xdr:colOff>600075</xdr:colOff>
          <xdr:row>35</xdr:row>
          <xdr:rowOff>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3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32</xdr:row>
          <xdr:rowOff>85725</xdr:rowOff>
        </xdr:from>
        <xdr:to>
          <xdr:col>28</xdr:col>
          <xdr:colOff>600075</xdr:colOff>
          <xdr:row>33</xdr:row>
          <xdr:rowOff>104775</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300-00001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Neutral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9525</xdr:rowOff>
        </xdr:from>
        <xdr:to>
          <xdr:col>26</xdr:col>
          <xdr:colOff>9525</xdr:colOff>
          <xdr:row>9</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00000000-0008-0000-0300-00001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13</xdr:row>
          <xdr:rowOff>0</xdr:rowOff>
        </xdr:from>
        <xdr:to>
          <xdr:col>26</xdr:col>
          <xdr:colOff>0</xdr:colOff>
          <xdr:row>15</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3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Next</a:t>
              </a:r>
            </a:p>
          </xdr:txBody>
        </xdr:sp>
        <xdr:clientData fPrintsWithSheet="0"/>
      </xdr:twoCellAnchor>
    </mc:Choice>
    <mc:Fallback/>
  </mc:AlternateContent>
  <xdr:twoCellAnchor>
    <xdr:from>
      <xdr:col>23</xdr:col>
      <xdr:colOff>457200</xdr:colOff>
      <xdr:row>3</xdr:row>
      <xdr:rowOff>114301</xdr:rowOff>
    </xdr:from>
    <xdr:to>
      <xdr:col>26</xdr:col>
      <xdr:colOff>152400</xdr:colOff>
      <xdr:row>23</xdr:row>
      <xdr:rowOff>19051</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14478000" y="685801"/>
          <a:ext cx="1495425" cy="3752850"/>
        </a:xfrm>
        <a:prstGeom prst="rect">
          <a:avLst/>
        </a:prstGeom>
        <a:noFill/>
        <a:ln w="254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mc:AlternateContent xmlns:mc="http://schemas.openxmlformats.org/markup-compatibility/2006">
    <mc:Choice xmlns:a14="http://schemas.microsoft.com/office/drawing/2010/main" Requires="a14">
      <xdr:twoCellAnchor>
        <xdr:from>
          <xdr:col>24</xdr:col>
          <xdr:colOff>0</xdr:colOff>
          <xdr:row>15</xdr:row>
          <xdr:rowOff>180975</xdr:rowOff>
        </xdr:from>
        <xdr:to>
          <xdr:col>26</xdr:col>
          <xdr:colOff>0</xdr:colOff>
          <xdr:row>17</xdr:row>
          <xdr:rowOff>190500</xdr:rowOff>
        </xdr:to>
        <xdr:sp macro="" textlink="">
          <xdr:nvSpPr>
            <xdr:cNvPr id="4127" name="Button 31" hidden="1">
              <a:extLst>
                <a:ext uri="{63B3BB69-23CF-44E3-9099-C40C66FF867C}">
                  <a14:compatExt spid="_x0000_s4127"/>
                </a:ext>
                <a:ext uri="{FF2B5EF4-FFF2-40B4-BE49-F238E27FC236}">
                  <a16:creationId xmlns:a16="http://schemas.microsoft.com/office/drawing/2014/main" id="{00000000-0008-0000-0300-00001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Keep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152400</xdr:colOff>
          <xdr:row>5</xdr:row>
          <xdr:rowOff>66675</xdr:rowOff>
        </xdr:from>
        <xdr:to>
          <xdr:col>25</xdr:col>
          <xdr:colOff>1104900</xdr:colOff>
          <xdr:row>6</xdr:row>
          <xdr:rowOff>114300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Increment Class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23</xdr:col>
          <xdr:colOff>590550</xdr:colOff>
          <xdr:row>19</xdr:row>
          <xdr:rowOff>95250</xdr:rowOff>
        </xdr:from>
        <xdr:to>
          <xdr:col>26</xdr:col>
          <xdr:colOff>0</xdr:colOff>
          <xdr:row>22</xdr:row>
          <xdr:rowOff>104775</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3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 and Copy</a:t>
              </a:r>
            </a:p>
          </xdr:txBody>
        </xdr:sp>
        <xdr:clientData fPrintsWithSheet="0"/>
      </xdr:twoCellAnchor>
    </mc:Choice>
    <mc:Fallback/>
  </mc:AlternateContent>
  <xdr:twoCellAnchor>
    <xdr:from>
      <xdr:col>0</xdr:col>
      <xdr:colOff>19049</xdr:colOff>
      <xdr:row>0</xdr:row>
      <xdr:rowOff>0</xdr:rowOff>
    </xdr:from>
    <xdr:to>
      <xdr:col>20</xdr:col>
      <xdr:colOff>0</xdr:colOff>
      <xdr:row>6</xdr:row>
      <xdr:rowOff>104775</xdr:rowOff>
    </xdr:to>
    <xdr:graphicFrame macro="">
      <xdr:nvGraphicFramePr>
        <xdr:cNvPr id="29" name="Chart 28">
          <a:extLst>
            <a:ext uri="{FF2B5EF4-FFF2-40B4-BE49-F238E27FC236}">
              <a16:creationId xmlns:a16="http://schemas.microsoft.com/office/drawing/2014/main" id="{00000000-0008-0000-0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9525</xdr:colOff>
          <xdr:row>1</xdr:row>
          <xdr:rowOff>9525</xdr:rowOff>
        </xdr:from>
        <xdr:to>
          <xdr:col>21</xdr:col>
          <xdr:colOff>600075</xdr:colOff>
          <xdr:row>1</xdr:row>
          <xdr:rowOff>190500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3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1</xdr:row>
          <xdr:rowOff>0</xdr:rowOff>
        </xdr:from>
        <xdr:to>
          <xdr:col>22</xdr:col>
          <xdr:colOff>600075</xdr:colOff>
          <xdr:row>2</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3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3</xdr:row>
          <xdr:rowOff>0</xdr:rowOff>
        </xdr:from>
        <xdr:to>
          <xdr:col>21</xdr:col>
          <xdr:colOff>295275</xdr:colOff>
          <xdr:row>4</xdr:row>
          <xdr:rowOff>0</xdr:rowOff>
        </xdr:to>
        <xdr:sp macro="" textlink="">
          <xdr:nvSpPr>
            <xdr:cNvPr id="4134" name="Button 38" hidden="1">
              <a:extLst>
                <a:ext uri="{63B3BB69-23CF-44E3-9099-C40C66FF867C}">
                  <a14:compatExt spid="_x0000_s4134"/>
                </a:ext>
                <a:ext uri="{FF2B5EF4-FFF2-40B4-BE49-F238E27FC236}">
                  <a16:creationId xmlns:a16="http://schemas.microsoft.com/office/drawing/2014/main" id="{00000000-0008-0000-0300-00002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2</xdr:row>
          <xdr:rowOff>180975</xdr:rowOff>
        </xdr:from>
        <xdr:to>
          <xdr:col>21</xdr:col>
          <xdr:colOff>600075</xdr:colOff>
          <xdr:row>3</xdr:row>
          <xdr:rowOff>190500</xdr:rowOff>
        </xdr:to>
        <xdr:sp macro="" textlink="">
          <xdr:nvSpPr>
            <xdr:cNvPr id="4135" name="Button 39" hidden="1">
              <a:extLst>
                <a:ext uri="{63B3BB69-23CF-44E3-9099-C40C66FF867C}">
                  <a14:compatExt spid="_x0000_s4135"/>
                </a:ext>
                <a:ext uri="{FF2B5EF4-FFF2-40B4-BE49-F238E27FC236}">
                  <a16:creationId xmlns:a16="http://schemas.microsoft.com/office/drawing/2014/main" id="{00000000-0008-0000-0300-00002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3</xdr:row>
          <xdr:rowOff>0</xdr:rowOff>
        </xdr:from>
        <xdr:to>
          <xdr:col>22</xdr:col>
          <xdr:colOff>295275</xdr:colOff>
          <xdr:row>4</xdr:row>
          <xdr:rowOff>0</xdr:rowOff>
        </xdr:to>
        <xdr:sp macro="" textlink="">
          <xdr:nvSpPr>
            <xdr:cNvPr id="4136" name="Button 40" hidden="1">
              <a:extLst>
                <a:ext uri="{63B3BB69-23CF-44E3-9099-C40C66FF867C}">
                  <a14:compatExt spid="_x0000_s4136"/>
                </a:ext>
                <a:ext uri="{FF2B5EF4-FFF2-40B4-BE49-F238E27FC236}">
                  <a16:creationId xmlns:a16="http://schemas.microsoft.com/office/drawing/2014/main" id="{00000000-0008-0000-0300-00002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314325</xdr:colOff>
          <xdr:row>2</xdr:row>
          <xdr:rowOff>180975</xdr:rowOff>
        </xdr:from>
        <xdr:to>
          <xdr:col>22</xdr:col>
          <xdr:colOff>600075</xdr:colOff>
          <xdr:row>3</xdr:row>
          <xdr:rowOff>190500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300-00002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4</xdr:row>
          <xdr:rowOff>0</xdr:rowOff>
        </xdr:from>
        <xdr:to>
          <xdr:col>21</xdr:col>
          <xdr:colOff>295275</xdr:colOff>
          <xdr:row>4</xdr:row>
          <xdr:rowOff>209550</xdr:rowOff>
        </xdr:to>
        <xdr:sp macro="" textlink="">
          <xdr:nvSpPr>
            <xdr:cNvPr id="4138" name="Button 42" hidden="1">
              <a:extLst>
                <a:ext uri="{63B3BB69-23CF-44E3-9099-C40C66FF867C}">
                  <a14:compatExt spid="_x0000_s4138"/>
                </a:ext>
                <a:ext uri="{FF2B5EF4-FFF2-40B4-BE49-F238E27FC236}">
                  <a16:creationId xmlns:a16="http://schemas.microsoft.com/office/drawing/2014/main" id="{00000000-0008-0000-0300-00002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4</xdr:row>
          <xdr:rowOff>0</xdr:rowOff>
        </xdr:from>
        <xdr:to>
          <xdr:col>21</xdr:col>
          <xdr:colOff>600075</xdr:colOff>
          <xdr:row>4</xdr:row>
          <xdr:rowOff>209550</xdr:rowOff>
        </xdr:to>
        <xdr:sp macro="" textlink="">
          <xdr:nvSpPr>
            <xdr:cNvPr id="4139" name="Button 43" hidden="1">
              <a:extLst>
                <a:ext uri="{63B3BB69-23CF-44E3-9099-C40C66FF867C}">
                  <a14:compatExt spid="_x0000_s4139"/>
                </a:ext>
                <a:ext uri="{FF2B5EF4-FFF2-40B4-BE49-F238E27FC236}">
                  <a16:creationId xmlns:a16="http://schemas.microsoft.com/office/drawing/2014/main" id="{00000000-0008-0000-0300-00002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0</xdr:rowOff>
        </xdr:from>
        <xdr:to>
          <xdr:col>22</xdr:col>
          <xdr:colOff>295275</xdr:colOff>
          <xdr:row>4</xdr:row>
          <xdr:rowOff>200025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3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314325</xdr:colOff>
          <xdr:row>4</xdr:row>
          <xdr:rowOff>0</xdr:rowOff>
        </xdr:from>
        <xdr:to>
          <xdr:col>22</xdr:col>
          <xdr:colOff>600075</xdr:colOff>
          <xdr:row>4</xdr:row>
          <xdr:rowOff>200025</xdr:rowOff>
        </xdr:to>
        <xdr:sp macro="" textlink="">
          <xdr:nvSpPr>
            <xdr:cNvPr id="4141" name="Button 45" hidden="1">
              <a:extLst>
                <a:ext uri="{63B3BB69-23CF-44E3-9099-C40C66FF867C}">
                  <a14:compatExt spid="_x0000_s4141"/>
                </a:ext>
                <a:ext uri="{FF2B5EF4-FFF2-40B4-BE49-F238E27FC236}">
                  <a16:creationId xmlns:a16="http://schemas.microsoft.com/office/drawing/2014/main" id="{00000000-0008-0000-0300-00002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5</xdr:row>
          <xdr:rowOff>0</xdr:rowOff>
        </xdr:from>
        <xdr:to>
          <xdr:col>21</xdr:col>
          <xdr:colOff>600075</xdr:colOff>
          <xdr:row>6</xdr:row>
          <xdr:rowOff>9525</xdr:rowOff>
        </xdr:to>
        <xdr:sp macro="" textlink="">
          <xdr:nvSpPr>
            <xdr:cNvPr id="4142" name="Button 46" hidden="1">
              <a:extLst>
                <a:ext uri="{63B3BB69-23CF-44E3-9099-C40C66FF867C}">
                  <a14:compatExt spid="_x0000_s4142"/>
                </a:ext>
                <a:ext uri="{FF2B5EF4-FFF2-40B4-BE49-F238E27FC236}">
                  <a16:creationId xmlns:a16="http://schemas.microsoft.com/office/drawing/2014/main" id="{00000000-0008-0000-0300-00002E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5</xdr:row>
          <xdr:rowOff>0</xdr:rowOff>
        </xdr:from>
        <xdr:to>
          <xdr:col>22</xdr:col>
          <xdr:colOff>609600</xdr:colOff>
          <xdr:row>6</xdr:row>
          <xdr:rowOff>9525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300-00002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2</xdr:row>
          <xdr:rowOff>9525</xdr:rowOff>
        </xdr:from>
        <xdr:to>
          <xdr:col>22</xdr:col>
          <xdr:colOff>600075</xdr:colOff>
          <xdr:row>3</xdr:row>
          <xdr:rowOff>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300-00003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1</xdr:row>
          <xdr:rowOff>171450</xdr:rowOff>
        </xdr:from>
        <xdr:to>
          <xdr:col>26</xdr:col>
          <xdr:colOff>161925</xdr:colOff>
          <xdr:row>3</xdr:row>
          <xdr:rowOff>57150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300-00003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Overlay Selected Class</a:t>
              </a:r>
            </a:p>
          </xdr:txBody>
        </xdr:sp>
        <xdr:clientData fPrintsWithSheet="0"/>
      </xdr:twoCellAnchor>
    </mc:Choice>
    <mc:Fallback/>
  </mc:AlternateContent>
</xdr:wsDr>
</file>

<file path=xl/drawings/drawing7.xml><?xml version="1.0" encoding="utf-8"?>
<c:userShapes xmlns:c="http://schemas.openxmlformats.org/drawingml/2006/chart">
  <cdr:relSizeAnchor xmlns:cdr="http://schemas.openxmlformats.org/drawingml/2006/chartDrawing">
    <cdr:from>
      <cdr:x>0.01632</cdr:x>
      <cdr:y>0.0198</cdr:y>
    </cdr:from>
    <cdr:to>
      <cdr:x>0.01632</cdr:x>
      <cdr:y>0.91263</cdr:y>
    </cdr:to>
    <cdr:cxnSp macro="">
      <cdr:nvCxnSpPr>
        <cdr:cNvPr id="3" name="Straight Connector 2">
          <a:extLst xmlns:a="http://schemas.openxmlformats.org/drawingml/2006/main">
            <a:ext uri="{FF2B5EF4-FFF2-40B4-BE49-F238E27FC236}">
              <a16:creationId xmlns:a16="http://schemas.microsoft.com/office/drawing/2014/main" id="{A79977C6-062B-4D1D-912E-B763E35B3B38}"/>
            </a:ext>
          </a:extLst>
        </cdr:cNvPr>
        <cdr:cNvCxnSpPr/>
      </cdr:nvCxnSpPr>
      <cdr:spPr>
        <a:xfrm xmlns:a="http://schemas.openxmlformats.org/drawingml/2006/main" flipV="1">
          <a:off x="238125" y="138114"/>
          <a:ext cx="0" cy="6229350"/>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0.01751</cdr:x>
      <cdr:y>0</cdr:y>
    </cdr:from>
    <cdr:to>
      <cdr:x>0.01751</cdr:x>
      <cdr:y>1</cdr:y>
    </cdr:to>
    <cdr:cxnSp macro="">
      <cdr:nvCxnSpPr>
        <cdr:cNvPr id="4" name="Straight Connector 3">
          <a:extLst xmlns:a="http://schemas.openxmlformats.org/drawingml/2006/main">
            <a:ext uri="{FF2B5EF4-FFF2-40B4-BE49-F238E27FC236}">
              <a16:creationId xmlns:a16="http://schemas.microsoft.com/office/drawing/2014/main" id="{06469AFB-7441-4B4D-81A5-BF772F62E22A}"/>
            </a:ext>
          </a:extLst>
        </cdr:cNvPr>
        <cdr:cNvCxnSpPr/>
      </cdr:nvCxnSpPr>
      <cdr:spPr>
        <a:xfrm xmlns:a="http://schemas.openxmlformats.org/drawingml/2006/main" flipV="1">
          <a:off x="213150" y="0"/>
          <a:ext cx="0" cy="1295400"/>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571500</xdr:colOff>
      <xdr:row>9</xdr:row>
      <xdr:rowOff>180975</xdr:rowOff>
    </xdr:to>
    <xdr:graphicFrame macro="">
      <xdr:nvGraphicFramePr>
        <xdr:cNvPr id="2" name="Chart Chromatogram">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9525</xdr:colOff>
          <xdr:row>3</xdr:row>
          <xdr:rowOff>9525</xdr:rowOff>
        </xdr:from>
        <xdr:to>
          <xdr:col>26</xdr:col>
          <xdr:colOff>600075</xdr:colOff>
          <xdr:row>3</xdr:row>
          <xdr:rowOff>190500</xdr:rowOff>
        </xdr:to>
        <xdr:sp macro="" textlink="">
          <xdr:nvSpPr>
            <xdr:cNvPr id="12289" name="Check Box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4</xdr:row>
          <xdr:rowOff>180975</xdr:rowOff>
        </xdr:from>
        <xdr:to>
          <xdr:col>26</xdr:col>
          <xdr:colOff>600075</xdr:colOff>
          <xdr:row>5</xdr:row>
          <xdr:rowOff>180975</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7</xdr:row>
          <xdr:rowOff>0</xdr:rowOff>
        </xdr:from>
        <xdr:to>
          <xdr:col>26</xdr:col>
          <xdr:colOff>600075</xdr:colOff>
          <xdr:row>8</xdr:row>
          <xdr:rowOff>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9</xdr:row>
          <xdr:rowOff>0</xdr:rowOff>
        </xdr:from>
        <xdr:to>
          <xdr:col>26</xdr:col>
          <xdr:colOff>600075</xdr:colOff>
          <xdr:row>10</xdr:row>
          <xdr:rowOff>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NEG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15</xdr:row>
          <xdr:rowOff>19050</xdr:rowOff>
        </xdr:from>
        <xdr:to>
          <xdr:col>27</xdr:col>
          <xdr:colOff>0</xdr:colOff>
          <xdr:row>16</xdr:row>
          <xdr:rowOff>104775</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3</xdr:row>
          <xdr:rowOff>0</xdr:rowOff>
        </xdr:from>
        <xdr:to>
          <xdr:col>25</xdr:col>
          <xdr:colOff>285750</xdr:colOff>
          <xdr:row>4</xdr:row>
          <xdr:rowOff>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3</xdr:row>
          <xdr:rowOff>0</xdr:rowOff>
        </xdr:from>
        <xdr:to>
          <xdr:col>25</xdr:col>
          <xdr:colOff>609600</xdr:colOff>
          <xdr:row>4</xdr:row>
          <xdr:rowOff>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5</xdr:row>
          <xdr:rowOff>0</xdr:rowOff>
        </xdr:from>
        <xdr:to>
          <xdr:col>25</xdr:col>
          <xdr:colOff>285750</xdr:colOff>
          <xdr:row>6</xdr:row>
          <xdr:rowOff>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5</xdr:row>
          <xdr:rowOff>0</xdr:rowOff>
        </xdr:from>
        <xdr:to>
          <xdr:col>25</xdr:col>
          <xdr:colOff>609600</xdr:colOff>
          <xdr:row>6</xdr:row>
          <xdr:rowOff>0</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2</xdr:row>
          <xdr:rowOff>190500</xdr:rowOff>
        </xdr:from>
        <xdr:to>
          <xdr:col>27</xdr:col>
          <xdr:colOff>295275</xdr:colOff>
          <xdr:row>3</xdr:row>
          <xdr:rowOff>190500</xdr:rowOff>
        </xdr:to>
        <xdr:sp macro="" textlink="">
          <xdr:nvSpPr>
            <xdr:cNvPr id="12302" name="Button 14" hidden="1">
              <a:extLst>
                <a:ext uri="{63B3BB69-23CF-44E3-9099-C40C66FF867C}">
                  <a14:compatExt spid="_x0000_s12302"/>
                </a:ext>
                <a:ext uri="{FF2B5EF4-FFF2-40B4-BE49-F238E27FC236}">
                  <a16:creationId xmlns:a16="http://schemas.microsoft.com/office/drawing/2014/main" id="{00000000-0008-0000-0400-00000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2</xdr:row>
          <xdr:rowOff>190500</xdr:rowOff>
        </xdr:from>
        <xdr:to>
          <xdr:col>28</xdr:col>
          <xdr:colOff>0</xdr:colOff>
          <xdr:row>3</xdr:row>
          <xdr:rowOff>190500</xdr:rowOff>
        </xdr:to>
        <xdr:sp macro="" textlink="">
          <xdr:nvSpPr>
            <xdr:cNvPr id="12303" name="Button 15" hidden="1">
              <a:extLst>
                <a:ext uri="{63B3BB69-23CF-44E3-9099-C40C66FF867C}">
                  <a14:compatExt spid="_x0000_s12303"/>
                </a:ext>
                <a:ext uri="{FF2B5EF4-FFF2-40B4-BE49-F238E27FC236}">
                  <a16:creationId xmlns:a16="http://schemas.microsoft.com/office/drawing/2014/main" id="{00000000-0008-0000-0400-00000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200025</xdr:rowOff>
        </xdr:from>
        <xdr:to>
          <xdr:col>27</xdr:col>
          <xdr:colOff>295275</xdr:colOff>
          <xdr:row>5</xdr:row>
          <xdr:rowOff>200025</xdr:rowOff>
        </xdr:to>
        <xdr:sp macro="" textlink="">
          <xdr:nvSpPr>
            <xdr:cNvPr id="12304" name="Button 16" hidden="1">
              <a:extLst>
                <a:ext uri="{63B3BB69-23CF-44E3-9099-C40C66FF867C}">
                  <a14:compatExt spid="_x0000_s12304"/>
                </a:ext>
                <a:ext uri="{FF2B5EF4-FFF2-40B4-BE49-F238E27FC236}">
                  <a16:creationId xmlns:a16="http://schemas.microsoft.com/office/drawing/2014/main" id="{00000000-0008-0000-0400-000010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4</xdr:row>
          <xdr:rowOff>200025</xdr:rowOff>
        </xdr:from>
        <xdr:to>
          <xdr:col>28</xdr:col>
          <xdr:colOff>0</xdr:colOff>
          <xdr:row>6</xdr:row>
          <xdr:rowOff>0</xdr:rowOff>
        </xdr:to>
        <xdr:sp macro="" textlink="">
          <xdr:nvSpPr>
            <xdr:cNvPr id="12305" name="Button 17" hidden="1">
              <a:extLst>
                <a:ext uri="{63B3BB69-23CF-44E3-9099-C40C66FF867C}">
                  <a14:compatExt spid="_x0000_s12305"/>
                </a:ext>
                <a:ext uri="{FF2B5EF4-FFF2-40B4-BE49-F238E27FC236}">
                  <a16:creationId xmlns:a16="http://schemas.microsoft.com/office/drawing/2014/main" id="{00000000-0008-0000-0400-00001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19050</xdr:colOff>
          <xdr:row>11</xdr:row>
          <xdr:rowOff>0</xdr:rowOff>
        </xdr:from>
        <xdr:to>
          <xdr:col>27</xdr:col>
          <xdr:colOff>0</xdr:colOff>
          <xdr:row>11</xdr:row>
          <xdr:rowOff>190500</xdr:rowOff>
        </xdr:to>
        <xdr:sp macro="" textlink="">
          <xdr:nvSpPr>
            <xdr:cNvPr id="12310" name="Check Box 22" hidden="1">
              <a:extLst>
                <a:ext uri="{63B3BB69-23CF-44E3-9099-C40C66FF867C}">
                  <a14:compatExt spid="_x0000_s12310"/>
                </a:ext>
                <a:ext uri="{FF2B5EF4-FFF2-40B4-BE49-F238E27FC236}">
                  <a16:creationId xmlns:a16="http://schemas.microsoft.com/office/drawing/2014/main" id="{00000000-0008-0000-0400-00001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10</xdr:row>
          <xdr:rowOff>180975</xdr:rowOff>
        </xdr:from>
        <xdr:to>
          <xdr:col>27</xdr:col>
          <xdr:colOff>295275</xdr:colOff>
          <xdr:row>12</xdr:row>
          <xdr:rowOff>0</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4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10</xdr:row>
          <xdr:rowOff>180975</xdr:rowOff>
        </xdr:from>
        <xdr:to>
          <xdr:col>28</xdr:col>
          <xdr:colOff>0</xdr:colOff>
          <xdr:row>12</xdr:row>
          <xdr:rowOff>0</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4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600075</xdr:colOff>
          <xdr:row>22</xdr:row>
          <xdr:rowOff>180975</xdr:rowOff>
        </xdr:from>
        <xdr:to>
          <xdr:col>26</xdr:col>
          <xdr:colOff>600075</xdr:colOff>
          <xdr:row>25</xdr:row>
          <xdr:rowOff>0</xdr:rowOff>
        </xdr:to>
        <xdr:sp macro="" textlink="">
          <xdr:nvSpPr>
            <xdr:cNvPr id="12315" name="Button 27" hidden="1">
              <a:extLst>
                <a:ext uri="{63B3BB69-23CF-44E3-9099-C40C66FF867C}">
                  <a14:compatExt spid="_x0000_s12315"/>
                </a:ext>
                <a:ext uri="{FF2B5EF4-FFF2-40B4-BE49-F238E27FC236}">
                  <a16:creationId xmlns:a16="http://schemas.microsoft.com/office/drawing/2014/main" id="{00000000-0008-0000-0400-00001B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0</xdr:row>
          <xdr:rowOff>57150</xdr:rowOff>
        </xdr:from>
        <xdr:to>
          <xdr:col>28</xdr:col>
          <xdr:colOff>447675</xdr:colOff>
          <xdr:row>2</xdr:row>
          <xdr:rowOff>66675</xdr:rowOff>
        </xdr:to>
        <xdr:sp macro="" textlink="">
          <xdr:nvSpPr>
            <xdr:cNvPr id="12316" name="Button 28" hidden="1">
              <a:extLst>
                <a:ext uri="{63B3BB69-23CF-44E3-9099-C40C66FF867C}">
                  <a14:compatExt spid="_x0000_s12316"/>
                </a:ext>
                <a:ext uri="{FF2B5EF4-FFF2-40B4-BE49-F238E27FC236}">
                  <a16:creationId xmlns:a16="http://schemas.microsoft.com/office/drawing/2014/main" id="{00000000-0008-0000-0400-00001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xdr:row>
          <xdr:rowOff>190500</xdr:rowOff>
        </xdr:from>
        <xdr:to>
          <xdr:col>28</xdr:col>
          <xdr:colOff>447675</xdr:colOff>
          <xdr:row>3</xdr:row>
          <xdr:rowOff>190500</xdr:rowOff>
        </xdr:to>
        <xdr:sp macro="" textlink="">
          <xdr:nvSpPr>
            <xdr:cNvPr id="12317" name="Button 29" hidden="1">
              <a:extLst>
                <a:ext uri="{63B3BB69-23CF-44E3-9099-C40C66FF867C}">
                  <a14:compatExt spid="_x0000_s12317"/>
                </a:ext>
                <a:ext uri="{FF2B5EF4-FFF2-40B4-BE49-F238E27FC236}">
                  <a16:creationId xmlns:a16="http://schemas.microsoft.com/office/drawing/2014/main" id="{00000000-0008-0000-0400-00001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4</xdr:row>
          <xdr:rowOff>200025</xdr:rowOff>
        </xdr:from>
        <xdr:to>
          <xdr:col>28</xdr:col>
          <xdr:colOff>447675</xdr:colOff>
          <xdr:row>6</xdr:row>
          <xdr:rowOff>0</xdr:rowOff>
        </xdr:to>
        <xdr:sp macro="" textlink="">
          <xdr:nvSpPr>
            <xdr:cNvPr id="12318" name="Button 30" hidden="1">
              <a:extLst>
                <a:ext uri="{63B3BB69-23CF-44E3-9099-C40C66FF867C}">
                  <a14:compatExt spid="_x0000_s12318"/>
                </a:ext>
                <a:ext uri="{FF2B5EF4-FFF2-40B4-BE49-F238E27FC236}">
                  <a16:creationId xmlns:a16="http://schemas.microsoft.com/office/drawing/2014/main" id="{00000000-0008-0000-0400-00001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11</xdr:row>
          <xdr:rowOff>0</xdr:rowOff>
        </xdr:from>
        <xdr:to>
          <xdr:col>28</xdr:col>
          <xdr:colOff>447675</xdr:colOff>
          <xdr:row>12</xdr:row>
          <xdr:rowOff>0</xdr:rowOff>
        </xdr:to>
        <xdr:sp macro="" textlink="">
          <xdr:nvSpPr>
            <xdr:cNvPr id="12321" name="Button 33" hidden="1">
              <a:extLst>
                <a:ext uri="{63B3BB69-23CF-44E3-9099-C40C66FF867C}">
                  <a14:compatExt spid="_x0000_s12321"/>
                </a:ext>
                <a:ext uri="{FF2B5EF4-FFF2-40B4-BE49-F238E27FC236}">
                  <a16:creationId xmlns:a16="http://schemas.microsoft.com/office/drawing/2014/main" id="{00000000-0008-0000-0400-00002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xdr:colOff>
          <xdr:row>18</xdr:row>
          <xdr:rowOff>76200</xdr:rowOff>
        </xdr:from>
        <xdr:to>
          <xdr:col>27</xdr:col>
          <xdr:colOff>9525</xdr:colOff>
          <xdr:row>19</xdr:row>
          <xdr:rowOff>95250</xdr:rowOff>
        </xdr:to>
        <xdr:sp macro="" textlink="">
          <xdr:nvSpPr>
            <xdr:cNvPr id="12322" name="Button 34" hidden="1">
              <a:extLst>
                <a:ext uri="{63B3BB69-23CF-44E3-9099-C40C66FF867C}">
                  <a14:compatExt spid="_x0000_s12322"/>
                </a:ext>
                <a:ext uri="{FF2B5EF4-FFF2-40B4-BE49-F238E27FC236}">
                  <a16:creationId xmlns:a16="http://schemas.microsoft.com/office/drawing/2014/main" id="{00000000-0008-0000-0400-00002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18</xdr:row>
          <xdr:rowOff>76200</xdr:rowOff>
        </xdr:from>
        <xdr:to>
          <xdr:col>25</xdr:col>
          <xdr:colOff>609600</xdr:colOff>
          <xdr:row>19</xdr:row>
          <xdr:rowOff>95250</xdr:rowOff>
        </xdr:to>
        <xdr:sp macro="" textlink="">
          <xdr:nvSpPr>
            <xdr:cNvPr id="12323" name="Button 35" hidden="1">
              <a:extLst>
                <a:ext uri="{63B3BB69-23CF-44E3-9099-C40C66FF867C}">
                  <a14:compatExt spid="_x0000_s12323"/>
                </a:ext>
                <a:ext uri="{FF2B5EF4-FFF2-40B4-BE49-F238E27FC236}">
                  <a16:creationId xmlns:a16="http://schemas.microsoft.com/office/drawing/2014/main" id="{00000000-0008-0000-0400-00002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18</xdr:row>
          <xdr:rowOff>76200</xdr:rowOff>
        </xdr:from>
        <xdr:to>
          <xdr:col>29</xdr:col>
          <xdr:colOff>0</xdr:colOff>
          <xdr:row>19</xdr:row>
          <xdr:rowOff>95250</xdr:rowOff>
        </xdr:to>
        <xdr:sp macro="" textlink="">
          <xdr:nvSpPr>
            <xdr:cNvPr id="12324" name="Button 36" hidden="1">
              <a:extLst>
                <a:ext uri="{63B3BB69-23CF-44E3-9099-C40C66FF867C}">
                  <a14:compatExt spid="_x0000_s12324"/>
                </a:ext>
                <a:ext uri="{FF2B5EF4-FFF2-40B4-BE49-F238E27FC236}">
                  <a16:creationId xmlns:a16="http://schemas.microsoft.com/office/drawing/2014/main" id="{00000000-0008-0000-0400-00002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 &amp; 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21</xdr:row>
          <xdr:rowOff>104775</xdr:rowOff>
        </xdr:from>
        <xdr:to>
          <xdr:col>25</xdr:col>
          <xdr:colOff>600075</xdr:colOff>
          <xdr:row>22</xdr:row>
          <xdr:rowOff>123825</xdr:rowOff>
        </xdr:to>
        <xdr:sp macro="" textlink="">
          <xdr:nvSpPr>
            <xdr:cNvPr id="12325" name="Button 37" hidden="1">
              <a:extLst>
                <a:ext uri="{63B3BB69-23CF-44E3-9099-C40C66FF867C}">
                  <a14:compatExt spid="_x0000_s12325"/>
                </a:ext>
                <a:ext uri="{FF2B5EF4-FFF2-40B4-BE49-F238E27FC236}">
                  <a16:creationId xmlns:a16="http://schemas.microsoft.com/office/drawing/2014/main" id="{00000000-0008-0000-0400-00002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20</xdr:row>
          <xdr:rowOff>9525</xdr:rowOff>
        </xdr:from>
        <xdr:to>
          <xdr:col>29</xdr:col>
          <xdr:colOff>152400</xdr:colOff>
          <xdr:row>21</xdr:row>
          <xdr:rowOff>0</xdr:rowOff>
        </xdr:to>
        <xdr:sp macro="" textlink="">
          <xdr:nvSpPr>
            <xdr:cNvPr id="12326" name="Check Box 39" hidden="1">
              <a:extLst>
                <a:ext uri="{63B3BB69-23CF-44E3-9099-C40C66FF867C}">
                  <a14:compatExt spid="_x0000_s12326"/>
                </a:ext>
                <a:ext uri="{FF2B5EF4-FFF2-40B4-BE49-F238E27FC236}">
                  <a16:creationId xmlns:a16="http://schemas.microsoft.com/office/drawing/2014/main" id="{00000000-0008-0000-0400-000026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Skip hidden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19050</xdr:colOff>
          <xdr:row>21</xdr:row>
          <xdr:rowOff>104775</xdr:rowOff>
        </xdr:from>
        <xdr:to>
          <xdr:col>29</xdr:col>
          <xdr:colOff>0</xdr:colOff>
          <xdr:row>22</xdr:row>
          <xdr:rowOff>123825</xdr:rowOff>
        </xdr:to>
        <xdr:sp macro="" textlink="">
          <xdr:nvSpPr>
            <xdr:cNvPr id="12327" name="Button 39" hidden="1">
              <a:extLst>
                <a:ext uri="{63B3BB69-23CF-44E3-9099-C40C66FF867C}">
                  <a14:compatExt spid="_x0000_s12327"/>
                </a:ext>
                <a:ext uri="{FF2B5EF4-FFF2-40B4-BE49-F238E27FC236}">
                  <a16:creationId xmlns:a16="http://schemas.microsoft.com/office/drawing/2014/main" id="{00000000-0008-0000-0400-00002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104775</xdr:rowOff>
        </xdr:from>
        <xdr:to>
          <xdr:col>27</xdr:col>
          <xdr:colOff>19050</xdr:colOff>
          <xdr:row>22</xdr:row>
          <xdr:rowOff>123825</xdr:rowOff>
        </xdr:to>
        <xdr:sp macro="" textlink="">
          <xdr:nvSpPr>
            <xdr:cNvPr id="12332" name="Button 44" hidden="1">
              <a:extLst>
                <a:ext uri="{63B3BB69-23CF-44E3-9099-C40C66FF867C}">
                  <a14:compatExt spid="_x0000_s12332"/>
                </a:ext>
                <a:ext uri="{FF2B5EF4-FFF2-40B4-BE49-F238E27FC236}">
                  <a16:creationId xmlns:a16="http://schemas.microsoft.com/office/drawing/2014/main" id="{00000000-0008-0000-0400-00002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13</xdr:row>
          <xdr:rowOff>152400</xdr:rowOff>
        </xdr:from>
        <xdr:to>
          <xdr:col>29</xdr:col>
          <xdr:colOff>9525</xdr:colOff>
          <xdr:row>15</xdr:row>
          <xdr:rowOff>28575</xdr:rowOff>
        </xdr:to>
        <xdr:sp macro="" textlink="">
          <xdr:nvSpPr>
            <xdr:cNvPr id="12333" name="Button 45" hidden="1">
              <a:extLst>
                <a:ext uri="{63B3BB69-23CF-44E3-9099-C40C66FF867C}">
                  <a14:compatExt spid="_x0000_s12333"/>
                </a:ext>
                <a:ext uri="{FF2B5EF4-FFF2-40B4-BE49-F238E27FC236}">
                  <a16:creationId xmlns:a16="http://schemas.microsoft.com/office/drawing/2014/main" id="{00000000-0008-0000-0400-00002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15</xdr:row>
          <xdr:rowOff>38100</xdr:rowOff>
        </xdr:from>
        <xdr:to>
          <xdr:col>29</xdr:col>
          <xdr:colOff>0</xdr:colOff>
          <xdr:row>16</xdr:row>
          <xdr:rowOff>104775</xdr:rowOff>
        </xdr:to>
        <xdr:sp macro="" textlink="">
          <xdr:nvSpPr>
            <xdr:cNvPr id="12334" name="Button 46" hidden="1">
              <a:extLst>
                <a:ext uri="{63B3BB69-23CF-44E3-9099-C40C66FF867C}">
                  <a14:compatExt spid="_x0000_s12334"/>
                </a:ext>
                <a:ext uri="{FF2B5EF4-FFF2-40B4-BE49-F238E27FC236}">
                  <a16:creationId xmlns:a16="http://schemas.microsoft.com/office/drawing/2014/main" id="{00000000-0008-0000-0400-00002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ALL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34</xdr:row>
          <xdr:rowOff>142875</xdr:rowOff>
        </xdr:from>
        <xdr:to>
          <xdr:col>29</xdr:col>
          <xdr:colOff>0</xdr:colOff>
          <xdr:row>36</xdr:row>
          <xdr:rowOff>0</xdr:rowOff>
        </xdr:to>
        <xdr:sp macro="" textlink="">
          <xdr:nvSpPr>
            <xdr:cNvPr id="12335" name="Button 1" hidden="1">
              <a:extLst>
                <a:ext uri="{63B3BB69-23CF-44E3-9099-C40C66FF867C}">
                  <a14:compatExt spid="_x0000_s12335"/>
                </a:ext>
                <a:ext uri="{FF2B5EF4-FFF2-40B4-BE49-F238E27FC236}">
                  <a16:creationId xmlns:a16="http://schemas.microsoft.com/office/drawing/2014/main" id="{00000000-0008-0000-0400-00002F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Generate UV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12</xdr:row>
          <xdr:rowOff>85725</xdr:rowOff>
        </xdr:from>
        <xdr:to>
          <xdr:col>25</xdr:col>
          <xdr:colOff>600075</xdr:colOff>
          <xdr:row>13</xdr:row>
          <xdr:rowOff>85725</xdr:rowOff>
        </xdr:to>
        <xdr:sp macro="" textlink="">
          <xdr:nvSpPr>
            <xdr:cNvPr id="12336" name="Check Box 41" hidden="1">
              <a:extLst>
                <a:ext uri="{63B3BB69-23CF-44E3-9099-C40C66FF867C}">
                  <a14:compatExt spid="_x0000_s12336"/>
                </a:ext>
                <a:ext uri="{FF2B5EF4-FFF2-40B4-BE49-F238E27FC236}">
                  <a16:creationId xmlns:a16="http://schemas.microsoft.com/office/drawing/2014/main" id="{00000000-0008-0000-0400-00003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600075</xdr:colOff>
          <xdr:row>12</xdr:row>
          <xdr:rowOff>85725</xdr:rowOff>
        </xdr:from>
        <xdr:to>
          <xdr:col>26</xdr:col>
          <xdr:colOff>581025</xdr:colOff>
          <xdr:row>13</xdr:row>
          <xdr:rowOff>85725</xdr:rowOff>
        </xdr:to>
        <xdr:sp macro="" textlink="">
          <xdr:nvSpPr>
            <xdr:cNvPr id="12337" name="Check Box 42" hidden="1">
              <a:extLst>
                <a:ext uri="{63B3BB69-23CF-44E3-9099-C40C66FF867C}">
                  <a14:compatExt spid="_x0000_s12337"/>
                </a:ext>
                <a:ext uri="{FF2B5EF4-FFF2-40B4-BE49-F238E27FC236}">
                  <a16:creationId xmlns:a16="http://schemas.microsoft.com/office/drawing/2014/main" id="{00000000-0008-0000-0400-00003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RetTime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12</xdr:row>
          <xdr:rowOff>85725</xdr:rowOff>
        </xdr:from>
        <xdr:to>
          <xdr:col>27</xdr:col>
          <xdr:colOff>590550</xdr:colOff>
          <xdr:row>13</xdr:row>
          <xdr:rowOff>85725</xdr:rowOff>
        </xdr:to>
        <xdr:sp macro="" textlink="">
          <xdr:nvSpPr>
            <xdr:cNvPr id="12338" name="Check Box 43" hidden="1">
              <a:extLst>
                <a:ext uri="{63B3BB69-23CF-44E3-9099-C40C66FF867C}">
                  <a14:compatExt spid="_x0000_s12338"/>
                </a:ext>
                <a:ext uri="{FF2B5EF4-FFF2-40B4-BE49-F238E27FC236}">
                  <a16:creationId xmlns:a16="http://schemas.microsoft.com/office/drawing/2014/main" id="{00000000-0008-0000-0400-00003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27</xdr:row>
          <xdr:rowOff>0</xdr:rowOff>
        </xdr:from>
        <xdr:to>
          <xdr:col>26</xdr:col>
          <xdr:colOff>600075</xdr:colOff>
          <xdr:row>28</xdr:row>
          <xdr:rowOff>9525</xdr:rowOff>
        </xdr:to>
        <xdr:sp macro="" textlink="">
          <xdr:nvSpPr>
            <xdr:cNvPr id="12341" name="Option Button 53" hidden="1">
              <a:extLst>
                <a:ext uri="{63B3BB69-23CF-44E3-9099-C40C66FF867C}">
                  <a14:compatExt spid="_x0000_s12341"/>
                </a:ext>
                <a:ext uri="{FF2B5EF4-FFF2-40B4-BE49-F238E27FC236}">
                  <a16:creationId xmlns:a16="http://schemas.microsoft.com/office/drawing/2014/main" id="{00000000-0008-0000-0400-00003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Display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28</xdr:row>
          <xdr:rowOff>0</xdr:rowOff>
        </xdr:from>
        <xdr:to>
          <xdr:col>26</xdr:col>
          <xdr:colOff>600075</xdr:colOff>
          <xdr:row>29</xdr:row>
          <xdr:rowOff>9525</xdr:rowOff>
        </xdr:to>
        <xdr:sp macro="" textlink="">
          <xdr:nvSpPr>
            <xdr:cNvPr id="12342" name="Option Button 54" hidden="1">
              <a:extLst>
                <a:ext uri="{63B3BB69-23CF-44E3-9099-C40C66FF867C}">
                  <a14:compatExt spid="_x0000_s12342"/>
                </a:ext>
                <a:ext uri="{FF2B5EF4-FFF2-40B4-BE49-F238E27FC236}">
                  <a16:creationId xmlns:a16="http://schemas.microsoft.com/office/drawing/2014/main" id="{00000000-0008-0000-0400-00003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29</xdr:row>
          <xdr:rowOff>9525</xdr:rowOff>
        </xdr:from>
        <xdr:to>
          <xdr:col>26</xdr:col>
          <xdr:colOff>600075</xdr:colOff>
          <xdr:row>30</xdr:row>
          <xdr:rowOff>9525</xdr:rowOff>
        </xdr:to>
        <xdr:sp macro="" textlink="">
          <xdr:nvSpPr>
            <xdr:cNvPr id="12343" name="Option Button 55" hidden="1">
              <a:extLst>
                <a:ext uri="{63B3BB69-23CF-44E3-9099-C40C66FF867C}">
                  <a14:compatExt spid="_x0000_s12343"/>
                </a:ext>
                <a:ext uri="{FF2B5EF4-FFF2-40B4-BE49-F238E27FC236}">
                  <a16:creationId xmlns:a16="http://schemas.microsoft.com/office/drawing/2014/main" id="{00000000-0008-0000-0400-00003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Hide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30</xdr:row>
          <xdr:rowOff>19050</xdr:rowOff>
        </xdr:from>
        <xdr:to>
          <xdr:col>26</xdr:col>
          <xdr:colOff>600075</xdr:colOff>
          <xdr:row>31</xdr:row>
          <xdr:rowOff>19050</xdr:rowOff>
        </xdr:to>
        <xdr:sp macro="" textlink="">
          <xdr:nvSpPr>
            <xdr:cNvPr id="12344" name="Option Button 56" hidden="1">
              <a:extLst>
                <a:ext uri="{63B3BB69-23CF-44E3-9099-C40C66FF867C}">
                  <a14:compatExt spid="_x0000_s12344"/>
                </a:ext>
                <a:ext uri="{FF2B5EF4-FFF2-40B4-BE49-F238E27FC236}">
                  <a16:creationId xmlns:a16="http://schemas.microsoft.com/office/drawing/2014/main" id="{00000000-0008-0000-0400-00003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 and Hide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304800</xdr:colOff>
          <xdr:row>17</xdr:row>
          <xdr:rowOff>9525</xdr:rowOff>
        </xdr:from>
        <xdr:to>
          <xdr:col>28</xdr:col>
          <xdr:colOff>600075</xdr:colOff>
          <xdr:row>18</xdr:row>
          <xdr:rowOff>0</xdr:rowOff>
        </xdr:to>
        <xdr:sp macro="" textlink="">
          <xdr:nvSpPr>
            <xdr:cNvPr id="12346" name="Button 58" hidden="1">
              <a:extLst>
                <a:ext uri="{63B3BB69-23CF-44E3-9099-C40C66FF867C}">
                  <a14:compatExt spid="_x0000_s12346"/>
                </a:ext>
                <a:ext uri="{FF2B5EF4-FFF2-40B4-BE49-F238E27FC236}">
                  <a16:creationId xmlns:a16="http://schemas.microsoft.com/office/drawing/2014/main" id="{00000000-0008-0000-0400-00003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Next Class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26</xdr:row>
          <xdr:rowOff>171450</xdr:rowOff>
        </xdr:from>
        <xdr:to>
          <xdr:col>29</xdr:col>
          <xdr:colOff>9525</xdr:colOff>
          <xdr:row>28</xdr:row>
          <xdr:rowOff>19050</xdr:rowOff>
        </xdr:to>
        <xdr:sp macro="" textlink="">
          <xdr:nvSpPr>
            <xdr:cNvPr id="12347" name="Check Box 59" hidden="1">
              <a:extLst>
                <a:ext uri="{63B3BB69-23CF-44E3-9099-C40C66FF867C}">
                  <a14:compatExt spid="_x0000_s12347"/>
                </a:ext>
                <a:ext uri="{FF2B5EF4-FFF2-40B4-BE49-F238E27FC236}">
                  <a16:creationId xmlns:a16="http://schemas.microsoft.com/office/drawing/2014/main" id="{00000000-0008-0000-0400-00003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Show Hidden Peaks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19050</xdr:colOff>
          <xdr:row>31</xdr:row>
          <xdr:rowOff>171450</xdr:rowOff>
        </xdr:from>
        <xdr:to>
          <xdr:col>29</xdr:col>
          <xdr:colOff>0</xdr:colOff>
          <xdr:row>34</xdr:row>
          <xdr:rowOff>57150</xdr:rowOff>
        </xdr:to>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000000"/>
                  </a:solidFill>
                  <a:latin typeface="Calibri"/>
                  <a:cs typeface="Calibri"/>
                </a:rPr>
                <a:t>Update UV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0</xdr:row>
          <xdr:rowOff>57150</xdr:rowOff>
        </xdr:from>
        <xdr:to>
          <xdr:col>29</xdr:col>
          <xdr:colOff>266700</xdr:colOff>
          <xdr:row>2</xdr:row>
          <xdr:rowOff>66675</xdr:rowOff>
        </xdr:to>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2</xdr:row>
          <xdr:rowOff>190500</xdr:rowOff>
        </xdr:from>
        <xdr:to>
          <xdr:col>29</xdr:col>
          <xdr:colOff>266700</xdr:colOff>
          <xdr:row>3</xdr:row>
          <xdr:rowOff>190500</xdr:rowOff>
        </xdr:to>
        <xdr:sp macro="" textlink="">
          <xdr:nvSpPr>
            <xdr:cNvPr id="12352" name="Button 64" hidden="1">
              <a:extLst>
                <a:ext uri="{63B3BB69-23CF-44E3-9099-C40C66FF867C}">
                  <a14:compatExt spid="_x0000_s12352"/>
                </a:ext>
                <a:ext uri="{FF2B5EF4-FFF2-40B4-BE49-F238E27FC236}">
                  <a16:creationId xmlns:a16="http://schemas.microsoft.com/office/drawing/2014/main" id="{00000000-0008-0000-0400-000040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4</xdr:row>
          <xdr:rowOff>200025</xdr:rowOff>
        </xdr:from>
        <xdr:to>
          <xdr:col>29</xdr:col>
          <xdr:colOff>266700</xdr:colOff>
          <xdr:row>6</xdr:row>
          <xdr:rowOff>0</xdr:rowOff>
        </xdr:to>
        <xdr:sp macro="" textlink="">
          <xdr:nvSpPr>
            <xdr:cNvPr id="12353" name="Button 65" hidden="1">
              <a:extLst>
                <a:ext uri="{63B3BB69-23CF-44E3-9099-C40C66FF867C}">
                  <a14:compatExt spid="_x0000_s12353"/>
                </a:ext>
                <a:ext uri="{FF2B5EF4-FFF2-40B4-BE49-F238E27FC236}">
                  <a16:creationId xmlns:a16="http://schemas.microsoft.com/office/drawing/2014/main" id="{00000000-0008-0000-0400-00004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466725</xdr:colOff>
          <xdr:row>11</xdr:row>
          <xdr:rowOff>0</xdr:rowOff>
        </xdr:from>
        <xdr:to>
          <xdr:col>29</xdr:col>
          <xdr:colOff>276225</xdr:colOff>
          <xdr:row>12</xdr:row>
          <xdr:rowOff>0</xdr:rowOff>
        </xdr:to>
        <xdr:sp macro="" textlink="">
          <xdr:nvSpPr>
            <xdr:cNvPr id="12356" name="Button 68" hidden="1">
              <a:extLst>
                <a:ext uri="{63B3BB69-23CF-44E3-9099-C40C66FF867C}">
                  <a14:compatExt spid="_x0000_s12356"/>
                </a:ext>
                <a:ext uri="{FF2B5EF4-FFF2-40B4-BE49-F238E27FC236}">
                  <a16:creationId xmlns:a16="http://schemas.microsoft.com/office/drawing/2014/main" id="{00000000-0008-0000-0400-00004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209550</xdr:colOff>
          <xdr:row>27</xdr:row>
          <xdr:rowOff>180975</xdr:rowOff>
        </xdr:from>
        <xdr:to>
          <xdr:col>29</xdr:col>
          <xdr:colOff>0</xdr:colOff>
          <xdr:row>29</xdr:row>
          <xdr:rowOff>9525</xdr:rowOff>
        </xdr:to>
        <xdr:sp macro="" textlink="">
          <xdr:nvSpPr>
            <xdr:cNvPr id="12357" name="Check Box 69" hidden="1">
              <a:extLst>
                <a:ext uri="{63B3BB69-23CF-44E3-9099-C40C66FF867C}">
                  <a14:compatExt spid="_x0000_s12357"/>
                </a:ext>
                <a:ext uri="{FF2B5EF4-FFF2-40B4-BE49-F238E27FC236}">
                  <a16:creationId xmlns:a16="http://schemas.microsoft.com/office/drawing/2014/main" id="{00000000-0008-0000-0400-00004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Watermark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209550</xdr:colOff>
          <xdr:row>29</xdr:row>
          <xdr:rowOff>0</xdr:rowOff>
        </xdr:from>
        <xdr:to>
          <xdr:col>29</xdr:col>
          <xdr:colOff>0</xdr:colOff>
          <xdr:row>30</xdr:row>
          <xdr:rowOff>19050</xdr:rowOff>
        </xdr:to>
        <xdr:sp macro="" textlink="">
          <xdr:nvSpPr>
            <xdr:cNvPr id="12358" name="Check Box 70" hidden="1">
              <a:extLst>
                <a:ext uri="{63B3BB69-23CF-44E3-9099-C40C66FF867C}">
                  <a14:compatExt spid="_x0000_s12358"/>
                </a:ext>
                <a:ext uri="{FF2B5EF4-FFF2-40B4-BE49-F238E27FC236}">
                  <a16:creationId xmlns:a16="http://schemas.microsoft.com/office/drawing/2014/main" id="{00000000-0008-0000-0400-00004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Darken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19</xdr:row>
          <xdr:rowOff>114300</xdr:rowOff>
        </xdr:from>
        <xdr:to>
          <xdr:col>27</xdr:col>
          <xdr:colOff>381000</xdr:colOff>
          <xdr:row>21</xdr:row>
          <xdr:rowOff>104775</xdr:rowOff>
        </xdr:to>
        <xdr:sp macro="" textlink="">
          <xdr:nvSpPr>
            <xdr:cNvPr id="12359" name="Button 71" hidden="1">
              <a:extLst>
                <a:ext uri="{63B3BB69-23CF-44E3-9099-C40C66FF867C}">
                  <a14:compatExt spid="_x0000_s12359"/>
                </a:ext>
                <a:ext uri="{FF2B5EF4-FFF2-40B4-BE49-F238E27FC236}">
                  <a16:creationId xmlns:a16="http://schemas.microsoft.com/office/drawing/2014/main" id="{00000000-0008-0000-0400-000047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238125</xdr:colOff>
          <xdr:row>19</xdr:row>
          <xdr:rowOff>114300</xdr:rowOff>
        </xdr:from>
        <xdr:to>
          <xdr:col>25</xdr:col>
          <xdr:colOff>600075</xdr:colOff>
          <xdr:row>21</xdr:row>
          <xdr:rowOff>95250</xdr:rowOff>
        </xdr:to>
        <xdr:sp macro="" textlink="">
          <xdr:nvSpPr>
            <xdr:cNvPr id="12360" name="Button 72" hidden="1">
              <a:extLst>
                <a:ext uri="{63B3BB69-23CF-44E3-9099-C40C66FF867C}">
                  <a14:compatExt spid="_x0000_s12360"/>
                </a:ext>
                <a:ext uri="{FF2B5EF4-FFF2-40B4-BE49-F238E27FC236}">
                  <a16:creationId xmlns:a16="http://schemas.microsoft.com/office/drawing/2014/main" id="{00000000-0008-0000-0400-000048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19</xdr:row>
          <xdr:rowOff>114300</xdr:rowOff>
        </xdr:from>
        <xdr:to>
          <xdr:col>25</xdr:col>
          <xdr:colOff>228600</xdr:colOff>
          <xdr:row>21</xdr:row>
          <xdr:rowOff>95250</xdr:rowOff>
        </xdr:to>
        <xdr:sp macro="" textlink="">
          <xdr:nvSpPr>
            <xdr:cNvPr id="12361" name="Button 73" hidden="1">
              <a:extLst>
                <a:ext uri="{63B3BB69-23CF-44E3-9099-C40C66FF867C}">
                  <a14:compatExt spid="_x0000_s12361"/>
                </a:ext>
                <a:ext uri="{FF2B5EF4-FFF2-40B4-BE49-F238E27FC236}">
                  <a16:creationId xmlns:a16="http://schemas.microsoft.com/office/drawing/2014/main" id="{00000000-0008-0000-0400-000049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390525</xdr:colOff>
          <xdr:row>19</xdr:row>
          <xdr:rowOff>114300</xdr:rowOff>
        </xdr:from>
        <xdr:to>
          <xdr:col>28</xdr:col>
          <xdr:colOff>0</xdr:colOff>
          <xdr:row>21</xdr:row>
          <xdr:rowOff>104775</xdr:rowOff>
        </xdr:to>
        <xdr:sp macro="" textlink="">
          <xdr:nvSpPr>
            <xdr:cNvPr id="12362" name="Button 74" hidden="1">
              <a:extLst>
                <a:ext uri="{63B3BB69-23CF-44E3-9099-C40C66FF867C}">
                  <a14:compatExt spid="_x0000_s12362"/>
                </a:ext>
                <a:ext uri="{FF2B5EF4-FFF2-40B4-BE49-F238E27FC236}">
                  <a16:creationId xmlns:a16="http://schemas.microsoft.com/office/drawing/2014/main" id="{00000000-0008-0000-0400-00004A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&gt;&gt;</a:t>
              </a:r>
            </a:p>
          </xdr:txBody>
        </xdr:sp>
        <xdr:clientData fPrintsWithSheet="0"/>
      </xdr:twoCellAnchor>
    </mc:Choice>
    <mc:Fallback/>
  </mc:AlternateContent>
</xdr:wsDr>
</file>

<file path=xl/drawings/drawing9.xml><?xml version="1.0" encoding="utf-8"?>
<c:userShapes xmlns:c="http://schemas.openxmlformats.org/drawingml/2006/chart">
  <cdr:relSizeAnchor xmlns:cdr="http://schemas.openxmlformats.org/drawingml/2006/chartDrawing">
    <cdr:from>
      <cdr:x>0.02959</cdr:x>
      <cdr:y>0.0198</cdr:y>
    </cdr:from>
    <cdr:to>
      <cdr:x>0.03024</cdr:x>
      <cdr:y>0.79327</cdr:y>
    </cdr:to>
    <cdr:cxnSp macro="">
      <cdr:nvCxnSpPr>
        <cdr:cNvPr id="3" name="Straight Connector 2">
          <a:extLst xmlns:a="http://schemas.openxmlformats.org/drawingml/2006/main">
            <a:ext uri="{FF2B5EF4-FFF2-40B4-BE49-F238E27FC236}">
              <a16:creationId xmlns:a16="http://schemas.microsoft.com/office/drawing/2014/main" id="{0509B1DB-04CC-4C9A-8D57-8E191726CC8C}"/>
            </a:ext>
          </a:extLst>
        </cdr:cNvPr>
        <cdr:cNvCxnSpPr/>
      </cdr:nvCxnSpPr>
      <cdr:spPr>
        <a:xfrm xmlns:a="http://schemas.openxmlformats.org/drawingml/2006/main" flipV="1">
          <a:off x="431800" y="39228"/>
          <a:ext cx="9485" cy="1532399"/>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0.9158</cdr:x>
      <cdr:y>0.02105</cdr:y>
    </cdr:from>
    <cdr:to>
      <cdr:x>0.99478</cdr:x>
      <cdr:y>0.44221</cdr:y>
    </cdr:to>
    <cdr:sp macro="" textlink="">
      <cdr:nvSpPr>
        <cdr:cNvPr id="2" name="TextBox 1"/>
        <cdr:cNvSpPr txBox="1"/>
      </cdr:nvSpPr>
      <cdr:spPr>
        <a:xfrm xmlns:a="http://schemas.openxmlformats.org/drawingml/2006/main">
          <a:off x="13363628" y="39900"/>
          <a:ext cx="1152500" cy="798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210: 17
254: 21</a:t>
          </a:r>
        </a:p>
        <a:p xmlns:a="http://schemas.openxmlformats.org/drawingml/2006/main">
          <a:pPr algn="r"/>
          <a:endParaRPr lang="en-AU" sz="1000">
            <a:latin typeface="Arial" panose="020B0604020202020204" pitchFamily="34" charset="0"/>
            <a:cs typeface="Arial" panose="020B060402020202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571500</xdr:colOff>
      <xdr:row>9</xdr:row>
      <xdr:rowOff>180975</xdr:rowOff>
    </xdr:to>
    <xdr:graphicFrame macro="">
      <xdr:nvGraphicFramePr>
        <xdr:cNvPr id="2" name="Chart Chromatogram">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9525</xdr:colOff>
          <xdr:row>3</xdr:row>
          <xdr:rowOff>9525</xdr:rowOff>
        </xdr:from>
        <xdr:to>
          <xdr:col>26</xdr:col>
          <xdr:colOff>600075</xdr:colOff>
          <xdr:row>3</xdr:row>
          <xdr:rowOff>190500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4</xdr:row>
          <xdr:rowOff>180975</xdr:rowOff>
        </xdr:from>
        <xdr:to>
          <xdr:col>26</xdr:col>
          <xdr:colOff>600075</xdr:colOff>
          <xdr:row>5</xdr:row>
          <xdr:rowOff>180975</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7</xdr:row>
          <xdr:rowOff>0</xdr:rowOff>
        </xdr:from>
        <xdr:to>
          <xdr:col>26</xdr:col>
          <xdr:colOff>600075</xdr:colOff>
          <xdr:row>8</xdr:row>
          <xdr:rowOff>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5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9</xdr:row>
          <xdr:rowOff>0</xdr:rowOff>
        </xdr:from>
        <xdr:to>
          <xdr:col>26</xdr:col>
          <xdr:colOff>600075</xdr:colOff>
          <xdr:row>10</xdr:row>
          <xdr:rowOff>0</xdr:rowOff>
        </xdr:to>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5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NEG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28</xdr:col>
          <xdr:colOff>0</xdr:colOff>
          <xdr:row>14</xdr:row>
          <xdr:rowOff>9525</xdr:rowOff>
        </xdr:from>
        <xdr:to>
          <xdr:col>29</xdr:col>
          <xdr:colOff>133350</xdr:colOff>
          <xdr:row>16</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500-000005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3</xdr:row>
          <xdr:rowOff>0</xdr:rowOff>
        </xdr:from>
        <xdr:to>
          <xdr:col>25</xdr:col>
          <xdr:colOff>285750</xdr:colOff>
          <xdr:row>4</xdr:row>
          <xdr:rowOff>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3</xdr:row>
          <xdr:rowOff>0</xdr:rowOff>
        </xdr:from>
        <xdr:to>
          <xdr:col>25</xdr:col>
          <xdr:colOff>609600</xdr:colOff>
          <xdr:row>4</xdr:row>
          <xdr:rowOff>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5</xdr:row>
          <xdr:rowOff>0</xdr:rowOff>
        </xdr:from>
        <xdr:to>
          <xdr:col>25</xdr:col>
          <xdr:colOff>285750</xdr:colOff>
          <xdr:row>6</xdr:row>
          <xdr:rowOff>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500-00000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5</xdr:row>
          <xdr:rowOff>0</xdr:rowOff>
        </xdr:from>
        <xdr:to>
          <xdr:col>25</xdr:col>
          <xdr:colOff>609600</xdr:colOff>
          <xdr:row>6</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500-00000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2</xdr:row>
          <xdr:rowOff>190500</xdr:rowOff>
        </xdr:from>
        <xdr:to>
          <xdr:col>27</xdr:col>
          <xdr:colOff>295275</xdr:colOff>
          <xdr:row>3</xdr:row>
          <xdr:rowOff>190500</xdr:rowOff>
        </xdr:to>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500-00000E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2</xdr:row>
          <xdr:rowOff>190500</xdr:rowOff>
        </xdr:from>
        <xdr:to>
          <xdr:col>28</xdr:col>
          <xdr:colOff>0</xdr:colOff>
          <xdr:row>3</xdr:row>
          <xdr:rowOff>190500</xdr:rowOff>
        </xdr:to>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500-00000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200025</xdr:rowOff>
        </xdr:from>
        <xdr:to>
          <xdr:col>27</xdr:col>
          <xdr:colOff>295275</xdr:colOff>
          <xdr:row>5</xdr:row>
          <xdr:rowOff>200025</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5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4</xdr:row>
          <xdr:rowOff>200025</xdr:rowOff>
        </xdr:from>
        <xdr:to>
          <xdr:col>28</xdr:col>
          <xdr:colOff>0</xdr:colOff>
          <xdr:row>6</xdr:row>
          <xdr:rowOff>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500-00001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19050</xdr:colOff>
          <xdr:row>11</xdr:row>
          <xdr:rowOff>0</xdr:rowOff>
        </xdr:from>
        <xdr:to>
          <xdr:col>27</xdr:col>
          <xdr:colOff>0</xdr:colOff>
          <xdr:row>11</xdr:row>
          <xdr:rowOff>190500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5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10</xdr:row>
          <xdr:rowOff>180975</xdr:rowOff>
        </xdr:from>
        <xdr:to>
          <xdr:col>27</xdr:col>
          <xdr:colOff>295275</xdr:colOff>
          <xdr:row>12</xdr:row>
          <xdr:rowOff>0</xdr:rowOff>
        </xdr:to>
        <xdr:sp macro="" textlink="">
          <xdr:nvSpPr>
            <xdr:cNvPr id="16407" name="Button 23" hidden="1">
              <a:extLst>
                <a:ext uri="{63B3BB69-23CF-44E3-9099-C40C66FF867C}">
                  <a14:compatExt spid="_x0000_s16407"/>
                </a:ext>
                <a:ext uri="{FF2B5EF4-FFF2-40B4-BE49-F238E27FC236}">
                  <a16:creationId xmlns:a16="http://schemas.microsoft.com/office/drawing/2014/main" id="{00000000-0008-0000-0500-00001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10</xdr:row>
          <xdr:rowOff>180975</xdr:rowOff>
        </xdr:from>
        <xdr:to>
          <xdr:col>28</xdr:col>
          <xdr:colOff>0</xdr:colOff>
          <xdr:row>12</xdr:row>
          <xdr:rowOff>0</xdr:rowOff>
        </xdr:to>
        <xdr:sp macro="" textlink="">
          <xdr:nvSpPr>
            <xdr:cNvPr id="16408" name="Button 24" hidden="1">
              <a:extLst>
                <a:ext uri="{63B3BB69-23CF-44E3-9099-C40C66FF867C}">
                  <a14:compatExt spid="_x0000_s16408"/>
                </a:ext>
                <a:ext uri="{FF2B5EF4-FFF2-40B4-BE49-F238E27FC236}">
                  <a16:creationId xmlns:a16="http://schemas.microsoft.com/office/drawing/2014/main" id="{00000000-0008-0000-0500-00001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0</xdr:row>
          <xdr:rowOff>57150</xdr:rowOff>
        </xdr:from>
        <xdr:to>
          <xdr:col>28</xdr:col>
          <xdr:colOff>447675</xdr:colOff>
          <xdr:row>2</xdr:row>
          <xdr:rowOff>66675</xdr:rowOff>
        </xdr:to>
        <xdr:sp macro="" textlink="">
          <xdr:nvSpPr>
            <xdr:cNvPr id="16410" name="Button 28" hidden="1">
              <a:extLst>
                <a:ext uri="{63B3BB69-23CF-44E3-9099-C40C66FF867C}">
                  <a14:compatExt spid="_x0000_s16410"/>
                </a:ext>
                <a:ext uri="{FF2B5EF4-FFF2-40B4-BE49-F238E27FC236}">
                  <a16:creationId xmlns:a16="http://schemas.microsoft.com/office/drawing/2014/main" id="{00000000-0008-0000-0500-00001A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xdr:row>
          <xdr:rowOff>190500</xdr:rowOff>
        </xdr:from>
        <xdr:to>
          <xdr:col>28</xdr:col>
          <xdr:colOff>447675</xdr:colOff>
          <xdr:row>3</xdr:row>
          <xdr:rowOff>190500</xdr:rowOff>
        </xdr:to>
        <xdr:sp macro="" textlink="">
          <xdr:nvSpPr>
            <xdr:cNvPr id="16411" name="Button 29" hidden="1">
              <a:extLst>
                <a:ext uri="{63B3BB69-23CF-44E3-9099-C40C66FF867C}">
                  <a14:compatExt spid="_x0000_s16411"/>
                </a:ext>
                <a:ext uri="{FF2B5EF4-FFF2-40B4-BE49-F238E27FC236}">
                  <a16:creationId xmlns:a16="http://schemas.microsoft.com/office/drawing/2014/main" id="{00000000-0008-0000-0500-00001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4</xdr:row>
          <xdr:rowOff>200025</xdr:rowOff>
        </xdr:from>
        <xdr:to>
          <xdr:col>28</xdr:col>
          <xdr:colOff>447675</xdr:colOff>
          <xdr:row>6</xdr:row>
          <xdr:rowOff>0</xdr:rowOff>
        </xdr:to>
        <xdr:sp macro="" textlink="">
          <xdr:nvSpPr>
            <xdr:cNvPr id="16412" name="Button 30" hidden="1">
              <a:extLst>
                <a:ext uri="{63B3BB69-23CF-44E3-9099-C40C66FF867C}">
                  <a14:compatExt spid="_x0000_s16412"/>
                </a:ext>
                <a:ext uri="{FF2B5EF4-FFF2-40B4-BE49-F238E27FC236}">
                  <a16:creationId xmlns:a16="http://schemas.microsoft.com/office/drawing/2014/main" id="{00000000-0008-0000-0500-00001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11</xdr:row>
          <xdr:rowOff>0</xdr:rowOff>
        </xdr:from>
        <xdr:to>
          <xdr:col>28</xdr:col>
          <xdr:colOff>447675</xdr:colOff>
          <xdr:row>12</xdr:row>
          <xdr:rowOff>0</xdr:rowOff>
        </xdr:to>
        <xdr:sp macro="" textlink="">
          <xdr:nvSpPr>
            <xdr:cNvPr id="16415" name="Button 33" hidden="1">
              <a:extLst>
                <a:ext uri="{63B3BB69-23CF-44E3-9099-C40C66FF867C}">
                  <a14:compatExt spid="_x0000_s16415"/>
                </a:ext>
                <a:ext uri="{FF2B5EF4-FFF2-40B4-BE49-F238E27FC236}">
                  <a16:creationId xmlns:a16="http://schemas.microsoft.com/office/drawing/2014/main" id="{00000000-0008-0000-0500-00001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20</xdr:row>
          <xdr:rowOff>9525</xdr:rowOff>
        </xdr:from>
        <xdr:to>
          <xdr:col>29</xdr:col>
          <xdr:colOff>152400</xdr:colOff>
          <xdr:row>21</xdr:row>
          <xdr:rowOff>0</xdr:rowOff>
        </xdr:to>
        <xdr:sp macro="" textlink="">
          <xdr:nvSpPr>
            <xdr:cNvPr id="16420" name="Check Box 39" hidden="1">
              <a:extLst>
                <a:ext uri="{63B3BB69-23CF-44E3-9099-C40C66FF867C}">
                  <a14:compatExt spid="_x0000_s16420"/>
                </a:ext>
                <a:ext uri="{FF2B5EF4-FFF2-40B4-BE49-F238E27FC236}">
                  <a16:creationId xmlns:a16="http://schemas.microsoft.com/office/drawing/2014/main" id="{00000000-0008-0000-0500-0000244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Skip hidden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12</xdr:row>
          <xdr:rowOff>85725</xdr:rowOff>
        </xdr:from>
        <xdr:to>
          <xdr:col>25</xdr:col>
          <xdr:colOff>600075</xdr:colOff>
          <xdr:row>13</xdr:row>
          <xdr:rowOff>76200</xdr:rowOff>
        </xdr:to>
        <xdr:sp macro="" textlink="">
          <xdr:nvSpPr>
            <xdr:cNvPr id="16426" name="Check Box 41" hidden="1">
              <a:extLst>
                <a:ext uri="{63B3BB69-23CF-44E3-9099-C40C66FF867C}">
                  <a14:compatExt spid="_x0000_s16426"/>
                </a:ext>
                <a:ext uri="{FF2B5EF4-FFF2-40B4-BE49-F238E27FC236}">
                  <a16:creationId xmlns:a16="http://schemas.microsoft.com/office/drawing/2014/main" id="{00000000-0008-0000-0500-00002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600075</xdr:colOff>
          <xdr:row>12</xdr:row>
          <xdr:rowOff>85725</xdr:rowOff>
        </xdr:from>
        <xdr:to>
          <xdr:col>26</xdr:col>
          <xdr:colOff>581025</xdr:colOff>
          <xdr:row>13</xdr:row>
          <xdr:rowOff>76200</xdr:rowOff>
        </xdr:to>
        <xdr:sp macro="" textlink="">
          <xdr:nvSpPr>
            <xdr:cNvPr id="16427" name="Check Box 42" hidden="1">
              <a:extLst>
                <a:ext uri="{63B3BB69-23CF-44E3-9099-C40C66FF867C}">
                  <a14:compatExt spid="_x0000_s16427"/>
                </a:ext>
                <a:ext uri="{FF2B5EF4-FFF2-40B4-BE49-F238E27FC236}">
                  <a16:creationId xmlns:a16="http://schemas.microsoft.com/office/drawing/2014/main" id="{00000000-0008-0000-05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RetTime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12</xdr:row>
          <xdr:rowOff>85725</xdr:rowOff>
        </xdr:from>
        <xdr:to>
          <xdr:col>27</xdr:col>
          <xdr:colOff>590550</xdr:colOff>
          <xdr:row>13</xdr:row>
          <xdr:rowOff>76200</xdr:rowOff>
        </xdr:to>
        <xdr:sp macro="" textlink="">
          <xdr:nvSpPr>
            <xdr:cNvPr id="16428" name="Check Box 43" hidden="1">
              <a:extLst>
                <a:ext uri="{63B3BB69-23CF-44E3-9099-C40C66FF867C}">
                  <a14:compatExt spid="_x0000_s16428"/>
                </a:ext>
                <a:ext uri="{FF2B5EF4-FFF2-40B4-BE49-F238E27FC236}">
                  <a16:creationId xmlns:a16="http://schemas.microsoft.com/office/drawing/2014/main" id="{00000000-0008-0000-05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0</xdr:row>
          <xdr:rowOff>57150</xdr:rowOff>
        </xdr:from>
        <xdr:to>
          <xdr:col>29</xdr:col>
          <xdr:colOff>266700</xdr:colOff>
          <xdr:row>2</xdr:row>
          <xdr:rowOff>66675</xdr:rowOff>
        </xdr:to>
        <xdr:sp macro="" textlink="">
          <xdr:nvSpPr>
            <xdr:cNvPr id="16436" name="Button 50" hidden="1">
              <a:extLst>
                <a:ext uri="{63B3BB69-23CF-44E3-9099-C40C66FF867C}">
                  <a14:compatExt spid="_x0000_s16436"/>
                </a:ext>
                <a:ext uri="{FF2B5EF4-FFF2-40B4-BE49-F238E27FC236}">
                  <a16:creationId xmlns:a16="http://schemas.microsoft.com/office/drawing/2014/main" id="{00000000-0008-0000-0500-00003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2</xdr:row>
          <xdr:rowOff>190500</xdr:rowOff>
        </xdr:from>
        <xdr:to>
          <xdr:col>29</xdr:col>
          <xdr:colOff>266700</xdr:colOff>
          <xdr:row>3</xdr:row>
          <xdr:rowOff>190500</xdr:rowOff>
        </xdr:to>
        <xdr:sp macro="" textlink="">
          <xdr:nvSpPr>
            <xdr:cNvPr id="16437" name="Button 51" hidden="1">
              <a:extLst>
                <a:ext uri="{63B3BB69-23CF-44E3-9099-C40C66FF867C}">
                  <a14:compatExt spid="_x0000_s16437"/>
                </a:ext>
                <a:ext uri="{FF2B5EF4-FFF2-40B4-BE49-F238E27FC236}">
                  <a16:creationId xmlns:a16="http://schemas.microsoft.com/office/drawing/2014/main" id="{00000000-0008-0000-0500-00003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4</xdr:row>
          <xdr:rowOff>200025</xdr:rowOff>
        </xdr:from>
        <xdr:to>
          <xdr:col>29</xdr:col>
          <xdr:colOff>266700</xdr:colOff>
          <xdr:row>6</xdr:row>
          <xdr:rowOff>0</xdr:rowOff>
        </xdr:to>
        <xdr:sp macro="" textlink="">
          <xdr:nvSpPr>
            <xdr:cNvPr id="16438" name="Button 52" hidden="1">
              <a:extLst>
                <a:ext uri="{63B3BB69-23CF-44E3-9099-C40C66FF867C}">
                  <a14:compatExt spid="_x0000_s16438"/>
                </a:ext>
                <a:ext uri="{FF2B5EF4-FFF2-40B4-BE49-F238E27FC236}">
                  <a16:creationId xmlns:a16="http://schemas.microsoft.com/office/drawing/2014/main" id="{00000000-0008-0000-0500-00003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466725</xdr:colOff>
          <xdr:row>11</xdr:row>
          <xdr:rowOff>0</xdr:rowOff>
        </xdr:from>
        <xdr:to>
          <xdr:col>29</xdr:col>
          <xdr:colOff>276225</xdr:colOff>
          <xdr:row>12</xdr:row>
          <xdr:rowOff>0</xdr:rowOff>
        </xdr:to>
        <xdr:sp macro="" textlink="">
          <xdr:nvSpPr>
            <xdr:cNvPr id="16441" name="Button 55" hidden="1">
              <a:extLst>
                <a:ext uri="{63B3BB69-23CF-44E3-9099-C40C66FF867C}">
                  <a14:compatExt spid="_x0000_s16441"/>
                </a:ext>
                <a:ext uri="{FF2B5EF4-FFF2-40B4-BE49-F238E27FC236}">
                  <a16:creationId xmlns:a16="http://schemas.microsoft.com/office/drawing/2014/main" id="{00000000-0008-0000-0500-00003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19</xdr:row>
          <xdr:rowOff>114300</xdr:rowOff>
        </xdr:from>
        <xdr:to>
          <xdr:col>27</xdr:col>
          <xdr:colOff>381000</xdr:colOff>
          <xdr:row>21</xdr:row>
          <xdr:rowOff>104775</xdr:rowOff>
        </xdr:to>
        <xdr:sp macro="" textlink="">
          <xdr:nvSpPr>
            <xdr:cNvPr id="16444" name="Button 60" hidden="1">
              <a:extLst>
                <a:ext uri="{63B3BB69-23CF-44E3-9099-C40C66FF867C}">
                  <a14:compatExt spid="_x0000_s16444"/>
                </a:ext>
                <a:ext uri="{FF2B5EF4-FFF2-40B4-BE49-F238E27FC236}">
                  <a16:creationId xmlns:a16="http://schemas.microsoft.com/office/drawing/2014/main" id="{00000000-0008-0000-0500-00003C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238125</xdr:colOff>
          <xdr:row>19</xdr:row>
          <xdr:rowOff>114300</xdr:rowOff>
        </xdr:from>
        <xdr:to>
          <xdr:col>25</xdr:col>
          <xdr:colOff>600075</xdr:colOff>
          <xdr:row>21</xdr:row>
          <xdr:rowOff>95250</xdr:rowOff>
        </xdr:to>
        <xdr:sp macro="" textlink="">
          <xdr:nvSpPr>
            <xdr:cNvPr id="16445" name="Button 61" hidden="1">
              <a:extLst>
                <a:ext uri="{63B3BB69-23CF-44E3-9099-C40C66FF867C}">
                  <a14:compatExt spid="_x0000_s16445"/>
                </a:ext>
                <a:ext uri="{FF2B5EF4-FFF2-40B4-BE49-F238E27FC236}">
                  <a16:creationId xmlns:a16="http://schemas.microsoft.com/office/drawing/2014/main" id="{00000000-0008-0000-0500-00003D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19</xdr:row>
          <xdr:rowOff>114300</xdr:rowOff>
        </xdr:from>
        <xdr:to>
          <xdr:col>25</xdr:col>
          <xdr:colOff>228600</xdr:colOff>
          <xdr:row>21</xdr:row>
          <xdr:rowOff>95250</xdr:rowOff>
        </xdr:to>
        <xdr:sp macro="" textlink="">
          <xdr:nvSpPr>
            <xdr:cNvPr id="16446" name="Button 62" hidden="1">
              <a:extLst>
                <a:ext uri="{63B3BB69-23CF-44E3-9099-C40C66FF867C}">
                  <a14:compatExt spid="_x0000_s16446"/>
                </a:ext>
                <a:ext uri="{FF2B5EF4-FFF2-40B4-BE49-F238E27FC236}">
                  <a16:creationId xmlns:a16="http://schemas.microsoft.com/office/drawing/2014/main" id="{00000000-0008-0000-0500-00003E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390525</xdr:colOff>
          <xdr:row>19</xdr:row>
          <xdr:rowOff>114300</xdr:rowOff>
        </xdr:from>
        <xdr:to>
          <xdr:col>28</xdr:col>
          <xdr:colOff>0</xdr:colOff>
          <xdr:row>21</xdr:row>
          <xdr:rowOff>104775</xdr:rowOff>
        </xdr:to>
        <xdr:sp macro="" textlink="">
          <xdr:nvSpPr>
            <xdr:cNvPr id="16447" name="Button 63" hidden="1">
              <a:extLst>
                <a:ext uri="{63B3BB69-23CF-44E3-9099-C40C66FF867C}">
                  <a14:compatExt spid="_x0000_s16447"/>
                </a:ext>
                <a:ext uri="{FF2B5EF4-FFF2-40B4-BE49-F238E27FC236}">
                  <a16:creationId xmlns:a16="http://schemas.microsoft.com/office/drawing/2014/main" id="{00000000-0008-0000-0500-00003F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&gt;&gt;</a:t>
              </a:r>
            </a:p>
          </xdr:txBody>
        </xdr:sp>
        <xdr:clientData fPrintsWithSheet="0"/>
      </xdr:twoCellAnchor>
    </mc:Choice>
    <mc:Fallback/>
  </mc:AlternateContent>
  <xdr:twoCellAnchor>
    <xdr:from>
      <xdr:col>0</xdr:col>
      <xdr:colOff>28575</xdr:colOff>
      <xdr:row>10</xdr:row>
      <xdr:rowOff>0</xdr:rowOff>
    </xdr:from>
    <xdr:to>
      <xdr:col>18</xdr:col>
      <xdr:colOff>200025</xdr:colOff>
      <xdr:row>35</xdr:row>
      <xdr:rowOff>180975</xdr:rowOff>
    </xdr:to>
    <xdr:graphicFrame macro="">
      <xdr:nvGraphicFramePr>
        <xdr:cNvPr id="66" name="Chart 65">
          <a:extLst>
            <a:ext uri="{FF2B5EF4-FFF2-40B4-BE49-F238E27FC236}">
              <a16:creationId xmlns:a16="http://schemas.microsoft.com/office/drawing/2014/main" id="{00000000-0008-0000-05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552450</xdr:colOff>
          <xdr:row>23</xdr:row>
          <xdr:rowOff>9525</xdr:rowOff>
        </xdr:from>
        <xdr:to>
          <xdr:col>28</xdr:col>
          <xdr:colOff>542925</xdr:colOff>
          <xdr:row>35</xdr:row>
          <xdr:rowOff>180975</xdr:rowOff>
        </xdr:to>
        <xdr:sp macro="" textlink="">
          <xdr:nvSpPr>
            <xdr:cNvPr id="16448" name="ListBox1" hidden="1">
              <a:extLst>
                <a:ext uri="{63B3BB69-23CF-44E3-9099-C40C66FF867C}">
                  <a14:compatExt spid="_x0000_s16448"/>
                </a:ext>
                <a:ext uri="{FF2B5EF4-FFF2-40B4-BE49-F238E27FC236}">
                  <a16:creationId xmlns:a16="http://schemas.microsoft.com/office/drawing/2014/main" id="{00000000-0008-0000-0500-00004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609600</xdr:colOff>
          <xdr:row>17</xdr:row>
          <xdr:rowOff>0</xdr:rowOff>
        </xdr:from>
        <xdr:to>
          <xdr:col>26</xdr:col>
          <xdr:colOff>609600</xdr:colOff>
          <xdr:row>19</xdr:row>
          <xdr:rowOff>9525</xdr:rowOff>
        </xdr:to>
        <xdr:sp macro="" textlink="">
          <xdr:nvSpPr>
            <xdr:cNvPr id="16450" name="Button 66" hidden="1">
              <a:extLst>
                <a:ext uri="{63B3BB69-23CF-44E3-9099-C40C66FF867C}">
                  <a14:compatExt spid="_x0000_s16450"/>
                </a:ext>
                <a:ext uri="{FF2B5EF4-FFF2-40B4-BE49-F238E27FC236}">
                  <a16:creationId xmlns:a16="http://schemas.microsoft.com/office/drawing/2014/main" id="{00000000-0008-0000-0500-00004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17</xdr:row>
          <xdr:rowOff>0</xdr:rowOff>
        </xdr:from>
        <xdr:to>
          <xdr:col>28</xdr:col>
          <xdr:colOff>0</xdr:colOff>
          <xdr:row>19</xdr:row>
          <xdr:rowOff>9525</xdr:rowOff>
        </xdr:to>
        <xdr:sp macro="" textlink="">
          <xdr:nvSpPr>
            <xdr:cNvPr id="16451" name="Button 67" hidden="1">
              <a:extLst>
                <a:ext uri="{63B3BB69-23CF-44E3-9099-C40C66FF867C}">
                  <a14:compatExt spid="_x0000_s16451"/>
                </a:ext>
                <a:ext uri="{FF2B5EF4-FFF2-40B4-BE49-F238E27FC236}">
                  <a16:creationId xmlns:a16="http://schemas.microsoft.com/office/drawing/2014/main" id="{00000000-0008-0000-0500-00004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17</xdr:row>
          <xdr:rowOff>0</xdr:rowOff>
        </xdr:from>
        <xdr:to>
          <xdr:col>25</xdr:col>
          <xdr:colOff>590550</xdr:colOff>
          <xdr:row>19</xdr:row>
          <xdr:rowOff>9525</xdr:rowOff>
        </xdr:to>
        <xdr:sp macro="" textlink="">
          <xdr:nvSpPr>
            <xdr:cNvPr id="16452" name="Button 68" hidden="1">
              <a:extLst>
                <a:ext uri="{63B3BB69-23CF-44E3-9099-C40C66FF867C}">
                  <a14:compatExt spid="_x0000_s16452"/>
                </a:ext>
                <a:ext uri="{FF2B5EF4-FFF2-40B4-BE49-F238E27FC236}">
                  <a16:creationId xmlns:a16="http://schemas.microsoft.com/office/drawing/2014/main" id="{00000000-0008-0000-0500-00004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Keep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466725</xdr:colOff>
          <xdr:row>17</xdr:row>
          <xdr:rowOff>0</xdr:rowOff>
        </xdr:to>
        <xdr:sp macro="" textlink="">
          <xdr:nvSpPr>
            <xdr:cNvPr id="16457" name="Check Box 73" hidden="1">
              <a:extLst>
                <a:ext uri="{63B3BB69-23CF-44E3-9099-C40C66FF867C}">
                  <a14:compatExt spid="_x0000_s16457"/>
                </a:ext>
                <a:ext uri="{FF2B5EF4-FFF2-40B4-BE49-F238E27FC236}">
                  <a16:creationId xmlns:a16="http://schemas.microsoft.com/office/drawing/2014/main" id="{00000000-0008-0000-0500-00004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Wavelength Shift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18</xdr:row>
          <xdr:rowOff>0</xdr:rowOff>
        </xdr:from>
        <xdr:to>
          <xdr:col>20</xdr:col>
          <xdr:colOff>476250</xdr:colOff>
          <xdr:row>19</xdr:row>
          <xdr:rowOff>9525</xdr:rowOff>
        </xdr:to>
        <xdr:sp macro="" textlink="">
          <xdr:nvSpPr>
            <xdr:cNvPr id="16458" name="Check Box 74" hidden="1">
              <a:extLst>
                <a:ext uri="{63B3BB69-23CF-44E3-9099-C40C66FF867C}">
                  <a14:compatExt spid="_x0000_s16458"/>
                </a:ext>
                <a:ext uri="{FF2B5EF4-FFF2-40B4-BE49-F238E27FC236}">
                  <a16:creationId xmlns:a16="http://schemas.microsoft.com/office/drawing/2014/main" id="{00000000-0008-0000-0500-00004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Absorbance Shift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20</xdr:row>
          <xdr:rowOff>0</xdr:rowOff>
        </xdr:from>
        <xdr:to>
          <xdr:col>20</xdr:col>
          <xdr:colOff>476250</xdr:colOff>
          <xdr:row>21</xdr:row>
          <xdr:rowOff>0</xdr:rowOff>
        </xdr:to>
        <xdr:sp macro="" textlink="">
          <xdr:nvSpPr>
            <xdr:cNvPr id="16459" name="Check Box 75" hidden="1">
              <a:extLst>
                <a:ext uri="{63B3BB69-23CF-44E3-9099-C40C66FF867C}">
                  <a14:compatExt spid="_x0000_s16459"/>
                </a:ext>
                <a:ext uri="{FF2B5EF4-FFF2-40B4-BE49-F238E27FC236}">
                  <a16:creationId xmlns:a16="http://schemas.microsoft.com/office/drawing/2014/main" id="{00000000-0008-0000-0500-00004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Absorbance Scale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17</xdr:row>
          <xdr:rowOff>0</xdr:rowOff>
        </xdr:from>
        <xdr:to>
          <xdr:col>29</xdr:col>
          <xdr:colOff>266700</xdr:colOff>
          <xdr:row>18</xdr:row>
          <xdr:rowOff>9525</xdr:rowOff>
        </xdr:to>
        <xdr:sp macro="" textlink="">
          <xdr:nvSpPr>
            <xdr:cNvPr id="16460" name="Check Box 76" hidden="1">
              <a:extLst>
                <a:ext uri="{63B3BB69-23CF-44E3-9099-C40C66FF867C}">
                  <a14:compatExt spid="_x0000_s16460"/>
                </a:ext>
                <a:ext uri="{FF2B5EF4-FFF2-40B4-BE49-F238E27FC236}">
                  <a16:creationId xmlns:a16="http://schemas.microsoft.com/office/drawing/2014/main" id="{00000000-0008-0000-0500-00004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AutoSearch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18</xdr:row>
          <xdr:rowOff>0</xdr:rowOff>
        </xdr:from>
        <xdr:to>
          <xdr:col>29</xdr:col>
          <xdr:colOff>266700</xdr:colOff>
          <xdr:row>19</xdr:row>
          <xdr:rowOff>9525</xdr:rowOff>
        </xdr:to>
        <xdr:sp macro="" textlink="">
          <xdr:nvSpPr>
            <xdr:cNvPr id="16461" name="Check Box 77" hidden="1">
              <a:extLst>
                <a:ext uri="{63B3BB69-23CF-44E3-9099-C40C66FF867C}">
                  <a14:compatExt spid="_x0000_s16461"/>
                </a:ext>
                <a:ext uri="{FF2B5EF4-FFF2-40B4-BE49-F238E27FC236}">
                  <a16:creationId xmlns:a16="http://schemas.microsoft.com/office/drawing/2014/main" id="{00000000-0008-0000-0500-00004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AutoClear</a:t>
              </a:r>
            </a:p>
          </xdr:txBody>
        </xdr:sp>
        <xdr:clientData/>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0.02959</cdr:x>
      <cdr:y>0.0198</cdr:y>
    </cdr:from>
    <cdr:to>
      <cdr:x>0.03024</cdr:x>
      <cdr:y>0.79327</cdr:y>
    </cdr:to>
    <cdr:cxnSp macro="">
      <cdr:nvCxnSpPr>
        <cdr:cNvPr id="3" name="Straight Connector 2">
          <a:extLst xmlns:a="http://schemas.openxmlformats.org/drawingml/2006/main">
            <a:ext uri="{FF2B5EF4-FFF2-40B4-BE49-F238E27FC236}">
              <a16:creationId xmlns:a16="http://schemas.microsoft.com/office/drawing/2014/main" id="{EEBA3E86-F20D-4BFC-A491-25099EDC7B0E}"/>
            </a:ext>
          </a:extLst>
        </cdr:cNvPr>
        <cdr:cNvCxnSpPr/>
      </cdr:nvCxnSpPr>
      <cdr:spPr>
        <a:xfrm xmlns:a="http://schemas.openxmlformats.org/drawingml/2006/main" flipV="1">
          <a:off x="431800" y="39228"/>
          <a:ext cx="9485" cy="1532399"/>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0.9158</cdr:x>
      <cdr:y>0.02105</cdr:y>
    </cdr:from>
    <cdr:to>
      <cdr:x>0.99478</cdr:x>
      <cdr:y>0.44221</cdr:y>
    </cdr:to>
    <cdr:sp macro="" textlink="">
      <cdr:nvSpPr>
        <cdr:cNvPr id="2" name="TextBox 1"/>
        <cdr:cNvSpPr txBox="1"/>
      </cdr:nvSpPr>
      <cdr:spPr>
        <a:xfrm xmlns:a="http://schemas.openxmlformats.org/drawingml/2006/main">
          <a:off x="13363628" y="39900"/>
          <a:ext cx="1152500" cy="798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210: 17
254: 21</a:t>
          </a:r>
        </a:p>
        <a:p xmlns:a="http://schemas.openxmlformats.org/drawingml/2006/main">
          <a:pPr algn="r"/>
          <a:endParaRPr lang="en-AU" sz="1000">
            <a:latin typeface="Arial" panose="020B0604020202020204" pitchFamily="34" charset="0"/>
            <a:cs typeface="Arial" panose="020B0604020202020204" pitchFamily="34" charset="0"/>
          </a:endParaRPr>
        </a:p>
      </cdr:txBody>
    </cdr:sp>
  </cdr:relSizeAnchor>
</c:userShapes>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1390650</xdr:colOff>
          <xdr:row>4</xdr:row>
          <xdr:rowOff>180975</xdr:rowOff>
        </xdr:from>
        <xdr:to>
          <xdr:col>0</xdr:col>
          <xdr:colOff>2371725</xdr:colOff>
          <xdr:row>7</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8</xdr:row>
          <xdr:rowOff>0</xdr:rowOff>
        </xdr:from>
        <xdr:to>
          <xdr:col>0</xdr:col>
          <xdr:colOff>2371725</xdr:colOff>
          <xdr:row>10</xdr:row>
          <xdr:rowOff>9525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6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Append...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11</xdr:row>
          <xdr:rowOff>0</xdr:rowOff>
        </xdr:from>
        <xdr:to>
          <xdr:col>0</xdr:col>
          <xdr:colOff>2371725</xdr:colOff>
          <xdr:row>13</xdr:row>
          <xdr:rowOff>9525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6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14</xdr:row>
          <xdr:rowOff>9525</xdr:rowOff>
        </xdr:from>
        <xdr:to>
          <xdr:col>0</xdr:col>
          <xdr:colOff>2371725</xdr:colOff>
          <xdr:row>16</xdr:row>
          <xdr:rowOff>19050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6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xdr:row>
          <xdr:rowOff>171450</xdr:rowOff>
        </xdr:from>
        <xdr:to>
          <xdr:col>0</xdr:col>
          <xdr:colOff>2371725</xdr:colOff>
          <xdr:row>3</xdr:row>
          <xdr:rowOff>180975</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600-00000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Add Peaks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34</xdr:row>
          <xdr:rowOff>28575</xdr:rowOff>
        </xdr:from>
        <xdr:to>
          <xdr:col>1</xdr:col>
          <xdr:colOff>600075</xdr:colOff>
          <xdr:row>35</xdr:row>
          <xdr:rowOff>161925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7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Update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20</xdr:row>
          <xdr:rowOff>0</xdr:rowOff>
        </xdr:from>
        <xdr:to>
          <xdr:col>13</xdr:col>
          <xdr:colOff>581025</xdr:colOff>
          <xdr:row>21</xdr:row>
          <xdr:rowOff>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700-000004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Automatically hide bogus spectra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23</xdr:row>
          <xdr:rowOff>9525</xdr:rowOff>
        </xdr:from>
        <xdr:to>
          <xdr:col>13</xdr:col>
          <xdr:colOff>600075</xdr:colOff>
          <xdr:row>24</xdr:row>
          <xdr:rowOff>9525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7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Relax * for single mass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24</xdr:row>
          <xdr:rowOff>9525</xdr:rowOff>
        </xdr:from>
        <xdr:to>
          <xdr:col>13</xdr:col>
          <xdr:colOff>600075</xdr:colOff>
          <xdr:row>25</xdr:row>
          <xdr:rowOff>9525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700-000006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Relax min/max for single mass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1</xdr:row>
          <xdr:rowOff>180975</xdr:rowOff>
        </xdr:from>
        <xdr:to>
          <xdr:col>17</xdr:col>
          <xdr:colOff>600075</xdr:colOff>
          <xdr:row>3</xdr:row>
          <xdr:rowOff>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700-000007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Only copy visible rows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14</xdr:row>
          <xdr:rowOff>0</xdr:rowOff>
        </xdr:from>
        <xdr:to>
          <xdr:col>8</xdr:col>
          <xdr:colOff>466725</xdr:colOff>
          <xdr:row>15</xdr:row>
          <xdr:rowOff>0</xdr:rowOff>
        </xdr:to>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7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15</xdr:row>
          <xdr:rowOff>0</xdr:rowOff>
        </xdr:from>
        <xdr:to>
          <xdr:col>8</xdr:col>
          <xdr:colOff>466725</xdr:colOff>
          <xdr:row>16</xdr:row>
          <xdr:rowOff>0</xdr:rowOff>
        </xdr:to>
        <xdr:sp macro="" textlink="">
          <xdr:nvSpPr>
            <xdr:cNvPr id="2057" name="Option Button 9" hidden="1">
              <a:extLst>
                <a:ext uri="{63B3BB69-23CF-44E3-9099-C40C66FF867C}">
                  <a14:compatExt spid="_x0000_s2057"/>
                </a:ext>
                <a:ext uri="{FF2B5EF4-FFF2-40B4-BE49-F238E27FC236}">
                  <a16:creationId xmlns:a16="http://schemas.microsoft.com/office/drawing/2014/main" id="{00000000-0008-0000-07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15</xdr:row>
          <xdr:rowOff>190500</xdr:rowOff>
        </xdr:from>
        <xdr:to>
          <xdr:col>8</xdr:col>
          <xdr:colOff>466725</xdr:colOff>
          <xdr:row>16</xdr:row>
          <xdr:rowOff>190500</xdr:rowOff>
        </xdr:to>
        <xdr:sp macro="" textlink="">
          <xdr:nvSpPr>
            <xdr:cNvPr id="2058" name="Option Button 10" hidden="1">
              <a:extLst>
                <a:ext uri="{63B3BB69-23CF-44E3-9099-C40C66FF867C}">
                  <a14:compatExt spid="_x0000_s2058"/>
                </a:ext>
                <a:ext uri="{FF2B5EF4-FFF2-40B4-BE49-F238E27FC236}">
                  <a16:creationId xmlns:a16="http://schemas.microsoft.com/office/drawing/2014/main" id="{00000000-0008-0000-07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16</xdr:row>
          <xdr:rowOff>180975</xdr:rowOff>
        </xdr:from>
        <xdr:to>
          <xdr:col>8</xdr:col>
          <xdr:colOff>466725</xdr:colOff>
          <xdr:row>17</xdr:row>
          <xdr:rowOff>180975</xdr:rowOff>
        </xdr:to>
        <xdr:sp macro="" textlink="">
          <xdr:nvSpPr>
            <xdr:cNvPr id="2059" name="Option Button 11" hidden="1">
              <a:extLst>
                <a:ext uri="{63B3BB69-23CF-44E3-9099-C40C66FF867C}">
                  <a14:compatExt spid="_x0000_s2059"/>
                </a:ext>
                <a:ext uri="{FF2B5EF4-FFF2-40B4-BE49-F238E27FC236}">
                  <a16:creationId xmlns:a16="http://schemas.microsoft.com/office/drawing/2014/main" id="{00000000-0008-0000-07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17</xdr:row>
          <xdr:rowOff>190500</xdr:rowOff>
        </xdr:from>
        <xdr:to>
          <xdr:col>8</xdr:col>
          <xdr:colOff>466725</xdr:colOff>
          <xdr:row>18</xdr:row>
          <xdr:rowOff>190500</xdr:rowOff>
        </xdr:to>
        <xdr:sp macro="" textlink="">
          <xdr:nvSpPr>
            <xdr:cNvPr id="2060" name="Option Button 12" hidden="1">
              <a:extLst>
                <a:ext uri="{63B3BB69-23CF-44E3-9099-C40C66FF867C}">
                  <a14:compatExt spid="_x0000_s2060"/>
                </a:ext>
                <a:ext uri="{FF2B5EF4-FFF2-40B4-BE49-F238E27FC236}">
                  <a16:creationId xmlns:a16="http://schemas.microsoft.com/office/drawing/2014/main" id="{00000000-0008-0000-07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25</xdr:row>
          <xdr:rowOff>9525</xdr:rowOff>
        </xdr:from>
        <xdr:to>
          <xdr:col>14</xdr:col>
          <xdr:colOff>276225</xdr:colOff>
          <xdr:row>26</xdr:row>
          <xdr:rowOff>19050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700-00000D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Filter by UV-Vis during mass searches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26</xdr:row>
          <xdr:rowOff>190500</xdr:rowOff>
        </xdr:from>
        <xdr:to>
          <xdr:col>14</xdr:col>
          <xdr:colOff>38100</xdr:colOff>
          <xdr:row>28</xdr:row>
          <xdr:rowOff>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700-00000F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Filter by RT during mass searches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27</xdr:row>
          <xdr:rowOff>190500</xdr:rowOff>
        </xdr:from>
        <xdr:to>
          <xdr:col>14</xdr:col>
          <xdr:colOff>38100</xdr:colOff>
          <xdr:row>29</xdr:row>
          <xdr:rowOff>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700-000010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Filter by RT during UV-vis searches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16</xdr:row>
          <xdr:rowOff>104775</xdr:rowOff>
        </xdr:from>
        <xdr:to>
          <xdr:col>14</xdr:col>
          <xdr:colOff>285750</xdr:colOff>
          <xdr:row>17</xdr:row>
          <xdr:rowOff>114300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700-000011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Show similarity value after Dbase 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15</xdr:row>
          <xdr:rowOff>85725</xdr:rowOff>
        </xdr:from>
        <xdr:to>
          <xdr:col>14</xdr:col>
          <xdr:colOff>285750</xdr:colOff>
          <xdr:row>16</xdr:row>
          <xdr:rowOff>95250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700-000012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Show similarity value after AutoClass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24</xdr:row>
          <xdr:rowOff>180975</xdr:rowOff>
        </xdr:from>
        <xdr:to>
          <xdr:col>17</xdr:col>
          <xdr:colOff>581025</xdr:colOff>
          <xdr:row>25</xdr:row>
          <xdr:rowOff>180975</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700-000013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Restrict peaks to the following...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9525</xdr:colOff>
          <xdr:row>35</xdr:row>
          <xdr:rowOff>19050</xdr:rowOff>
        </xdr:from>
        <xdr:to>
          <xdr:col>20</xdr:col>
          <xdr:colOff>581025</xdr:colOff>
          <xdr:row>35</xdr:row>
          <xdr:rowOff>180975</xdr:rowOff>
        </xdr:to>
        <xdr:sp macro="" textlink="">
          <xdr:nvSpPr>
            <xdr:cNvPr id="2068" name="Option 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Name from Filename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9525</xdr:colOff>
          <xdr:row>36</xdr:row>
          <xdr:rowOff>19050</xdr:rowOff>
        </xdr:from>
        <xdr:to>
          <xdr:col>20</xdr:col>
          <xdr:colOff>600075</xdr:colOff>
          <xdr:row>36</xdr:row>
          <xdr:rowOff>171450</xdr:rowOff>
        </xdr:to>
        <xdr:sp macro="" textlink="">
          <xdr:nvSpPr>
            <xdr:cNvPr id="2069" name="Option 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Name from Sequence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9525</xdr:colOff>
          <xdr:row>35</xdr:row>
          <xdr:rowOff>9525</xdr:rowOff>
        </xdr:from>
        <xdr:to>
          <xdr:col>16</xdr:col>
          <xdr:colOff>371475</xdr:colOff>
          <xdr:row>35</xdr:row>
          <xdr:rowOff>180975</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700-000016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 Number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9525</xdr:colOff>
          <xdr:row>36</xdr:row>
          <xdr:rowOff>9525</xdr:rowOff>
        </xdr:from>
        <xdr:to>
          <xdr:col>16</xdr:col>
          <xdr:colOff>371475</xdr:colOff>
          <xdr:row>36</xdr:row>
          <xdr:rowOff>180975</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700-000017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 Rank</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35</xdr:row>
          <xdr:rowOff>9525</xdr:rowOff>
        </xdr:from>
        <xdr:to>
          <xdr:col>17</xdr:col>
          <xdr:colOff>590550</xdr:colOff>
          <xdr:row>35</xdr:row>
          <xdr:rowOff>180975</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700-000018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 Area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36</xdr:row>
          <xdr:rowOff>9525</xdr:rowOff>
        </xdr:from>
        <xdr:to>
          <xdr:col>17</xdr:col>
          <xdr:colOff>590550</xdr:colOff>
          <xdr:row>36</xdr:row>
          <xdr:rowOff>171450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700-000019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Pos/Neg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35</xdr:row>
          <xdr:rowOff>0</xdr:rowOff>
        </xdr:from>
        <xdr:to>
          <xdr:col>20</xdr:col>
          <xdr:colOff>600075</xdr:colOff>
          <xdr:row>36</xdr:row>
          <xdr:rowOff>190500</xdr:rowOff>
        </xdr:to>
        <xdr:sp macro="" textlink="">
          <xdr:nvSpPr>
            <xdr:cNvPr id="2074" name="Group Box 26" hidden="1">
              <a:extLst>
                <a:ext uri="{63B3BB69-23CF-44E3-9099-C40C66FF867C}">
                  <a14:compatExt spid="_x0000_s2074"/>
                </a:ext>
                <a:ext uri="{FF2B5EF4-FFF2-40B4-BE49-F238E27FC236}">
                  <a16:creationId xmlns:a16="http://schemas.microsoft.com/office/drawing/2014/main" id="{00000000-0008-0000-0700-00001A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2.vml"/><Relationship Id="rId7" Type="http://schemas.openxmlformats.org/officeDocument/2006/relationships/ctrlProp" Target="../ctrlProps/ctrlProp36.xml"/><Relationship Id="rId12" Type="http://schemas.openxmlformats.org/officeDocument/2006/relationships/ctrlProp" Target="../ctrlProps/ctrlProp4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6.xml"/><Relationship Id="rId13" Type="http://schemas.openxmlformats.org/officeDocument/2006/relationships/ctrlProp" Target="../ctrlProps/ctrlProp51.xml"/><Relationship Id="rId18" Type="http://schemas.openxmlformats.org/officeDocument/2006/relationships/ctrlProp" Target="../ctrlProps/ctrlProp56.xml"/><Relationship Id="rId26" Type="http://schemas.openxmlformats.org/officeDocument/2006/relationships/ctrlProp" Target="../ctrlProps/ctrlProp64.xml"/><Relationship Id="rId39" Type="http://schemas.openxmlformats.org/officeDocument/2006/relationships/ctrlProp" Target="../ctrlProps/ctrlProp77.xml"/><Relationship Id="rId3" Type="http://schemas.openxmlformats.org/officeDocument/2006/relationships/vmlDrawing" Target="../drawings/vmlDrawing3.vml"/><Relationship Id="rId21" Type="http://schemas.openxmlformats.org/officeDocument/2006/relationships/ctrlProp" Target="../ctrlProps/ctrlProp59.xml"/><Relationship Id="rId34" Type="http://schemas.openxmlformats.org/officeDocument/2006/relationships/ctrlProp" Target="../ctrlProps/ctrlProp72.xml"/><Relationship Id="rId42" Type="http://schemas.openxmlformats.org/officeDocument/2006/relationships/ctrlProp" Target="../ctrlProps/ctrlProp80.xml"/><Relationship Id="rId7" Type="http://schemas.openxmlformats.org/officeDocument/2006/relationships/ctrlProp" Target="../ctrlProps/ctrlProp45.xml"/><Relationship Id="rId12" Type="http://schemas.openxmlformats.org/officeDocument/2006/relationships/ctrlProp" Target="../ctrlProps/ctrlProp50.xml"/><Relationship Id="rId17" Type="http://schemas.openxmlformats.org/officeDocument/2006/relationships/ctrlProp" Target="../ctrlProps/ctrlProp55.xml"/><Relationship Id="rId25" Type="http://schemas.openxmlformats.org/officeDocument/2006/relationships/ctrlProp" Target="../ctrlProps/ctrlProp63.xml"/><Relationship Id="rId33" Type="http://schemas.openxmlformats.org/officeDocument/2006/relationships/ctrlProp" Target="../ctrlProps/ctrlProp71.xml"/><Relationship Id="rId38" Type="http://schemas.openxmlformats.org/officeDocument/2006/relationships/ctrlProp" Target="../ctrlProps/ctrlProp76.xml"/><Relationship Id="rId46" Type="http://schemas.openxmlformats.org/officeDocument/2006/relationships/ctrlProp" Target="../ctrlProps/ctrlProp84.xml"/><Relationship Id="rId2" Type="http://schemas.openxmlformats.org/officeDocument/2006/relationships/drawing" Target="../drawings/drawing3.xml"/><Relationship Id="rId16" Type="http://schemas.openxmlformats.org/officeDocument/2006/relationships/ctrlProp" Target="../ctrlProps/ctrlProp54.xml"/><Relationship Id="rId20" Type="http://schemas.openxmlformats.org/officeDocument/2006/relationships/ctrlProp" Target="../ctrlProps/ctrlProp58.xml"/><Relationship Id="rId29" Type="http://schemas.openxmlformats.org/officeDocument/2006/relationships/ctrlProp" Target="../ctrlProps/ctrlProp67.xml"/><Relationship Id="rId41" Type="http://schemas.openxmlformats.org/officeDocument/2006/relationships/ctrlProp" Target="../ctrlProps/ctrlProp79.xml"/><Relationship Id="rId1" Type="http://schemas.openxmlformats.org/officeDocument/2006/relationships/printerSettings" Target="../printerSettings/printerSettings3.bin"/><Relationship Id="rId6" Type="http://schemas.openxmlformats.org/officeDocument/2006/relationships/ctrlProp" Target="../ctrlProps/ctrlProp44.xml"/><Relationship Id="rId11" Type="http://schemas.openxmlformats.org/officeDocument/2006/relationships/ctrlProp" Target="../ctrlProps/ctrlProp49.xml"/><Relationship Id="rId24" Type="http://schemas.openxmlformats.org/officeDocument/2006/relationships/ctrlProp" Target="../ctrlProps/ctrlProp62.xml"/><Relationship Id="rId32" Type="http://schemas.openxmlformats.org/officeDocument/2006/relationships/ctrlProp" Target="../ctrlProps/ctrlProp70.xml"/><Relationship Id="rId37" Type="http://schemas.openxmlformats.org/officeDocument/2006/relationships/ctrlProp" Target="../ctrlProps/ctrlProp75.xml"/><Relationship Id="rId40" Type="http://schemas.openxmlformats.org/officeDocument/2006/relationships/ctrlProp" Target="../ctrlProps/ctrlProp78.xml"/><Relationship Id="rId45" Type="http://schemas.openxmlformats.org/officeDocument/2006/relationships/ctrlProp" Target="../ctrlProps/ctrlProp83.xml"/><Relationship Id="rId5" Type="http://schemas.openxmlformats.org/officeDocument/2006/relationships/ctrlProp" Target="../ctrlProps/ctrlProp43.xml"/><Relationship Id="rId15" Type="http://schemas.openxmlformats.org/officeDocument/2006/relationships/ctrlProp" Target="../ctrlProps/ctrlProp53.xml"/><Relationship Id="rId23" Type="http://schemas.openxmlformats.org/officeDocument/2006/relationships/ctrlProp" Target="../ctrlProps/ctrlProp61.xml"/><Relationship Id="rId28" Type="http://schemas.openxmlformats.org/officeDocument/2006/relationships/ctrlProp" Target="../ctrlProps/ctrlProp66.xml"/><Relationship Id="rId36" Type="http://schemas.openxmlformats.org/officeDocument/2006/relationships/ctrlProp" Target="../ctrlProps/ctrlProp74.xml"/><Relationship Id="rId10" Type="http://schemas.openxmlformats.org/officeDocument/2006/relationships/ctrlProp" Target="../ctrlProps/ctrlProp48.xml"/><Relationship Id="rId19" Type="http://schemas.openxmlformats.org/officeDocument/2006/relationships/ctrlProp" Target="../ctrlProps/ctrlProp57.xml"/><Relationship Id="rId31" Type="http://schemas.openxmlformats.org/officeDocument/2006/relationships/ctrlProp" Target="../ctrlProps/ctrlProp69.xml"/><Relationship Id="rId44" Type="http://schemas.openxmlformats.org/officeDocument/2006/relationships/ctrlProp" Target="../ctrlProps/ctrlProp82.xml"/><Relationship Id="rId4" Type="http://schemas.openxmlformats.org/officeDocument/2006/relationships/ctrlProp" Target="../ctrlProps/ctrlProp42.xml"/><Relationship Id="rId9" Type="http://schemas.openxmlformats.org/officeDocument/2006/relationships/ctrlProp" Target="../ctrlProps/ctrlProp47.xml"/><Relationship Id="rId14" Type="http://schemas.openxmlformats.org/officeDocument/2006/relationships/ctrlProp" Target="../ctrlProps/ctrlProp52.xml"/><Relationship Id="rId22" Type="http://schemas.openxmlformats.org/officeDocument/2006/relationships/ctrlProp" Target="../ctrlProps/ctrlProp60.xml"/><Relationship Id="rId27" Type="http://schemas.openxmlformats.org/officeDocument/2006/relationships/ctrlProp" Target="../ctrlProps/ctrlProp65.xml"/><Relationship Id="rId30" Type="http://schemas.openxmlformats.org/officeDocument/2006/relationships/ctrlProp" Target="../ctrlProps/ctrlProp68.xml"/><Relationship Id="rId35" Type="http://schemas.openxmlformats.org/officeDocument/2006/relationships/ctrlProp" Target="../ctrlProps/ctrlProp73.xml"/><Relationship Id="rId43" Type="http://schemas.openxmlformats.org/officeDocument/2006/relationships/ctrlProp" Target="../ctrlProps/ctrlProp8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9.xml"/><Relationship Id="rId13" Type="http://schemas.openxmlformats.org/officeDocument/2006/relationships/ctrlProp" Target="../ctrlProps/ctrlProp94.xml"/><Relationship Id="rId18" Type="http://schemas.openxmlformats.org/officeDocument/2006/relationships/ctrlProp" Target="../ctrlProps/ctrlProp99.xml"/><Relationship Id="rId26" Type="http://schemas.openxmlformats.org/officeDocument/2006/relationships/ctrlProp" Target="../ctrlProps/ctrlProp107.xml"/><Relationship Id="rId39" Type="http://schemas.openxmlformats.org/officeDocument/2006/relationships/ctrlProp" Target="../ctrlProps/ctrlProp120.xml"/><Relationship Id="rId3" Type="http://schemas.openxmlformats.org/officeDocument/2006/relationships/vmlDrawing" Target="../drawings/vmlDrawing4.vml"/><Relationship Id="rId21" Type="http://schemas.openxmlformats.org/officeDocument/2006/relationships/ctrlProp" Target="../ctrlProps/ctrlProp102.xml"/><Relationship Id="rId34" Type="http://schemas.openxmlformats.org/officeDocument/2006/relationships/ctrlProp" Target="../ctrlProps/ctrlProp115.xml"/><Relationship Id="rId42" Type="http://schemas.openxmlformats.org/officeDocument/2006/relationships/ctrlProp" Target="../ctrlProps/ctrlProp123.xml"/><Relationship Id="rId7" Type="http://schemas.openxmlformats.org/officeDocument/2006/relationships/ctrlProp" Target="../ctrlProps/ctrlProp88.xml"/><Relationship Id="rId12" Type="http://schemas.openxmlformats.org/officeDocument/2006/relationships/ctrlProp" Target="../ctrlProps/ctrlProp93.xml"/><Relationship Id="rId17" Type="http://schemas.openxmlformats.org/officeDocument/2006/relationships/ctrlProp" Target="../ctrlProps/ctrlProp98.xml"/><Relationship Id="rId25" Type="http://schemas.openxmlformats.org/officeDocument/2006/relationships/ctrlProp" Target="../ctrlProps/ctrlProp106.xml"/><Relationship Id="rId33" Type="http://schemas.openxmlformats.org/officeDocument/2006/relationships/ctrlProp" Target="../ctrlProps/ctrlProp114.xml"/><Relationship Id="rId38" Type="http://schemas.openxmlformats.org/officeDocument/2006/relationships/ctrlProp" Target="../ctrlProps/ctrlProp119.xml"/><Relationship Id="rId2" Type="http://schemas.openxmlformats.org/officeDocument/2006/relationships/drawing" Target="../drawings/drawing6.xml"/><Relationship Id="rId16" Type="http://schemas.openxmlformats.org/officeDocument/2006/relationships/ctrlProp" Target="../ctrlProps/ctrlProp97.xml"/><Relationship Id="rId20" Type="http://schemas.openxmlformats.org/officeDocument/2006/relationships/ctrlProp" Target="../ctrlProps/ctrlProp101.xml"/><Relationship Id="rId29" Type="http://schemas.openxmlformats.org/officeDocument/2006/relationships/ctrlProp" Target="../ctrlProps/ctrlProp110.xml"/><Relationship Id="rId41" Type="http://schemas.openxmlformats.org/officeDocument/2006/relationships/ctrlProp" Target="../ctrlProps/ctrlProp122.xml"/><Relationship Id="rId1" Type="http://schemas.openxmlformats.org/officeDocument/2006/relationships/printerSettings" Target="../printerSettings/printerSettings4.bin"/><Relationship Id="rId6" Type="http://schemas.openxmlformats.org/officeDocument/2006/relationships/ctrlProp" Target="../ctrlProps/ctrlProp87.xml"/><Relationship Id="rId11" Type="http://schemas.openxmlformats.org/officeDocument/2006/relationships/ctrlProp" Target="../ctrlProps/ctrlProp92.xml"/><Relationship Id="rId24" Type="http://schemas.openxmlformats.org/officeDocument/2006/relationships/ctrlProp" Target="../ctrlProps/ctrlProp105.xml"/><Relationship Id="rId32" Type="http://schemas.openxmlformats.org/officeDocument/2006/relationships/ctrlProp" Target="../ctrlProps/ctrlProp113.xml"/><Relationship Id="rId37" Type="http://schemas.openxmlformats.org/officeDocument/2006/relationships/ctrlProp" Target="../ctrlProps/ctrlProp118.xml"/><Relationship Id="rId40" Type="http://schemas.openxmlformats.org/officeDocument/2006/relationships/ctrlProp" Target="../ctrlProps/ctrlProp121.xml"/><Relationship Id="rId5" Type="http://schemas.openxmlformats.org/officeDocument/2006/relationships/ctrlProp" Target="../ctrlProps/ctrlProp86.xml"/><Relationship Id="rId15" Type="http://schemas.openxmlformats.org/officeDocument/2006/relationships/ctrlProp" Target="../ctrlProps/ctrlProp96.xml"/><Relationship Id="rId23" Type="http://schemas.openxmlformats.org/officeDocument/2006/relationships/ctrlProp" Target="../ctrlProps/ctrlProp104.xml"/><Relationship Id="rId28" Type="http://schemas.openxmlformats.org/officeDocument/2006/relationships/ctrlProp" Target="../ctrlProps/ctrlProp109.xml"/><Relationship Id="rId36" Type="http://schemas.openxmlformats.org/officeDocument/2006/relationships/ctrlProp" Target="../ctrlProps/ctrlProp117.xml"/><Relationship Id="rId10" Type="http://schemas.openxmlformats.org/officeDocument/2006/relationships/ctrlProp" Target="../ctrlProps/ctrlProp91.xml"/><Relationship Id="rId19" Type="http://schemas.openxmlformats.org/officeDocument/2006/relationships/ctrlProp" Target="../ctrlProps/ctrlProp100.xml"/><Relationship Id="rId31" Type="http://schemas.openxmlformats.org/officeDocument/2006/relationships/ctrlProp" Target="../ctrlProps/ctrlProp112.xml"/><Relationship Id="rId4" Type="http://schemas.openxmlformats.org/officeDocument/2006/relationships/ctrlProp" Target="../ctrlProps/ctrlProp85.xml"/><Relationship Id="rId9" Type="http://schemas.openxmlformats.org/officeDocument/2006/relationships/ctrlProp" Target="../ctrlProps/ctrlProp90.xml"/><Relationship Id="rId14" Type="http://schemas.openxmlformats.org/officeDocument/2006/relationships/ctrlProp" Target="../ctrlProps/ctrlProp95.xml"/><Relationship Id="rId22" Type="http://schemas.openxmlformats.org/officeDocument/2006/relationships/ctrlProp" Target="../ctrlProps/ctrlProp103.xml"/><Relationship Id="rId27" Type="http://schemas.openxmlformats.org/officeDocument/2006/relationships/ctrlProp" Target="../ctrlProps/ctrlProp108.xml"/><Relationship Id="rId30" Type="http://schemas.openxmlformats.org/officeDocument/2006/relationships/ctrlProp" Target="../ctrlProps/ctrlProp111.xml"/><Relationship Id="rId35" Type="http://schemas.openxmlformats.org/officeDocument/2006/relationships/ctrlProp" Target="../ctrlProps/ctrlProp116.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34.xml"/><Relationship Id="rId18" Type="http://schemas.openxmlformats.org/officeDocument/2006/relationships/ctrlProp" Target="../ctrlProps/ctrlProp139.xml"/><Relationship Id="rId26" Type="http://schemas.openxmlformats.org/officeDocument/2006/relationships/ctrlProp" Target="../ctrlProps/ctrlProp147.xml"/><Relationship Id="rId39" Type="http://schemas.openxmlformats.org/officeDocument/2006/relationships/ctrlProp" Target="../ctrlProps/ctrlProp160.xml"/><Relationship Id="rId3" Type="http://schemas.openxmlformats.org/officeDocument/2006/relationships/ctrlProp" Target="../ctrlProps/ctrlProp124.xml"/><Relationship Id="rId21" Type="http://schemas.openxmlformats.org/officeDocument/2006/relationships/ctrlProp" Target="../ctrlProps/ctrlProp142.xml"/><Relationship Id="rId34" Type="http://schemas.openxmlformats.org/officeDocument/2006/relationships/ctrlProp" Target="../ctrlProps/ctrlProp155.xml"/><Relationship Id="rId42" Type="http://schemas.openxmlformats.org/officeDocument/2006/relationships/ctrlProp" Target="../ctrlProps/ctrlProp163.xml"/><Relationship Id="rId47" Type="http://schemas.openxmlformats.org/officeDocument/2006/relationships/ctrlProp" Target="../ctrlProps/ctrlProp168.xml"/><Relationship Id="rId50" Type="http://schemas.openxmlformats.org/officeDocument/2006/relationships/ctrlProp" Target="../ctrlProps/ctrlProp171.xml"/><Relationship Id="rId7" Type="http://schemas.openxmlformats.org/officeDocument/2006/relationships/ctrlProp" Target="../ctrlProps/ctrlProp128.xml"/><Relationship Id="rId12" Type="http://schemas.openxmlformats.org/officeDocument/2006/relationships/ctrlProp" Target="../ctrlProps/ctrlProp133.xml"/><Relationship Id="rId17" Type="http://schemas.openxmlformats.org/officeDocument/2006/relationships/ctrlProp" Target="../ctrlProps/ctrlProp138.xml"/><Relationship Id="rId25" Type="http://schemas.openxmlformats.org/officeDocument/2006/relationships/ctrlProp" Target="../ctrlProps/ctrlProp146.xml"/><Relationship Id="rId33" Type="http://schemas.openxmlformats.org/officeDocument/2006/relationships/ctrlProp" Target="../ctrlProps/ctrlProp154.xml"/><Relationship Id="rId38" Type="http://schemas.openxmlformats.org/officeDocument/2006/relationships/ctrlProp" Target="../ctrlProps/ctrlProp159.xml"/><Relationship Id="rId46" Type="http://schemas.openxmlformats.org/officeDocument/2006/relationships/ctrlProp" Target="../ctrlProps/ctrlProp167.xml"/><Relationship Id="rId2" Type="http://schemas.openxmlformats.org/officeDocument/2006/relationships/vmlDrawing" Target="../drawings/vmlDrawing5.vml"/><Relationship Id="rId16" Type="http://schemas.openxmlformats.org/officeDocument/2006/relationships/ctrlProp" Target="../ctrlProps/ctrlProp137.xml"/><Relationship Id="rId20" Type="http://schemas.openxmlformats.org/officeDocument/2006/relationships/ctrlProp" Target="../ctrlProps/ctrlProp141.xml"/><Relationship Id="rId29" Type="http://schemas.openxmlformats.org/officeDocument/2006/relationships/ctrlProp" Target="../ctrlProps/ctrlProp150.xml"/><Relationship Id="rId41" Type="http://schemas.openxmlformats.org/officeDocument/2006/relationships/ctrlProp" Target="../ctrlProps/ctrlProp162.xml"/><Relationship Id="rId1" Type="http://schemas.openxmlformats.org/officeDocument/2006/relationships/drawing" Target="../drawings/drawing8.xml"/><Relationship Id="rId6" Type="http://schemas.openxmlformats.org/officeDocument/2006/relationships/ctrlProp" Target="../ctrlProps/ctrlProp127.xml"/><Relationship Id="rId11" Type="http://schemas.openxmlformats.org/officeDocument/2006/relationships/ctrlProp" Target="../ctrlProps/ctrlProp132.xml"/><Relationship Id="rId24" Type="http://schemas.openxmlformats.org/officeDocument/2006/relationships/ctrlProp" Target="../ctrlProps/ctrlProp145.xml"/><Relationship Id="rId32" Type="http://schemas.openxmlformats.org/officeDocument/2006/relationships/ctrlProp" Target="../ctrlProps/ctrlProp153.xml"/><Relationship Id="rId37" Type="http://schemas.openxmlformats.org/officeDocument/2006/relationships/ctrlProp" Target="../ctrlProps/ctrlProp158.xml"/><Relationship Id="rId40" Type="http://schemas.openxmlformats.org/officeDocument/2006/relationships/ctrlProp" Target="../ctrlProps/ctrlProp161.xml"/><Relationship Id="rId45" Type="http://schemas.openxmlformats.org/officeDocument/2006/relationships/ctrlProp" Target="../ctrlProps/ctrlProp166.xml"/><Relationship Id="rId53" Type="http://schemas.openxmlformats.org/officeDocument/2006/relationships/ctrlProp" Target="../ctrlProps/ctrlProp174.xml"/><Relationship Id="rId5" Type="http://schemas.openxmlformats.org/officeDocument/2006/relationships/ctrlProp" Target="../ctrlProps/ctrlProp126.xml"/><Relationship Id="rId15" Type="http://schemas.openxmlformats.org/officeDocument/2006/relationships/ctrlProp" Target="../ctrlProps/ctrlProp136.xml"/><Relationship Id="rId23" Type="http://schemas.openxmlformats.org/officeDocument/2006/relationships/ctrlProp" Target="../ctrlProps/ctrlProp144.xml"/><Relationship Id="rId28" Type="http://schemas.openxmlformats.org/officeDocument/2006/relationships/ctrlProp" Target="../ctrlProps/ctrlProp149.xml"/><Relationship Id="rId36" Type="http://schemas.openxmlformats.org/officeDocument/2006/relationships/ctrlProp" Target="../ctrlProps/ctrlProp157.xml"/><Relationship Id="rId49" Type="http://schemas.openxmlformats.org/officeDocument/2006/relationships/ctrlProp" Target="../ctrlProps/ctrlProp170.xml"/><Relationship Id="rId10" Type="http://schemas.openxmlformats.org/officeDocument/2006/relationships/ctrlProp" Target="../ctrlProps/ctrlProp131.xml"/><Relationship Id="rId19" Type="http://schemas.openxmlformats.org/officeDocument/2006/relationships/ctrlProp" Target="../ctrlProps/ctrlProp140.xml"/><Relationship Id="rId31" Type="http://schemas.openxmlformats.org/officeDocument/2006/relationships/ctrlProp" Target="../ctrlProps/ctrlProp152.xml"/><Relationship Id="rId44" Type="http://schemas.openxmlformats.org/officeDocument/2006/relationships/ctrlProp" Target="../ctrlProps/ctrlProp165.xml"/><Relationship Id="rId52" Type="http://schemas.openxmlformats.org/officeDocument/2006/relationships/ctrlProp" Target="../ctrlProps/ctrlProp173.xml"/><Relationship Id="rId4" Type="http://schemas.openxmlformats.org/officeDocument/2006/relationships/ctrlProp" Target="../ctrlProps/ctrlProp125.xml"/><Relationship Id="rId9" Type="http://schemas.openxmlformats.org/officeDocument/2006/relationships/ctrlProp" Target="../ctrlProps/ctrlProp130.xml"/><Relationship Id="rId14" Type="http://schemas.openxmlformats.org/officeDocument/2006/relationships/ctrlProp" Target="../ctrlProps/ctrlProp135.xml"/><Relationship Id="rId22" Type="http://schemas.openxmlformats.org/officeDocument/2006/relationships/ctrlProp" Target="../ctrlProps/ctrlProp143.xml"/><Relationship Id="rId27" Type="http://schemas.openxmlformats.org/officeDocument/2006/relationships/ctrlProp" Target="../ctrlProps/ctrlProp148.xml"/><Relationship Id="rId30" Type="http://schemas.openxmlformats.org/officeDocument/2006/relationships/ctrlProp" Target="../ctrlProps/ctrlProp151.xml"/><Relationship Id="rId35" Type="http://schemas.openxmlformats.org/officeDocument/2006/relationships/ctrlProp" Target="../ctrlProps/ctrlProp156.xml"/><Relationship Id="rId43" Type="http://schemas.openxmlformats.org/officeDocument/2006/relationships/ctrlProp" Target="../ctrlProps/ctrlProp164.xml"/><Relationship Id="rId48" Type="http://schemas.openxmlformats.org/officeDocument/2006/relationships/ctrlProp" Target="../ctrlProps/ctrlProp169.xml"/><Relationship Id="rId8" Type="http://schemas.openxmlformats.org/officeDocument/2006/relationships/ctrlProp" Target="../ctrlProps/ctrlProp129.xml"/><Relationship Id="rId51" Type="http://schemas.openxmlformats.org/officeDocument/2006/relationships/ctrlProp" Target="../ctrlProps/ctrlProp17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78.xml"/><Relationship Id="rId13" Type="http://schemas.openxmlformats.org/officeDocument/2006/relationships/ctrlProp" Target="../ctrlProps/ctrlProp183.xml"/><Relationship Id="rId18" Type="http://schemas.openxmlformats.org/officeDocument/2006/relationships/ctrlProp" Target="../ctrlProps/ctrlProp188.xml"/><Relationship Id="rId26" Type="http://schemas.openxmlformats.org/officeDocument/2006/relationships/ctrlProp" Target="../ctrlProps/ctrlProp196.xml"/><Relationship Id="rId39" Type="http://schemas.openxmlformats.org/officeDocument/2006/relationships/ctrlProp" Target="../ctrlProps/ctrlProp209.xml"/><Relationship Id="rId3" Type="http://schemas.openxmlformats.org/officeDocument/2006/relationships/control" Target="../activeX/activeX1.xml"/><Relationship Id="rId21" Type="http://schemas.openxmlformats.org/officeDocument/2006/relationships/ctrlProp" Target="../ctrlProps/ctrlProp191.xml"/><Relationship Id="rId34" Type="http://schemas.openxmlformats.org/officeDocument/2006/relationships/ctrlProp" Target="../ctrlProps/ctrlProp204.xml"/><Relationship Id="rId42" Type="http://schemas.openxmlformats.org/officeDocument/2006/relationships/ctrlProp" Target="../ctrlProps/ctrlProp212.xml"/><Relationship Id="rId7" Type="http://schemas.openxmlformats.org/officeDocument/2006/relationships/ctrlProp" Target="../ctrlProps/ctrlProp177.xml"/><Relationship Id="rId12" Type="http://schemas.openxmlformats.org/officeDocument/2006/relationships/ctrlProp" Target="../ctrlProps/ctrlProp182.xml"/><Relationship Id="rId17" Type="http://schemas.openxmlformats.org/officeDocument/2006/relationships/ctrlProp" Target="../ctrlProps/ctrlProp187.xml"/><Relationship Id="rId25" Type="http://schemas.openxmlformats.org/officeDocument/2006/relationships/ctrlProp" Target="../ctrlProps/ctrlProp195.xml"/><Relationship Id="rId33" Type="http://schemas.openxmlformats.org/officeDocument/2006/relationships/ctrlProp" Target="../ctrlProps/ctrlProp203.xml"/><Relationship Id="rId38" Type="http://schemas.openxmlformats.org/officeDocument/2006/relationships/ctrlProp" Target="../ctrlProps/ctrlProp208.xml"/><Relationship Id="rId2" Type="http://schemas.openxmlformats.org/officeDocument/2006/relationships/vmlDrawing" Target="../drawings/vmlDrawing6.vml"/><Relationship Id="rId16" Type="http://schemas.openxmlformats.org/officeDocument/2006/relationships/ctrlProp" Target="../ctrlProps/ctrlProp186.xml"/><Relationship Id="rId20" Type="http://schemas.openxmlformats.org/officeDocument/2006/relationships/ctrlProp" Target="../ctrlProps/ctrlProp190.xml"/><Relationship Id="rId29" Type="http://schemas.openxmlformats.org/officeDocument/2006/relationships/ctrlProp" Target="../ctrlProps/ctrlProp199.xml"/><Relationship Id="rId41" Type="http://schemas.openxmlformats.org/officeDocument/2006/relationships/ctrlProp" Target="../ctrlProps/ctrlProp211.xml"/><Relationship Id="rId1" Type="http://schemas.openxmlformats.org/officeDocument/2006/relationships/drawing" Target="../drawings/drawing10.xml"/><Relationship Id="rId6" Type="http://schemas.openxmlformats.org/officeDocument/2006/relationships/ctrlProp" Target="../ctrlProps/ctrlProp176.xml"/><Relationship Id="rId11" Type="http://schemas.openxmlformats.org/officeDocument/2006/relationships/ctrlProp" Target="../ctrlProps/ctrlProp181.xml"/><Relationship Id="rId24" Type="http://schemas.openxmlformats.org/officeDocument/2006/relationships/ctrlProp" Target="../ctrlProps/ctrlProp194.xml"/><Relationship Id="rId32" Type="http://schemas.openxmlformats.org/officeDocument/2006/relationships/ctrlProp" Target="../ctrlProps/ctrlProp202.xml"/><Relationship Id="rId37" Type="http://schemas.openxmlformats.org/officeDocument/2006/relationships/ctrlProp" Target="../ctrlProps/ctrlProp207.xml"/><Relationship Id="rId40" Type="http://schemas.openxmlformats.org/officeDocument/2006/relationships/ctrlProp" Target="../ctrlProps/ctrlProp210.xml"/><Relationship Id="rId5" Type="http://schemas.openxmlformats.org/officeDocument/2006/relationships/ctrlProp" Target="../ctrlProps/ctrlProp175.xml"/><Relationship Id="rId15" Type="http://schemas.openxmlformats.org/officeDocument/2006/relationships/ctrlProp" Target="../ctrlProps/ctrlProp185.xml"/><Relationship Id="rId23" Type="http://schemas.openxmlformats.org/officeDocument/2006/relationships/ctrlProp" Target="../ctrlProps/ctrlProp193.xml"/><Relationship Id="rId28" Type="http://schemas.openxmlformats.org/officeDocument/2006/relationships/ctrlProp" Target="../ctrlProps/ctrlProp198.xml"/><Relationship Id="rId36" Type="http://schemas.openxmlformats.org/officeDocument/2006/relationships/ctrlProp" Target="../ctrlProps/ctrlProp206.xml"/><Relationship Id="rId10" Type="http://schemas.openxmlformats.org/officeDocument/2006/relationships/ctrlProp" Target="../ctrlProps/ctrlProp180.xml"/><Relationship Id="rId19" Type="http://schemas.openxmlformats.org/officeDocument/2006/relationships/ctrlProp" Target="../ctrlProps/ctrlProp189.xml"/><Relationship Id="rId31" Type="http://schemas.openxmlformats.org/officeDocument/2006/relationships/ctrlProp" Target="../ctrlProps/ctrlProp201.xml"/><Relationship Id="rId44" Type="http://schemas.openxmlformats.org/officeDocument/2006/relationships/ctrlProp" Target="../ctrlProps/ctrlProp214.xml"/><Relationship Id="rId4" Type="http://schemas.openxmlformats.org/officeDocument/2006/relationships/image" Target="../media/image1.emf"/><Relationship Id="rId9" Type="http://schemas.openxmlformats.org/officeDocument/2006/relationships/ctrlProp" Target="../ctrlProps/ctrlProp179.xml"/><Relationship Id="rId14" Type="http://schemas.openxmlformats.org/officeDocument/2006/relationships/ctrlProp" Target="../ctrlProps/ctrlProp184.xml"/><Relationship Id="rId22" Type="http://schemas.openxmlformats.org/officeDocument/2006/relationships/ctrlProp" Target="../ctrlProps/ctrlProp192.xml"/><Relationship Id="rId27" Type="http://schemas.openxmlformats.org/officeDocument/2006/relationships/ctrlProp" Target="../ctrlProps/ctrlProp197.xml"/><Relationship Id="rId30" Type="http://schemas.openxmlformats.org/officeDocument/2006/relationships/ctrlProp" Target="../ctrlProps/ctrlProp200.xml"/><Relationship Id="rId35" Type="http://schemas.openxmlformats.org/officeDocument/2006/relationships/ctrlProp" Target="../ctrlProps/ctrlProp205.xml"/><Relationship Id="rId43" Type="http://schemas.openxmlformats.org/officeDocument/2006/relationships/ctrlProp" Target="../ctrlProps/ctrlProp21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15.xml"/><Relationship Id="rId7" Type="http://schemas.openxmlformats.org/officeDocument/2006/relationships/ctrlProp" Target="../ctrlProps/ctrlProp219.xml"/><Relationship Id="rId2" Type="http://schemas.openxmlformats.org/officeDocument/2006/relationships/vmlDrawing" Target="../drawings/vmlDrawing7.vml"/><Relationship Id="rId1" Type="http://schemas.openxmlformats.org/officeDocument/2006/relationships/drawing" Target="../drawings/drawing12.xml"/><Relationship Id="rId6" Type="http://schemas.openxmlformats.org/officeDocument/2006/relationships/ctrlProp" Target="../ctrlProps/ctrlProp218.xml"/><Relationship Id="rId5" Type="http://schemas.openxmlformats.org/officeDocument/2006/relationships/ctrlProp" Target="../ctrlProps/ctrlProp217.xml"/><Relationship Id="rId4" Type="http://schemas.openxmlformats.org/officeDocument/2006/relationships/ctrlProp" Target="../ctrlProps/ctrlProp2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4.xml"/><Relationship Id="rId13" Type="http://schemas.openxmlformats.org/officeDocument/2006/relationships/ctrlProp" Target="../ctrlProps/ctrlProp229.xml"/><Relationship Id="rId18" Type="http://schemas.openxmlformats.org/officeDocument/2006/relationships/ctrlProp" Target="../ctrlProps/ctrlProp234.xml"/><Relationship Id="rId26" Type="http://schemas.openxmlformats.org/officeDocument/2006/relationships/ctrlProp" Target="../ctrlProps/ctrlProp242.xml"/><Relationship Id="rId3" Type="http://schemas.openxmlformats.org/officeDocument/2006/relationships/vmlDrawing" Target="../drawings/vmlDrawing8.vml"/><Relationship Id="rId21" Type="http://schemas.openxmlformats.org/officeDocument/2006/relationships/ctrlProp" Target="../ctrlProps/ctrlProp237.xml"/><Relationship Id="rId7" Type="http://schemas.openxmlformats.org/officeDocument/2006/relationships/ctrlProp" Target="../ctrlProps/ctrlProp223.xml"/><Relationship Id="rId12" Type="http://schemas.openxmlformats.org/officeDocument/2006/relationships/ctrlProp" Target="../ctrlProps/ctrlProp228.xml"/><Relationship Id="rId17" Type="http://schemas.openxmlformats.org/officeDocument/2006/relationships/ctrlProp" Target="../ctrlProps/ctrlProp233.xml"/><Relationship Id="rId25" Type="http://schemas.openxmlformats.org/officeDocument/2006/relationships/ctrlProp" Target="../ctrlProps/ctrlProp241.xml"/><Relationship Id="rId2" Type="http://schemas.openxmlformats.org/officeDocument/2006/relationships/drawing" Target="../drawings/drawing13.xml"/><Relationship Id="rId16" Type="http://schemas.openxmlformats.org/officeDocument/2006/relationships/ctrlProp" Target="../ctrlProps/ctrlProp232.xml"/><Relationship Id="rId20" Type="http://schemas.openxmlformats.org/officeDocument/2006/relationships/ctrlProp" Target="../ctrlProps/ctrlProp236.xml"/><Relationship Id="rId1" Type="http://schemas.openxmlformats.org/officeDocument/2006/relationships/printerSettings" Target="../printerSettings/printerSettings5.bin"/><Relationship Id="rId6" Type="http://schemas.openxmlformats.org/officeDocument/2006/relationships/ctrlProp" Target="../ctrlProps/ctrlProp222.xml"/><Relationship Id="rId11" Type="http://schemas.openxmlformats.org/officeDocument/2006/relationships/ctrlProp" Target="../ctrlProps/ctrlProp227.xml"/><Relationship Id="rId24" Type="http://schemas.openxmlformats.org/officeDocument/2006/relationships/ctrlProp" Target="../ctrlProps/ctrlProp240.xml"/><Relationship Id="rId5" Type="http://schemas.openxmlformats.org/officeDocument/2006/relationships/ctrlProp" Target="../ctrlProps/ctrlProp221.xml"/><Relationship Id="rId15" Type="http://schemas.openxmlformats.org/officeDocument/2006/relationships/ctrlProp" Target="../ctrlProps/ctrlProp231.xml"/><Relationship Id="rId23" Type="http://schemas.openxmlformats.org/officeDocument/2006/relationships/ctrlProp" Target="../ctrlProps/ctrlProp239.xml"/><Relationship Id="rId10" Type="http://schemas.openxmlformats.org/officeDocument/2006/relationships/ctrlProp" Target="../ctrlProps/ctrlProp226.xml"/><Relationship Id="rId19" Type="http://schemas.openxmlformats.org/officeDocument/2006/relationships/ctrlProp" Target="../ctrlProps/ctrlProp235.xml"/><Relationship Id="rId4" Type="http://schemas.openxmlformats.org/officeDocument/2006/relationships/ctrlProp" Target="../ctrlProps/ctrlProp220.xml"/><Relationship Id="rId9" Type="http://schemas.openxmlformats.org/officeDocument/2006/relationships/ctrlProp" Target="../ctrlProps/ctrlProp225.xml"/><Relationship Id="rId14" Type="http://schemas.openxmlformats.org/officeDocument/2006/relationships/ctrlProp" Target="../ctrlProps/ctrlProp230.xml"/><Relationship Id="rId22" Type="http://schemas.openxmlformats.org/officeDocument/2006/relationships/ctrlProp" Target="../ctrlProps/ctrlProp2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300"/>
  <sheetViews>
    <sheetView tabSelected="1" zoomScaleNormal="100" workbookViewId="0"/>
  </sheetViews>
  <sheetFormatPr defaultColWidth="9.140625" defaultRowHeight="123" customHeight="1" x14ac:dyDescent="0.25"/>
  <cols>
    <col min="1" max="1" width="8.7109375" style="21" customWidth="1"/>
    <col min="2" max="6" width="14.28515625" style="21" customWidth="1"/>
    <col min="7" max="8" width="16.85546875" style="21" hidden="1" customWidth="1"/>
    <col min="9" max="11" width="16.85546875" style="21" customWidth="1"/>
    <col min="12" max="12" width="29.140625" style="21" customWidth="1"/>
    <col min="13" max="13" width="4.5703125" style="21" customWidth="1"/>
    <col min="14" max="14" width="40.85546875" style="21" customWidth="1"/>
    <col min="15" max="16" width="40.85546875" style="21" hidden="1" customWidth="1"/>
    <col min="17" max="18" width="14.28515625" style="24" customWidth="1"/>
    <col min="19" max="19" width="41.5703125" style="24" customWidth="1"/>
    <col min="20" max="20" width="43.85546875" style="24" customWidth="1"/>
    <col min="21" max="16384" width="9.140625" style="24"/>
  </cols>
  <sheetData>
    <row r="1" spans="1:26" ht="18" customHeight="1" x14ac:dyDescent="0.25">
      <c r="A1" s="20" t="s">
        <v>7</v>
      </c>
      <c r="B1" s="20" t="s">
        <v>135</v>
      </c>
      <c r="Q1" s="22"/>
      <c r="R1" s="23"/>
      <c r="T1" s="51"/>
      <c r="U1" s="52"/>
      <c r="V1" s="52"/>
      <c r="W1" s="51"/>
      <c r="X1" s="51"/>
      <c r="Y1" s="51"/>
      <c r="Z1" s="52"/>
    </row>
    <row r="2" spans="1:26" ht="18" customHeight="1" x14ac:dyDescent="0.25">
      <c r="A2" s="20" t="s">
        <v>8</v>
      </c>
      <c r="B2" s="20" t="s">
        <v>136</v>
      </c>
      <c r="G2" s="26"/>
      <c r="H2" s="26"/>
      <c r="J2" s="27"/>
      <c r="K2" s="27"/>
      <c r="Q2" s="26"/>
      <c r="R2" s="26"/>
      <c r="T2" s="51"/>
      <c r="U2" s="52"/>
      <c r="V2" s="52"/>
      <c r="W2" s="51"/>
      <c r="X2" s="51"/>
      <c r="Y2" s="51"/>
      <c r="Z2" s="52"/>
    </row>
    <row r="3" spans="1:26" ht="18" customHeight="1" x14ac:dyDescent="0.25">
      <c r="A3" s="28" t="s">
        <v>47</v>
      </c>
      <c r="B3" s="29"/>
      <c r="C3" s="29"/>
      <c r="D3" s="83">
        <v>1</v>
      </c>
      <c r="E3" s="30"/>
      <c r="I3" s="83">
        <v>100</v>
      </c>
      <c r="J3" s="31" t="s">
        <v>133</v>
      </c>
      <c r="K3" s="31" t="s">
        <v>134</v>
      </c>
      <c r="T3" s="51"/>
      <c r="U3" s="52"/>
      <c r="V3" s="52"/>
      <c r="W3" s="51"/>
      <c r="X3" s="51"/>
      <c r="Y3" s="51"/>
      <c r="Z3" s="51"/>
    </row>
    <row r="4" spans="1:26" ht="18" customHeight="1" x14ac:dyDescent="0.3">
      <c r="A4" s="32" t="s">
        <v>32</v>
      </c>
      <c r="B4" s="33" t="s">
        <v>0</v>
      </c>
      <c r="C4" s="33" t="s">
        <v>1</v>
      </c>
      <c r="D4" s="33" t="s">
        <v>2</v>
      </c>
      <c r="E4" s="32" t="s">
        <v>3</v>
      </c>
      <c r="F4" s="33" t="s">
        <v>14</v>
      </c>
      <c r="G4" s="33"/>
      <c r="H4" s="33"/>
      <c r="I4" s="33" t="s">
        <v>9</v>
      </c>
      <c r="J4" s="33" t="s">
        <v>13</v>
      </c>
      <c r="K4" s="33" t="s">
        <v>12</v>
      </c>
      <c r="L4" s="33" t="s">
        <v>6</v>
      </c>
      <c r="M4" s="32" t="s">
        <v>15</v>
      </c>
      <c r="N4" s="33" t="s">
        <v>4</v>
      </c>
      <c r="O4" s="33" t="s">
        <v>10</v>
      </c>
      <c r="P4" s="33" t="s">
        <v>11</v>
      </c>
      <c r="Q4" s="33" t="s">
        <v>31</v>
      </c>
      <c r="R4" s="33" t="s">
        <v>41</v>
      </c>
      <c r="S4" s="33" t="s">
        <v>48</v>
      </c>
      <c r="T4" s="51"/>
      <c r="U4" s="52"/>
      <c r="V4" s="52"/>
      <c r="W4" s="51"/>
      <c r="X4" s="51"/>
      <c r="Y4" s="51"/>
      <c r="Z4" s="52"/>
    </row>
    <row r="5" spans="1:26" ht="123" customHeight="1" x14ac:dyDescent="0.25">
      <c r="A5" s="34">
        <v>1</v>
      </c>
      <c r="B5" s="35">
        <v>1.0365329999999999</v>
      </c>
      <c r="C5" s="36">
        <v>96.297996999999995</v>
      </c>
      <c r="D5" s="129">
        <f>C5/_xlfn.AGGREGATE(9,$D$3+4,$C$5:$C$104)*100</f>
        <v>16.875400908633939</v>
      </c>
      <c r="E5" s="35">
        <v>16.875400543212891</v>
      </c>
      <c r="F5" s="37">
        <f>RANK(C5,$C$5:$C$104)</f>
        <v>2</v>
      </c>
      <c r="G5" s="38"/>
      <c r="H5" s="38"/>
      <c r="I5" s="38" t="str">
        <f>molweight(MSData!A2:A7,MSData!C2:C7)</f>
        <v>?</v>
      </c>
      <c r="J5" s="39"/>
      <c r="K5" s="38" t="str">
        <f>UVPeakList(PeakLabels!B3:B300,A5)</f>
        <v>206 (62)
242 (99)
284 (28)
356 (32)</v>
      </c>
      <c r="L5" s="38"/>
      <c r="M5" s="38"/>
      <c r="Q5" s="36">
        <v>8.4321529999999996</v>
      </c>
      <c r="R5" s="36">
        <v>81.195230791981061</v>
      </c>
      <c r="S5" s="48" t="s">
        <v>150</v>
      </c>
    </row>
    <row r="6" spans="1:26" ht="123" customHeight="1" x14ac:dyDescent="0.25">
      <c r="A6" s="34">
        <v>2</v>
      </c>
      <c r="B6" s="35">
        <v>2.5560399999999999</v>
      </c>
      <c r="C6" s="36">
        <v>42.456046999999998</v>
      </c>
      <c r="D6" s="129">
        <f>C6/_xlfn.AGGREGATE(9,$D$3+4,$C$5:$C$104)*100</f>
        <v>7.4400593619907296</v>
      </c>
      <c r="E6" s="35">
        <v>24.315460205078125</v>
      </c>
      <c r="F6" s="37">
        <f>RANK(C6,$C$5:$C$104)</f>
        <v>5</v>
      </c>
      <c r="G6" s="38"/>
      <c r="H6" s="38"/>
      <c r="I6" s="38" t="str">
        <f>molweight(MSData!E2:E7,MSData!G2:G7)</f>
        <v>?</v>
      </c>
      <c r="J6" s="39"/>
      <c r="K6" s="38" t="str">
        <f>UVPeakList(PeakLabels!C3:C300,A6)</f>
        <v>262s (6)
290 (5)
314 (6)
330 (6)
344 (6)
356 (5)
368 (5)
404 (5)
416 (5)
444 (5)
472 (6)
492 (5)
526 (5)
582 (6)
604 (6)
618 (6)
632 (6)</v>
      </c>
      <c r="L6" s="38"/>
      <c r="M6" s="38"/>
      <c r="Q6" s="36">
        <v>1.780921</v>
      </c>
      <c r="R6" s="36">
        <v>18.726505035817748</v>
      </c>
      <c r="S6" s="48" t="s">
        <v>151</v>
      </c>
    </row>
    <row r="7" spans="1:26" ht="123" customHeight="1" x14ac:dyDescent="0.25">
      <c r="A7" s="34">
        <v>3</v>
      </c>
      <c r="B7" s="35">
        <v>3.204631</v>
      </c>
      <c r="C7" s="36">
        <v>8.9508010000000002</v>
      </c>
      <c r="D7" s="131">
        <f>C7/_xlfn.AGGREGATE(9,$D$3+4,$C$5:$C$104)*100</f>
        <v>1.5685513721370712</v>
      </c>
      <c r="E7" s="35">
        <v>25.884012222290039</v>
      </c>
      <c r="F7" s="37">
        <f>RANK(C7,$C$5:$C$104)</f>
        <v>12</v>
      </c>
      <c r="G7" s="38"/>
      <c r="H7" s="38"/>
      <c r="I7" s="38" t="str">
        <f>molweight(MSData!I2:I7,MSData!K2:K7)</f>
        <v>?</v>
      </c>
      <c r="J7" s="39"/>
      <c r="K7" s="38" t="str">
        <f>UVPeakList(PeakLabels!D3:D300,A7)</f>
        <v>208 (91)
242 (100)
268 (44)
298 (32)
382 (41)</v>
      </c>
      <c r="L7" s="38"/>
      <c r="M7" s="38"/>
      <c r="Q7" s="36">
        <v>1.178091</v>
      </c>
      <c r="R7" s="36">
        <v>13.064693517652699</v>
      </c>
      <c r="S7" s="48" t="s">
        <v>152</v>
      </c>
    </row>
    <row r="8" spans="1:26" ht="123" customHeight="1" x14ac:dyDescent="0.25">
      <c r="A8" s="34">
        <v>4</v>
      </c>
      <c r="B8" s="35">
        <v>3.5169709999999998</v>
      </c>
      <c r="C8" s="36">
        <v>75.676186000000001</v>
      </c>
      <c r="D8" s="129">
        <f>C8/_xlfn.AGGREGATE(9,$D$3+4,$C$5:$C$104)*100</f>
        <v>13.261604786923565</v>
      </c>
      <c r="E8" s="35">
        <v>39.145618438720703</v>
      </c>
      <c r="F8" s="37">
        <f>RANK(C8,$C$5:$C$104)</f>
        <v>3</v>
      </c>
      <c r="G8" s="38"/>
      <c r="H8" s="38"/>
      <c r="I8" s="38" t="str">
        <f>molweight(MSData!M2:M7,MSData!O2:O7)</f>
        <v>?</v>
      </c>
      <c r="J8" s="39"/>
      <c r="K8" s="38" t="str">
        <f>UVPeakList(PeakLabels!E3:E300,A8)</f>
        <v>192 (77)
214 (100)
244 (56)
284s (15)
300s (17)
310 (19)
330s (13)
364s (13)
388 (17)</v>
      </c>
      <c r="L8" s="38"/>
      <c r="M8" s="38"/>
      <c r="Q8" s="36">
        <v>10.434353</v>
      </c>
      <c r="R8" s="36">
        <v>100</v>
      </c>
      <c r="S8" s="48" t="s">
        <v>153</v>
      </c>
    </row>
    <row r="9" spans="1:26" ht="123" customHeight="1" x14ac:dyDescent="0.25">
      <c r="A9" s="34">
        <v>5</v>
      </c>
      <c r="B9" s="35">
        <v>3.7843619999999998</v>
      </c>
      <c r="C9" s="36">
        <v>15.889853</v>
      </c>
      <c r="D9" s="130">
        <f>C9/_xlfn.AGGREGATE(9,$D$3+4,$C$5:$C$104)*100</f>
        <v>2.784560926581471</v>
      </c>
      <c r="E9" s="35">
        <v>41.930179595947266</v>
      </c>
      <c r="F9" s="37">
        <f>RANK(C9,$C$5:$C$104)</f>
        <v>10</v>
      </c>
      <c r="G9" s="38"/>
      <c r="H9" s="38"/>
      <c r="I9" s="38" t="str">
        <f>molweight(MSData!Q2:Q7,MSData!S2:S7)</f>
        <v>?</v>
      </c>
      <c r="J9" s="39"/>
      <c r="K9" s="38" t="str">
        <f>UVPeakList(PeakLabels!F3:F300,A9)</f>
        <v>194 (86)
232 (100)
316 (43)
374s (6)
390s (9)
464 (33)
490 (39)
524 (28)</v>
      </c>
      <c r="L9" s="38"/>
      <c r="M9" s="38"/>
      <c r="Q9" s="36">
        <v>2.7792560000000002</v>
      </c>
      <c r="R9" s="36">
        <v>28.102920612327377</v>
      </c>
      <c r="S9" s="48" t="s">
        <v>154</v>
      </c>
    </row>
    <row r="10" spans="1:26" ht="123" customHeight="1" x14ac:dyDescent="0.25">
      <c r="A10" s="34">
        <v>6</v>
      </c>
      <c r="B10" s="35">
        <v>4.0231880000000002</v>
      </c>
      <c r="C10" s="36">
        <v>24.393715</v>
      </c>
      <c r="D10" s="130">
        <f>C10/_xlfn.AGGREGATE(9,$D$3+4,$C$5:$C$104)*100</f>
        <v>4.274790058986973</v>
      </c>
      <c r="E10" s="35">
        <v>46.204971313476563</v>
      </c>
      <c r="F10" s="37">
        <f>RANK(C10,$C$5:$C$104)</f>
        <v>9</v>
      </c>
      <c r="G10" s="38"/>
      <c r="H10" s="38"/>
      <c r="I10" s="38" t="str">
        <f>molweight(MSData!U2:U7,MSData!W2:W7)</f>
        <v>?</v>
      </c>
      <c r="J10" s="39"/>
      <c r="K10" s="38" t="str">
        <f>UVPeakList(PeakLabels!G3:G300,A10)</f>
        <v>192 (68)
224 (100)
262 (35)
280s (32)
290 (33)
346 (6)
402s (13)
438 (19)
468 (18)
496 (18)
524 (12)</v>
      </c>
      <c r="L10" s="38"/>
      <c r="M10" s="38"/>
      <c r="Q10" s="36">
        <v>4.1977640000000003</v>
      </c>
      <c r="R10" s="36">
        <v>41.425623419104184</v>
      </c>
      <c r="S10" s="48" t="s">
        <v>155</v>
      </c>
    </row>
    <row r="11" spans="1:26" ht="123" customHeight="1" x14ac:dyDescent="0.25">
      <c r="A11" s="34">
        <v>7</v>
      </c>
      <c r="B11" s="35">
        <v>4.2717910000000003</v>
      </c>
      <c r="C11" s="36">
        <v>29.389672999999998</v>
      </c>
      <c r="D11" s="129">
        <f>C11/_xlfn.AGGREGATE(9,$D$3+4,$C$5:$C$104)*100</f>
        <v>5.1502889976896853</v>
      </c>
      <c r="E11" s="35">
        <v>51.355258941650391</v>
      </c>
      <c r="F11" s="37">
        <f>RANK(C11,$C$5:$C$104)</f>
        <v>8</v>
      </c>
      <c r="G11" s="38"/>
      <c r="H11" s="38"/>
      <c r="I11" s="38" t="str">
        <f>molweight(MSData!Y2:Y7,MSData!AA2:AA7)</f>
        <v>?</v>
      </c>
      <c r="J11" s="39"/>
      <c r="K11" s="38" t="str">
        <f>UVPeakList(PeakLabels!H3:H300,A11)</f>
        <v>206 (100)
262s (25)
284 (39)
464 (5)</v>
      </c>
      <c r="L11" s="38"/>
      <c r="M11" s="38"/>
      <c r="Q11" s="36">
        <v>5.7186669999999999</v>
      </c>
      <c r="R11" s="36">
        <v>55.710025528176018</v>
      </c>
      <c r="S11" s="48" t="s">
        <v>156</v>
      </c>
    </row>
    <row r="12" spans="1:26" ht="123" customHeight="1" x14ac:dyDescent="0.25">
      <c r="A12" s="34">
        <v>8</v>
      </c>
      <c r="B12" s="35">
        <v>4.4267830000000004</v>
      </c>
      <c r="C12" s="36">
        <v>36.503647000000001</v>
      </c>
      <c r="D12" s="129">
        <f>C12/_xlfn.AGGREGATE(9,$D$3+4,$C$5:$C$104)*100</f>
        <v>6.396952137563698</v>
      </c>
      <c r="E12" s="35">
        <v>57.752212524414063</v>
      </c>
      <c r="F12" s="37">
        <f>RANK(C12,$C$5:$C$104)</f>
        <v>6</v>
      </c>
      <c r="G12" s="38"/>
      <c r="H12" s="38"/>
      <c r="I12" s="38" t="str">
        <f>molweight(MSData!AC2:AC7,MSData!AE2:AE7)</f>
        <v>?</v>
      </c>
      <c r="J12" s="39"/>
      <c r="K12" s="38" t="str">
        <f>UVPeakList(PeakLabels!I3:I300,A12)</f>
        <v>276 (99)</v>
      </c>
      <c r="L12" s="38"/>
      <c r="M12" s="38"/>
      <c r="Q12" s="36">
        <v>6.5159599999999998</v>
      </c>
      <c r="R12" s="36">
        <v>63.198243916033896</v>
      </c>
      <c r="S12" s="48" t="s">
        <v>157</v>
      </c>
    </row>
    <row r="13" spans="1:26" ht="123" customHeight="1" x14ac:dyDescent="0.25">
      <c r="A13" s="34">
        <v>9</v>
      </c>
      <c r="B13" s="35">
        <v>4.7411899999999996</v>
      </c>
      <c r="C13" s="36">
        <v>7.3632840000000002</v>
      </c>
      <c r="D13" s="35">
        <f>C13/_xlfn.AGGREGATE(9,$D$3+4,$C$5:$C$104)*100</f>
        <v>1.2903525865042629</v>
      </c>
      <c r="E13" s="35">
        <v>59.042564392089844</v>
      </c>
      <c r="F13" s="37">
        <f>RANK(C13,$C$5:$C$104)</f>
        <v>13</v>
      </c>
      <c r="G13" s="38"/>
      <c r="H13" s="38"/>
      <c r="I13" s="38" t="str">
        <f>molweight(MSData!AG2:AG7,MSData!AI2:AI7)</f>
        <v>?</v>
      </c>
      <c r="J13" s="39"/>
      <c r="K13" s="38" t="str">
        <f>UVPeakList(PeakLabels!J3:J300,A13)</f>
        <v>210 (99)
278 (51)</v>
      </c>
      <c r="L13" s="38"/>
      <c r="M13" s="38"/>
      <c r="Q13" s="36">
        <v>1.3979870000000001</v>
      </c>
      <c r="R13" s="36">
        <v>15.1299684800773</v>
      </c>
      <c r="S13" s="48" t="s">
        <v>158</v>
      </c>
    </row>
    <row r="14" spans="1:26" ht="123" customHeight="1" x14ac:dyDescent="0.25">
      <c r="A14" s="34">
        <v>10</v>
      </c>
      <c r="B14" s="35">
        <v>4.9512619999999998</v>
      </c>
      <c r="C14" s="36">
        <v>15.029985</v>
      </c>
      <c r="D14" s="131">
        <f>C14/_xlfn.AGGREGATE(9,$D$3+4,$C$5:$C$104)*100</f>
        <v>2.6338764089325188</v>
      </c>
      <c r="E14" s="35">
        <v>61.676441192626953</v>
      </c>
      <c r="F14" s="37">
        <f>RANK(C14,$C$5:$C$104)</f>
        <v>11</v>
      </c>
      <c r="G14" s="38"/>
      <c r="H14" s="38"/>
      <c r="I14" s="38" t="str">
        <f>molweight(MSData!AK2:AK7,MSData!AM2:AM7)</f>
        <v>?</v>
      </c>
      <c r="J14" s="39"/>
      <c r="K14" s="38" t="str">
        <f>UVPeakList(PeakLabels!K3:K300,A14)</f>
        <v>198 (100)
280 (35)
316 (18)
334 (17)
354 (17)
368s (15)
398s (8)
416 (6)</v>
      </c>
      <c r="L14" s="38"/>
      <c r="M14" s="38"/>
      <c r="Q14" s="36">
        <v>2.858663</v>
      </c>
      <c r="R14" s="36">
        <v>28.848715392319964</v>
      </c>
      <c r="S14" s="48" t="s">
        <v>159</v>
      </c>
    </row>
    <row r="15" spans="1:26" ht="123" customHeight="1" x14ac:dyDescent="0.25">
      <c r="A15" s="34">
        <v>11</v>
      </c>
      <c r="B15" s="35">
        <v>5.4557019999999996</v>
      </c>
      <c r="C15" s="36">
        <v>47.609005000000003</v>
      </c>
      <c r="D15" s="129">
        <f>C15/_xlfn.AGGREGATE(9,$D$3+4,$C$5:$C$104)*100</f>
        <v>8.3430712088036252</v>
      </c>
      <c r="E15" s="35">
        <v>70.019515991210938</v>
      </c>
      <c r="F15" s="37">
        <f>RANK(C15,$C$5:$C$104)</f>
        <v>4</v>
      </c>
      <c r="G15" s="38"/>
      <c r="H15" s="38"/>
      <c r="I15" s="38" t="str">
        <f>molweight(MSData!AO2:AO7,MSData!AQ2:AQ7)</f>
        <v>?</v>
      </c>
      <c r="J15" s="39"/>
      <c r="K15" s="38" t="str">
        <f>UVPeakList(PeakLabels!L3:L300,A15)</f>
        <v>192 (52)
274 (100)</v>
      </c>
      <c r="L15" s="38"/>
      <c r="M15" s="38"/>
      <c r="Q15" s="36">
        <v>9.7510110000000001</v>
      </c>
      <c r="R15" s="36">
        <v>93.582015482895784</v>
      </c>
      <c r="S15" s="48" t="s">
        <v>160</v>
      </c>
    </row>
    <row r="16" spans="1:26" ht="123" customHeight="1" x14ac:dyDescent="0.25">
      <c r="A16" s="34">
        <v>12</v>
      </c>
      <c r="B16" s="35">
        <v>5.6547900000000002</v>
      </c>
      <c r="C16" s="36">
        <v>30.052391</v>
      </c>
      <c r="D16" s="129">
        <f>C16/_xlfn.AGGREGATE(9,$D$3+4,$C$5:$C$104)*100</f>
        <v>5.2664246628932734</v>
      </c>
      <c r="E16" s="35">
        <v>75.285942077636719</v>
      </c>
      <c r="F16" s="37">
        <f>RANK(C16,$C$5:$C$104)</f>
        <v>7</v>
      </c>
      <c r="G16" s="38"/>
      <c r="H16" s="38"/>
      <c r="I16" s="38" t="str">
        <f>molweight(MSData!AS2:AS7,MSData!AU2:AU7)</f>
        <v>?</v>
      </c>
      <c r="J16" s="39"/>
      <c r="K16" s="38" t="str">
        <f>UVPeakList(PeakLabels!M3:M300,A16)</f>
        <v>198 (100)
280 (33)
330s (13)
348 (12)
388s (6)</v>
      </c>
      <c r="L16" s="38"/>
      <c r="M16" s="38"/>
      <c r="Q16" s="36">
        <v>5.5242649999999998</v>
      </c>
      <c r="R16" s="36">
        <v>53.884191573737247</v>
      </c>
      <c r="S16" s="48" t="s">
        <v>161</v>
      </c>
    </row>
    <row r="17" spans="1:19" ht="123" customHeight="1" x14ac:dyDescent="0.25">
      <c r="A17" s="34">
        <v>13</v>
      </c>
      <c r="B17" s="35">
        <v>8.5678719999999995</v>
      </c>
      <c r="C17" s="36">
        <v>141.02865600000001</v>
      </c>
      <c r="D17" s="129">
        <f>C17/_xlfn.AGGREGATE(9,$D$3+4,$C$5:$C$104)*100</f>
        <v>24.714066582359166</v>
      </c>
      <c r="E17" s="35">
        <v>100.00000762939453</v>
      </c>
      <c r="F17" s="37">
        <f>RANK(C17,$C$5:$C$104)</f>
        <v>1</v>
      </c>
      <c r="G17" s="38"/>
      <c r="H17" s="38"/>
      <c r="I17" s="38" t="str">
        <f>molweight(MSData!AW2:AW7,MSData!AY2:AY7)</f>
        <v>?</v>
      </c>
      <c r="J17" s="39"/>
      <c r="K17" s="38" t="str">
        <f>UVPeakList(PeakLabels!N3:N300,A17)</f>
        <v>&lt; 190</v>
      </c>
      <c r="L17" s="38"/>
      <c r="M17" s="38"/>
      <c r="Q17" s="36">
        <v>7.2373770000000004</v>
      </c>
      <c r="R17" s="36">
        <v>69.973830864261544</v>
      </c>
      <c r="S17" s="48" t="s">
        <v>162</v>
      </c>
    </row>
    <row r="18" spans="1:19" ht="123" customHeight="1" x14ac:dyDescent="0.25">
      <c r="A18" s="34"/>
      <c r="B18" s="35"/>
      <c r="C18" s="36"/>
      <c r="D18" s="35"/>
      <c r="E18" s="35"/>
      <c r="F18" s="37"/>
      <c r="G18" s="38"/>
      <c r="H18" s="38"/>
      <c r="I18" s="38"/>
      <c r="J18" s="39"/>
      <c r="K18" s="38"/>
      <c r="L18" s="38"/>
      <c r="M18" s="38"/>
      <c r="Q18" s="36"/>
      <c r="R18" s="36"/>
      <c r="S18" s="48"/>
    </row>
    <row r="19" spans="1:19" ht="123" customHeight="1" x14ac:dyDescent="0.25">
      <c r="A19" s="34"/>
      <c r="B19" s="35"/>
      <c r="C19" s="36"/>
      <c r="D19" s="35"/>
      <c r="E19" s="35"/>
      <c r="F19" s="37"/>
      <c r="G19" s="38"/>
      <c r="H19" s="38"/>
      <c r="I19" s="38"/>
      <c r="J19" s="39"/>
      <c r="K19" s="38"/>
      <c r="L19" s="38"/>
      <c r="M19" s="38"/>
      <c r="Q19" s="36"/>
      <c r="R19" s="36"/>
      <c r="S19" s="48"/>
    </row>
    <row r="20" spans="1:19" ht="123" customHeight="1" x14ac:dyDescent="0.25">
      <c r="A20" s="34"/>
      <c r="B20" s="35"/>
      <c r="C20" s="36"/>
      <c r="D20" s="35"/>
      <c r="E20" s="35"/>
      <c r="F20" s="37"/>
      <c r="G20" s="38"/>
      <c r="H20" s="38"/>
      <c r="I20" s="38"/>
      <c r="J20" s="39"/>
      <c r="K20" s="38"/>
      <c r="L20" s="38"/>
      <c r="M20" s="38"/>
      <c r="Q20" s="36"/>
      <c r="R20" s="36"/>
      <c r="S20" s="48"/>
    </row>
    <row r="21" spans="1:19" ht="123" customHeight="1" x14ac:dyDescent="0.25">
      <c r="A21" s="34"/>
      <c r="B21" s="35"/>
      <c r="C21" s="36"/>
      <c r="D21" s="35"/>
      <c r="E21" s="35"/>
      <c r="F21" s="37"/>
      <c r="G21" s="38"/>
      <c r="H21" s="38"/>
      <c r="I21" s="38"/>
      <c r="J21" s="39"/>
      <c r="K21" s="38"/>
      <c r="L21" s="38"/>
      <c r="M21" s="38"/>
      <c r="Q21" s="36"/>
      <c r="R21" s="36"/>
      <c r="S21" s="48"/>
    </row>
    <row r="22" spans="1:19" ht="123" customHeight="1" x14ac:dyDescent="0.25">
      <c r="A22" s="34"/>
      <c r="B22" s="35"/>
      <c r="C22" s="36"/>
      <c r="D22" s="35"/>
      <c r="E22" s="35"/>
      <c r="F22" s="37"/>
      <c r="G22" s="38"/>
      <c r="H22" s="38"/>
      <c r="I22" s="38"/>
      <c r="J22" s="39"/>
      <c r="K22" s="38"/>
      <c r="L22" s="38"/>
      <c r="M22" s="38"/>
      <c r="Q22" s="36"/>
      <c r="R22" s="36"/>
      <c r="S22" s="48"/>
    </row>
    <row r="23" spans="1:19" ht="123" customHeight="1" x14ac:dyDescent="0.25">
      <c r="A23" s="34"/>
      <c r="B23" s="35"/>
      <c r="C23" s="36"/>
      <c r="D23" s="35"/>
      <c r="E23" s="35"/>
      <c r="F23" s="37"/>
      <c r="G23" s="38"/>
      <c r="H23" s="38"/>
      <c r="I23" s="38"/>
      <c r="J23" s="39"/>
      <c r="K23" s="38"/>
      <c r="L23" s="38"/>
      <c r="M23" s="38"/>
      <c r="Q23" s="36"/>
      <c r="R23" s="36"/>
      <c r="S23" s="48"/>
    </row>
    <row r="24" spans="1:19" ht="123" customHeight="1" x14ac:dyDescent="0.25">
      <c r="A24" s="34"/>
      <c r="B24" s="35"/>
      <c r="C24" s="36"/>
      <c r="D24" s="35"/>
      <c r="E24" s="35"/>
      <c r="F24" s="37"/>
      <c r="G24" s="38"/>
      <c r="H24" s="38"/>
      <c r="I24" s="38"/>
      <c r="J24" s="39"/>
      <c r="K24" s="38"/>
      <c r="L24" s="38"/>
      <c r="M24" s="38"/>
      <c r="Q24" s="36"/>
      <c r="R24" s="36"/>
      <c r="S24" s="48"/>
    </row>
    <row r="25" spans="1:19" ht="123" customHeight="1" x14ac:dyDescent="0.25">
      <c r="A25" s="34"/>
      <c r="B25" s="35"/>
      <c r="C25" s="36"/>
      <c r="D25" s="35"/>
      <c r="E25" s="35"/>
      <c r="F25" s="37"/>
      <c r="G25" s="38"/>
      <c r="H25" s="38"/>
      <c r="I25" s="38"/>
      <c r="J25" s="39"/>
      <c r="K25" s="38"/>
      <c r="L25" s="38"/>
      <c r="M25" s="38"/>
      <c r="Q25" s="36"/>
      <c r="R25" s="36"/>
      <c r="S25" s="48"/>
    </row>
    <row r="26" spans="1:19" ht="123" customHeight="1" x14ac:dyDescent="0.25">
      <c r="A26" s="34"/>
      <c r="B26" s="35"/>
      <c r="C26" s="36"/>
      <c r="D26" s="35"/>
      <c r="E26" s="35"/>
      <c r="F26" s="37"/>
      <c r="G26" s="38"/>
      <c r="H26" s="38"/>
      <c r="I26" s="38"/>
      <c r="J26" s="39"/>
      <c r="K26" s="38"/>
      <c r="L26" s="38"/>
      <c r="M26" s="38"/>
      <c r="Q26" s="36"/>
      <c r="R26" s="36"/>
      <c r="S26" s="48"/>
    </row>
    <row r="27" spans="1:19" ht="123" customHeight="1" x14ac:dyDescent="0.25">
      <c r="A27" s="34"/>
      <c r="B27" s="35"/>
      <c r="C27" s="36"/>
      <c r="D27" s="35"/>
      <c r="E27" s="35"/>
      <c r="F27" s="37"/>
      <c r="G27" s="38"/>
      <c r="H27" s="38"/>
      <c r="I27" s="38"/>
      <c r="J27" s="39"/>
      <c r="K27" s="38"/>
      <c r="L27" s="38"/>
      <c r="M27" s="38"/>
      <c r="Q27" s="36"/>
      <c r="R27" s="36"/>
      <c r="S27" s="48"/>
    </row>
    <row r="28" spans="1:19" ht="123" customHeight="1" x14ac:dyDescent="0.25">
      <c r="A28" s="34"/>
      <c r="B28" s="35"/>
      <c r="C28" s="36"/>
      <c r="D28" s="35"/>
      <c r="E28" s="35"/>
      <c r="F28" s="37"/>
      <c r="G28" s="38"/>
      <c r="H28" s="38"/>
      <c r="I28" s="38"/>
      <c r="J28" s="39"/>
      <c r="K28" s="38"/>
      <c r="L28" s="38"/>
      <c r="M28" s="38"/>
      <c r="Q28" s="36"/>
      <c r="R28" s="36"/>
      <c r="S28" s="48"/>
    </row>
    <row r="29" spans="1:19" ht="123" customHeight="1" x14ac:dyDescent="0.25">
      <c r="A29" s="34"/>
      <c r="B29" s="35"/>
      <c r="C29" s="36"/>
      <c r="D29" s="35"/>
      <c r="E29" s="35"/>
      <c r="F29" s="37"/>
      <c r="G29" s="38"/>
      <c r="H29" s="38"/>
      <c r="I29" s="38"/>
      <c r="J29" s="39"/>
      <c r="K29" s="38"/>
      <c r="L29" s="38"/>
      <c r="M29" s="38"/>
      <c r="Q29" s="36"/>
      <c r="R29" s="36"/>
      <c r="S29" s="48"/>
    </row>
    <row r="30" spans="1:19" ht="123" customHeight="1" x14ac:dyDescent="0.25">
      <c r="A30" s="34"/>
      <c r="B30" s="35"/>
      <c r="C30" s="36"/>
      <c r="D30" s="35"/>
      <c r="E30" s="35"/>
      <c r="F30" s="37"/>
      <c r="G30" s="38"/>
      <c r="H30" s="38"/>
      <c r="I30" s="38"/>
      <c r="J30" s="39"/>
      <c r="K30" s="38"/>
      <c r="L30" s="38"/>
      <c r="M30" s="38"/>
      <c r="Q30" s="36"/>
      <c r="R30" s="36"/>
      <c r="S30" s="48"/>
    </row>
    <row r="31" spans="1:19" ht="123" customHeight="1" x14ac:dyDescent="0.25">
      <c r="A31" s="34"/>
      <c r="B31" s="35"/>
      <c r="C31" s="36"/>
      <c r="D31" s="35"/>
      <c r="E31" s="35"/>
      <c r="F31" s="37"/>
      <c r="G31" s="38"/>
      <c r="H31" s="38"/>
      <c r="I31" s="38"/>
      <c r="J31" s="39"/>
      <c r="K31" s="38"/>
      <c r="L31" s="38"/>
      <c r="M31" s="38"/>
      <c r="Q31" s="36"/>
      <c r="R31" s="36"/>
      <c r="S31" s="48"/>
    </row>
    <row r="32" spans="1:19" ht="123" customHeight="1" x14ac:dyDescent="0.25">
      <c r="A32" s="34"/>
      <c r="B32" s="35"/>
      <c r="C32" s="36"/>
      <c r="D32" s="35"/>
      <c r="E32" s="35"/>
      <c r="F32" s="37"/>
      <c r="G32" s="38"/>
      <c r="H32" s="38"/>
      <c r="I32" s="38"/>
      <c r="J32" s="39"/>
      <c r="K32" s="38"/>
      <c r="L32" s="38"/>
      <c r="M32" s="38"/>
      <c r="Q32" s="36"/>
      <c r="R32" s="36"/>
      <c r="S32" s="48"/>
    </row>
    <row r="33" spans="1:19" ht="123" customHeight="1" x14ac:dyDescent="0.25">
      <c r="A33" s="34"/>
      <c r="B33" s="35"/>
      <c r="C33" s="36"/>
      <c r="D33" s="35"/>
      <c r="E33" s="35"/>
      <c r="F33" s="37"/>
      <c r="G33" s="38"/>
      <c r="H33" s="38"/>
      <c r="I33" s="38"/>
      <c r="J33" s="39"/>
      <c r="K33" s="38"/>
      <c r="L33" s="38"/>
      <c r="M33" s="38"/>
      <c r="Q33" s="36"/>
      <c r="R33" s="36"/>
      <c r="S33" s="48"/>
    </row>
    <row r="34" spans="1:19" ht="123" customHeight="1" x14ac:dyDescent="0.25">
      <c r="A34" s="34"/>
      <c r="B34" s="35"/>
      <c r="C34" s="36"/>
      <c r="D34" s="35"/>
      <c r="E34" s="35"/>
      <c r="F34" s="37"/>
      <c r="G34" s="38"/>
      <c r="H34" s="38"/>
      <c r="I34" s="38"/>
      <c r="J34" s="39"/>
      <c r="K34" s="38"/>
      <c r="L34" s="38"/>
      <c r="M34" s="38"/>
      <c r="Q34" s="36"/>
      <c r="R34" s="36"/>
      <c r="S34" s="48"/>
    </row>
    <row r="35" spans="1:19" ht="123" customHeight="1" x14ac:dyDescent="0.25">
      <c r="A35" s="34"/>
      <c r="B35" s="35"/>
      <c r="C35" s="36"/>
      <c r="D35" s="35"/>
      <c r="E35" s="35"/>
      <c r="F35" s="37"/>
      <c r="G35" s="38"/>
      <c r="H35" s="38"/>
      <c r="I35" s="38"/>
      <c r="J35" s="39"/>
      <c r="K35" s="38"/>
      <c r="L35" s="38"/>
      <c r="M35" s="38"/>
      <c r="Q35" s="36"/>
      <c r="R35" s="36"/>
      <c r="S35" s="48"/>
    </row>
    <row r="36" spans="1:19" ht="123" customHeight="1" x14ac:dyDescent="0.25">
      <c r="A36" s="34"/>
      <c r="B36" s="35"/>
      <c r="C36" s="36"/>
      <c r="D36" s="35"/>
      <c r="E36" s="35"/>
      <c r="F36" s="37"/>
      <c r="G36" s="38"/>
      <c r="H36" s="38"/>
      <c r="I36" s="38"/>
      <c r="J36" s="39"/>
      <c r="K36" s="38"/>
      <c r="L36" s="38"/>
      <c r="M36" s="38"/>
      <c r="Q36" s="36"/>
      <c r="R36" s="36"/>
      <c r="S36" s="48"/>
    </row>
    <row r="37" spans="1:19" ht="123" customHeight="1" x14ac:dyDescent="0.25">
      <c r="A37" s="34"/>
      <c r="B37" s="35"/>
      <c r="C37" s="36"/>
      <c r="D37" s="35"/>
      <c r="E37" s="35"/>
      <c r="F37" s="37"/>
      <c r="G37" s="38"/>
      <c r="H37" s="38"/>
      <c r="I37" s="38"/>
      <c r="J37" s="39"/>
      <c r="K37" s="38"/>
      <c r="L37" s="38"/>
      <c r="M37" s="38"/>
      <c r="Q37" s="36"/>
      <c r="R37" s="36"/>
      <c r="S37" s="48"/>
    </row>
    <row r="38" spans="1:19" ht="123" customHeight="1" x14ac:dyDescent="0.25">
      <c r="A38" s="34"/>
      <c r="B38" s="35"/>
      <c r="C38" s="36"/>
      <c r="D38" s="35"/>
      <c r="E38" s="35"/>
      <c r="F38" s="37"/>
      <c r="G38" s="38"/>
      <c r="H38" s="38"/>
      <c r="I38" s="38"/>
      <c r="J38" s="39"/>
      <c r="K38" s="38"/>
      <c r="L38" s="38"/>
      <c r="M38" s="38"/>
      <c r="Q38" s="36"/>
      <c r="R38" s="36"/>
      <c r="S38" s="48"/>
    </row>
    <row r="39" spans="1:19" ht="123" customHeight="1" x14ac:dyDescent="0.25">
      <c r="A39" s="34"/>
      <c r="B39" s="35"/>
      <c r="C39" s="36"/>
      <c r="D39" s="35"/>
      <c r="E39" s="35"/>
      <c r="F39" s="37"/>
      <c r="G39" s="38"/>
      <c r="H39" s="38"/>
      <c r="I39" s="38"/>
      <c r="J39" s="39"/>
      <c r="K39" s="38"/>
      <c r="L39" s="38"/>
      <c r="M39" s="38"/>
      <c r="Q39" s="36"/>
      <c r="R39" s="36"/>
      <c r="S39" s="48"/>
    </row>
    <row r="40" spans="1:19" ht="123" customHeight="1" x14ac:dyDescent="0.25">
      <c r="A40" s="34"/>
      <c r="B40" s="35"/>
      <c r="C40" s="36"/>
      <c r="D40" s="35"/>
      <c r="E40" s="35"/>
      <c r="F40" s="37"/>
      <c r="G40" s="38"/>
      <c r="H40" s="38"/>
      <c r="I40" s="38"/>
      <c r="J40" s="39"/>
      <c r="K40" s="38"/>
      <c r="L40" s="38"/>
      <c r="M40" s="38"/>
      <c r="Q40" s="36"/>
      <c r="R40" s="36"/>
      <c r="S40" s="48"/>
    </row>
    <row r="41" spans="1:19" ht="123" customHeight="1" x14ac:dyDescent="0.25">
      <c r="A41" s="34"/>
      <c r="B41" s="35"/>
      <c r="C41" s="36"/>
      <c r="D41" s="35"/>
      <c r="E41" s="35"/>
      <c r="F41" s="37"/>
      <c r="G41" s="38"/>
      <c r="H41" s="38"/>
      <c r="I41" s="38"/>
      <c r="J41" s="39"/>
      <c r="K41" s="38"/>
      <c r="L41" s="38"/>
      <c r="M41" s="38"/>
      <c r="Q41" s="36"/>
      <c r="R41" s="36"/>
      <c r="S41" s="48"/>
    </row>
    <row r="42" spans="1:19" ht="123" customHeight="1" x14ac:dyDescent="0.25">
      <c r="A42" s="34"/>
      <c r="B42" s="35"/>
      <c r="C42" s="36"/>
      <c r="D42" s="35"/>
      <c r="E42" s="35"/>
      <c r="F42" s="37"/>
      <c r="G42" s="38"/>
      <c r="H42" s="38"/>
      <c r="I42" s="38"/>
      <c r="J42" s="39"/>
      <c r="K42" s="38"/>
      <c r="L42" s="38"/>
      <c r="M42" s="38"/>
      <c r="Q42" s="36"/>
      <c r="R42" s="36"/>
      <c r="S42" s="48"/>
    </row>
    <row r="43" spans="1:19" ht="123" customHeight="1" x14ac:dyDescent="0.25">
      <c r="A43" s="34"/>
      <c r="B43" s="35"/>
      <c r="C43" s="36"/>
      <c r="D43" s="35"/>
      <c r="E43" s="35"/>
      <c r="F43" s="37"/>
      <c r="G43" s="38"/>
      <c r="H43" s="38"/>
      <c r="I43" s="38"/>
      <c r="J43" s="39"/>
      <c r="K43" s="38"/>
      <c r="L43" s="38"/>
      <c r="M43" s="38"/>
      <c r="Q43" s="36"/>
      <c r="R43" s="36"/>
      <c r="S43" s="48"/>
    </row>
    <row r="44" spans="1:19" ht="123" customHeight="1" x14ac:dyDescent="0.25">
      <c r="A44" s="34"/>
      <c r="B44" s="35"/>
      <c r="C44" s="36"/>
      <c r="D44" s="35"/>
      <c r="E44" s="35"/>
      <c r="F44" s="37"/>
      <c r="G44" s="38"/>
      <c r="H44" s="38"/>
      <c r="I44" s="38"/>
      <c r="J44" s="39"/>
      <c r="K44" s="38"/>
      <c r="L44" s="38"/>
      <c r="M44" s="38"/>
      <c r="Q44" s="36"/>
      <c r="R44" s="36"/>
      <c r="S44" s="48"/>
    </row>
    <row r="45" spans="1:19" ht="123" customHeight="1" x14ac:dyDescent="0.25">
      <c r="A45" s="34"/>
      <c r="B45" s="35"/>
      <c r="C45" s="36"/>
      <c r="D45" s="35"/>
      <c r="E45" s="35"/>
      <c r="F45" s="37"/>
      <c r="G45" s="38"/>
      <c r="H45" s="38"/>
      <c r="I45" s="38"/>
      <c r="J45" s="39"/>
      <c r="K45" s="38"/>
      <c r="L45" s="38"/>
      <c r="M45" s="38"/>
      <c r="Q45" s="36"/>
      <c r="R45" s="36"/>
      <c r="S45" s="48"/>
    </row>
    <row r="46" spans="1:19" ht="123" customHeight="1" x14ac:dyDescent="0.25">
      <c r="A46" s="34"/>
      <c r="B46" s="35"/>
      <c r="C46" s="36"/>
      <c r="D46" s="35"/>
      <c r="E46" s="35"/>
      <c r="F46" s="37"/>
      <c r="G46" s="38"/>
      <c r="H46" s="38"/>
      <c r="I46" s="38"/>
      <c r="J46" s="39"/>
      <c r="K46" s="38"/>
      <c r="L46" s="38"/>
      <c r="M46" s="38"/>
      <c r="Q46" s="36"/>
      <c r="R46" s="36"/>
      <c r="S46" s="48"/>
    </row>
    <row r="47" spans="1:19" ht="123" customHeight="1" x14ac:dyDescent="0.25">
      <c r="A47" s="34"/>
      <c r="B47" s="35"/>
      <c r="C47" s="36"/>
      <c r="D47" s="35"/>
      <c r="E47" s="35"/>
      <c r="F47" s="37"/>
      <c r="G47" s="38"/>
      <c r="H47" s="38"/>
      <c r="I47" s="38"/>
      <c r="J47" s="39"/>
      <c r="K47" s="38"/>
      <c r="L47" s="38"/>
      <c r="M47" s="38"/>
      <c r="Q47" s="36"/>
      <c r="R47" s="36"/>
      <c r="S47" s="48"/>
    </row>
    <row r="48" spans="1:19" ht="123" customHeight="1" x14ac:dyDescent="0.25">
      <c r="A48" s="34"/>
      <c r="B48" s="35"/>
      <c r="C48" s="36"/>
      <c r="D48" s="35"/>
      <c r="E48" s="35"/>
      <c r="F48" s="37"/>
      <c r="G48" s="38"/>
      <c r="H48" s="38"/>
      <c r="I48" s="38"/>
      <c r="J48" s="39"/>
      <c r="K48" s="38"/>
      <c r="L48" s="38"/>
      <c r="M48" s="38"/>
      <c r="Q48" s="36"/>
      <c r="R48" s="36"/>
      <c r="S48" s="48"/>
    </row>
    <row r="49" spans="1:19" ht="123" customHeight="1" x14ac:dyDescent="0.25">
      <c r="A49" s="34"/>
      <c r="B49" s="35"/>
      <c r="C49" s="36"/>
      <c r="D49" s="35"/>
      <c r="E49" s="35"/>
      <c r="F49" s="37"/>
      <c r="G49" s="38"/>
      <c r="H49" s="38"/>
      <c r="I49" s="38"/>
      <c r="J49" s="39"/>
      <c r="K49" s="38"/>
      <c r="L49" s="38"/>
      <c r="M49" s="38"/>
      <c r="Q49" s="36"/>
      <c r="R49" s="36"/>
      <c r="S49" s="48"/>
    </row>
    <row r="50" spans="1:19" ht="123" customHeight="1" x14ac:dyDescent="0.25">
      <c r="A50" s="34"/>
      <c r="B50" s="35"/>
      <c r="C50" s="36"/>
      <c r="D50" s="35"/>
      <c r="E50" s="35"/>
      <c r="F50" s="37"/>
      <c r="G50" s="38"/>
      <c r="H50" s="38"/>
      <c r="I50" s="38"/>
      <c r="J50" s="39"/>
      <c r="K50" s="38"/>
      <c r="L50" s="38"/>
      <c r="M50" s="38"/>
      <c r="Q50" s="36"/>
      <c r="R50" s="36"/>
      <c r="S50" s="48"/>
    </row>
    <row r="51" spans="1:19" ht="123" customHeight="1" x14ac:dyDescent="0.25">
      <c r="A51" s="34"/>
      <c r="B51" s="35"/>
      <c r="C51" s="36"/>
      <c r="D51" s="35"/>
      <c r="E51" s="35"/>
      <c r="F51" s="37"/>
      <c r="G51" s="38"/>
      <c r="H51" s="38"/>
      <c r="I51" s="38"/>
      <c r="J51" s="39"/>
      <c r="K51" s="38"/>
      <c r="L51" s="38"/>
      <c r="M51" s="38"/>
      <c r="Q51" s="36"/>
      <c r="R51" s="36"/>
      <c r="S51" s="48"/>
    </row>
    <row r="52" spans="1:19" ht="123" customHeight="1" x14ac:dyDescent="0.25">
      <c r="A52" s="34"/>
      <c r="B52" s="35"/>
      <c r="C52" s="36"/>
      <c r="D52" s="35"/>
      <c r="E52" s="35"/>
      <c r="F52" s="37"/>
      <c r="G52" s="38"/>
      <c r="H52" s="38"/>
      <c r="I52" s="38"/>
      <c r="J52" s="39"/>
      <c r="K52" s="38"/>
      <c r="L52" s="38"/>
      <c r="M52" s="38"/>
      <c r="Q52" s="36"/>
      <c r="R52" s="36"/>
      <c r="S52" s="48"/>
    </row>
    <row r="53" spans="1:19" ht="123" customHeight="1" x14ac:dyDescent="0.25">
      <c r="A53" s="34"/>
      <c r="B53" s="35"/>
      <c r="C53" s="36"/>
      <c r="D53" s="35"/>
      <c r="E53" s="35"/>
      <c r="F53" s="37"/>
      <c r="G53" s="38"/>
      <c r="H53" s="38"/>
      <c r="I53" s="38"/>
      <c r="J53" s="39"/>
      <c r="K53" s="38"/>
      <c r="L53" s="38"/>
      <c r="M53" s="38"/>
      <c r="Q53" s="36"/>
      <c r="R53" s="36"/>
      <c r="S53" s="48"/>
    </row>
    <row r="54" spans="1:19" ht="123" customHeight="1" x14ac:dyDescent="0.25">
      <c r="A54" s="34"/>
      <c r="B54" s="35"/>
      <c r="C54" s="36"/>
      <c r="D54" s="35"/>
      <c r="E54" s="35"/>
      <c r="F54" s="37"/>
      <c r="G54" s="38"/>
      <c r="H54" s="38"/>
      <c r="I54" s="38"/>
      <c r="J54" s="39"/>
      <c r="K54" s="38"/>
      <c r="L54" s="38"/>
      <c r="M54" s="38"/>
      <c r="Q54" s="36"/>
      <c r="R54" s="36"/>
      <c r="S54" s="48"/>
    </row>
    <row r="55" spans="1:19" ht="123" customHeight="1" x14ac:dyDescent="0.25">
      <c r="A55" s="34"/>
      <c r="B55" s="35"/>
      <c r="C55" s="36"/>
      <c r="D55" s="35"/>
      <c r="E55" s="35"/>
      <c r="F55" s="37"/>
      <c r="G55" s="38"/>
      <c r="H55" s="38"/>
      <c r="I55" s="38"/>
      <c r="J55" s="39"/>
      <c r="K55" s="38"/>
      <c r="L55" s="38"/>
      <c r="M55" s="38"/>
      <c r="Q55" s="36"/>
      <c r="R55" s="36"/>
      <c r="S55" s="48"/>
    </row>
    <row r="56" spans="1:19" ht="123" customHeight="1" x14ac:dyDescent="0.25">
      <c r="A56" s="34"/>
      <c r="B56" s="35"/>
      <c r="C56" s="36"/>
      <c r="D56" s="35"/>
      <c r="E56" s="35"/>
      <c r="F56" s="37"/>
      <c r="G56" s="38"/>
      <c r="H56" s="38"/>
      <c r="I56" s="38"/>
      <c r="J56" s="39"/>
      <c r="K56" s="38"/>
      <c r="L56" s="38"/>
      <c r="M56" s="38"/>
      <c r="Q56" s="36"/>
      <c r="R56" s="36"/>
      <c r="S56" s="48"/>
    </row>
    <row r="57" spans="1:19" ht="123" customHeight="1" x14ac:dyDescent="0.25">
      <c r="A57" s="34"/>
      <c r="B57" s="35"/>
      <c r="C57" s="36"/>
      <c r="D57" s="35"/>
      <c r="E57" s="35"/>
      <c r="F57" s="37"/>
      <c r="G57" s="38"/>
      <c r="H57" s="38"/>
      <c r="I57" s="38"/>
      <c r="J57" s="39"/>
      <c r="K57" s="38"/>
      <c r="L57" s="38"/>
      <c r="M57" s="38"/>
      <c r="Q57" s="36"/>
      <c r="R57" s="36"/>
      <c r="S57" s="48"/>
    </row>
    <row r="58" spans="1:19" ht="123" customHeight="1" x14ac:dyDescent="0.25">
      <c r="A58" s="34"/>
      <c r="B58" s="35"/>
      <c r="C58" s="36"/>
      <c r="D58" s="35"/>
      <c r="E58" s="35"/>
      <c r="F58" s="37"/>
      <c r="G58" s="38"/>
      <c r="H58" s="38"/>
      <c r="I58" s="38"/>
      <c r="J58" s="39"/>
      <c r="K58" s="38"/>
      <c r="L58" s="38"/>
      <c r="M58" s="38"/>
      <c r="Q58" s="36"/>
      <c r="R58" s="36"/>
      <c r="S58" s="48"/>
    </row>
    <row r="59" spans="1:19" ht="123" customHeight="1" x14ac:dyDescent="0.25">
      <c r="A59" s="34"/>
      <c r="B59" s="35"/>
      <c r="C59" s="36"/>
      <c r="D59" s="35"/>
      <c r="E59" s="35"/>
      <c r="F59" s="37"/>
      <c r="G59" s="38"/>
      <c r="H59" s="38"/>
      <c r="I59" s="38"/>
      <c r="J59" s="39"/>
      <c r="K59" s="38"/>
      <c r="L59" s="38"/>
      <c r="M59" s="38"/>
      <c r="Q59" s="36"/>
      <c r="R59" s="36"/>
      <c r="S59" s="48"/>
    </row>
    <row r="60" spans="1:19" ht="123" customHeight="1" x14ac:dyDescent="0.25">
      <c r="A60" s="34"/>
      <c r="B60" s="35"/>
      <c r="C60" s="36"/>
      <c r="D60" s="35"/>
      <c r="E60" s="35"/>
      <c r="F60" s="37"/>
      <c r="G60" s="38"/>
      <c r="H60" s="38"/>
      <c r="I60" s="38"/>
      <c r="J60" s="39"/>
      <c r="K60" s="38"/>
      <c r="L60" s="38"/>
      <c r="M60" s="38"/>
      <c r="Q60" s="36"/>
      <c r="R60" s="36"/>
      <c r="S60" s="48"/>
    </row>
    <row r="61" spans="1:19" ht="123" customHeight="1" x14ac:dyDescent="0.25">
      <c r="A61" s="34"/>
      <c r="B61" s="35"/>
      <c r="C61" s="36"/>
      <c r="D61" s="35"/>
      <c r="E61" s="35"/>
      <c r="F61" s="37"/>
      <c r="G61" s="38"/>
      <c r="H61" s="38"/>
      <c r="I61" s="38"/>
      <c r="J61" s="39"/>
      <c r="K61" s="38"/>
      <c r="L61" s="38"/>
      <c r="M61" s="38"/>
      <c r="Q61" s="36"/>
      <c r="R61" s="36"/>
      <c r="S61" s="48"/>
    </row>
    <row r="62" spans="1:19" ht="123" customHeight="1" x14ac:dyDescent="0.25">
      <c r="A62" s="34"/>
      <c r="B62" s="35"/>
      <c r="C62" s="36"/>
      <c r="D62" s="35"/>
      <c r="E62" s="35"/>
      <c r="F62" s="37"/>
      <c r="G62" s="38"/>
      <c r="H62" s="38"/>
      <c r="I62" s="38"/>
      <c r="J62" s="39"/>
      <c r="K62" s="38"/>
      <c r="L62" s="38"/>
      <c r="M62" s="38"/>
      <c r="Q62" s="36"/>
      <c r="R62" s="36"/>
      <c r="S62" s="48"/>
    </row>
    <row r="63" spans="1:19" ht="123" customHeight="1" x14ac:dyDescent="0.25">
      <c r="A63" s="34"/>
      <c r="B63" s="35"/>
      <c r="C63" s="36"/>
      <c r="D63" s="35"/>
      <c r="E63" s="35"/>
      <c r="F63" s="37"/>
      <c r="G63" s="38"/>
      <c r="H63" s="38"/>
      <c r="I63" s="38"/>
      <c r="J63" s="39"/>
      <c r="K63" s="38"/>
      <c r="L63" s="38"/>
      <c r="M63" s="38"/>
      <c r="Q63" s="36"/>
      <c r="R63" s="36"/>
      <c r="S63" s="48"/>
    </row>
    <row r="64" spans="1:19" ht="123" customHeight="1" x14ac:dyDescent="0.25">
      <c r="A64" s="34"/>
      <c r="B64" s="35"/>
      <c r="C64" s="36"/>
      <c r="D64" s="35"/>
      <c r="E64" s="35"/>
      <c r="F64" s="37"/>
      <c r="G64" s="38"/>
      <c r="H64" s="38"/>
      <c r="I64" s="38"/>
      <c r="J64" s="39"/>
      <c r="K64" s="38"/>
      <c r="L64" s="38"/>
      <c r="M64" s="38"/>
      <c r="Q64" s="36"/>
      <c r="R64" s="36"/>
      <c r="S64" s="48"/>
    </row>
    <row r="65" spans="1:19" ht="123" customHeight="1" x14ac:dyDescent="0.25">
      <c r="A65" s="34"/>
      <c r="B65" s="35"/>
      <c r="C65" s="36"/>
      <c r="D65" s="35"/>
      <c r="E65" s="35"/>
      <c r="F65" s="37"/>
      <c r="G65" s="38"/>
      <c r="H65" s="38"/>
      <c r="I65" s="38"/>
      <c r="J65" s="39"/>
      <c r="K65" s="38"/>
      <c r="L65" s="38"/>
      <c r="M65" s="38"/>
      <c r="Q65" s="36"/>
      <c r="R65" s="36"/>
      <c r="S65" s="48"/>
    </row>
    <row r="66" spans="1:19" ht="123" customHeight="1" x14ac:dyDescent="0.25">
      <c r="A66" s="34"/>
      <c r="B66" s="35"/>
      <c r="C66" s="36"/>
      <c r="D66" s="35"/>
      <c r="E66" s="35"/>
      <c r="F66" s="37"/>
      <c r="G66" s="38"/>
      <c r="H66" s="38"/>
      <c r="I66" s="38"/>
      <c r="J66" s="39"/>
      <c r="K66" s="38"/>
      <c r="L66" s="38"/>
      <c r="M66" s="38"/>
      <c r="Q66" s="36"/>
      <c r="R66" s="36"/>
      <c r="S66" s="48"/>
    </row>
    <row r="67" spans="1:19" ht="123" customHeight="1" x14ac:dyDescent="0.25">
      <c r="A67" s="34"/>
      <c r="B67" s="35"/>
      <c r="C67" s="36"/>
      <c r="D67" s="35"/>
      <c r="E67" s="35"/>
      <c r="F67" s="37"/>
      <c r="G67" s="38"/>
      <c r="H67" s="38"/>
      <c r="I67" s="38"/>
      <c r="J67" s="39"/>
      <c r="K67" s="38"/>
      <c r="L67" s="38"/>
      <c r="M67" s="38"/>
      <c r="Q67" s="36"/>
      <c r="R67" s="36"/>
      <c r="S67" s="48"/>
    </row>
    <row r="68" spans="1:19" ht="123" customHeight="1" x14ac:dyDescent="0.25">
      <c r="A68" s="34"/>
      <c r="B68" s="35"/>
      <c r="C68" s="36"/>
      <c r="D68" s="35"/>
      <c r="E68" s="35"/>
      <c r="F68" s="37"/>
      <c r="G68" s="38"/>
      <c r="H68" s="38"/>
      <c r="I68" s="38"/>
      <c r="J68" s="39"/>
      <c r="K68" s="38"/>
      <c r="L68" s="38"/>
      <c r="M68" s="38"/>
      <c r="Q68" s="36"/>
      <c r="R68" s="36"/>
      <c r="S68" s="48"/>
    </row>
    <row r="69" spans="1:19" ht="123" customHeight="1" x14ac:dyDescent="0.25">
      <c r="A69" s="34"/>
      <c r="B69" s="35"/>
      <c r="C69" s="36"/>
      <c r="D69" s="35"/>
      <c r="E69" s="35"/>
      <c r="F69" s="37"/>
      <c r="G69" s="38"/>
      <c r="H69" s="38"/>
      <c r="I69" s="38"/>
      <c r="J69" s="39"/>
      <c r="K69" s="38"/>
      <c r="L69" s="38"/>
      <c r="M69" s="38"/>
      <c r="Q69" s="36"/>
      <c r="R69" s="36"/>
      <c r="S69" s="48"/>
    </row>
    <row r="70" spans="1:19" ht="123" customHeight="1" x14ac:dyDescent="0.25">
      <c r="A70" s="34"/>
      <c r="B70" s="35"/>
      <c r="C70" s="36"/>
      <c r="D70" s="35"/>
      <c r="E70" s="35"/>
      <c r="F70" s="37"/>
      <c r="G70" s="38"/>
      <c r="H70" s="38"/>
      <c r="I70" s="38"/>
      <c r="J70" s="39"/>
      <c r="K70" s="38"/>
      <c r="L70" s="38"/>
      <c r="M70" s="38"/>
      <c r="Q70" s="36"/>
      <c r="R70" s="36"/>
      <c r="S70" s="48"/>
    </row>
    <row r="71" spans="1:19" ht="123" customHeight="1" x14ac:dyDescent="0.25">
      <c r="A71" s="34"/>
      <c r="B71" s="35"/>
      <c r="C71" s="36"/>
      <c r="D71" s="35"/>
      <c r="E71" s="35"/>
      <c r="F71" s="37"/>
      <c r="G71" s="38"/>
      <c r="H71" s="38"/>
      <c r="I71" s="38"/>
      <c r="J71" s="39"/>
      <c r="K71" s="38"/>
      <c r="L71" s="38"/>
      <c r="M71" s="38"/>
      <c r="Q71" s="36"/>
      <c r="R71" s="36"/>
      <c r="S71" s="48"/>
    </row>
    <row r="72" spans="1:19" ht="123" customHeight="1" x14ac:dyDescent="0.25">
      <c r="A72" s="34"/>
      <c r="B72" s="35"/>
      <c r="C72" s="36"/>
      <c r="D72" s="35"/>
      <c r="E72" s="35"/>
      <c r="F72" s="37"/>
      <c r="G72" s="38"/>
      <c r="H72" s="38"/>
      <c r="I72" s="38"/>
      <c r="J72" s="39"/>
      <c r="K72" s="38"/>
      <c r="L72" s="38"/>
      <c r="M72" s="38"/>
      <c r="Q72" s="36"/>
      <c r="R72" s="36"/>
      <c r="S72" s="48"/>
    </row>
    <row r="73" spans="1:19" ht="123" customHeight="1" x14ac:dyDescent="0.25">
      <c r="A73" s="34"/>
      <c r="B73" s="35"/>
      <c r="C73" s="36"/>
      <c r="D73" s="35"/>
      <c r="E73" s="35"/>
      <c r="F73" s="37"/>
      <c r="G73" s="38"/>
      <c r="H73" s="38"/>
      <c r="I73" s="38"/>
      <c r="J73" s="39"/>
      <c r="K73" s="38"/>
      <c r="L73" s="38"/>
      <c r="M73" s="38"/>
      <c r="Q73" s="36"/>
      <c r="R73" s="36"/>
      <c r="S73" s="48"/>
    </row>
    <row r="74" spans="1:19" ht="123" customHeight="1" x14ac:dyDescent="0.25">
      <c r="A74" s="34"/>
      <c r="B74" s="35"/>
      <c r="C74" s="36"/>
      <c r="D74" s="35"/>
      <c r="E74" s="35"/>
      <c r="F74" s="37"/>
      <c r="G74" s="38"/>
      <c r="H74" s="38"/>
      <c r="I74" s="38"/>
      <c r="J74" s="39"/>
      <c r="K74" s="38"/>
      <c r="L74" s="38"/>
      <c r="M74" s="38"/>
      <c r="Q74" s="36"/>
      <c r="R74" s="36"/>
      <c r="S74" s="48"/>
    </row>
    <row r="75" spans="1:19" ht="123" customHeight="1" x14ac:dyDescent="0.25">
      <c r="A75" s="34"/>
      <c r="B75" s="35"/>
      <c r="C75" s="36"/>
      <c r="D75" s="35"/>
      <c r="E75" s="35"/>
      <c r="F75" s="37"/>
      <c r="G75" s="38"/>
      <c r="H75" s="38"/>
      <c r="I75" s="38"/>
      <c r="J75" s="39"/>
      <c r="K75" s="38"/>
      <c r="L75" s="38"/>
      <c r="M75" s="38"/>
      <c r="Q75" s="36"/>
      <c r="R75" s="36"/>
      <c r="S75" s="48"/>
    </row>
    <row r="76" spans="1:19" ht="123" customHeight="1" x14ac:dyDescent="0.25">
      <c r="A76" s="34"/>
      <c r="B76" s="35"/>
      <c r="C76" s="36"/>
      <c r="D76" s="35"/>
      <c r="E76" s="35"/>
      <c r="F76" s="37"/>
      <c r="G76" s="38"/>
      <c r="H76" s="38"/>
      <c r="I76" s="38"/>
      <c r="J76" s="39"/>
      <c r="K76" s="38"/>
      <c r="L76" s="38"/>
      <c r="M76" s="38"/>
      <c r="Q76" s="36"/>
      <c r="R76" s="36"/>
      <c r="S76" s="48"/>
    </row>
    <row r="77" spans="1:19" ht="123" customHeight="1" x14ac:dyDescent="0.25">
      <c r="A77" s="34"/>
      <c r="B77" s="35"/>
      <c r="C77" s="36"/>
      <c r="D77" s="35"/>
      <c r="E77" s="35"/>
      <c r="F77" s="37"/>
      <c r="G77" s="38"/>
      <c r="H77" s="38"/>
      <c r="I77" s="38"/>
      <c r="J77" s="39"/>
      <c r="K77" s="38"/>
      <c r="L77" s="38"/>
      <c r="M77" s="38"/>
      <c r="Q77" s="36"/>
      <c r="R77" s="36"/>
      <c r="S77" s="48"/>
    </row>
    <row r="78" spans="1:19" ht="123" customHeight="1" x14ac:dyDescent="0.25">
      <c r="A78" s="34"/>
      <c r="B78" s="35"/>
      <c r="C78" s="36"/>
      <c r="D78" s="35"/>
      <c r="E78" s="35"/>
      <c r="F78" s="37"/>
      <c r="G78" s="38"/>
      <c r="H78" s="38"/>
      <c r="I78" s="38"/>
      <c r="J78" s="39"/>
      <c r="K78" s="38"/>
      <c r="L78" s="38"/>
      <c r="M78" s="38"/>
      <c r="Q78" s="36"/>
      <c r="R78" s="36"/>
      <c r="S78" s="48"/>
    </row>
    <row r="79" spans="1:19" ht="123" customHeight="1" x14ac:dyDescent="0.25">
      <c r="A79" s="34"/>
      <c r="B79" s="35"/>
      <c r="C79" s="36"/>
      <c r="D79" s="35"/>
      <c r="E79" s="35"/>
      <c r="F79" s="37"/>
      <c r="G79" s="38"/>
      <c r="H79" s="38"/>
      <c r="I79" s="38"/>
      <c r="J79" s="39"/>
      <c r="K79" s="38"/>
      <c r="L79" s="38"/>
      <c r="M79" s="38"/>
      <c r="Q79" s="36"/>
      <c r="R79" s="36"/>
      <c r="S79" s="48"/>
    </row>
    <row r="80" spans="1:19" ht="123" customHeight="1" x14ac:dyDescent="0.25">
      <c r="A80" s="34"/>
      <c r="B80" s="35"/>
      <c r="C80" s="36"/>
      <c r="D80" s="35"/>
      <c r="E80" s="35"/>
      <c r="F80" s="37"/>
      <c r="G80" s="38"/>
      <c r="H80" s="38"/>
      <c r="I80" s="38"/>
      <c r="J80" s="39"/>
      <c r="K80" s="38"/>
      <c r="L80" s="38"/>
      <c r="M80" s="38"/>
      <c r="Q80" s="36"/>
      <c r="R80" s="36"/>
      <c r="S80" s="48"/>
    </row>
    <row r="81" spans="1:19" ht="123" customHeight="1" x14ac:dyDescent="0.25">
      <c r="A81" s="34"/>
      <c r="B81" s="35"/>
      <c r="C81" s="36"/>
      <c r="D81" s="35"/>
      <c r="E81" s="35"/>
      <c r="F81" s="37"/>
      <c r="G81" s="38"/>
      <c r="H81" s="38"/>
      <c r="I81" s="38"/>
      <c r="J81" s="39"/>
      <c r="K81" s="38"/>
      <c r="L81" s="38"/>
      <c r="M81" s="38"/>
      <c r="Q81" s="36"/>
      <c r="R81" s="36"/>
      <c r="S81" s="48"/>
    </row>
    <row r="82" spans="1:19" ht="123" customHeight="1" x14ac:dyDescent="0.25">
      <c r="A82" s="34"/>
      <c r="B82" s="35"/>
      <c r="C82" s="36"/>
      <c r="D82" s="35"/>
      <c r="E82" s="35"/>
      <c r="F82" s="37"/>
      <c r="G82" s="38"/>
      <c r="H82" s="38"/>
      <c r="I82" s="38"/>
      <c r="J82" s="39"/>
      <c r="K82" s="38"/>
      <c r="L82" s="38"/>
      <c r="M82" s="38"/>
      <c r="Q82" s="36"/>
      <c r="R82" s="36"/>
      <c r="S82" s="48"/>
    </row>
    <row r="83" spans="1:19" ht="123" customHeight="1" x14ac:dyDescent="0.25">
      <c r="A83" s="34"/>
      <c r="B83" s="35"/>
      <c r="C83" s="36"/>
      <c r="D83" s="35"/>
      <c r="E83" s="35"/>
      <c r="F83" s="37"/>
      <c r="G83" s="38"/>
      <c r="H83" s="38"/>
      <c r="I83" s="38"/>
      <c r="J83" s="39"/>
      <c r="K83" s="38"/>
      <c r="L83" s="38"/>
      <c r="M83" s="38"/>
      <c r="Q83" s="36"/>
      <c r="R83" s="36"/>
      <c r="S83" s="48"/>
    </row>
    <row r="84" spans="1:19" ht="123" customHeight="1" x14ac:dyDescent="0.25">
      <c r="A84" s="34"/>
      <c r="B84" s="35"/>
      <c r="C84" s="36"/>
      <c r="D84" s="35"/>
      <c r="E84" s="35"/>
      <c r="F84" s="37"/>
      <c r="G84" s="38"/>
      <c r="H84" s="38"/>
      <c r="I84" s="38"/>
      <c r="J84" s="39"/>
      <c r="K84" s="38"/>
      <c r="L84" s="38"/>
      <c r="M84" s="38"/>
      <c r="Q84" s="36"/>
      <c r="R84" s="36"/>
      <c r="S84" s="48"/>
    </row>
    <row r="85" spans="1:19" ht="123" customHeight="1" x14ac:dyDescent="0.25">
      <c r="A85" s="34"/>
      <c r="B85" s="35"/>
      <c r="C85" s="36"/>
      <c r="D85" s="35"/>
      <c r="E85" s="35"/>
      <c r="F85" s="37"/>
      <c r="G85" s="38"/>
      <c r="H85" s="38"/>
      <c r="I85" s="38"/>
      <c r="J85" s="39"/>
      <c r="K85" s="38"/>
      <c r="L85" s="38"/>
      <c r="M85" s="38"/>
      <c r="Q85" s="36"/>
      <c r="R85" s="36"/>
      <c r="S85" s="48"/>
    </row>
    <row r="86" spans="1:19" ht="123" customHeight="1" x14ac:dyDescent="0.25">
      <c r="A86" s="34"/>
      <c r="B86" s="35"/>
      <c r="C86" s="36"/>
      <c r="D86" s="35"/>
      <c r="E86" s="35"/>
      <c r="F86" s="37"/>
      <c r="G86" s="38"/>
      <c r="H86" s="38"/>
      <c r="I86" s="38"/>
      <c r="J86" s="39"/>
      <c r="K86" s="38"/>
      <c r="L86" s="38"/>
      <c r="M86" s="38"/>
      <c r="Q86" s="36"/>
      <c r="R86" s="36"/>
      <c r="S86" s="48"/>
    </row>
    <row r="87" spans="1:19" ht="123" customHeight="1" x14ac:dyDescent="0.25">
      <c r="A87" s="34"/>
      <c r="B87" s="35"/>
      <c r="C87" s="36"/>
      <c r="D87" s="35"/>
      <c r="E87" s="35"/>
      <c r="F87" s="37"/>
      <c r="G87" s="38"/>
      <c r="H87" s="38"/>
      <c r="I87" s="38"/>
      <c r="J87" s="39"/>
      <c r="K87" s="38"/>
      <c r="L87" s="38"/>
      <c r="M87" s="38"/>
      <c r="Q87" s="36"/>
      <c r="R87" s="36"/>
      <c r="S87" s="48"/>
    </row>
    <row r="88" spans="1:19" ht="123" customHeight="1" x14ac:dyDescent="0.25">
      <c r="A88" s="34"/>
      <c r="B88" s="35"/>
      <c r="C88" s="36"/>
      <c r="D88" s="35"/>
      <c r="E88" s="35"/>
      <c r="F88" s="37"/>
      <c r="G88" s="38"/>
      <c r="H88" s="38"/>
      <c r="I88" s="38"/>
      <c r="J88" s="39"/>
      <c r="K88" s="38"/>
      <c r="L88" s="38"/>
      <c r="M88" s="38"/>
      <c r="Q88" s="36"/>
      <c r="R88" s="36"/>
      <c r="S88" s="48"/>
    </row>
    <row r="89" spans="1:19" ht="123" customHeight="1" x14ac:dyDescent="0.25">
      <c r="A89" s="34"/>
      <c r="B89" s="35"/>
      <c r="C89" s="36"/>
      <c r="D89" s="35"/>
      <c r="E89" s="35"/>
      <c r="F89" s="37"/>
      <c r="G89" s="38"/>
      <c r="H89" s="38"/>
      <c r="I89" s="38"/>
      <c r="J89" s="39"/>
      <c r="K89" s="38"/>
      <c r="L89" s="38"/>
      <c r="M89" s="38"/>
      <c r="Q89" s="36"/>
      <c r="R89" s="36"/>
      <c r="S89" s="48"/>
    </row>
    <row r="90" spans="1:19" ht="123" customHeight="1" x14ac:dyDescent="0.25">
      <c r="A90" s="34"/>
      <c r="B90" s="35"/>
      <c r="C90" s="36"/>
      <c r="D90" s="35"/>
      <c r="E90" s="35"/>
      <c r="F90" s="37"/>
      <c r="G90" s="38"/>
      <c r="H90" s="38"/>
      <c r="I90" s="38"/>
      <c r="J90" s="39"/>
      <c r="K90" s="38"/>
      <c r="L90" s="38"/>
      <c r="M90" s="38"/>
      <c r="Q90" s="36"/>
      <c r="R90" s="36"/>
      <c r="S90" s="48"/>
    </row>
    <row r="91" spans="1:19" ht="123" customHeight="1" x14ac:dyDescent="0.25">
      <c r="A91" s="34"/>
      <c r="B91" s="35"/>
      <c r="C91" s="36"/>
      <c r="D91" s="35"/>
      <c r="E91" s="35"/>
      <c r="F91" s="37"/>
      <c r="G91" s="38"/>
      <c r="H91" s="38"/>
      <c r="I91" s="38"/>
      <c r="J91" s="39"/>
      <c r="K91" s="38"/>
      <c r="L91" s="38"/>
      <c r="M91" s="38"/>
      <c r="Q91" s="36"/>
      <c r="R91" s="36"/>
      <c r="S91" s="48"/>
    </row>
    <row r="92" spans="1:19" ht="123" customHeight="1" x14ac:dyDescent="0.25">
      <c r="A92" s="34"/>
      <c r="B92" s="35"/>
      <c r="C92" s="36"/>
      <c r="D92" s="35"/>
      <c r="E92" s="35"/>
      <c r="F92" s="37"/>
      <c r="G92" s="38"/>
      <c r="H92" s="38"/>
      <c r="I92" s="38"/>
      <c r="J92" s="39"/>
      <c r="K92" s="38"/>
      <c r="L92" s="38"/>
      <c r="M92" s="38"/>
      <c r="Q92" s="36"/>
      <c r="R92" s="36"/>
      <c r="S92" s="48"/>
    </row>
    <row r="93" spans="1:19" ht="123" customHeight="1" x14ac:dyDescent="0.25">
      <c r="A93" s="34"/>
      <c r="B93" s="35"/>
      <c r="C93" s="36"/>
      <c r="D93" s="35"/>
      <c r="E93" s="35"/>
      <c r="F93" s="37"/>
      <c r="G93" s="38"/>
      <c r="H93" s="38"/>
      <c r="I93" s="38"/>
      <c r="J93" s="39"/>
      <c r="K93" s="38"/>
      <c r="L93" s="38"/>
      <c r="M93" s="38"/>
      <c r="Q93" s="36"/>
      <c r="R93" s="36"/>
      <c r="S93" s="48"/>
    </row>
    <row r="94" spans="1:19" ht="123" customHeight="1" x14ac:dyDescent="0.25">
      <c r="A94" s="34"/>
      <c r="B94" s="35"/>
      <c r="C94" s="36"/>
      <c r="D94" s="35"/>
      <c r="E94" s="35"/>
      <c r="F94" s="37"/>
      <c r="G94" s="38"/>
      <c r="H94" s="38"/>
      <c r="I94" s="38"/>
      <c r="J94" s="39"/>
      <c r="K94" s="38"/>
      <c r="L94" s="38"/>
      <c r="M94" s="38"/>
      <c r="Q94" s="36"/>
      <c r="R94" s="36"/>
      <c r="S94" s="48"/>
    </row>
    <row r="95" spans="1:19" ht="123" customHeight="1" x14ac:dyDescent="0.25">
      <c r="A95" s="34"/>
      <c r="B95" s="35"/>
      <c r="C95" s="36"/>
      <c r="D95" s="35"/>
      <c r="E95" s="35"/>
      <c r="F95" s="37"/>
      <c r="G95" s="38"/>
      <c r="H95" s="38"/>
      <c r="I95" s="38"/>
      <c r="J95" s="39"/>
      <c r="K95" s="38"/>
      <c r="L95" s="38"/>
      <c r="M95" s="38"/>
      <c r="Q95" s="36"/>
      <c r="R95" s="36"/>
      <c r="S95" s="48"/>
    </row>
    <row r="96" spans="1:19" ht="123" customHeight="1" x14ac:dyDescent="0.25">
      <c r="A96" s="34"/>
      <c r="B96" s="35"/>
      <c r="C96" s="36"/>
      <c r="D96" s="35"/>
      <c r="E96" s="35"/>
      <c r="F96" s="37"/>
      <c r="G96" s="38"/>
      <c r="H96" s="38"/>
      <c r="I96" s="38"/>
      <c r="J96" s="39"/>
      <c r="K96" s="38"/>
      <c r="L96" s="38"/>
      <c r="M96" s="38"/>
      <c r="Q96" s="36"/>
      <c r="R96" s="36"/>
      <c r="S96" s="48"/>
    </row>
    <row r="97" spans="1:19" ht="123" customHeight="1" x14ac:dyDescent="0.25">
      <c r="A97" s="34"/>
      <c r="B97" s="35"/>
      <c r="C97" s="36"/>
      <c r="D97" s="35"/>
      <c r="E97" s="35"/>
      <c r="F97" s="37"/>
      <c r="G97" s="38"/>
      <c r="H97" s="38"/>
      <c r="I97" s="38"/>
      <c r="J97" s="39"/>
      <c r="K97" s="38"/>
      <c r="L97" s="38"/>
      <c r="M97" s="38"/>
      <c r="Q97" s="36"/>
      <c r="R97" s="36"/>
      <c r="S97" s="48"/>
    </row>
    <row r="98" spans="1:19" ht="123" customHeight="1" x14ac:dyDescent="0.25">
      <c r="A98" s="34"/>
      <c r="B98" s="35"/>
      <c r="C98" s="36"/>
      <c r="D98" s="35"/>
      <c r="E98" s="35"/>
      <c r="F98" s="37"/>
      <c r="G98" s="38"/>
      <c r="H98" s="38"/>
      <c r="I98" s="38"/>
      <c r="J98" s="39"/>
      <c r="K98" s="38"/>
      <c r="L98" s="38"/>
      <c r="M98" s="38"/>
      <c r="Q98" s="36"/>
      <c r="R98" s="36"/>
      <c r="S98" s="48"/>
    </row>
    <row r="99" spans="1:19" ht="123" customHeight="1" x14ac:dyDescent="0.25">
      <c r="A99" s="34"/>
      <c r="B99" s="35"/>
      <c r="C99" s="36"/>
      <c r="D99" s="35"/>
      <c r="E99" s="35"/>
      <c r="F99" s="37"/>
      <c r="G99" s="38"/>
      <c r="H99" s="38"/>
      <c r="I99" s="38"/>
      <c r="J99" s="39"/>
      <c r="K99" s="38"/>
      <c r="L99" s="38"/>
      <c r="M99" s="38"/>
      <c r="Q99" s="36"/>
      <c r="R99" s="36"/>
      <c r="S99" s="48"/>
    </row>
    <row r="100" spans="1:19" ht="123" customHeight="1" x14ac:dyDescent="0.25">
      <c r="A100" s="34"/>
      <c r="B100" s="35"/>
      <c r="C100" s="36"/>
      <c r="D100" s="35"/>
      <c r="E100" s="35"/>
      <c r="F100" s="37"/>
      <c r="G100" s="38"/>
      <c r="H100" s="38"/>
      <c r="I100" s="38"/>
      <c r="J100" s="39"/>
      <c r="K100" s="38"/>
      <c r="L100" s="38"/>
      <c r="M100" s="38"/>
      <c r="Q100" s="36"/>
      <c r="R100" s="36"/>
      <c r="S100" s="48"/>
    </row>
    <row r="101" spans="1:19" ht="123" customHeight="1" x14ac:dyDescent="0.25">
      <c r="A101" s="34"/>
      <c r="B101" s="35"/>
      <c r="C101" s="36"/>
      <c r="D101" s="35"/>
      <c r="E101" s="35"/>
      <c r="F101" s="37"/>
      <c r="G101" s="38"/>
      <c r="H101" s="38"/>
      <c r="I101" s="38"/>
      <c r="J101" s="39"/>
      <c r="K101" s="38"/>
      <c r="L101" s="38"/>
      <c r="M101" s="38"/>
      <c r="Q101" s="36"/>
      <c r="R101" s="36"/>
      <c r="S101" s="48"/>
    </row>
    <row r="102" spans="1:19" ht="123" customHeight="1" x14ac:dyDescent="0.25">
      <c r="A102" s="34"/>
      <c r="B102" s="35"/>
      <c r="C102" s="36"/>
      <c r="D102" s="35"/>
      <c r="E102" s="35"/>
      <c r="F102" s="37"/>
      <c r="G102" s="38"/>
      <c r="H102" s="38"/>
      <c r="I102" s="38"/>
      <c r="J102" s="39"/>
      <c r="K102" s="38"/>
      <c r="L102" s="38"/>
      <c r="M102" s="38"/>
      <c r="Q102" s="36"/>
      <c r="R102" s="36"/>
      <c r="S102" s="48"/>
    </row>
    <row r="103" spans="1:19" ht="123" customHeight="1" x14ac:dyDescent="0.25">
      <c r="A103" s="34"/>
      <c r="B103" s="35"/>
      <c r="C103" s="36"/>
      <c r="D103" s="35"/>
      <c r="E103" s="35"/>
      <c r="F103" s="37"/>
      <c r="G103" s="38"/>
      <c r="H103" s="38"/>
      <c r="I103" s="38"/>
      <c r="J103" s="39"/>
      <c r="K103" s="38"/>
      <c r="L103" s="38"/>
      <c r="M103" s="38"/>
      <c r="Q103" s="36"/>
      <c r="R103" s="36"/>
      <c r="S103" s="48"/>
    </row>
    <row r="104" spans="1:19" ht="123" customHeight="1" x14ac:dyDescent="0.25">
      <c r="A104" s="34"/>
      <c r="B104" s="35"/>
      <c r="C104" s="36"/>
      <c r="D104" s="35"/>
      <c r="E104" s="35"/>
      <c r="F104" s="37"/>
      <c r="G104" s="38"/>
      <c r="H104" s="38"/>
      <c r="I104" s="38"/>
      <c r="J104" s="39"/>
      <c r="K104" s="38"/>
      <c r="L104" s="38"/>
      <c r="M104" s="38"/>
      <c r="Q104" s="36"/>
      <c r="R104" s="36"/>
      <c r="S104" s="48"/>
    </row>
    <row r="105" spans="1:19" ht="123" customHeight="1" x14ac:dyDescent="0.25">
      <c r="A105" s="34"/>
      <c r="B105" s="35"/>
      <c r="C105" s="36"/>
      <c r="Q105" s="36"/>
    </row>
    <row r="106" spans="1:19" ht="123" customHeight="1" x14ac:dyDescent="0.25">
      <c r="A106" s="34"/>
      <c r="B106" s="35"/>
      <c r="C106" s="36"/>
      <c r="Q106" s="36"/>
    </row>
    <row r="107" spans="1:19" ht="123" customHeight="1" x14ac:dyDescent="0.25">
      <c r="A107" s="34"/>
      <c r="B107" s="35"/>
      <c r="C107" s="36"/>
      <c r="Q107" s="36"/>
    </row>
    <row r="108" spans="1:19" ht="123" customHeight="1" x14ac:dyDescent="0.25">
      <c r="A108" s="34"/>
      <c r="B108" s="35"/>
      <c r="C108" s="36"/>
      <c r="Q108" s="36"/>
    </row>
    <row r="109" spans="1:19" ht="123" customHeight="1" x14ac:dyDescent="0.25">
      <c r="A109" s="34"/>
      <c r="B109" s="35"/>
      <c r="C109" s="36"/>
      <c r="Q109" s="36"/>
    </row>
    <row r="110" spans="1:19" ht="123" customHeight="1" x14ac:dyDescent="0.25">
      <c r="A110" s="34"/>
      <c r="B110" s="35"/>
      <c r="C110" s="36"/>
      <c r="Q110" s="36"/>
    </row>
    <row r="111" spans="1:19" ht="123" customHeight="1" x14ac:dyDescent="0.25">
      <c r="A111" s="34"/>
      <c r="B111" s="35"/>
      <c r="C111" s="36"/>
      <c r="Q111" s="36"/>
    </row>
    <row r="112" spans="1:19" ht="123" customHeight="1" x14ac:dyDescent="0.25">
      <c r="A112" s="34"/>
      <c r="B112" s="35"/>
      <c r="C112" s="36"/>
      <c r="Q112" s="36"/>
    </row>
    <row r="113" spans="1:17" ht="123" customHeight="1" x14ac:dyDescent="0.25">
      <c r="A113" s="34"/>
      <c r="B113" s="35"/>
      <c r="C113" s="36"/>
      <c r="Q113" s="36"/>
    </row>
    <row r="114" spans="1:17" ht="123" customHeight="1" x14ac:dyDescent="0.25">
      <c r="A114" s="34"/>
      <c r="B114" s="35"/>
      <c r="C114" s="36"/>
      <c r="Q114" s="36"/>
    </row>
    <row r="115" spans="1:17" ht="123" customHeight="1" x14ac:dyDescent="0.25">
      <c r="A115" s="34"/>
      <c r="B115" s="35"/>
      <c r="C115" s="36"/>
      <c r="Q115" s="36"/>
    </row>
    <row r="116" spans="1:17" ht="123" customHeight="1" x14ac:dyDescent="0.25">
      <c r="A116" s="34"/>
      <c r="B116" s="35"/>
      <c r="C116" s="36"/>
      <c r="Q116" s="36"/>
    </row>
    <row r="117" spans="1:17" ht="123" customHeight="1" x14ac:dyDescent="0.25">
      <c r="A117" s="34"/>
      <c r="B117" s="35"/>
      <c r="C117" s="36"/>
      <c r="Q117" s="36"/>
    </row>
    <row r="118" spans="1:17" ht="123" customHeight="1" x14ac:dyDescent="0.25">
      <c r="A118" s="34"/>
      <c r="B118" s="35"/>
      <c r="C118" s="36"/>
      <c r="Q118" s="36"/>
    </row>
    <row r="119" spans="1:17" ht="123" customHeight="1" x14ac:dyDescent="0.25">
      <c r="A119" s="34"/>
      <c r="B119" s="35"/>
      <c r="C119" s="36"/>
      <c r="Q119" s="36"/>
    </row>
    <row r="120" spans="1:17" ht="123" customHeight="1" x14ac:dyDescent="0.25">
      <c r="A120" s="34"/>
      <c r="B120" s="35"/>
      <c r="C120" s="36"/>
      <c r="Q120" s="36"/>
    </row>
    <row r="121" spans="1:17" ht="123" customHeight="1" x14ac:dyDescent="0.25">
      <c r="A121" s="34"/>
      <c r="B121" s="35"/>
      <c r="C121" s="36"/>
      <c r="Q121" s="36"/>
    </row>
    <row r="122" spans="1:17" ht="123" customHeight="1" x14ac:dyDescent="0.25">
      <c r="A122" s="34"/>
      <c r="B122" s="35"/>
      <c r="C122" s="36"/>
      <c r="Q122" s="36"/>
    </row>
    <row r="123" spans="1:17" ht="123" customHeight="1" x14ac:dyDescent="0.25">
      <c r="A123" s="34"/>
      <c r="B123" s="35"/>
      <c r="C123" s="36"/>
      <c r="Q123" s="36"/>
    </row>
    <row r="124" spans="1:17" ht="123" customHeight="1" x14ac:dyDescent="0.25">
      <c r="A124" s="34"/>
      <c r="B124" s="35"/>
      <c r="C124" s="36"/>
      <c r="Q124" s="36"/>
    </row>
    <row r="125" spans="1:17" ht="123" customHeight="1" x14ac:dyDescent="0.25">
      <c r="A125" s="34"/>
      <c r="B125" s="35"/>
      <c r="C125" s="36"/>
      <c r="Q125" s="36"/>
    </row>
    <row r="126" spans="1:17" ht="123" customHeight="1" x14ac:dyDescent="0.25">
      <c r="A126" s="34"/>
      <c r="B126" s="35"/>
      <c r="C126" s="36"/>
      <c r="Q126" s="36"/>
    </row>
    <row r="127" spans="1:17" ht="123" customHeight="1" x14ac:dyDescent="0.25">
      <c r="A127" s="34"/>
      <c r="B127" s="35"/>
      <c r="C127" s="36"/>
      <c r="Q127" s="36"/>
    </row>
    <row r="128" spans="1:17" ht="123" customHeight="1" x14ac:dyDescent="0.25">
      <c r="A128" s="34"/>
      <c r="B128" s="35"/>
      <c r="C128" s="36"/>
      <c r="Q128" s="36"/>
    </row>
    <row r="129" spans="1:17" ht="123" customHeight="1" x14ac:dyDescent="0.25">
      <c r="A129" s="34"/>
      <c r="B129" s="35"/>
      <c r="C129" s="36"/>
      <c r="Q129" s="36"/>
    </row>
    <row r="130" spans="1:17" ht="123" customHeight="1" x14ac:dyDescent="0.25">
      <c r="A130" s="34"/>
      <c r="B130" s="35"/>
      <c r="C130" s="36"/>
      <c r="Q130" s="36"/>
    </row>
    <row r="131" spans="1:17" ht="123" customHeight="1" x14ac:dyDescent="0.25">
      <c r="A131" s="34"/>
      <c r="B131" s="35"/>
      <c r="C131" s="36"/>
      <c r="Q131" s="36"/>
    </row>
    <row r="132" spans="1:17" ht="123" customHeight="1" x14ac:dyDescent="0.25">
      <c r="A132" s="34"/>
      <c r="B132" s="35"/>
      <c r="C132" s="36"/>
      <c r="Q132" s="36"/>
    </row>
    <row r="133" spans="1:17" ht="123" customHeight="1" x14ac:dyDescent="0.25">
      <c r="A133" s="34"/>
      <c r="B133" s="35"/>
      <c r="C133" s="36"/>
      <c r="Q133" s="36"/>
    </row>
    <row r="134" spans="1:17" ht="123" customHeight="1" x14ac:dyDescent="0.25">
      <c r="A134" s="34"/>
      <c r="B134" s="35"/>
      <c r="C134" s="36"/>
      <c r="Q134" s="36"/>
    </row>
    <row r="135" spans="1:17" ht="123" customHeight="1" x14ac:dyDescent="0.25">
      <c r="A135" s="34"/>
      <c r="B135" s="35"/>
      <c r="C135" s="36"/>
      <c r="Q135" s="36"/>
    </row>
    <row r="136" spans="1:17" ht="123" customHeight="1" x14ac:dyDescent="0.25">
      <c r="A136" s="34"/>
      <c r="B136" s="35"/>
      <c r="C136" s="36"/>
      <c r="Q136" s="36"/>
    </row>
    <row r="137" spans="1:17" ht="123" customHeight="1" x14ac:dyDescent="0.25">
      <c r="A137" s="34"/>
      <c r="B137" s="35"/>
      <c r="C137" s="36"/>
      <c r="Q137" s="36"/>
    </row>
    <row r="138" spans="1:17" ht="123" customHeight="1" x14ac:dyDescent="0.25">
      <c r="A138" s="34"/>
      <c r="B138" s="35"/>
      <c r="C138" s="36"/>
      <c r="Q138" s="36"/>
    </row>
    <row r="139" spans="1:17" ht="123" customHeight="1" x14ac:dyDescent="0.25">
      <c r="A139" s="34"/>
      <c r="B139" s="35"/>
      <c r="C139" s="36"/>
      <c r="Q139" s="36"/>
    </row>
    <row r="140" spans="1:17" ht="123" customHeight="1" x14ac:dyDescent="0.25">
      <c r="A140" s="34"/>
      <c r="B140" s="35"/>
      <c r="C140" s="36"/>
      <c r="Q140" s="36"/>
    </row>
    <row r="141" spans="1:17" ht="123" customHeight="1" x14ac:dyDescent="0.25">
      <c r="A141" s="34"/>
      <c r="B141" s="35"/>
      <c r="C141" s="36"/>
      <c r="Q141" s="36"/>
    </row>
    <row r="142" spans="1:17" ht="123" customHeight="1" x14ac:dyDescent="0.25">
      <c r="A142" s="34"/>
      <c r="B142" s="35"/>
      <c r="C142" s="36"/>
      <c r="Q142" s="36"/>
    </row>
    <row r="143" spans="1:17" ht="123" customHeight="1" x14ac:dyDescent="0.25">
      <c r="A143" s="34"/>
      <c r="B143" s="35"/>
      <c r="C143" s="36"/>
      <c r="Q143" s="36"/>
    </row>
    <row r="144" spans="1:17" ht="123" customHeight="1" x14ac:dyDescent="0.25">
      <c r="A144" s="34"/>
      <c r="B144" s="35"/>
      <c r="C144" s="36"/>
      <c r="Q144" s="36"/>
    </row>
    <row r="145" spans="1:17" ht="123" customHeight="1" x14ac:dyDescent="0.25">
      <c r="A145" s="34"/>
      <c r="B145" s="35"/>
      <c r="C145" s="36"/>
      <c r="Q145" s="36"/>
    </row>
    <row r="146" spans="1:17" ht="123" customHeight="1" x14ac:dyDescent="0.25">
      <c r="A146" s="34"/>
      <c r="B146" s="35"/>
      <c r="C146" s="36"/>
      <c r="Q146" s="36"/>
    </row>
    <row r="147" spans="1:17" ht="123" customHeight="1" x14ac:dyDescent="0.25">
      <c r="A147" s="34"/>
      <c r="B147" s="35"/>
      <c r="C147" s="36"/>
      <c r="Q147" s="36"/>
    </row>
    <row r="148" spans="1:17" ht="123" customHeight="1" x14ac:dyDescent="0.25">
      <c r="A148" s="34"/>
      <c r="B148" s="35"/>
      <c r="C148" s="36"/>
      <c r="Q148" s="36"/>
    </row>
    <row r="149" spans="1:17" ht="123" customHeight="1" x14ac:dyDescent="0.25">
      <c r="A149" s="34"/>
      <c r="B149" s="35"/>
      <c r="C149" s="36"/>
      <c r="Q149" s="36"/>
    </row>
    <row r="150" spans="1:17" ht="123" customHeight="1" x14ac:dyDescent="0.25">
      <c r="A150" s="34"/>
      <c r="B150" s="35"/>
      <c r="C150" s="36"/>
      <c r="Q150" s="36"/>
    </row>
    <row r="151" spans="1:17" ht="123" customHeight="1" x14ac:dyDescent="0.25">
      <c r="A151" s="34"/>
      <c r="B151" s="35"/>
      <c r="C151" s="36"/>
      <c r="Q151" s="36"/>
    </row>
    <row r="152" spans="1:17" ht="123" customHeight="1" x14ac:dyDescent="0.25">
      <c r="A152" s="34"/>
      <c r="B152" s="35"/>
      <c r="C152" s="36"/>
      <c r="Q152" s="36"/>
    </row>
    <row r="153" spans="1:17" ht="123" customHeight="1" x14ac:dyDescent="0.25">
      <c r="A153" s="34"/>
      <c r="B153" s="35"/>
      <c r="C153" s="36"/>
      <c r="Q153" s="36"/>
    </row>
    <row r="154" spans="1:17" ht="123" customHeight="1" x14ac:dyDescent="0.25">
      <c r="A154" s="34"/>
      <c r="B154" s="35"/>
      <c r="C154" s="36"/>
      <c r="Q154" s="36"/>
    </row>
    <row r="155" spans="1:17" ht="123" customHeight="1" x14ac:dyDescent="0.25">
      <c r="A155" s="34"/>
      <c r="B155" s="35"/>
      <c r="C155" s="36"/>
      <c r="Q155" s="36"/>
    </row>
    <row r="156" spans="1:17" ht="123" customHeight="1" x14ac:dyDescent="0.25">
      <c r="A156" s="34"/>
      <c r="B156" s="35"/>
      <c r="C156" s="36"/>
      <c r="Q156" s="36"/>
    </row>
    <row r="157" spans="1:17" ht="123" customHeight="1" x14ac:dyDescent="0.25">
      <c r="A157" s="34"/>
      <c r="B157" s="35"/>
      <c r="C157" s="36"/>
      <c r="Q157" s="36"/>
    </row>
    <row r="158" spans="1:17" ht="123" customHeight="1" x14ac:dyDescent="0.25">
      <c r="A158" s="34"/>
      <c r="B158" s="35"/>
      <c r="C158" s="36"/>
      <c r="Q158" s="36"/>
    </row>
    <row r="159" spans="1:17" ht="123" customHeight="1" x14ac:dyDescent="0.25">
      <c r="A159" s="34"/>
      <c r="B159" s="35"/>
      <c r="C159" s="36"/>
      <c r="Q159" s="36"/>
    </row>
    <row r="160" spans="1:17" ht="123" customHeight="1" x14ac:dyDescent="0.25">
      <c r="A160" s="34"/>
      <c r="B160" s="35"/>
      <c r="C160" s="36"/>
      <c r="Q160" s="36"/>
    </row>
    <row r="161" spans="1:17" ht="123" customHeight="1" x14ac:dyDescent="0.25">
      <c r="A161" s="34"/>
      <c r="B161" s="35"/>
      <c r="C161" s="36"/>
      <c r="Q161" s="36"/>
    </row>
    <row r="162" spans="1:17" ht="123" customHeight="1" x14ac:dyDescent="0.25">
      <c r="A162" s="34"/>
      <c r="B162" s="35"/>
      <c r="C162" s="36"/>
      <c r="Q162" s="36"/>
    </row>
    <row r="163" spans="1:17" ht="123" customHeight="1" x14ac:dyDescent="0.25">
      <c r="A163" s="34"/>
      <c r="B163" s="35"/>
      <c r="C163" s="36"/>
      <c r="Q163" s="36"/>
    </row>
    <row r="164" spans="1:17" ht="123" customHeight="1" x14ac:dyDescent="0.25">
      <c r="A164" s="34"/>
      <c r="B164" s="35"/>
      <c r="C164" s="36"/>
      <c r="Q164" s="36"/>
    </row>
    <row r="165" spans="1:17" ht="123" customHeight="1" x14ac:dyDescent="0.25">
      <c r="A165" s="34"/>
      <c r="B165" s="35"/>
      <c r="C165" s="36"/>
      <c r="Q165" s="36"/>
    </row>
    <row r="166" spans="1:17" ht="123" customHeight="1" x14ac:dyDescent="0.25">
      <c r="A166" s="34"/>
      <c r="B166" s="35"/>
      <c r="C166" s="36"/>
      <c r="Q166" s="36"/>
    </row>
    <row r="167" spans="1:17" ht="123" customHeight="1" x14ac:dyDescent="0.25">
      <c r="A167" s="34"/>
      <c r="B167" s="35"/>
      <c r="C167" s="36"/>
      <c r="Q167" s="36"/>
    </row>
    <row r="168" spans="1:17" ht="123" customHeight="1" x14ac:dyDescent="0.25">
      <c r="A168" s="34"/>
      <c r="B168" s="35"/>
      <c r="C168" s="36"/>
      <c r="Q168" s="36"/>
    </row>
    <row r="169" spans="1:17" ht="123" customHeight="1" x14ac:dyDescent="0.25">
      <c r="A169" s="34"/>
      <c r="B169" s="35"/>
      <c r="C169" s="36"/>
      <c r="Q169" s="36"/>
    </row>
    <row r="170" spans="1:17" ht="123" customHeight="1" x14ac:dyDescent="0.25">
      <c r="A170" s="34"/>
      <c r="B170" s="35"/>
      <c r="C170" s="36"/>
      <c r="Q170" s="36"/>
    </row>
    <row r="171" spans="1:17" ht="123" customHeight="1" x14ac:dyDescent="0.25">
      <c r="A171" s="34"/>
      <c r="B171" s="35"/>
      <c r="C171" s="36"/>
      <c r="Q171" s="36"/>
    </row>
    <row r="172" spans="1:17" ht="123" customHeight="1" x14ac:dyDescent="0.25">
      <c r="A172" s="34"/>
      <c r="B172" s="35"/>
      <c r="C172" s="36"/>
      <c r="Q172" s="36"/>
    </row>
    <row r="173" spans="1:17" ht="123" customHeight="1" x14ac:dyDescent="0.25">
      <c r="A173" s="34"/>
      <c r="B173" s="35"/>
      <c r="C173" s="36"/>
      <c r="Q173" s="36"/>
    </row>
    <row r="174" spans="1:17" ht="123" customHeight="1" x14ac:dyDescent="0.25">
      <c r="A174" s="34"/>
      <c r="B174" s="35"/>
      <c r="C174" s="36"/>
      <c r="Q174" s="36"/>
    </row>
    <row r="175" spans="1:17" ht="123" customHeight="1" x14ac:dyDescent="0.25">
      <c r="A175" s="34"/>
      <c r="B175" s="35"/>
      <c r="C175" s="36"/>
      <c r="Q175" s="36"/>
    </row>
    <row r="176" spans="1:17" ht="123" customHeight="1" x14ac:dyDescent="0.25">
      <c r="A176" s="34"/>
      <c r="B176" s="35"/>
      <c r="C176" s="36"/>
      <c r="Q176" s="36"/>
    </row>
    <row r="177" spans="1:17" ht="123" customHeight="1" x14ac:dyDescent="0.25">
      <c r="A177" s="34"/>
      <c r="B177" s="35"/>
      <c r="C177" s="36"/>
      <c r="Q177" s="36"/>
    </row>
    <row r="178" spans="1:17" ht="123" customHeight="1" x14ac:dyDescent="0.25">
      <c r="A178" s="34"/>
      <c r="B178" s="35"/>
      <c r="C178" s="36"/>
      <c r="Q178" s="36"/>
    </row>
    <row r="179" spans="1:17" ht="123" customHeight="1" x14ac:dyDescent="0.25">
      <c r="A179" s="34"/>
      <c r="B179" s="35"/>
      <c r="C179" s="36"/>
      <c r="Q179" s="36"/>
    </row>
    <row r="180" spans="1:17" ht="123" customHeight="1" x14ac:dyDescent="0.25">
      <c r="A180" s="34"/>
      <c r="B180" s="35"/>
      <c r="C180" s="36"/>
      <c r="Q180" s="36"/>
    </row>
    <row r="181" spans="1:17" ht="123" customHeight="1" x14ac:dyDescent="0.25">
      <c r="A181" s="34"/>
      <c r="B181" s="35"/>
      <c r="C181" s="36"/>
      <c r="Q181" s="36"/>
    </row>
    <row r="182" spans="1:17" ht="123" customHeight="1" x14ac:dyDescent="0.25">
      <c r="A182" s="34"/>
      <c r="B182" s="35"/>
      <c r="C182" s="36"/>
      <c r="Q182" s="36"/>
    </row>
    <row r="183" spans="1:17" ht="123" customHeight="1" x14ac:dyDescent="0.25">
      <c r="A183" s="34"/>
      <c r="B183" s="35"/>
      <c r="C183" s="36"/>
      <c r="Q183" s="36"/>
    </row>
    <row r="184" spans="1:17" ht="123" customHeight="1" x14ac:dyDescent="0.25">
      <c r="A184" s="34"/>
      <c r="B184" s="35"/>
      <c r="C184" s="36"/>
      <c r="Q184" s="36"/>
    </row>
    <row r="185" spans="1:17" ht="123" customHeight="1" x14ac:dyDescent="0.25">
      <c r="A185" s="34"/>
      <c r="B185" s="35"/>
      <c r="C185" s="36"/>
      <c r="Q185" s="36"/>
    </row>
    <row r="186" spans="1:17" ht="123" customHeight="1" x14ac:dyDescent="0.25">
      <c r="A186" s="34"/>
      <c r="B186" s="35"/>
      <c r="C186" s="36"/>
      <c r="Q186" s="36"/>
    </row>
    <row r="187" spans="1:17" ht="123" customHeight="1" x14ac:dyDescent="0.25">
      <c r="A187" s="34"/>
      <c r="B187" s="35"/>
      <c r="C187" s="36"/>
      <c r="Q187" s="36"/>
    </row>
    <row r="188" spans="1:17" ht="123" customHeight="1" x14ac:dyDescent="0.25">
      <c r="A188" s="34"/>
      <c r="B188" s="35"/>
      <c r="C188" s="36"/>
      <c r="Q188" s="36"/>
    </row>
    <row r="189" spans="1:17" ht="123" customHeight="1" x14ac:dyDescent="0.25">
      <c r="A189" s="34"/>
      <c r="B189" s="35"/>
      <c r="C189" s="36"/>
      <c r="Q189" s="36"/>
    </row>
    <row r="190" spans="1:17" ht="123" customHeight="1" x14ac:dyDescent="0.25">
      <c r="A190" s="34"/>
      <c r="B190" s="35"/>
      <c r="C190" s="36"/>
      <c r="Q190" s="36"/>
    </row>
    <row r="191" spans="1:17" ht="123" customHeight="1" x14ac:dyDescent="0.25">
      <c r="A191" s="34"/>
      <c r="B191" s="35"/>
      <c r="C191" s="36"/>
      <c r="Q191" s="36"/>
    </row>
    <row r="192" spans="1:17" ht="123" customHeight="1" x14ac:dyDescent="0.25">
      <c r="A192" s="34"/>
      <c r="B192" s="35"/>
      <c r="C192" s="36"/>
      <c r="Q192" s="36"/>
    </row>
    <row r="193" spans="1:17" ht="123" customHeight="1" x14ac:dyDescent="0.25">
      <c r="A193" s="34"/>
      <c r="B193" s="35"/>
      <c r="C193" s="36"/>
      <c r="Q193" s="36"/>
    </row>
    <row r="194" spans="1:17" ht="123" customHeight="1" x14ac:dyDescent="0.25">
      <c r="A194" s="34"/>
      <c r="B194" s="35"/>
      <c r="C194" s="36"/>
      <c r="Q194" s="36"/>
    </row>
    <row r="195" spans="1:17" ht="123" customHeight="1" x14ac:dyDescent="0.25">
      <c r="A195" s="34"/>
      <c r="B195" s="35"/>
      <c r="C195" s="36"/>
      <c r="Q195" s="36"/>
    </row>
    <row r="196" spans="1:17" ht="123" customHeight="1" x14ac:dyDescent="0.25">
      <c r="A196" s="34"/>
      <c r="B196" s="35"/>
      <c r="C196" s="36"/>
      <c r="Q196" s="36"/>
    </row>
    <row r="197" spans="1:17" ht="123" customHeight="1" x14ac:dyDescent="0.25">
      <c r="A197" s="34"/>
      <c r="B197" s="35"/>
      <c r="C197" s="36"/>
      <c r="Q197" s="36"/>
    </row>
    <row r="198" spans="1:17" ht="123" customHeight="1" x14ac:dyDescent="0.25">
      <c r="A198" s="34"/>
      <c r="B198" s="35"/>
      <c r="C198" s="36"/>
      <c r="Q198" s="36"/>
    </row>
    <row r="199" spans="1:17" ht="123" customHeight="1" x14ac:dyDescent="0.25">
      <c r="A199" s="34"/>
      <c r="B199" s="35"/>
      <c r="C199" s="36"/>
      <c r="Q199" s="36"/>
    </row>
    <row r="200" spans="1:17" ht="123" customHeight="1" x14ac:dyDescent="0.25">
      <c r="A200" s="34"/>
      <c r="B200" s="35"/>
      <c r="C200" s="36"/>
      <c r="Q200" s="36"/>
    </row>
    <row r="201" spans="1:17" ht="123" customHeight="1" x14ac:dyDescent="0.25">
      <c r="A201" s="34"/>
      <c r="B201" s="35"/>
      <c r="C201" s="36"/>
      <c r="Q201" s="36"/>
    </row>
    <row r="202" spans="1:17" ht="123" customHeight="1" x14ac:dyDescent="0.25">
      <c r="A202" s="34"/>
      <c r="B202" s="35"/>
      <c r="C202" s="36"/>
      <c r="Q202" s="36"/>
    </row>
    <row r="203" spans="1:17" ht="123" customHeight="1" x14ac:dyDescent="0.25">
      <c r="A203" s="34"/>
      <c r="B203" s="35"/>
      <c r="C203" s="36"/>
      <c r="Q203" s="36"/>
    </row>
    <row r="204" spans="1:17" ht="123" customHeight="1" x14ac:dyDescent="0.25">
      <c r="A204" s="34"/>
      <c r="B204" s="35"/>
      <c r="C204" s="36"/>
      <c r="Q204" s="36"/>
    </row>
    <row r="205" spans="1:17" ht="123" customHeight="1" x14ac:dyDescent="0.25">
      <c r="A205" s="34"/>
      <c r="B205" s="35"/>
      <c r="C205" s="36"/>
      <c r="Q205" s="36"/>
    </row>
    <row r="206" spans="1:17" ht="123" customHeight="1" x14ac:dyDescent="0.25">
      <c r="A206" s="34"/>
      <c r="B206" s="35"/>
      <c r="C206" s="36"/>
      <c r="Q206" s="36"/>
    </row>
    <row r="207" spans="1:17" ht="123" customHeight="1" x14ac:dyDescent="0.25">
      <c r="A207" s="34"/>
      <c r="B207" s="35"/>
      <c r="C207" s="36"/>
      <c r="Q207" s="36"/>
    </row>
    <row r="208" spans="1:17" ht="123" customHeight="1" x14ac:dyDescent="0.25">
      <c r="A208" s="34"/>
      <c r="B208" s="35"/>
      <c r="C208" s="36"/>
      <c r="Q208" s="36"/>
    </row>
    <row r="209" spans="1:17" ht="123" customHeight="1" x14ac:dyDescent="0.25">
      <c r="A209" s="34"/>
      <c r="B209" s="35"/>
      <c r="C209" s="36"/>
      <c r="Q209" s="36"/>
    </row>
    <row r="210" spans="1:17" ht="123" customHeight="1" x14ac:dyDescent="0.25">
      <c r="A210" s="34"/>
      <c r="B210" s="35"/>
      <c r="C210" s="36"/>
      <c r="Q210" s="36"/>
    </row>
    <row r="211" spans="1:17" ht="123" customHeight="1" x14ac:dyDescent="0.25">
      <c r="A211" s="34"/>
      <c r="B211" s="35"/>
      <c r="C211" s="36"/>
      <c r="Q211" s="36"/>
    </row>
    <row r="212" spans="1:17" ht="123" customHeight="1" x14ac:dyDescent="0.25">
      <c r="A212" s="34"/>
      <c r="B212" s="35"/>
      <c r="C212" s="36"/>
      <c r="Q212" s="36"/>
    </row>
    <row r="213" spans="1:17" ht="123" customHeight="1" x14ac:dyDescent="0.25">
      <c r="A213" s="34"/>
      <c r="B213" s="35"/>
      <c r="C213" s="36"/>
      <c r="Q213" s="36"/>
    </row>
    <row r="214" spans="1:17" ht="123" customHeight="1" x14ac:dyDescent="0.25">
      <c r="A214" s="34"/>
      <c r="B214" s="35"/>
      <c r="C214" s="36"/>
      <c r="Q214" s="36"/>
    </row>
    <row r="215" spans="1:17" ht="123" customHeight="1" x14ac:dyDescent="0.25">
      <c r="A215" s="34"/>
      <c r="B215" s="35"/>
      <c r="C215" s="36"/>
      <c r="Q215" s="36"/>
    </row>
    <row r="216" spans="1:17" ht="123" customHeight="1" x14ac:dyDescent="0.25">
      <c r="A216" s="34"/>
      <c r="B216" s="35"/>
      <c r="C216" s="36"/>
      <c r="Q216" s="36"/>
    </row>
    <row r="217" spans="1:17" ht="123" customHeight="1" x14ac:dyDescent="0.25">
      <c r="A217" s="34"/>
      <c r="B217" s="35"/>
      <c r="C217" s="36"/>
      <c r="Q217" s="36"/>
    </row>
    <row r="218" spans="1:17" ht="123" customHeight="1" x14ac:dyDescent="0.25">
      <c r="A218" s="34"/>
      <c r="B218" s="35"/>
      <c r="C218" s="36"/>
      <c r="Q218" s="36"/>
    </row>
    <row r="219" spans="1:17" ht="123" customHeight="1" x14ac:dyDescent="0.25">
      <c r="A219" s="34"/>
      <c r="B219" s="35"/>
      <c r="C219" s="36"/>
      <c r="Q219" s="36"/>
    </row>
    <row r="220" spans="1:17" ht="123" customHeight="1" x14ac:dyDescent="0.25">
      <c r="A220" s="34"/>
      <c r="B220" s="35"/>
      <c r="C220" s="36"/>
      <c r="Q220" s="36"/>
    </row>
    <row r="221" spans="1:17" ht="123" customHeight="1" x14ac:dyDescent="0.25">
      <c r="A221" s="34"/>
      <c r="B221" s="35"/>
      <c r="C221" s="36"/>
      <c r="Q221" s="36"/>
    </row>
    <row r="222" spans="1:17" ht="123" customHeight="1" x14ac:dyDescent="0.25">
      <c r="A222" s="34"/>
      <c r="B222" s="35"/>
      <c r="C222" s="36"/>
      <c r="Q222" s="36"/>
    </row>
    <row r="223" spans="1:17" ht="123" customHeight="1" x14ac:dyDescent="0.25">
      <c r="A223" s="34"/>
      <c r="B223" s="35"/>
      <c r="C223" s="36"/>
      <c r="Q223" s="36"/>
    </row>
    <row r="224" spans="1:17" ht="123" customHeight="1" x14ac:dyDescent="0.25">
      <c r="A224" s="34"/>
      <c r="B224" s="35"/>
      <c r="C224" s="36"/>
      <c r="Q224" s="36"/>
    </row>
    <row r="225" spans="1:17" ht="123" customHeight="1" x14ac:dyDescent="0.25">
      <c r="A225" s="34"/>
      <c r="B225" s="35"/>
      <c r="C225" s="36"/>
      <c r="Q225" s="36"/>
    </row>
    <row r="226" spans="1:17" ht="123" customHeight="1" x14ac:dyDescent="0.25">
      <c r="A226" s="34"/>
      <c r="B226" s="35"/>
      <c r="C226" s="36"/>
      <c r="Q226" s="36"/>
    </row>
    <row r="227" spans="1:17" ht="123" customHeight="1" x14ac:dyDescent="0.25">
      <c r="A227" s="34"/>
      <c r="B227" s="35"/>
      <c r="C227" s="36"/>
      <c r="Q227" s="36"/>
    </row>
    <row r="228" spans="1:17" ht="123" customHeight="1" x14ac:dyDescent="0.25">
      <c r="A228" s="34"/>
      <c r="B228" s="35"/>
      <c r="C228" s="36"/>
      <c r="Q228" s="36"/>
    </row>
    <row r="229" spans="1:17" ht="123" customHeight="1" x14ac:dyDescent="0.25">
      <c r="A229" s="34"/>
      <c r="B229" s="35"/>
      <c r="C229" s="36"/>
      <c r="Q229" s="36"/>
    </row>
    <row r="230" spans="1:17" ht="123" customHeight="1" x14ac:dyDescent="0.25">
      <c r="A230" s="34"/>
      <c r="B230" s="35"/>
      <c r="C230" s="36"/>
      <c r="Q230" s="36"/>
    </row>
    <row r="231" spans="1:17" ht="123" customHeight="1" x14ac:dyDescent="0.25">
      <c r="A231" s="34"/>
      <c r="B231" s="35"/>
      <c r="C231" s="36"/>
      <c r="Q231" s="36"/>
    </row>
    <row r="232" spans="1:17" ht="123" customHeight="1" x14ac:dyDescent="0.25">
      <c r="A232" s="34"/>
      <c r="B232" s="35"/>
      <c r="C232" s="36"/>
      <c r="Q232" s="36"/>
    </row>
    <row r="233" spans="1:17" ht="123" customHeight="1" x14ac:dyDescent="0.25">
      <c r="A233" s="34"/>
      <c r="B233" s="35"/>
      <c r="C233" s="36"/>
      <c r="Q233" s="36"/>
    </row>
    <row r="234" spans="1:17" ht="123" customHeight="1" x14ac:dyDescent="0.25">
      <c r="A234" s="34"/>
      <c r="B234" s="35"/>
      <c r="C234" s="36"/>
      <c r="Q234" s="36"/>
    </row>
    <row r="235" spans="1:17" ht="123" customHeight="1" x14ac:dyDescent="0.25">
      <c r="A235" s="34"/>
      <c r="B235" s="35"/>
      <c r="C235" s="36"/>
      <c r="Q235" s="36"/>
    </row>
    <row r="236" spans="1:17" ht="123" customHeight="1" x14ac:dyDescent="0.25">
      <c r="A236" s="34"/>
      <c r="B236" s="35"/>
      <c r="C236" s="36"/>
      <c r="Q236" s="36"/>
    </row>
    <row r="237" spans="1:17" ht="123" customHeight="1" x14ac:dyDescent="0.25">
      <c r="A237" s="34"/>
      <c r="B237" s="35"/>
      <c r="C237" s="36"/>
      <c r="Q237" s="36"/>
    </row>
    <row r="238" spans="1:17" ht="123" customHeight="1" x14ac:dyDescent="0.25">
      <c r="A238" s="34"/>
      <c r="B238" s="35"/>
      <c r="C238" s="36"/>
      <c r="Q238" s="36"/>
    </row>
    <row r="239" spans="1:17" ht="123" customHeight="1" x14ac:dyDescent="0.25">
      <c r="A239" s="34"/>
      <c r="B239" s="35"/>
      <c r="C239" s="36"/>
      <c r="Q239" s="36"/>
    </row>
    <row r="240" spans="1:17" ht="123" customHeight="1" x14ac:dyDescent="0.25">
      <c r="A240" s="34"/>
      <c r="B240" s="35"/>
      <c r="C240" s="36"/>
      <c r="Q240" s="36"/>
    </row>
    <row r="241" spans="1:17" ht="123" customHeight="1" x14ac:dyDescent="0.25">
      <c r="A241" s="34"/>
      <c r="B241" s="35"/>
      <c r="C241" s="36"/>
      <c r="Q241" s="36"/>
    </row>
    <row r="242" spans="1:17" ht="123" customHeight="1" x14ac:dyDescent="0.25">
      <c r="A242" s="34"/>
      <c r="B242" s="35"/>
      <c r="C242" s="36"/>
      <c r="Q242" s="36"/>
    </row>
    <row r="243" spans="1:17" ht="123" customHeight="1" x14ac:dyDescent="0.25">
      <c r="A243" s="34"/>
      <c r="B243" s="35"/>
      <c r="C243" s="36"/>
      <c r="Q243" s="36"/>
    </row>
    <row r="244" spans="1:17" ht="123" customHeight="1" x14ac:dyDescent="0.25">
      <c r="A244" s="34"/>
      <c r="B244" s="35"/>
      <c r="C244" s="36"/>
      <c r="Q244" s="36"/>
    </row>
    <row r="245" spans="1:17" ht="123" customHeight="1" x14ac:dyDescent="0.25">
      <c r="A245" s="34"/>
      <c r="B245" s="35"/>
      <c r="C245" s="36"/>
      <c r="Q245" s="36"/>
    </row>
    <row r="246" spans="1:17" ht="123" customHeight="1" x14ac:dyDescent="0.25">
      <c r="A246" s="34"/>
      <c r="B246" s="35"/>
      <c r="C246" s="36"/>
      <c r="Q246" s="36"/>
    </row>
    <row r="247" spans="1:17" ht="123" customHeight="1" x14ac:dyDescent="0.25">
      <c r="A247" s="34"/>
      <c r="B247" s="35"/>
      <c r="C247" s="36"/>
      <c r="Q247" s="36"/>
    </row>
    <row r="248" spans="1:17" ht="123" customHeight="1" x14ac:dyDescent="0.25">
      <c r="A248" s="34"/>
      <c r="B248" s="35"/>
      <c r="C248" s="36"/>
      <c r="Q248" s="36"/>
    </row>
    <row r="249" spans="1:17" ht="123" customHeight="1" x14ac:dyDescent="0.25">
      <c r="A249" s="34"/>
      <c r="B249" s="35"/>
      <c r="C249" s="36"/>
      <c r="Q249" s="36"/>
    </row>
    <row r="250" spans="1:17" ht="123" customHeight="1" x14ac:dyDescent="0.25">
      <c r="A250" s="34"/>
      <c r="B250" s="35"/>
      <c r="C250" s="36"/>
      <c r="Q250" s="36"/>
    </row>
    <row r="251" spans="1:17" ht="123" customHeight="1" x14ac:dyDescent="0.25">
      <c r="A251" s="34"/>
      <c r="B251" s="35"/>
      <c r="C251" s="36"/>
      <c r="Q251" s="36"/>
    </row>
    <row r="252" spans="1:17" ht="123" customHeight="1" x14ac:dyDescent="0.25">
      <c r="A252" s="34"/>
      <c r="B252" s="35"/>
      <c r="C252" s="36"/>
      <c r="Q252" s="36"/>
    </row>
    <row r="253" spans="1:17" ht="123" customHeight="1" x14ac:dyDescent="0.25">
      <c r="A253" s="34"/>
      <c r="B253" s="35"/>
      <c r="C253" s="36"/>
      <c r="Q253" s="36"/>
    </row>
    <row r="254" spans="1:17" ht="123" customHeight="1" x14ac:dyDescent="0.25">
      <c r="A254" s="34"/>
      <c r="B254" s="35"/>
      <c r="C254" s="36"/>
      <c r="Q254" s="36"/>
    </row>
    <row r="255" spans="1:17" ht="123" customHeight="1" x14ac:dyDescent="0.25">
      <c r="A255" s="34"/>
      <c r="B255" s="35"/>
      <c r="C255" s="36"/>
      <c r="Q255" s="36"/>
    </row>
    <row r="256" spans="1:17" ht="123" customHeight="1" x14ac:dyDescent="0.25">
      <c r="A256" s="34"/>
      <c r="B256" s="35"/>
      <c r="C256" s="36"/>
      <c r="Q256" s="36"/>
    </row>
    <row r="257" spans="1:17" ht="123" customHeight="1" x14ac:dyDescent="0.25">
      <c r="A257" s="34"/>
      <c r="B257" s="35"/>
      <c r="C257" s="36"/>
      <c r="Q257" s="36"/>
    </row>
    <row r="258" spans="1:17" ht="123" customHeight="1" x14ac:dyDescent="0.25">
      <c r="A258" s="34"/>
      <c r="B258" s="35"/>
      <c r="C258" s="36"/>
      <c r="Q258" s="36"/>
    </row>
    <row r="259" spans="1:17" ht="123" customHeight="1" x14ac:dyDescent="0.25">
      <c r="A259" s="34"/>
      <c r="B259" s="35"/>
      <c r="C259" s="36"/>
      <c r="Q259" s="36"/>
    </row>
    <row r="260" spans="1:17" ht="123" customHeight="1" x14ac:dyDescent="0.25">
      <c r="A260" s="34"/>
      <c r="B260" s="35"/>
      <c r="C260" s="36"/>
      <c r="Q260" s="36"/>
    </row>
    <row r="261" spans="1:17" ht="123" customHeight="1" x14ac:dyDescent="0.25">
      <c r="A261" s="34"/>
      <c r="B261" s="35"/>
      <c r="C261" s="36"/>
      <c r="Q261" s="36"/>
    </row>
    <row r="262" spans="1:17" ht="123" customHeight="1" x14ac:dyDescent="0.25">
      <c r="A262" s="34"/>
      <c r="B262" s="35"/>
      <c r="C262" s="36"/>
      <c r="Q262" s="36"/>
    </row>
    <row r="263" spans="1:17" ht="123" customHeight="1" x14ac:dyDescent="0.25">
      <c r="A263" s="34"/>
      <c r="B263" s="35"/>
      <c r="C263" s="36"/>
      <c r="Q263" s="36"/>
    </row>
    <row r="264" spans="1:17" ht="123" customHeight="1" x14ac:dyDescent="0.25">
      <c r="A264" s="34"/>
      <c r="B264" s="35"/>
      <c r="C264" s="36"/>
      <c r="Q264" s="36"/>
    </row>
    <row r="265" spans="1:17" ht="123" customHeight="1" x14ac:dyDescent="0.25">
      <c r="A265" s="34"/>
      <c r="B265" s="35"/>
      <c r="C265" s="36"/>
      <c r="Q265" s="36"/>
    </row>
    <row r="266" spans="1:17" ht="123" customHeight="1" x14ac:dyDescent="0.25">
      <c r="A266" s="34"/>
      <c r="B266" s="35"/>
      <c r="C266" s="36"/>
      <c r="Q266" s="36"/>
    </row>
    <row r="267" spans="1:17" ht="123" customHeight="1" x14ac:dyDescent="0.25">
      <c r="A267" s="34"/>
      <c r="B267" s="35"/>
      <c r="C267" s="36"/>
      <c r="Q267" s="36"/>
    </row>
    <row r="268" spans="1:17" ht="123" customHeight="1" x14ac:dyDescent="0.25">
      <c r="A268" s="34"/>
      <c r="B268" s="35"/>
      <c r="C268" s="36"/>
      <c r="Q268" s="36"/>
    </row>
    <row r="269" spans="1:17" ht="123" customHeight="1" x14ac:dyDescent="0.25">
      <c r="A269" s="34"/>
      <c r="B269" s="35"/>
      <c r="C269" s="36"/>
      <c r="Q269" s="36"/>
    </row>
    <row r="270" spans="1:17" ht="123" customHeight="1" x14ac:dyDescent="0.25">
      <c r="A270" s="34"/>
      <c r="B270" s="35"/>
      <c r="C270" s="36"/>
      <c r="Q270" s="36"/>
    </row>
    <row r="271" spans="1:17" ht="123" customHeight="1" x14ac:dyDescent="0.25">
      <c r="A271" s="34"/>
      <c r="B271" s="35"/>
      <c r="C271" s="36"/>
      <c r="Q271" s="36"/>
    </row>
    <row r="272" spans="1:17" ht="123" customHeight="1" x14ac:dyDescent="0.25">
      <c r="A272" s="34"/>
      <c r="B272" s="35"/>
      <c r="C272" s="36"/>
      <c r="Q272" s="36"/>
    </row>
    <row r="273" spans="1:17" ht="123" customHeight="1" x14ac:dyDescent="0.25">
      <c r="A273" s="34"/>
      <c r="B273" s="35"/>
      <c r="C273" s="36"/>
      <c r="Q273" s="36"/>
    </row>
    <row r="274" spans="1:17" ht="123" customHeight="1" x14ac:dyDescent="0.25">
      <c r="A274" s="34"/>
      <c r="B274" s="35"/>
      <c r="C274" s="36"/>
      <c r="Q274" s="36"/>
    </row>
    <row r="275" spans="1:17" ht="123" customHeight="1" x14ac:dyDescent="0.25">
      <c r="A275" s="34"/>
      <c r="B275" s="35"/>
      <c r="C275" s="36"/>
      <c r="Q275" s="36"/>
    </row>
    <row r="276" spans="1:17" ht="123" customHeight="1" x14ac:dyDescent="0.25">
      <c r="A276" s="34"/>
      <c r="B276" s="35"/>
      <c r="C276" s="36"/>
      <c r="Q276" s="36"/>
    </row>
    <row r="277" spans="1:17" ht="123" customHeight="1" x14ac:dyDescent="0.25">
      <c r="A277" s="34"/>
      <c r="B277" s="35"/>
      <c r="C277" s="36"/>
      <c r="Q277" s="36"/>
    </row>
    <row r="278" spans="1:17" ht="123" customHeight="1" x14ac:dyDescent="0.25">
      <c r="A278" s="34"/>
      <c r="B278" s="35"/>
      <c r="C278" s="36"/>
      <c r="Q278" s="36"/>
    </row>
    <row r="279" spans="1:17" ht="123" customHeight="1" x14ac:dyDescent="0.25">
      <c r="A279" s="34"/>
      <c r="B279" s="35"/>
      <c r="C279" s="36"/>
      <c r="Q279" s="36"/>
    </row>
    <row r="280" spans="1:17" ht="123" customHeight="1" x14ac:dyDescent="0.25">
      <c r="A280" s="34"/>
      <c r="B280" s="35"/>
      <c r="C280" s="36"/>
      <c r="Q280" s="36"/>
    </row>
    <row r="281" spans="1:17" ht="123" customHeight="1" x14ac:dyDescent="0.25">
      <c r="A281" s="34"/>
      <c r="B281" s="35"/>
      <c r="C281" s="36"/>
      <c r="Q281" s="36"/>
    </row>
    <row r="282" spans="1:17" ht="123" customHeight="1" x14ac:dyDescent="0.25">
      <c r="A282" s="34"/>
      <c r="B282" s="35"/>
      <c r="C282" s="36"/>
      <c r="Q282" s="36"/>
    </row>
    <row r="283" spans="1:17" ht="123" customHeight="1" x14ac:dyDescent="0.25">
      <c r="A283" s="34"/>
      <c r="B283" s="35"/>
      <c r="C283" s="36"/>
      <c r="Q283" s="36"/>
    </row>
    <row r="284" spans="1:17" ht="123" customHeight="1" x14ac:dyDescent="0.25">
      <c r="A284" s="34"/>
      <c r="B284" s="35"/>
      <c r="C284" s="36"/>
      <c r="Q284" s="36"/>
    </row>
    <row r="285" spans="1:17" ht="123" customHeight="1" x14ac:dyDescent="0.25">
      <c r="A285" s="34"/>
      <c r="B285" s="35"/>
      <c r="C285" s="36"/>
      <c r="Q285" s="36"/>
    </row>
    <row r="286" spans="1:17" ht="123" customHeight="1" x14ac:dyDescent="0.25">
      <c r="A286" s="34"/>
      <c r="B286" s="35"/>
      <c r="C286" s="36"/>
      <c r="Q286" s="36"/>
    </row>
    <row r="287" spans="1:17" ht="123" customHeight="1" x14ac:dyDescent="0.25">
      <c r="A287" s="34"/>
      <c r="B287" s="35"/>
      <c r="C287" s="36"/>
      <c r="Q287" s="36"/>
    </row>
    <row r="288" spans="1:17" ht="123" customHeight="1" x14ac:dyDescent="0.25">
      <c r="A288" s="34"/>
      <c r="B288" s="35"/>
      <c r="C288" s="36"/>
      <c r="Q288" s="36"/>
    </row>
    <row r="289" spans="1:17" ht="123" customHeight="1" x14ac:dyDescent="0.25">
      <c r="A289" s="34"/>
      <c r="B289" s="35"/>
      <c r="C289" s="36"/>
      <c r="Q289" s="36"/>
    </row>
    <row r="290" spans="1:17" ht="123" customHeight="1" x14ac:dyDescent="0.25">
      <c r="A290" s="34"/>
      <c r="B290" s="35"/>
      <c r="C290" s="36"/>
      <c r="Q290" s="36"/>
    </row>
    <row r="291" spans="1:17" ht="123" customHeight="1" x14ac:dyDescent="0.25">
      <c r="A291" s="34"/>
      <c r="B291" s="35"/>
      <c r="C291" s="36"/>
      <c r="Q291" s="36"/>
    </row>
    <row r="292" spans="1:17" ht="123" customHeight="1" x14ac:dyDescent="0.25">
      <c r="A292" s="34"/>
      <c r="B292" s="35"/>
      <c r="C292" s="36"/>
      <c r="Q292" s="36"/>
    </row>
    <row r="293" spans="1:17" ht="123" customHeight="1" x14ac:dyDescent="0.25">
      <c r="A293" s="34"/>
      <c r="B293" s="35"/>
      <c r="C293" s="36"/>
      <c r="Q293" s="36"/>
    </row>
    <row r="294" spans="1:17" ht="123" customHeight="1" x14ac:dyDescent="0.25">
      <c r="A294" s="34"/>
      <c r="B294" s="35"/>
      <c r="C294" s="36"/>
      <c r="Q294" s="36"/>
    </row>
    <row r="295" spans="1:17" ht="123" customHeight="1" x14ac:dyDescent="0.25">
      <c r="A295" s="34"/>
      <c r="B295" s="35"/>
      <c r="C295" s="36"/>
      <c r="Q295" s="36"/>
    </row>
    <row r="296" spans="1:17" ht="123" customHeight="1" x14ac:dyDescent="0.25">
      <c r="A296" s="34"/>
      <c r="B296" s="35"/>
      <c r="C296" s="36"/>
      <c r="Q296" s="36"/>
    </row>
    <row r="297" spans="1:17" ht="123" customHeight="1" x14ac:dyDescent="0.25">
      <c r="A297" s="34"/>
      <c r="B297" s="35"/>
      <c r="C297" s="36"/>
      <c r="Q297" s="36"/>
    </row>
    <row r="298" spans="1:17" ht="123" customHeight="1" x14ac:dyDescent="0.25">
      <c r="A298" s="34"/>
      <c r="B298" s="35"/>
      <c r="C298" s="36"/>
      <c r="Q298" s="36"/>
    </row>
    <row r="299" spans="1:17" ht="123" customHeight="1" x14ac:dyDescent="0.25">
      <c r="A299" s="34"/>
      <c r="B299" s="35"/>
      <c r="C299" s="36"/>
      <c r="Q299" s="36"/>
    </row>
    <row r="300" spans="1:17" ht="123" customHeight="1" x14ac:dyDescent="0.25">
      <c r="A300" s="34"/>
      <c r="B300" s="35"/>
      <c r="C300" s="36"/>
      <c r="Q300" s="36"/>
    </row>
  </sheetData>
  <sheetProtection formatCells="0" formatColumns="0" formatRows="0" insertColumns="0" insertRows="0" insertHyperlinks="0" deleteColumns="0" deleteRows="0" sort="0" autoFilter="0" pivotTables="0"/>
  <autoFilter ref="A4:S4" xr:uid="{00000000-0009-0000-0000-000000000000}">
    <sortState xmlns:xlrd2="http://schemas.microsoft.com/office/spreadsheetml/2017/richdata2" ref="A5:S17">
      <sortCondition ref="A4"/>
    </sortState>
  </autoFilter>
  <conditionalFormatting sqref="C5:C300">
    <cfRule type="dataBar" priority="3">
      <dataBar>
        <cfvo type="min"/>
        <cfvo type="num" val="500"/>
        <color theme="9" tint="0.39997558519241921"/>
      </dataBar>
      <extLst>
        <ext xmlns:x14="http://schemas.microsoft.com/office/spreadsheetml/2009/9/main" uri="{B025F937-C7B1-47D3-B67F-A62EFF666E3E}">
          <x14:id>{CCAB9563-10AB-4C49-9501-26FBFEDC0318}</x14:id>
        </ext>
      </extLs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1">
              <controlPr defaultSize="0" print="0" disabled="1" autoFill="0" autoPict="0" macro="[0]!NovaCSingleFile">
                <anchor moveWithCells="1" sizeWithCells="1">
                  <from>
                    <xdr:col>9</xdr:col>
                    <xdr:colOff>9525</xdr:colOff>
                    <xdr:row>1</xdr:row>
                    <xdr:rowOff>0</xdr:rowOff>
                  </from>
                  <to>
                    <xdr:col>10</xdr:col>
                    <xdr:colOff>0</xdr:colOff>
                    <xdr:row>2</xdr:row>
                    <xdr:rowOff>9525</xdr:rowOff>
                  </to>
                </anchor>
              </controlPr>
            </control>
          </mc:Choice>
        </mc:AlternateContent>
        <mc:AlternateContent xmlns:mc="http://schemas.openxmlformats.org/markup-compatibility/2006">
          <mc:Choice Requires="x14">
            <control shapeId="1033" r:id="rId5" name="CheckBox1">
              <controlPr defaultSize="0" autoFill="0" autoLine="0" autoPict="0">
                <anchor moveWithCells="1">
                  <from>
                    <xdr:col>12</xdr:col>
                    <xdr:colOff>38100</xdr:colOff>
                    <xdr:row>4</xdr:row>
                    <xdr:rowOff>666750</xdr:rowOff>
                  </from>
                  <to>
                    <xdr:col>12</xdr:col>
                    <xdr:colOff>247650</xdr:colOff>
                    <xdr:row>4</xdr:row>
                    <xdr:rowOff>885825</xdr:rowOff>
                  </to>
                </anchor>
              </controlPr>
            </control>
          </mc:Choice>
        </mc:AlternateContent>
        <mc:AlternateContent xmlns:mc="http://schemas.openxmlformats.org/markup-compatibility/2006">
          <mc:Choice Requires="x14">
            <control shapeId="1034" r:id="rId6" name="CheckBox2">
              <controlPr defaultSize="0" autoFill="0" autoLine="0" autoPict="0">
                <anchor moveWithCells="1">
                  <from>
                    <xdr:col>12</xdr:col>
                    <xdr:colOff>38100</xdr:colOff>
                    <xdr:row>5</xdr:row>
                    <xdr:rowOff>666750</xdr:rowOff>
                  </from>
                  <to>
                    <xdr:col>12</xdr:col>
                    <xdr:colOff>247650</xdr:colOff>
                    <xdr:row>5</xdr:row>
                    <xdr:rowOff>885825</xdr:rowOff>
                  </to>
                </anchor>
              </controlPr>
            </control>
          </mc:Choice>
        </mc:AlternateContent>
        <mc:AlternateContent xmlns:mc="http://schemas.openxmlformats.org/markup-compatibility/2006">
          <mc:Choice Requires="x14">
            <control shapeId="1035" r:id="rId7" name="CheckBox3">
              <controlPr defaultSize="0" autoFill="0" autoLine="0" autoPict="0">
                <anchor moveWithCells="1">
                  <from>
                    <xdr:col>12</xdr:col>
                    <xdr:colOff>38100</xdr:colOff>
                    <xdr:row>6</xdr:row>
                    <xdr:rowOff>666750</xdr:rowOff>
                  </from>
                  <to>
                    <xdr:col>12</xdr:col>
                    <xdr:colOff>247650</xdr:colOff>
                    <xdr:row>6</xdr:row>
                    <xdr:rowOff>885825</xdr:rowOff>
                  </to>
                </anchor>
              </controlPr>
            </control>
          </mc:Choice>
        </mc:AlternateContent>
        <mc:AlternateContent xmlns:mc="http://schemas.openxmlformats.org/markup-compatibility/2006">
          <mc:Choice Requires="x14">
            <control shapeId="1036" r:id="rId8" name="CheckBox4">
              <controlPr defaultSize="0" autoFill="0" autoLine="0" autoPict="0">
                <anchor moveWithCells="1">
                  <from>
                    <xdr:col>12</xdr:col>
                    <xdr:colOff>38100</xdr:colOff>
                    <xdr:row>7</xdr:row>
                    <xdr:rowOff>666750</xdr:rowOff>
                  </from>
                  <to>
                    <xdr:col>12</xdr:col>
                    <xdr:colOff>247650</xdr:colOff>
                    <xdr:row>7</xdr:row>
                    <xdr:rowOff>885825</xdr:rowOff>
                  </to>
                </anchor>
              </controlPr>
            </control>
          </mc:Choice>
        </mc:AlternateContent>
        <mc:AlternateContent xmlns:mc="http://schemas.openxmlformats.org/markup-compatibility/2006">
          <mc:Choice Requires="x14">
            <control shapeId="1037" r:id="rId9" name="CheckBox5">
              <controlPr defaultSize="0" autoFill="0" autoLine="0" autoPict="0">
                <anchor moveWithCells="1">
                  <from>
                    <xdr:col>12</xdr:col>
                    <xdr:colOff>38100</xdr:colOff>
                    <xdr:row>8</xdr:row>
                    <xdr:rowOff>666750</xdr:rowOff>
                  </from>
                  <to>
                    <xdr:col>12</xdr:col>
                    <xdr:colOff>247650</xdr:colOff>
                    <xdr:row>8</xdr:row>
                    <xdr:rowOff>885825</xdr:rowOff>
                  </to>
                </anchor>
              </controlPr>
            </control>
          </mc:Choice>
        </mc:AlternateContent>
        <mc:AlternateContent xmlns:mc="http://schemas.openxmlformats.org/markup-compatibility/2006">
          <mc:Choice Requires="x14">
            <control shapeId="1038" r:id="rId10" name="CheckBox6">
              <controlPr defaultSize="0" autoFill="0" autoLine="0" autoPict="0">
                <anchor moveWithCells="1">
                  <from>
                    <xdr:col>12</xdr:col>
                    <xdr:colOff>38100</xdr:colOff>
                    <xdr:row>9</xdr:row>
                    <xdr:rowOff>666750</xdr:rowOff>
                  </from>
                  <to>
                    <xdr:col>12</xdr:col>
                    <xdr:colOff>247650</xdr:colOff>
                    <xdr:row>9</xdr:row>
                    <xdr:rowOff>885825</xdr:rowOff>
                  </to>
                </anchor>
              </controlPr>
            </control>
          </mc:Choice>
        </mc:AlternateContent>
        <mc:AlternateContent xmlns:mc="http://schemas.openxmlformats.org/markup-compatibility/2006">
          <mc:Choice Requires="x14">
            <control shapeId="1039" r:id="rId11" name="CheckBox7">
              <controlPr defaultSize="0" autoFill="0" autoLine="0" autoPict="0">
                <anchor moveWithCells="1">
                  <from>
                    <xdr:col>12</xdr:col>
                    <xdr:colOff>38100</xdr:colOff>
                    <xdr:row>10</xdr:row>
                    <xdr:rowOff>666750</xdr:rowOff>
                  </from>
                  <to>
                    <xdr:col>12</xdr:col>
                    <xdr:colOff>247650</xdr:colOff>
                    <xdr:row>10</xdr:row>
                    <xdr:rowOff>885825</xdr:rowOff>
                  </to>
                </anchor>
              </controlPr>
            </control>
          </mc:Choice>
        </mc:AlternateContent>
        <mc:AlternateContent xmlns:mc="http://schemas.openxmlformats.org/markup-compatibility/2006">
          <mc:Choice Requires="x14">
            <control shapeId="1040" r:id="rId12" name="CheckBox8">
              <controlPr defaultSize="0" autoFill="0" autoLine="0" autoPict="0">
                <anchor moveWithCells="1">
                  <from>
                    <xdr:col>12</xdr:col>
                    <xdr:colOff>38100</xdr:colOff>
                    <xdr:row>11</xdr:row>
                    <xdr:rowOff>666750</xdr:rowOff>
                  </from>
                  <to>
                    <xdr:col>12</xdr:col>
                    <xdr:colOff>247650</xdr:colOff>
                    <xdr:row>11</xdr:row>
                    <xdr:rowOff>885825</xdr:rowOff>
                  </to>
                </anchor>
              </controlPr>
            </control>
          </mc:Choice>
        </mc:AlternateContent>
        <mc:AlternateContent xmlns:mc="http://schemas.openxmlformats.org/markup-compatibility/2006">
          <mc:Choice Requires="x14">
            <control shapeId="1041" r:id="rId13" name="CheckBox9">
              <controlPr defaultSize="0" autoFill="0" autoLine="0" autoPict="0">
                <anchor moveWithCells="1">
                  <from>
                    <xdr:col>12</xdr:col>
                    <xdr:colOff>38100</xdr:colOff>
                    <xdr:row>12</xdr:row>
                    <xdr:rowOff>666750</xdr:rowOff>
                  </from>
                  <to>
                    <xdr:col>12</xdr:col>
                    <xdr:colOff>247650</xdr:colOff>
                    <xdr:row>12</xdr:row>
                    <xdr:rowOff>885825</xdr:rowOff>
                  </to>
                </anchor>
              </controlPr>
            </control>
          </mc:Choice>
        </mc:AlternateContent>
        <mc:AlternateContent xmlns:mc="http://schemas.openxmlformats.org/markup-compatibility/2006">
          <mc:Choice Requires="x14">
            <control shapeId="1042" r:id="rId14" name="CheckBox10">
              <controlPr defaultSize="0" autoFill="0" autoLine="0" autoPict="0">
                <anchor moveWithCells="1">
                  <from>
                    <xdr:col>12</xdr:col>
                    <xdr:colOff>38100</xdr:colOff>
                    <xdr:row>13</xdr:row>
                    <xdr:rowOff>666750</xdr:rowOff>
                  </from>
                  <to>
                    <xdr:col>12</xdr:col>
                    <xdr:colOff>247650</xdr:colOff>
                    <xdr:row>13</xdr:row>
                    <xdr:rowOff>885825</xdr:rowOff>
                  </to>
                </anchor>
              </controlPr>
            </control>
          </mc:Choice>
        </mc:AlternateContent>
        <mc:AlternateContent xmlns:mc="http://schemas.openxmlformats.org/markup-compatibility/2006">
          <mc:Choice Requires="x14">
            <control shapeId="1043" r:id="rId15" name="CheckBox11">
              <controlPr defaultSize="0" autoFill="0" autoLine="0" autoPict="0">
                <anchor moveWithCells="1">
                  <from>
                    <xdr:col>12</xdr:col>
                    <xdr:colOff>38100</xdr:colOff>
                    <xdr:row>14</xdr:row>
                    <xdr:rowOff>666750</xdr:rowOff>
                  </from>
                  <to>
                    <xdr:col>12</xdr:col>
                    <xdr:colOff>247650</xdr:colOff>
                    <xdr:row>14</xdr:row>
                    <xdr:rowOff>885825</xdr:rowOff>
                  </to>
                </anchor>
              </controlPr>
            </control>
          </mc:Choice>
        </mc:AlternateContent>
        <mc:AlternateContent xmlns:mc="http://schemas.openxmlformats.org/markup-compatibility/2006">
          <mc:Choice Requires="x14">
            <control shapeId="1044" r:id="rId16" name="CheckBox12">
              <controlPr defaultSize="0" autoFill="0" autoLine="0" autoPict="0">
                <anchor moveWithCells="1">
                  <from>
                    <xdr:col>12</xdr:col>
                    <xdr:colOff>38100</xdr:colOff>
                    <xdr:row>15</xdr:row>
                    <xdr:rowOff>666750</xdr:rowOff>
                  </from>
                  <to>
                    <xdr:col>12</xdr:col>
                    <xdr:colOff>247650</xdr:colOff>
                    <xdr:row>15</xdr:row>
                    <xdr:rowOff>885825</xdr:rowOff>
                  </to>
                </anchor>
              </controlPr>
            </control>
          </mc:Choice>
        </mc:AlternateContent>
        <mc:AlternateContent xmlns:mc="http://schemas.openxmlformats.org/markup-compatibility/2006">
          <mc:Choice Requires="x14">
            <control shapeId="1045" r:id="rId17" name="CheckBox13">
              <controlPr defaultSize="0" autoFill="0" autoLine="0" autoPict="0">
                <anchor moveWithCells="1">
                  <from>
                    <xdr:col>12</xdr:col>
                    <xdr:colOff>38100</xdr:colOff>
                    <xdr:row>16</xdr:row>
                    <xdr:rowOff>666750</xdr:rowOff>
                  </from>
                  <to>
                    <xdr:col>12</xdr:col>
                    <xdr:colOff>247650</xdr:colOff>
                    <xdr:row>16</xdr:row>
                    <xdr:rowOff>885825</xdr:rowOff>
                  </to>
                </anchor>
              </controlPr>
            </control>
          </mc:Choice>
        </mc:AlternateContent>
        <mc:AlternateContent xmlns:mc="http://schemas.openxmlformats.org/markup-compatibility/2006">
          <mc:Choice Requires="x14">
            <control shapeId="1134" r:id="rId18" name="Button 110">
              <controlPr defaultSize="0" print="0" autoFill="0" autoPict="0" macro="[0]!Uncheckall">
                <anchor moveWithCells="1" sizeWithCells="1">
                  <from>
                    <xdr:col>12</xdr:col>
                    <xdr:colOff>19050</xdr:colOff>
                    <xdr:row>2</xdr:row>
                    <xdr:rowOff>9525</xdr:rowOff>
                  </from>
                  <to>
                    <xdr:col>13</xdr:col>
                    <xdr:colOff>647700</xdr:colOff>
                    <xdr:row>3</xdr:row>
                    <xdr:rowOff>0</xdr:rowOff>
                  </to>
                </anchor>
              </controlPr>
            </control>
          </mc:Choice>
        </mc:AlternateContent>
        <mc:AlternateContent xmlns:mc="http://schemas.openxmlformats.org/markup-compatibility/2006">
          <mc:Choice Requires="x14">
            <control shapeId="1135" r:id="rId19" name="Button 111">
              <controlPr defaultSize="0" print="0" autoFill="0" autoPict="0" macro="[0]!Checkall">
                <anchor moveWithCells="1" sizeWithCells="1">
                  <from>
                    <xdr:col>12</xdr:col>
                    <xdr:colOff>19050</xdr:colOff>
                    <xdr:row>1</xdr:row>
                    <xdr:rowOff>9525</xdr:rowOff>
                  </from>
                  <to>
                    <xdr:col>13</xdr:col>
                    <xdr:colOff>647700</xdr:colOff>
                    <xdr:row>2</xdr:row>
                    <xdr:rowOff>0</xdr:rowOff>
                  </to>
                </anchor>
              </controlPr>
            </control>
          </mc:Choice>
        </mc:AlternateContent>
        <mc:AlternateContent xmlns:mc="http://schemas.openxmlformats.org/markup-compatibility/2006">
          <mc:Choice Requires="x14">
            <control shapeId="1136" r:id="rId20" name="Button 112">
              <controlPr defaultSize="0" print="0" autoFill="0" autoPict="0" macro="[0]!HideChecked">
                <anchor moveWithCells="1" sizeWithCells="1">
                  <from>
                    <xdr:col>13</xdr:col>
                    <xdr:colOff>666750</xdr:colOff>
                    <xdr:row>1</xdr:row>
                    <xdr:rowOff>0</xdr:rowOff>
                  </from>
                  <to>
                    <xdr:col>13</xdr:col>
                    <xdr:colOff>1714500</xdr:colOff>
                    <xdr:row>2</xdr:row>
                    <xdr:rowOff>0</xdr:rowOff>
                  </to>
                </anchor>
              </controlPr>
            </control>
          </mc:Choice>
        </mc:AlternateContent>
        <mc:AlternateContent xmlns:mc="http://schemas.openxmlformats.org/markup-compatibility/2006">
          <mc:Choice Requires="x14">
            <control shapeId="1137" r:id="rId21" name="Button 113">
              <controlPr defaultSize="0" print="0" autoFill="0" autoPict="0" macro="[0]!UnhideAll">
                <anchor moveWithCells="1" sizeWithCells="1">
                  <from>
                    <xdr:col>13</xdr:col>
                    <xdr:colOff>1724025</xdr:colOff>
                    <xdr:row>1</xdr:row>
                    <xdr:rowOff>9525</xdr:rowOff>
                  </from>
                  <to>
                    <xdr:col>14</xdr:col>
                    <xdr:colOff>57150</xdr:colOff>
                    <xdr:row>3</xdr:row>
                    <xdr:rowOff>0</xdr:rowOff>
                  </to>
                </anchor>
              </controlPr>
            </control>
          </mc:Choice>
        </mc:AlternateContent>
        <mc:AlternateContent xmlns:mc="http://schemas.openxmlformats.org/markup-compatibility/2006">
          <mc:Choice Requires="x14">
            <control shapeId="1138" r:id="rId22" name="Button 114">
              <controlPr defaultSize="0" print="0" autoFill="0" autoPict="0" macro="[0]!Recalculate_Peaks">
                <anchor moveWithCells="1" sizeWithCells="1">
                  <from>
                    <xdr:col>5</xdr:col>
                    <xdr:colOff>19050</xdr:colOff>
                    <xdr:row>2</xdr:row>
                    <xdr:rowOff>0</xdr:rowOff>
                  </from>
                  <to>
                    <xdr:col>5</xdr:col>
                    <xdr:colOff>952500</xdr:colOff>
                    <xdr:row>2</xdr:row>
                    <xdr:rowOff>219075</xdr:rowOff>
                  </to>
                </anchor>
              </controlPr>
            </control>
          </mc:Choice>
        </mc:AlternateContent>
        <mc:AlternateContent xmlns:mc="http://schemas.openxmlformats.org/markup-compatibility/2006">
          <mc:Choice Requires="x14">
            <control shapeId="1139" r:id="rId23" name="Button 115">
              <controlPr defaultSize="0" print="0" autoFill="0" autoPict="0" macro="[0]!Cumulative_Area">
                <anchor moveWithCells="1" sizeWithCells="1">
                  <from>
                    <xdr:col>4</xdr:col>
                    <xdr:colOff>9525</xdr:colOff>
                    <xdr:row>2</xdr:row>
                    <xdr:rowOff>9525</xdr:rowOff>
                  </from>
                  <to>
                    <xdr:col>4</xdr:col>
                    <xdr:colOff>942975</xdr:colOff>
                    <xdr:row>2</xdr:row>
                    <xdr:rowOff>219075</xdr:rowOff>
                  </to>
                </anchor>
              </controlPr>
            </control>
          </mc:Choice>
        </mc:AlternateContent>
        <mc:AlternateContent xmlns:mc="http://schemas.openxmlformats.org/markup-compatibility/2006">
          <mc:Choice Requires="x14">
            <control shapeId="1142" r:id="rId24" name="Button 118">
              <controlPr defaultSize="0" print="0" autoFill="0" autoPict="0" macro="[0]!HideUV">
                <anchor moveWithCells="1" sizeWithCells="1">
                  <from>
                    <xdr:col>14</xdr:col>
                    <xdr:colOff>66675</xdr:colOff>
                    <xdr:row>1</xdr:row>
                    <xdr:rowOff>9525</xdr:rowOff>
                  </from>
                  <to>
                    <xdr:col>14</xdr:col>
                    <xdr:colOff>962025</xdr:colOff>
                    <xdr:row>2</xdr:row>
                    <xdr:rowOff>9525</xdr:rowOff>
                  </to>
                </anchor>
              </controlPr>
            </control>
          </mc:Choice>
        </mc:AlternateContent>
        <mc:AlternateContent xmlns:mc="http://schemas.openxmlformats.org/markup-compatibility/2006">
          <mc:Choice Requires="x14">
            <control shapeId="1143" r:id="rId25" name="Button 119">
              <controlPr defaultSize="0" print="0" autoFill="0" autoPict="0" macro="[0]!UnhideUV">
                <anchor moveWithCells="1" sizeWithCells="1">
                  <from>
                    <xdr:col>14</xdr:col>
                    <xdr:colOff>66675</xdr:colOff>
                    <xdr:row>2</xdr:row>
                    <xdr:rowOff>9525</xdr:rowOff>
                  </from>
                  <to>
                    <xdr:col>14</xdr:col>
                    <xdr:colOff>962025</xdr:colOff>
                    <xdr:row>3</xdr:row>
                    <xdr:rowOff>0</xdr:rowOff>
                  </to>
                </anchor>
              </controlPr>
            </control>
          </mc:Choice>
        </mc:AlternateContent>
        <mc:AlternateContent xmlns:mc="http://schemas.openxmlformats.org/markup-compatibility/2006">
          <mc:Choice Requires="x14">
            <control shapeId="1146" r:id="rId26" name="Button 122">
              <controlPr defaultSize="0" print="0" autoFill="0" autoPict="0" macro="[0]!Lock_Click">
                <anchor moveWithCells="1" sizeWithCells="1">
                  <from>
                    <xdr:col>9</xdr:col>
                    <xdr:colOff>9525</xdr:colOff>
                    <xdr:row>1</xdr:row>
                    <xdr:rowOff>0</xdr:rowOff>
                  </from>
                  <to>
                    <xdr:col>9</xdr:col>
                    <xdr:colOff>1114425</xdr:colOff>
                    <xdr:row>2</xdr:row>
                    <xdr:rowOff>9525</xdr:rowOff>
                  </to>
                </anchor>
              </controlPr>
            </control>
          </mc:Choice>
        </mc:AlternateContent>
        <mc:AlternateContent xmlns:mc="http://schemas.openxmlformats.org/markup-compatibility/2006">
          <mc:Choice Requires="x14">
            <control shapeId="1148" r:id="rId27" name="Button 124">
              <controlPr defaultSize="0" print="0" autoFill="0" autoPict="0" macro="[0]!UVSearchAll">
                <anchor moveWithCells="1" sizeWithCells="1">
                  <from>
                    <xdr:col>11</xdr:col>
                    <xdr:colOff>981075</xdr:colOff>
                    <xdr:row>2</xdr:row>
                    <xdr:rowOff>9525</xdr:rowOff>
                  </from>
                  <to>
                    <xdr:col>12</xdr:col>
                    <xdr:colOff>0</xdr:colOff>
                    <xdr:row>3</xdr:row>
                    <xdr:rowOff>0</xdr:rowOff>
                  </to>
                </anchor>
              </controlPr>
            </control>
          </mc:Choice>
        </mc:AlternateContent>
        <mc:AlternateContent xmlns:mc="http://schemas.openxmlformats.org/markup-compatibility/2006">
          <mc:Choice Requires="x14">
            <control shapeId="1149" r:id="rId28" name="Option Button 125">
              <controlPr defaultSize="0" autoFill="0" autoLine="0" autoPict="0">
                <anchor moveWithCells="1">
                  <from>
                    <xdr:col>8</xdr:col>
                    <xdr:colOff>95250</xdr:colOff>
                    <xdr:row>1</xdr:row>
                    <xdr:rowOff>9525</xdr:rowOff>
                  </from>
                  <to>
                    <xdr:col>8</xdr:col>
                    <xdr:colOff>533400</xdr:colOff>
                    <xdr:row>2</xdr:row>
                    <xdr:rowOff>0</xdr:rowOff>
                  </to>
                </anchor>
              </controlPr>
            </control>
          </mc:Choice>
        </mc:AlternateContent>
        <mc:AlternateContent xmlns:mc="http://schemas.openxmlformats.org/markup-compatibility/2006">
          <mc:Choice Requires="x14">
            <control shapeId="1150" r:id="rId29" name="Option Button 126">
              <controlPr defaultSize="0" autoFill="0" autoLine="0" autoPict="0">
                <anchor moveWithCells="1">
                  <from>
                    <xdr:col>8</xdr:col>
                    <xdr:colOff>619125</xdr:colOff>
                    <xdr:row>1</xdr:row>
                    <xdr:rowOff>9525</xdr:rowOff>
                  </from>
                  <to>
                    <xdr:col>8</xdr:col>
                    <xdr:colOff>1057275</xdr:colOff>
                    <xdr:row>1</xdr:row>
                    <xdr:rowOff>228600</xdr:rowOff>
                  </to>
                </anchor>
              </controlPr>
            </control>
          </mc:Choice>
        </mc:AlternateContent>
        <mc:AlternateContent xmlns:mc="http://schemas.openxmlformats.org/markup-compatibility/2006">
          <mc:Choice Requires="x14">
            <control shapeId="1151" r:id="rId30" name="Button 127">
              <controlPr defaultSize="0" print="0" disabled="1" autoFill="0" autoPict="0" macro="[0]!NovaCBatch">
                <anchor moveWithCells="1" sizeWithCells="1">
                  <from>
                    <xdr:col>10</xdr:col>
                    <xdr:colOff>0</xdr:colOff>
                    <xdr:row>1</xdr:row>
                    <xdr:rowOff>0</xdr:rowOff>
                  </from>
                  <to>
                    <xdr:col>11</xdr:col>
                    <xdr:colOff>0</xdr:colOff>
                    <xdr:row>2</xdr:row>
                    <xdr:rowOff>9525</xdr:rowOff>
                  </to>
                </anchor>
              </controlPr>
            </control>
          </mc:Choice>
        </mc:AlternateContent>
        <mc:AlternateContent xmlns:mc="http://schemas.openxmlformats.org/markup-compatibility/2006">
          <mc:Choice Requires="x14">
            <control shapeId="1152" r:id="rId31" name="Button 128">
              <controlPr defaultSize="0" print="0" autoFill="0" autoPict="0" macro="[0]!HideUnchecked">
                <anchor moveWithCells="1" sizeWithCells="1">
                  <from>
                    <xdr:col>13</xdr:col>
                    <xdr:colOff>657225</xdr:colOff>
                    <xdr:row>2</xdr:row>
                    <xdr:rowOff>9525</xdr:rowOff>
                  </from>
                  <to>
                    <xdr:col>13</xdr:col>
                    <xdr:colOff>1714500</xdr:colOff>
                    <xdr:row>3</xdr:row>
                    <xdr:rowOff>0</xdr:rowOff>
                  </to>
                </anchor>
              </controlPr>
            </control>
          </mc:Choice>
        </mc:AlternateContent>
        <mc:AlternateContent xmlns:mc="http://schemas.openxmlformats.org/markup-compatibility/2006">
          <mc:Choice Requires="x14">
            <control shapeId="1153" r:id="rId32" name="Button 129">
              <controlPr defaultSize="0" print="0" autoFill="0" autoPict="0" macro="[0]!MassSearch">
                <anchor moveWithCells="1" sizeWithCells="1">
                  <from>
                    <xdr:col>11</xdr:col>
                    <xdr:colOff>981075</xdr:colOff>
                    <xdr:row>1</xdr:row>
                    <xdr:rowOff>9525</xdr:rowOff>
                  </from>
                  <to>
                    <xdr:col>12</xdr:col>
                    <xdr:colOff>0</xdr:colOff>
                    <xdr:row>2</xdr:row>
                    <xdr:rowOff>0</xdr:rowOff>
                  </to>
                </anchor>
              </controlPr>
            </control>
          </mc:Choice>
        </mc:AlternateContent>
        <mc:AlternateContent xmlns:mc="http://schemas.openxmlformats.org/markup-compatibility/2006">
          <mc:Choice Requires="x14">
            <control shapeId="1154" r:id="rId33" name="Button 130">
              <controlPr defaultSize="0" print="0" autoFill="0" autoPict="0" macro="[0]!CopyTable_Click">
                <anchor moveWithCells="1" sizeWithCells="1">
                  <from>
                    <xdr:col>10</xdr:col>
                    <xdr:colOff>9525</xdr:colOff>
                    <xdr:row>1</xdr:row>
                    <xdr:rowOff>0</xdr:rowOff>
                  </from>
                  <to>
                    <xdr:col>10</xdr:col>
                    <xdr:colOff>1114425</xdr:colOff>
                    <xdr:row>2</xdr:row>
                    <xdr:rowOff>9525</xdr:rowOff>
                  </to>
                </anchor>
              </controlPr>
            </control>
          </mc:Choice>
        </mc:AlternateContent>
        <mc:AlternateContent xmlns:mc="http://schemas.openxmlformats.org/markup-compatibility/2006">
          <mc:Choice Requires="x14">
            <control shapeId="1155" r:id="rId34" name="Button 131">
              <controlPr defaultSize="0" print="0" autoFill="0" autoPict="0" macro="[0]!ClearPeakIds">
                <anchor moveWithCells="1" sizeWithCells="1">
                  <from>
                    <xdr:col>11</xdr:col>
                    <xdr:colOff>9525</xdr:colOff>
                    <xdr:row>2</xdr:row>
                    <xdr:rowOff>9525</xdr:rowOff>
                  </from>
                  <to>
                    <xdr:col>11</xdr:col>
                    <xdr:colOff>971550</xdr:colOff>
                    <xdr:row>3</xdr:row>
                    <xdr:rowOff>0</xdr:rowOff>
                  </to>
                </anchor>
              </controlPr>
            </control>
          </mc:Choice>
        </mc:AlternateContent>
        <mc:AlternateContent xmlns:mc="http://schemas.openxmlformats.org/markup-compatibility/2006">
          <mc:Choice Requires="x14">
            <control shapeId="1156" r:id="rId35" name="Button 132">
              <controlPr defaultSize="0" print="0" autoFill="0" autoPict="0" macro="[0]!AutoUVClass">
                <anchor moveWithCells="1" sizeWithCells="1">
                  <from>
                    <xdr:col>11</xdr:col>
                    <xdr:colOff>9525</xdr:colOff>
                    <xdr:row>1</xdr:row>
                    <xdr:rowOff>9525</xdr:rowOff>
                  </from>
                  <to>
                    <xdr:col>11</xdr:col>
                    <xdr:colOff>971550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CAB9563-10AB-4C49-9501-26FBFEDC0318}">
            <x14:dataBar minLength="0" maxLength="100" gradient="0">
              <x14:cfvo type="autoMin"/>
              <x14:cfvo type="num">
                <xm:f>500</xm:f>
              </x14:cfvo>
              <x14:negativeFillColor rgb="FFFF0000"/>
              <x14:axisColor rgb="FF000000"/>
            </x14:dataBar>
          </x14:cfRule>
          <xm:sqref>C5:C300</xm:sqref>
        </x14:conditionalFormatting>
        <x14:conditionalFormatting xmlns:xm="http://schemas.microsoft.com/office/excel/2006/main">
          <x14:cfRule type="cellIs" priority="1" operator="greaterThan" id="{337D6A85-7DC0-4A07-A82D-044471C809F8}">
            <xm:f>Summary!$A$14</xm:f>
            <x14:dxf>
              <fill>
                <patternFill>
                  <bgColor theme="4" tint="0.39994506668294322"/>
                </patternFill>
              </fill>
            </x14:dxf>
          </x14:cfRule>
          <x14:cfRule type="cellIs" priority="2" operator="between" id="{C4C5A8EB-6E3E-4F3D-BAD0-68F493139E29}">
            <xm:f>0.00001</xm:f>
            <xm:f>Summary!$A$10</xm:f>
            <x14:dxf>
              <fill>
                <patternFill>
                  <bgColor rgb="FFFF8989"/>
                </patternFill>
              </fill>
            </x14:dxf>
          </x14:cfRule>
          <xm:sqref>J5:J104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N35"/>
  <sheetViews>
    <sheetView workbookViewId="0"/>
  </sheetViews>
  <sheetFormatPr defaultColWidth="9.140625" defaultRowHeight="15" x14ac:dyDescent="0.25"/>
  <cols>
    <col min="1" max="2" width="9.140625" style="63"/>
    <col min="3" max="3" width="32.85546875" style="63" customWidth="1"/>
    <col min="4" max="5" width="11" style="63" customWidth="1"/>
    <col min="6" max="6" width="9.140625" style="63"/>
    <col min="7" max="7" width="28.140625" style="63" customWidth="1"/>
    <col min="8" max="8" width="22.5703125" style="63" customWidth="1"/>
    <col min="9" max="9" width="13.5703125" style="63" customWidth="1"/>
    <col min="10" max="10" width="9.28515625" style="63" customWidth="1"/>
    <col min="11" max="11" width="19.5703125" style="63" customWidth="1"/>
    <col min="12" max="12" width="9.42578125" style="63" customWidth="1"/>
    <col min="13" max="13" width="21.7109375" style="63" customWidth="1"/>
    <col min="14" max="14" width="45.85546875" style="63" customWidth="1"/>
    <col min="15" max="16" width="9.28515625" style="63" customWidth="1"/>
    <col min="17" max="16384" width="9.140625" style="63"/>
  </cols>
  <sheetData>
    <row r="1" spans="1:14" ht="15.75" x14ac:dyDescent="0.25">
      <c r="D1" s="64" t="s">
        <v>18</v>
      </c>
      <c r="E1" s="64" t="s">
        <v>19</v>
      </c>
      <c r="H1" s="64" t="s">
        <v>18</v>
      </c>
      <c r="I1" s="64" t="s">
        <v>19</v>
      </c>
      <c r="L1" s="64" t="s">
        <v>18</v>
      </c>
      <c r="M1" s="64" t="s">
        <v>19</v>
      </c>
      <c r="N1" s="65" t="s">
        <v>64</v>
      </c>
    </row>
    <row r="2" spans="1:14" x14ac:dyDescent="0.25">
      <c r="A2" s="66" t="s">
        <v>20</v>
      </c>
      <c r="C2" s="67" t="s">
        <v>16</v>
      </c>
      <c r="D2" s="68">
        <v>13</v>
      </c>
      <c r="E2" s="69"/>
      <c r="G2" s="67" t="s">
        <v>17</v>
      </c>
      <c r="H2" s="70">
        <v>570.6412353515625</v>
      </c>
      <c r="I2" s="69"/>
      <c r="K2" s="71" t="s">
        <v>91</v>
      </c>
      <c r="L2" s="72">
        <f>COUNTIF(Peaks!$L$5:$L$104,"*" &amp; K2 &amp; "*")</f>
        <v>0</v>
      </c>
      <c r="M2" s="73">
        <f>L2/$D$2</f>
        <v>0</v>
      </c>
      <c r="N2" s="68"/>
    </row>
    <row r="3" spans="1:14" x14ac:dyDescent="0.25">
      <c r="K3" s="71" t="s">
        <v>43</v>
      </c>
      <c r="L3" s="72">
        <f>COUNTIF(Peaks!$L$5:$L$104,"*" &amp; K3 &amp; "*")</f>
        <v>0</v>
      </c>
      <c r="M3" s="73">
        <f t="shared" ref="M3:M9" si="0">L3/$D$2</f>
        <v>0</v>
      </c>
      <c r="N3" s="68"/>
    </row>
    <row r="4" spans="1:14" x14ac:dyDescent="0.25">
      <c r="A4" s="82">
        <v>90</v>
      </c>
      <c r="C4" s="67" t="str">
        <f>CONCATENATE("Peaks - ",A4,"% cumulative")</f>
        <v>Peaks - 90% cumulative</v>
      </c>
      <c r="D4" s="68">
        <v>8</v>
      </c>
      <c r="E4" s="74">
        <f>D4/$D$2</f>
        <v>0.61538461538461542</v>
      </c>
      <c r="G4" s="67" t="str">
        <f>CONCATENATE("Area - ",A4,"% cumulative")</f>
        <v>Area - 90% cumulative</v>
      </c>
      <c r="H4" s="70">
        <v>499.01364135742188</v>
      </c>
      <c r="I4" s="69"/>
      <c r="K4" s="71" t="s">
        <v>28</v>
      </c>
      <c r="L4" s="72">
        <f>COUNTIF(Peaks!$L$5:$L$104,"*" &amp; K4 &amp; "*")</f>
        <v>0</v>
      </c>
      <c r="M4" s="73">
        <f t="shared" si="0"/>
        <v>0</v>
      </c>
      <c r="N4" s="68"/>
    </row>
    <row r="5" spans="1:14" x14ac:dyDescent="0.25">
      <c r="A5" s="75"/>
      <c r="I5" s="76"/>
      <c r="K5" s="71" t="s">
        <v>49</v>
      </c>
      <c r="L5" s="72">
        <f>COUNTIF(Peaks!$L$5:$L$104,"*" &amp; K5 &amp; "*")</f>
        <v>0</v>
      </c>
      <c r="M5" s="73">
        <f t="shared" si="0"/>
        <v>0</v>
      </c>
      <c r="N5" s="68"/>
    </row>
    <row r="6" spans="1:14" x14ac:dyDescent="0.25">
      <c r="A6" s="82">
        <v>95</v>
      </c>
      <c r="C6" s="67" t="str">
        <f>CONCATENATE("Peaks - ",A6,"% cumulative")</f>
        <v>Peaks - 95% cumulative</v>
      </c>
      <c r="D6" s="68">
        <v>10</v>
      </c>
      <c r="E6" s="74">
        <f>D6/$D$2</f>
        <v>0.76923076923076927</v>
      </c>
      <c r="G6" s="67" t="str">
        <f>CONCATENATE("Area - ",A6,"% cumulative")</f>
        <v>Area - 95% cumulative</v>
      </c>
      <c r="H6" s="70">
        <v>539.2972412109375</v>
      </c>
      <c r="I6" s="69"/>
      <c r="K6" s="71" t="s">
        <v>50</v>
      </c>
      <c r="L6" s="72">
        <f>COUNTIF(Peaks!$L$5:$L$104,"*" &amp; K6 &amp; "*")</f>
        <v>0</v>
      </c>
      <c r="M6" s="73">
        <f t="shared" si="0"/>
        <v>0</v>
      </c>
      <c r="N6" s="68"/>
    </row>
    <row r="7" spans="1:14" x14ac:dyDescent="0.25">
      <c r="A7" s="75"/>
      <c r="I7" s="76"/>
      <c r="K7" s="71" t="s">
        <v>51</v>
      </c>
      <c r="L7" s="72">
        <f>COUNTIF(Peaks!$L$5:$L$104,"*" &amp; K7 &amp; "*")</f>
        <v>0</v>
      </c>
      <c r="M7" s="73">
        <f t="shared" si="0"/>
        <v>0</v>
      </c>
      <c r="N7" s="68"/>
    </row>
    <row r="8" spans="1:14" x14ac:dyDescent="0.25">
      <c r="A8" s="82">
        <v>99</v>
      </c>
      <c r="C8" s="67" t="str">
        <f>CONCATENATE("Peaks - ",A8,"% cumulative")</f>
        <v>Peaks - 99% cumulative</v>
      </c>
      <c r="D8" s="68">
        <v>12</v>
      </c>
      <c r="E8" s="74">
        <f>D8/$D$2</f>
        <v>0.92307692307692313</v>
      </c>
      <c r="G8" s="67" t="str">
        <f>CONCATENATE("Area - ",A8,"% cumulative")</f>
        <v>Area - 99% cumulative</v>
      </c>
      <c r="H8" s="70">
        <v>563.27801513671875</v>
      </c>
      <c r="I8" s="69"/>
      <c r="K8" s="71" t="s">
        <v>52</v>
      </c>
      <c r="L8" s="72">
        <f>COUNTIF(Peaks!$L$5:$L$104,"*" &amp; K8 &amp; "*")</f>
        <v>0</v>
      </c>
      <c r="M8" s="73">
        <f t="shared" si="0"/>
        <v>0</v>
      </c>
      <c r="N8" s="68"/>
    </row>
    <row r="9" spans="1:14" x14ac:dyDescent="0.25">
      <c r="A9" s="75"/>
      <c r="K9" s="71" t="s">
        <v>53</v>
      </c>
      <c r="L9" s="72">
        <f>COUNTIF(Peaks!$L$5:$L$104,"*" &amp; K9 &amp; "*")</f>
        <v>0</v>
      </c>
      <c r="M9" s="73">
        <f t="shared" si="0"/>
        <v>0</v>
      </c>
      <c r="N9" s="68"/>
    </row>
    <row r="10" spans="1:14" x14ac:dyDescent="0.25">
      <c r="A10" s="82">
        <v>2</v>
      </c>
      <c r="C10" s="67" t="str">
        <f>CONCATENATE("Peaks - acidic (Ratio &lt; ",A10,")")</f>
        <v>Peaks - acidic (Ratio &lt; 2)</v>
      </c>
      <c r="D10" s="68">
        <v>13</v>
      </c>
      <c r="E10" s="74">
        <f>D10/$D$2</f>
        <v>1</v>
      </c>
      <c r="G10" s="67" t="str">
        <f>CONCATENATE("Area - acidic (Ratio &lt; ",A10,")")</f>
        <v>Area - acidic (Ratio &lt; 2)</v>
      </c>
      <c r="H10" s="70">
        <v>570.6412353515625</v>
      </c>
      <c r="I10" s="74">
        <f>H10/$H$2</f>
        <v>1</v>
      </c>
      <c r="K10" s="71" t="s">
        <v>54</v>
      </c>
      <c r="L10" s="72">
        <f>COUNTIF(Peaks!$L$5:$L$104,"*" &amp; K10 &amp; "*")</f>
        <v>0</v>
      </c>
      <c r="M10" s="73">
        <f>L10/$D$2</f>
        <v>0</v>
      </c>
      <c r="N10" s="68"/>
    </row>
    <row r="11" spans="1:14" x14ac:dyDescent="0.25">
      <c r="A11" s="75"/>
      <c r="K11" s="71" t="s">
        <v>55</v>
      </c>
      <c r="L11" s="72">
        <f>COUNTIF(Peaks!$L$5:$L$104,"*" &amp; K11 &amp; "*")</f>
        <v>0</v>
      </c>
      <c r="M11" s="73">
        <f t="shared" ref="M11:M17" si="1">L11/$D$2</f>
        <v>0</v>
      </c>
      <c r="N11" s="68"/>
    </row>
    <row r="12" spans="1:14" x14ac:dyDescent="0.25">
      <c r="A12" s="77"/>
      <c r="C12" s="67" t="str">
        <f>CONCATENATE("Peaks - neutral (Ratio ",A10," - ",A14,")")</f>
        <v>Peaks - neutral (Ratio 2 - 50)</v>
      </c>
      <c r="D12" s="68">
        <v>0</v>
      </c>
      <c r="E12" s="74">
        <f>D12/$D$2</f>
        <v>0</v>
      </c>
      <c r="G12" s="67" t="str">
        <f>CONCATENATE("Area - neutral (Ratio ",A10," - ",A14,")")</f>
        <v>Area - neutral (Ratio 2 - 50)</v>
      </c>
      <c r="H12" s="70">
        <v>0</v>
      </c>
      <c r="I12" s="74">
        <f>H12/$H$2</f>
        <v>0</v>
      </c>
      <c r="K12" s="71" t="s">
        <v>56</v>
      </c>
      <c r="L12" s="72">
        <f>COUNTIF(Peaks!$L$5:$L$104,"*" &amp; K12 &amp; "*")</f>
        <v>0</v>
      </c>
      <c r="M12" s="73">
        <f t="shared" si="1"/>
        <v>0</v>
      </c>
      <c r="N12" s="68"/>
    </row>
    <row r="13" spans="1:14" x14ac:dyDescent="0.25">
      <c r="A13" s="75"/>
      <c r="K13" s="71" t="s">
        <v>57</v>
      </c>
      <c r="L13" s="72">
        <f>COUNTIF(Peaks!$L$5:$L$104,"*" &amp; K13 &amp; "*")</f>
        <v>0</v>
      </c>
      <c r="M13" s="73">
        <f t="shared" si="1"/>
        <v>0</v>
      </c>
      <c r="N13" s="68"/>
    </row>
    <row r="14" spans="1:14" x14ac:dyDescent="0.25">
      <c r="A14" s="82">
        <v>50</v>
      </c>
      <c r="C14" s="67" t="str">
        <f>CONCATENATE("Peaks - basic (Ratio &gt; ",A14,")")</f>
        <v>Peaks - basic (Ratio &gt; 50)</v>
      </c>
      <c r="D14" s="68">
        <v>0</v>
      </c>
      <c r="E14" s="74">
        <f>D14/$D$2</f>
        <v>0</v>
      </c>
      <c r="G14" s="67" t="str">
        <f>CONCATENATE("Area - basic (Ratio &gt; ",A14,")")</f>
        <v>Area - basic (Ratio &gt; 50)</v>
      </c>
      <c r="H14" s="70">
        <v>0</v>
      </c>
      <c r="I14" s="74">
        <f>H14/$H$2</f>
        <v>0</v>
      </c>
      <c r="K14" s="71" t="s">
        <v>58</v>
      </c>
      <c r="L14" s="72">
        <f>COUNTIF(Peaks!$L$5:$L$104,"*" &amp; K14 &amp; "*")</f>
        <v>0</v>
      </c>
      <c r="M14" s="73">
        <f t="shared" si="1"/>
        <v>0</v>
      </c>
      <c r="N14" s="68"/>
    </row>
    <row r="15" spans="1:14" x14ac:dyDescent="0.25">
      <c r="A15" s="75"/>
      <c r="K15" s="71" t="s">
        <v>59</v>
      </c>
      <c r="L15" s="72">
        <f>COUNTIF(Peaks!$L$5:$L$104,"*" &amp; K15 &amp; "*")</f>
        <v>0</v>
      </c>
      <c r="M15" s="73">
        <f t="shared" si="1"/>
        <v>0</v>
      </c>
      <c r="N15" s="68"/>
    </row>
    <row r="16" spans="1:14" x14ac:dyDescent="0.25">
      <c r="A16" s="82">
        <v>3</v>
      </c>
      <c r="C16" s="67" t="str">
        <f>CONCATENATE("Peaks - polar (&lt; ",A16," min)")</f>
        <v>Peaks - polar (&lt; 3 min)</v>
      </c>
      <c r="D16" s="68">
        <v>2</v>
      </c>
      <c r="E16" s="74">
        <f>D16/$D$2</f>
        <v>0.15384615384615385</v>
      </c>
      <c r="G16" s="67" t="str">
        <f>CONCATENATE("Area- polar (&lt; ",A16," min)")</f>
        <v>Area- polar (&lt; 3 min)</v>
      </c>
      <c r="H16" s="70">
        <v>138.75404357910156</v>
      </c>
      <c r="I16" s="74">
        <f>H16/$H$2</f>
        <v>0.24315460394939303</v>
      </c>
      <c r="K16" s="71" t="s">
        <v>60</v>
      </c>
      <c r="L16" s="72">
        <f>COUNTIF(Peaks!$L$5:$L$104,"*" &amp; K16 &amp; "*")</f>
        <v>0</v>
      </c>
      <c r="M16" s="73">
        <f t="shared" si="1"/>
        <v>0</v>
      </c>
      <c r="N16" s="68"/>
    </row>
    <row r="17" spans="1:14" x14ac:dyDescent="0.25">
      <c r="A17" s="75"/>
      <c r="K17" s="71" t="s">
        <v>61</v>
      </c>
      <c r="L17" s="72">
        <f>COUNTIF(Peaks!$L$5:$L$104,"*" &amp; K17 &amp; "*")</f>
        <v>0</v>
      </c>
      <c r="M17" s="73">
        <f t="shared" si="1"/>
        <v>0</v>
      </c>
      <c r="N17" s="68"/>
    </row>
    <row r="18" spans="1:14" x14ac:dyDescent="0.25">
      <c r="A18" s="77"/>
      <c r="C18" s="67" t="str">
        <f>CONCATENATE("Peaks - intermediate (",A16," - ",A20," min)")</f>
        <v>Peaks - intermediate (3 - 6 min)</v>
      </c>
      <c r="D18" s="68">
        <v>10</v>
      </c>
      <c r="E18" s="74">
        <f>D18/$D$2</f>
        <v>0.76923076923076927</v>
      </c>
      <c r="G18" s="67" t="str">
        <f>CONCATENATE("Area - intermediate (",A16," - ",A20," min)")</f>
        <v>Area - intermediate (3 - 6 min)</v>
      </c>
      <c r="H18" s="70">
        <v>290.85858154296875</v>
      </c>
      <c r="I18" s="74">
        <f>H18/$H$2</f>
        <v>0.50970480842271348</v>
      </c>
      <c r="K18" s="71" t="s">
        <v>62</v>
      </c>
      <c r="L18" s="72">
        <f>COUNTIF(Peaks!$L$5:$L$104,"*" &amp; K18 &amp; "*")</f>
        <v>0</v>
      </c>
      <c r="M18" s="73">
        <f>L18/$D$2</f>
        <v>0</v>
      </c>
      <c r="N18" s="68"/>
    </row>
    <row r="19" spans="1:14" x14ac:dyDescent="0.25">
      <c r="A19" s="75"/>
      <c r="K19" s="71" t="s">
        <v>63</v>
      </c>
      <c r="L19" s="72">
        <f>COUNTIF(Peaks!$L$5:$L$104,"*" &amp; K19 &amp; "*")</f>
        <v>0</v>
      </c>
      <c r="M19" s="73">
        <f t="shared" ref="M19:M25" si="2">L19/$D$2</f>
        <v>0</v>
      </c>
      <c r="N19" s="68"/>
    </row>
    <row r="20" spans="1:14" x14ac:dyDescent="0.25">
      <c r="A20" s="82">
        <v>6</v>
      </c>
      <c r="C20" s="67" t="str">
        <f>CONCATENATE("Peaks - non-polar (&gt; ",A20," min)")</f>
        <v>Peaks - non-polar (&gt; 6 min)</v>
      </c>
      <c r="D20" s="68">
        <v>1</v>
      </c>
      <c r="E20" s="74">
        <f>D20/$D$2</f>
        <v>7.6923076923076927E-2</v>
      </c>
      <c r="G20" s="67" t="str">
        <f>CONCATENATE("Area - non-polar (&gt; ",A20," min)")</f>
        <v>Area - non-polar (&gt; 6 min)</v>
      </c>
      <c r="H20" s="70">
        <v>141.02865600585938</v>
      </c>
      <c r="I20" s="74">
        <f>H20/$H$2</f>
        <v>0.24714066784706504</v>
      </c>
      <c r="K20" s="71" t="s">
        <v>65</v>
      </c>
      <c r="L20" s="72">
        <f>COUNTIF(Peaks!$L$5:$L$104,"*" &amp; K20 &amp; "*")</f>
        <v>0</v>
      </c>
      <c r="M20" s="73">
        <f t="shared" si="2"/>
        <v>0</v>
      </c>
      <c r="N20" s="68"/>
    </row>
    <row r="21" spans="1:14" x14ac:dyDescent="0.25">
      <c r="K21" s="71" t="s">
        <v>66</v>
      </c>
      <c r="L21" s="72">
        <f>COUNTIF(Peaks!$L$5:$L$104,"*" &amp; K21 &amp; "*")</f>
        <v>0</v>
      </c>
      <c r="M21" s="73">
        <f t="shared" si="2"/>
        <v>0</v>
      </c>
      <c r="N21" s="68"/>
    </row>
    <row r="22" spans="1:14" x14ac:dyDescent="0.25">
      <c r="C22" s="71" t="s">
        <v>21</v>
      </c>
      <c r="D22" s="68">
        <v>12</v>
      </c>
      <c r="E22" s="74">
        <f>D22/$D$2</f>
        <v>0.92307692307692313</v>
      </c>
      <c r="G22" s="71" t="s">
        <v>22</v>
      </c>
      <c r="H22" s="70">
        <v>429.61264038085938</v>
      </c>
      <c r="I22" s="74">
        <f>H22/$H$2</f>
        <v>0.7528594391118304</v>
      </c>
      <c r="K22" s="71" t="s">
        <v>67</v>
      </c>
      <c r="L22" s="72">
        <f>COUNTIF(Peaks!$L$5:$L$104,"*" &amp; K22 &amp; "*")</f>
        <v>0</v>
      </c>
      <c r="M22" s="73">
        <f t="shared" si="2"/>
        <v>0</v>
      </c>
      <c r="N22" s="68"/>
    </row>
    <row r="23" spans="1:14" x14ac:dyDescent="0.25">
      <c r="K23" s="71" t="s">
        <v>68</v>
      </c>
      <c r="L23" s="72">
        <f>COUNTIF(Peaks!$L$5:$L$104,"*" &amp; K23 &amp; "*")</f>
        <v>0</v>
      </c>
      <c r="M23" s="73">
        <f t="shared" si="2"/>
        <v>0</v>
      </c>
      <c r="N23" s="68"/>
    </row>
    <row r="24" spans="1:14" x14ac:dyDescent="0.25">
      <c r="C24" s="71" t="s">
        <v>23</v>
      </c>
      <c r="D24" s="68">
        <v>1</v>
      </c>
      <c r="E24" s="74">
        <f>D24/$D$2</f>
        <v>7.6923076923076927E-2</v>
      </c>
      <c r="G24" s="71" t="s">
        <v>24</v>
      </c>
      <c r="H24" s="70">
        <v>141.02865600585938</v>
      </c>
      <c r="I24" s="74">
        <f>H24/$H$2</f>
        <v>0.24714066784706504</v>
      </c>
      <c r="K24" s="71" t="s">
        <v>69</v>
      </c>
      <c r="L24" s="72">
        <f>COUNTIF(Peaks!$L$5:$L$104,"*" &amp; K24 &amp; "*")</f>
        <v>0</v>
      </c>
      <c r="M24" s="73">
        <f t="shared" si="2"/>
        <v>0</v>
      </c>
      <c r="N24" s="68"/>
    </row>
    <row r="25" spans="1:14" x14ac:dyDescent="0.25">
      <c r="K25" s="71" t="s">
        <v>70</v>
      </c>
      <c r="L25" s="72">
        <f>COUNTIF(Peaks!$L$5:$L$104,"*" &amp; K25 &amp; "*")</f>
        <v>0</v>
      </c>
      <c r="M25" s="73">
        <f t="shared" si="2"/>
        <v>0</v>
      </c>
      <c r="N25" s="68"/>
    </row>
    <row r="26" spans="1:14" x14ac:dyDescent="0.25">
      <c r="C26" s="71" t="s">
        <v>46</v>
      </c>
      <c r="D26" s="68">
        <v>0</v>
      </c>
      <c r="K26" s="71" t="s">
        <v>71</v>
      </c>
      <c r="L26" s="72">
        <f>COUNTIF(Peaks!$L$5:$L$104,"*" &amp; K26 &amp; "*")</f>
        <v>0</v>
      </c>
      <c r="M26" s="73">
        <f>L26/$D$2</f>
        <v>0</v>
      </c>
      <c r="N26" s="68"/>
    </row>
    <row r="27" spans="1:14" x14ac:dyDescent="0.25">
      <c r="G27" s="78"/>
      <c r="H27" s="78" t="s">
        <v>86</v>
      </c>
      <c r="K27" s="71" t="s">
        <v>72</v>
      </c>
      <c r="L27" s="72">
        <f>COUNTIF(Peaks!$L$5:$L$104,"*" &amp; K27 &amp; "*")</f>
        <v>0</v>
      </c>
      <c r="M27" s="73">
        <f t="shared" ref="M27:M29" si="3">L27/$D$2</f>
        <v>0</v>
      </c>
      <c r="N27" s="68"/>
    </row>
    <row r="28" spans="1:14" x14ac:dyDescent="0.25">
      <c r="H28" s="63" t="s">
        <v>44</v>
      </c>
      <c r="K28" s="71" t="s">
        <v>73</v>
      </c>
      <c r="L28" s="72">
        <f>COUNTIF(Peaks!$L$5:$L$104,"*" &amp; K28 &amp; "*")</f>
        <v>0</v>
      </c>
      <c r="M28" s="73">
        <f t="shared" si="3"/>
        <v>0</v>
      </c>
      <c r="N28" s="68"/>
    </row>
    <row r="29" spans="1:14" x14ac:dyDescent="0.25">
      <c r="H29" s="63" t="s">
        <v>45</v>
      </c>
      <c r="K29" s="71" t="s">
        <v>74</v>
      </c>
      <c r="L29" s="72">
        <f>COUNTIF(Peaks!$L$5:$L$104,"*" &amp; K29 &amp; "*")</f>
        <v>0</v>
      </c>
      <c r="M29" s="73">
        <f t="shared" si="3"/>
        <v>0</v>
      </c>
      <c r="N29" s="68"/>
    </row>
    <row r="30" spans="1:14" x14ac:dyDescent="0.25">
      <c r="K30" s="79"/>
      <c r="L30" s="80"/>
      <c r="M30" s="81"/>
      <c r="N30" s="76"/>
    </row>
    <row r="31" spans="1:14" x14ac:dyDescent="0.25">
      <c r="C31" s="78"/>
      <c r="K31" s="79"/>
      <c r="L31" s="80"/>
      <c r="M31" s="81"/>
      <c r="N31" s="76"/>
    </row>
    <row r="32" spans="1:14" x14ac:dyDescent="0.25">
      <c r="K32" s="79"/>
      <c r="L32" s="80"/>
      <c r="M32" s="81"/>
      <c r="N32" s="76"/>
    </row>
    <row r="33" spans="6:14" ht="15.75" thickBot="1" x14ac:dyDescent="0.3">
      <c r="K33" s="79"/>
      <c r="L33" s="80"/>
      <c r="M33" s="81"/>
      <c r="N33" s="76"/>
    </row>
    <row r="34" spans="6:14" ht="15.75" thickBot="1" x14ac:dyDescent="0.3">
      <c r="F34" s="25">
        <v>20</v>
      </c>
      <c r="K34" s="79"/>
      <c r="L34" s="80"/>
      <c r="M34" s="81"/>
      <c r="N34" s="76"/>
    </row>
    <row r="35" spans="6:14" x14ac:dyDescent="0.25">
      <c r="K35" s="79"/>
      <c r="L35" s="80"/>
      <c r="M35" s="81"/>
      <c r="N35" s="7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UpdateSummary">
                <anchor moveWithCells="1" sizeWithCells="1">
                  <from>
                    <xdr:col>2</xdr:col>
                    <xdr:colOff>66675</xdr:colOff>
                    <xdr:row>32</xdr:row>
                    <xdr:rowOff>9525</xdr:rowOff>
                  </from>
                  <to>
                    <xdr:col>2</xdr:col>
                    <xdr:colOff>2133600</xdr:colOff>
                    <xdr:row>34</xdr:row>
                    <xdr:rowOff>9525</xdr:rowOff>
                  </to>
                </anchor>
              </controlPr>
            </control>
          </mc:Choice>
        </mc:AlternateContent>
        <mc:AlternateContent xmlns:mc="http://schemas.openxmlformats.org/markup-compatibility/2006">
          <mc:Choice Requires="x14">
            <control shapeId="6146" r:id="rId5" name="Button 2">
              <controlPr defaultSize="0" print="0" autoFill="0" autoPict="0" macro="[0]!HideSpecificID">
                <anchor moveWithCells="1">
                  <from>
                    <xdr:col>7</xdr:col>
                    <xdr:colOff>295275</xdr:colOff>
                    <xdr:row>29</xdr:row>
                    <xdr:rowOff>76200</xdr:rowOff>
                  </from>
                  <to>
                    <xdr:col>8</xdr:col>
                    <xdr:colOff>266700</xdr:colOff>
                    <xdr:row>30</xdr:row>
                    <xdr:rowOff>123825</xdr:rowOff>
                  </to>
                </anchor>
              </controlPr>
            </control>
          </mc:Choice>
        </mc:AlternateContent>
        <mc:AlternateContent xmlns:mc="http://schemas.openxmlformats.org/markup-compatibility/2006">
          <mc:Choice Requires="x14">
            <control shapeId="6147" r:id="rId6" name="Button 3">
              <controlPr defaultSize="0" print="0" autoFill="0" autoPict="0" macro="[0]!UnhideSpecificID">
                <anchor moveWithCells="1">
                  <from>
                    <xdr:col>7</xdr:col>
                    <xdr:colOff>295275</xdr:colOff>
                    <xdr:row>31</xdr:row>
                    <xdr:rowOff>28575</xdr:rowOff>
                  </from>
                  <to>
                    <xdr:col>8</xdr:col>
                    <xdr:colOff>266700</xdr:colOff>
                    <xdr:row>32</xdr:row>
                    <xdr:rowOff>76200</xdr:rowOff>
                  </to>
                </anchor>
              </controlPr>
            </control>
          </mc:Choice>
        </mc:AlternateContent>
        <mc:AlternateContent xmlns:mc="http://schemas.openxmlformats.org/markup-compatibility/2006">
          <mc:Choice Requires="x14">
            <control shapeId="6148" r:id="rId7" name="Button 4">
              <controlPr defaultSize="0" print="0" autoFill="0" autoPict="0" macro="[0]!UnhideAll">
                <anchor moveWithCells="1" sizeWithCells="1">
                  <from>
                    <xdr:col>7</xdr:col>
                    <xdr:colOff>295275</xdr:colOff>
                    <xdr:row>36</xdr:row>
                    <xdr:rowOff>76200</xdr:rowOff>
                  </from>
                  <to>
                    <xdr:col>8</xdr:col>
                    <xdr:colOff>266700</xdr:colOff>
                    <xdr:row>37</xdr:row>
                    <xdr:rowOff>123825</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2</xdr:col>
                    <xdr:colOff>28575</xdr:colOff>
                    <xdr:row>34</xdr:row>
                    <xdr:rowOff>190500</xdr:rowOff>
                  </from>
                  <to>
                    <xdr:col>2</xdr:col>
                    <xdr:colOff>2181225</xdr:colOff>
                    <xdr:row>36</xdr:row>
                    <xdr:rowOff>9525</xdr:rowOff>
                  </to>
                </anchor>
              </controlPr>
            </control>
          </mc:Choice>
        </mc:AlternateContent>
        <mc:AlternateContent xmlns:mc="http://schemas.openxmlformats.org/markup-compatibility/2006">
          <mc:Choice Requires="x14">
            <control shapeId="6150" r:id="rId9" name="Button 6">
              <controlPr defaultSize="0" print="0" autoFill="0" autoPict="0" macro="[0]!ShowOnlyID">
                <anchor moveWithCells="1">
                  <from>
                    <xdr:col>7</xdr:col>
                    <xdr:colOff>295275</xdr:colOff>
                    <xdr:row>32</xdr:row>
                    <xdr:rowOff>171450</xdr:rowOff>
                  </from>
                  <to>
                    <xdr:col>8</xdr:col>
                    <xdr:colOff>266700</xdr:colOff>
                    <xdr:row>34</xdr:row>
                    <xdr:rowOff>9525</xdr:rowOff>
                  </to>
                </anchor>
              </controlPr>
            </control>
          </mc:Choice>
        </mc:AlternateContent>
        <mc:AlternateContent xmlns:mc="http://schemas.openxmlformats.org/markup-compatibility/2006">
          <mc:Choice Requires="x14">
            <control shapeId="6151" r:id="rId10" name="Button 7">
              <controlPr defaultSize="0" print="0" autoFill="0" autoPict="0" macro="[0]!ShowOnlyCumulative">
                <anchor moveWithCells="1">
                  <from>
                    <xdr:col>1</xdr:col>
                    <xdr:colOff>66675</xdr:colOff>
                    <xdr:row>0</xdr:row>
                    <xdr:rowOff>19050</xdr:rowOff>
                  </from>
                  <to>
                    <xdr:col>1</xdr:col>
                    <xdr:colOff>504825</xdr:colOff>
                    <xdr:row>2</xdr:row>
                    <xdr:rowOff>85725</xdr:rowOff>
                  </to>
                </anchor>
              </controlPr>
            </control>
          </mc:Choice>
        </mc:AlternateContent>
        <mc:AlternateContent xmlns:mc="http://schemas.openxmlformats.org/markup-compatibility/2006">
          <mc:Choice Requires="x14">
            <control shapeId="6153" r:id="rId11" name="Button 9">
              <controlPr defaultSize="0" print="0" autoFill="0" autoPict="0" macro="[0]!ShowOnlyTop">
                <anchor moveWithCells="1">
                  <from>
                    <xdr:col>6</xdr:col>
                    <xdr:colOff>28575</xdr:colOff>
                    <xdr:row>32</xdr:row>
                    <xdr:rowOff>161925</xdr:rowOff>
                  </from>
                  <to>
                    <xdr:col>7</xdr:col>
                    <xdr:colOff>0</xdr:colOff>
                    <xdr:row>34</xdr:row>
                    <xdr:rowOff>0</xdr:rowOff>
                  </to>
                </anchor>
              </controlPr>
            </control>
          </mc:Choice>
        </mc:AlternateContent>
        <mc:AlternateContent xmlns:mc="http://schemas.openxmlformats.org/markup-compatibility/2006">
          <mc:Choice Requires="x14">
            <control shapeId="6154" r:id="rId12" name="Button 10">
              <controlPr defaultSize="0" print="0" autoFill="0" autoPict="0" macro="[0]!HideUnlabelled">
                <anchor moveWithCells="1">
                  <from>
                    <xdr:col>7</xdr:col>
                    <xdr:colOff>295275</xdr:colOff>
                    <xdr:row>34</xdr:row>
                    <xdr:rowOff>123825</xdr:rowOff>
                  </from>
                  <to>
                    <xdr:col>8</xdr:col>
                    <xdr:colOff>266700</xdr:colOff>
                    <xdr:row>35</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Z1:AB21"/>
  <sheetViews>
    <sheetView zoomScaleNormal="100" workbookViewId="0">
      <selection activeCell="AA21" sqref="AA21"/>
    </sheetView>
  </sheetViews>
  <sheetFormatPr defaultRowHeight="15" x14ac:dyDescent="0.25"/>
  <sheetData>
    <row r="1" spans="26:28" ht="15.75" thickBot="1" x14ac:dyDescent="0.3">
      <c r="Z1" s="10" t="s">
        <v>30</v>
      </c>
      <c r="AB1" s="10" t="s">
        <v>19</v>
      </c>
    </row>
    <row r="2" spans="26:28" ht="15.75" thickBot="1" x14ac:dyDescent="0.3">
      <c r="Z2" s="2">
        <v>2</v>
      </c>
      <c r="AB2" s="2">
        <v>20</v>
      </c>
    </row>
    <row r="3" spans="26:28" ht="15.75" thickBot="1" x14ac:dyDescent="0.3"/>
    <row r="4" spans="26:28" ht="15.75" thickBot="1" x14ac:dyDescent="0.3">
      <c r="AA4" s="11"/>
    </row>
    <row r="5" spans="26:28" ht="15.75" thickBot="1" x14ac:dyDescent="0.3"/>
    <row r="6" spans="26:28" ht="15.75" thickBot="1" x14ac:dyDescent="0.3">
      <c r="AA6" s="12"/>
    </row>
    <row r="8" spans="26:28" x14ac:dyDescent="0.25">
      <c r="AA8" s="1"/>
    </row>
    <row r="9" spans="26:28" x14ac:dyDescent="0.25">
      <c r="AA9" s="1"/>
    </row>
    <row r="10" spans="26:28" x14ac:dyDescent="0.25">
      <c r="AA10" s="1"/>
    </row>
    <row r="11" spans="26:28" ht="15.75" thickBot="1" x14ac:dyDescent="0.3"/>
    <row r="12" spans="26:28" ht="15.75" thickBot="1" x14ac:dyDescent="0.3">
      <c r="Z12" s="2">
        <v>100</v>
      </c>
    </row>
    <row r="14" spans="26:28" ht="15.75" thickBot="1" x14ac:dyDescent="0.3">
      <c r="Z14" s="40"/>
    </row>
    <row r="15" spans="26:28" ht="15.75" thickBot="1" x14ac:dyDescent="0.3">
      <c r="Z15" s="2">
        <v>0.5</v>
      </c>
      <c r="AA15" s="2">
        <v>10</v>
      </c>
    </row>
    <row r="17" spans="26:28" ht="15.75" thickBot="1" x14ac:dyDescent="0.3"/>
    <row r="18" spans="26:28" ht="15.75" thickBot="1" x14ac:dyDescent="0.3">
      <c r="Z18" s="105" t="s">
        <v>42</v>
      </c>
      <c r="AA18" s="106"/>
      <c r="AB18" s="41"/>
    </row>
    <row r="20" spans="26:28" ht="15.75" thickBot="1" x14ac:dyDescent="0.3"/>
    <row r="21" spans="26:28" ht="15.75" thickBot="1" x14ac:dyDescent="0.3">
      <c r="AA21" s="2">
        <v>0</v>
      </c>
    </row>
  </sheetData>
  <mergeCells count="1">
    <mergeCell ref="Z18:AA1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26</xdr:col>
                    <xdr:colOff>9525</xdr:colOff>
                    <xdr:row>3</xdr:row>
                    <xdr:rowOff>9525</xdr:rowOff>
                  </from>
                  <to>
                    <xdr:col>26</xdr:col>
                    <xdr:colOff>600075</xdr:colOff>
                    <xdr:row>3</xdr:row>
                    <xdr:rowOff>190500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26</xdr:col>
                    <xdr:colOff>9525</xdr:colOff>
                    <xdr:row>4</xdr:row>
                    <xdr:rowOff>180975</xdr:rowOff>
                  </from>
                  <to>
                    <xdr:col>26</xdr:col>
                    <xdr:colOff>600075</xdr:colOff>
                    <xdr:row>5</xdr:row>
                    <xdr:rowOff>180975</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26</xdr:col>
                    <xdr:colOff>9525</xdr:colOff>
                    <xdr:row>7</xdr:row>
                    <xdr:rowOff>0</xdr:rowOff>
                  </from>
                  <to>
                    <xdr:col>26</xdr:col>
                    <xdr:colOff>600075</xdr:colOff>
                    <xdr:row>8</xdr:row>
                    <xdr:rowOff>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26</xdr:col>
                    <xdr:colOff>9525</xdr:colOff>
                    <xdr:row>9</xdr:row>
                    <xdr:rowOff>0</xdr:rowOff>
                  </from>
                  <to>
                    <xdr:col>26</xdr:col>
                    <xdr:colOff>600075</xdr:colOff>
                    <xdr:row>10</xdr:row>
                    <xdr:rowOff>0</xdr:rowOff>
                  </to>
                </anchor>
              </controlPr>
            </control>
          </mc:Choice>
        </mc:AlternateContent>
        <mc:AlternateContent xmlns:mc="http://schemas.openxmlformats.org/markup-compatibility/2006">
          <mc:Choice Requires="x14">
            <control shapeId="9221" r:id="rId8" name="Button 5">
              <controlPr defaultSize="0" print="0" autoFill="0" autoPict="0" macro="[0]!Chromatograms_Click">
                <anchor moveWithCells="1" sizeWithCells="1">
                  <from>
                    <xdr:col>25</xdr:col>
                    <xdr:colOff>0</xdr:colOff>
                    <xdr:row>15</xdr:row>
                    <xdr:rowOff>47625</xdr:rowOff>
                  </from>
                  <to>
                    <xdr:col>27</xdr:col>
                    <xdr:colOff>0</xdr:colOff>
                    <xdr:row>16</xdr:row>
                    <xdr:rowOff>104775</xdr:rowOff>
                  </to>
                </anchor>
              </controlPr>
            </control>
          </mc:Choice>
        </mc:AlternateContent>
        <mc:AlternateContent xmlns:mc="http://schemas.openxmlformats.org/markup-compatibility/2006">
          <mc:Choice Requires="x14">
            <control shapeId="9222" r:id="rId9" name="Button 6">
              <controlPr defaultSize="0" print="0" autoFill="0" autoPict="0" macro="[0]!DAD_A_Small">
                <anchor moveWithCells="1" sizeWithCells="1">
                  <from>
                    <xdr:col>25</xdr:col>
                    <xdr:colOff>0</xdr:colOff>
                    <xdr:row>3</xdr:row>
                    <xdr:rowOff>0</xdr:rowOff>
                  </from>
                  <to>
                    <xdr:col>25</xdr:col>
                    <xdr:colOff>285750</xdr:colOff>
                    <xdr:row>4</xdr:row>
                    <xdr:rowOff>0</xdr:rowOff>
                  </to>
                </anchor>
              </controlPr>
            </control>
          </mc:Choice>
        </mc:AlternateContent>
        <mc:AlternateContent xmlns:mc="http://schemas.openxmlformats.org/markup-compatibility/2006">
          <mc:Choice Requires="x14">
            <control shapeId="9223" r:id="rId10" name="Button 7">
              <controlPr defaultSize="0" print="0" autoFill="0" autoPict="0" macro="[0]!DAD_A_Big">
                <anchor moveWithCells="1" sizeWithCells="1">
                  <from>
                    <xdr:col>25</xdr:col>
                    <xdr:colOff>323850</xdr:colOff>
                    <xdr:row>3</xdr:row>
                    <xdr:rowOff>0</xdr:rowOff>
                  </from>
                  <to>
                    <xdr:col>25</xdr:col>
                    <xdr:colOff>609600</xdr:colOff>
                    <xdr:row>4</xdr:row>
                    <xdr:rowOff>0</xdr:rowOff>
                  </to>
                </anchor>
              </controlPr>
            </control>
          </mc:Choice>
        </mc:AlternateContent>
        <mc:AlternateContent xmlns:mc="http://schemas.openxmlformats.org/markup-compatibility/2006">
          <mc:Choice Requires="x14">
            <control shapeId="9224" r:id="rId11" name="Button 8">
              <controlPr defaultSize="0" print="0" autoFill="0" autoPict="0" macro="[0]!DAD_B_Small">
                <anchor moveWithCells="1" sizeWithCells="1">
                  <from>
                    <xdr:col>24</xdr:col>
                    <xdr:colOff>609600</xdr:colOff>
                    <xdr:row>5</xdr:row>
                    <xdr:rowOff>0</xdr:rowOff>
                  </from>
                  <to>
                    <xdr:col>25</xdr:col>
                    <xdr:colOff>285750</xdr:colOff>
                    <xdr:row>6</xdr:row>
                    <xdr:rowOff>0</xdr:rowOff>
                  </to>
                </anchor>
              </controlPr>
            </control>
          </mc:Choice>
        </mc:AlternateContent>
        <mc:AlternateContent xmlns:mc="http://schemas.openxmlformats.org/markup-compatibility/2006">
          <mc:Choice Requires="x14">
            <control shapeId="9225" r:id="rId12" name="Button 9">
              <controlPr defaultSize="0" print="0" autoFill="0" autoPict="0" macro="[0]!DAD_B_Big">
                <anchor moveWithCells="1" sizeWithCells="1">
                  <from>
                    <xdr:col>25</xdr:col>
                    <xdr:colOff>323850</xdr:colOff>
                    <xdr:row>5</xdr:row>
                    <xdr:rowOff>0</xdr:rowOff>
                  </from>
                  <to>
                    <xdr:col>25</xdr:col>
                    <xdr:colOff>609600</xdr:colOff>
                    <xdr:row>6</xdr:row>
                    <xdr:rowOff>0</xdr:rowOff>
                  </to>
                </anchor>
              </controlPr>
            </control>
          </mc:Choice>
        </mc:AlternateContent>
        <mc:AlternateContent xmlns:mc="http://schemas.openxmlformats.org/markup-compatibility/2006">
          <mc:Choice Requires="x14">
            <control shapeId="9230" r:id="rId13" name="Button 14">
              <controlPr defaultSize="0" print="0" autoFill="0" autoPict="0" macro="[0]!DAD_A_Down">
                <anchor moveWithCells="1" sizeWithCells="1">
                  <from>
                    <xdr:col>27</xdr:col>
                    <xdr:colOff>9525</xdr:colOff>
                    <xdr:row>2</xdr:row>
                    <xdr:rowOff>190500</xdr:rowOff>
                  </from>
                  <to>
                    <xdr:col>27</xdr:col>
                    <xdr:colOff>295275</xdr:colOff>
                    <xdr:row>3</xdr:row>
                    <xdr:rowOff>190500</xdr:rowOff>
                  </to>
                </anchor>
              </controlPr>
            </control>
          </mc:Choice>
        </mc:AlternateContent>
        <mc:AlternateContent xmlns:mc="http://schemas.openxmlformats.org/markup-compatibility/2006">
          <mc:Choice Requires="x14">
            <control shapeId="9231" r:id="rId14" name="Button 15">
              <controlPr defaultSize="0" print="0" autoFill="0" autoPict="0" macro="[0]!DAD_A_Up">
                <anchor moveWithCells="1" sizeWithCells="1">
                  <from>
                    <xdr:col>27</xdr:col>
                    <xdr:colOff>323850</xdr:colOff>
                    <xdr:row>2</xdr:row>
                    <xdr:rowOff>190500</xdr:rowOff>
                  </from>
                  <to>
                    <xdr:col>28</xdr:col>
                    <xdr:colOff>0</xdr:colOff>
                    <xdr:row>3</xdr:row>
                    <xdr:rowOff>190500</xdr:rowOff>
                  </to>
                </anchor>
              </controlPr>
            </control>
          </mc:Choice>
        </mc:AlternateContent>
        <mc:AlternateContent xmlns:mc="http://schemas.openxmlformats.org/markup-compatibility/2006">
          <mc:Choice Requires="x14">
            <control shapeId="9232" r:id="rId15" name="Button 16">
              <controlPr defaultSize="0" print="0" autoFill="0" autoPict="0" macro="[0]!DAD_B_Down">
                <anchor moveWithCells="1" sizeWithCells="1">
                  <from>
                    <xdr:col>27</xdr:col>
                    <xdr:colOff>9525</xdr:colOff>
                    <xdr:row>4</xdr:row>
                    <xdr:rowOff>200025</xdr:rowOff>
                  </from>
                  <to>
                    <xdr:col>27</xdr:col>
                    <xdr:colOff>295275</xdr:colOff>
                    <xdr:row>5</xdr:row>
                    <xdr:rowOff>200025</xdr:rowOff>
                  </to>
                </anchor>
              </controlPr>
            </control>
          </mc:Choice>
        </mc:AlternateContent>
        <mc:AlternateContent xmlns:mc="http://schemas.openxmlformats.org/markup-compatibility/2006">
          <mc:Choice Requires="x14">
            <control shapeId="9233" r:id="rId16" name="Button 17">
              <controlPr defaultSize="0" print="0" autoFill="0" autoPict="0" macro="[0]!DAD_B_Up">
                <anchor moveWithCells="1" sizeWithCells="1">
                  <from>
                    <xdr:col>27</xdr:col>
                    <xdr:colOff>323850</xdr:colOff>
                    <xdr:row>4</xdr:row>
                    <xdr:rowOff>200025</xdr:rowOff>
                  </from>
                  <to>
                    <xdr:col>28</xdr:col>
                    <xdr:colOff>0</xdr:colOff>
                    <xdr:row>6</xdr:row>
                    <xdr:rowOff>0</xdr:rowOff>
                  </to>
                </anchor>
              </controlPr>
            </control>
          </mc:Choice>
        </mc:AlternateContent>
        <mc:AlternateContent xmlns:mc="http://schemas.openxmlformats.org/markup-compatibility/2006">
          <mc:Choice Requires="x14">
            <control shapeId="9238" r:id="rId17" name="Check Box 22">
              <controlPr defaultSize="0" autoFill="0" autoLine="0" autoPict="0">
                <anchor moveWithCells="1">
                  <from>
                    <xdr:col>26</xdr:col>
                    <xdr:colOff>19050</xdr:colOff>
                    <xdr:row>11</xdr:row>
                    <xdr:rowOff>0</xdr:rowOff>
                  </from>
                  <to>
                    <xdr:col>27</xdr:col>
                    <xdr:colOff>0</xdr:colOff>
                    <xdr:row>11</xdr:row>
                    <xdr:rowOff>190500</xdr:rowOff>
                  </to>
                </anchor>
              </controlPr>
            </control>
          </mc:Choice>
        </mc:AlternateContent>
        <mc:AlternateContent xmlns:mc="http://schemas.openxmlformats.org/markup-compatibility/2006">
          <mc:Choice Requires="x14">
            <control shapeId="9239" r:id="rId18" name="Button 23">
              <controlPr defaultSize="0" print="0" autoFill="0" autoPict="0" macro="[0]!PeakNumDOWN">
                <anchor moveWithCells="1" sizeWithCells="1">
                  <from>
                    <xdr:col>27</xdr:col>
                    <xdr:colOff>9525</xdr:colOff>
                    <xdr:row>10</xdr:row>
                    <xdr:rowOff>180975</xdr:rowOff>
                  </from>
                  <to>
                    <xdr:col>27</xdr:col>
                    <xdr:colOff>295275</xdr:colOff>
                    <xdr:row>12</xdr:row>
                    <xdr:rowOff>0</xdr:rowOff>
                  </to>
                </anchor>
              </controlPr>
            </control>
          </mc:Choice>
        </mc:AlternateContent>
        <mc:AlternateContent xmlns:mc="http://schemas.openxmlformats.org/markup-compatibility/2006">
          <mc:Choice Requires="x14">
            <control shapeId="9240" r:id="rId19" name="Button 24">
              <controlPr defaultSize="0" print="0" autoFill="0" autoPict="0" macro="[0]!PeakNumUP">
                <anchor moveWithCells="1" sizeWithCells="1">
                  <from>
                    <xdr:col>27</xdr:col>
                    <xdr:colOff>323850</xdr:colOff>
                    <xdr:row>10</xdr:row>
                    <xdr:rowOff>180975</xdr:rowOff>
                  </from>
                  <to>
                    <xdr:col>28</xdr:col>
                    <xdr:colOff>0</xdr:colOff>
                    <xdr:row>12</xdr:row>
                    <xdr:rowOff>0</xdr:rowOff>
                  </to>
                </anchor>
              </controlPr>
            </control>
          </mc:Choice>
        </mc:AlternateContent>
        <mc:AlternateContent xmlns:mc="http://schemas.openxmlformats.org/markup-compatibility/2006">
          <mc:Choice Requires="x14">
            <control shapeId="9241" r:id="rId20" name="Button 25">
              <controlPr defaultSize="0" print="0" autoFill="0" autoPict="0" macro="[0]!NextTraceOne">
                <anchor moveWithCells="1" sizeWithCells="1">
                  <from>
                    <xdr:col>27</xdr:col>
                    <xdr:colOff>19050</xdr:colOff>
                    <xdr:row>19</xdr:row>
                    <xdr:rowOff>104775</xdr:rowOff>
                  </from>
                  <to>
                    <xdr:col>27</xdr:col>
                    <xdr:colOff>381000</xdr:colOff>
                    <xdr:row>21</xdr:row>
                    <xdr:rowOff>95250</xdr:rowOff>
                  </to>
                </anchor>
              </controlPr>
            </control>
          </mc:Choice>
        </mc:AlternateContent>
        <mc:AlternateContent xmlns:mc="http://schemas.openxmlformats.org/markup-compatibility/2006">
          <mc:Choice Requires="x14">
            <control shapeId="9242" r:id="rId21" name="Button 26">
              <controlPr defaultSize="0" print="0" autoFill="0" autoPict="0" macro="[0]!PreviousTraceOne">
                <anchor moveWithCells="1" sizeWithCells="1">
                  <from>
                    <xdr:col>25</xdr:col>
                    <xdr:colOff>238125</xdr:colOff>
                    <xdr:row>19</xdr:row>
                    <xdr:rowOff>104775</xdr:rowOff>
                  </from>
                  <to>
                    <xdr:col>25</xdr:col>
                    <xdr:colOff>600075</xdr:colOff>
                    <xdr:row>21</xdr:row>
                    <xdr:rowOff>85725</xdr:rowOff>
                  </to>
                </anchor>
              </controlPr>
            </control>
          </mc:Choice>
        </mc:AlternateContent>
        <mc:AlternateContent xmlns:mc="http://schemas.openxmlformats.org/markup-compatibility/2006">
          <mc:Choice Requires="x14">
            <control shapeId="9243" r:id="rId22" name="Button 27">
              <controlPr defaultSize="0" print="0" autoFill="0" autoPict="0" macro="[0]!Clear_Inset">
                <anchor moveWithCells="1" sizeWithCells="1">
                  <from>
                    <xdr:col>28</xdr:col>
                    <xdr:colOff>9525</xdr:colOff>
                    <xdr:row>13</xdr:row>
                    <xdr:rowOff>142875</xdr:rowOff>
                  </from>
                  <to>
                    <xdr:col>29</xdr:col>
                    <xdr:colOff>9525</xdr:colOff>
                    <xdr:row>15</xdr:row>
                    <xdr:rowOff>38100</xdr:rowOff>
                  </to>
                </anchor>
              </controlPr>
            </control>
          </mc:Choice>
        </mc:AlternateContent>
        <mc:AlternateContent xmlns:mc="http://schemas.openxmlformats.org/markup-compatibility/2006">
          <mc:Choice Requires="x14">
            <control shapeId="9244" r:id="rId23" name="Button 28">
              <controlPr defaultSize="0" print="0" autoFill="0" autoPict="0" macro="[0]!Reset_Allchromatograms">
                <anchor moveWithCells="1" sizeWithCells="1">
                  <from>
                    <xdr:col>28</xdr:col>
                    <xdr:colOff>38100</xdr:colOff>
                    <xdr:row>0</xdr:row>
                    <xdr:rowOff>57150</xdr:rowOff>
                  </from>
                  <to>
                    <xdr:col>28</xdr:col>
                    <xdr:colOff>457200</xdr:colOff>
                    <xdr:row>2</xdr:row>
                    <xdr:rowOff>66675</xdr:rowOff>
                  </to>
                </anchor>
              </controlPr>
            </control>
          </mc:Choice>
        </mc:AlternateContent>
        <mc:AlternateContent xmlns:mc="http://schemas.openxmlformats.org/markup-compatibility/2006">
          <mc:Choice Requires="x14">
            <control shapeId="9245" r:id="rId24" name="Button 29">
              <controlPr defaultSize="0" print="0" autoFill="0" autoPict="0" macro="[0]!Reset_210">
                <anchor moveWithCells="1" sizeWithCells="1">
                  <from>
                    <xdr:col>28</xdr:col>
                    <xdr:colOff>38100</xdr:colOff>
                    <xdr:row>3</xdr:row>
                    <xdr:rowOff>0</xdr:rowOff>
                  </from>
                  <to>
                    <xdr:col>28</xdr:col>
                    <xdr:colOff>457200</xdr:colOff>
                    <xdr:row>4</xdr:row>
                    <xdr:rowOff>0</xdr:rowOff>
                  </to>
                </anchor>
              </controlPr>
            </control>
          </mc:Choice>
        </mc:AlternateContent>
        <mc:AlternateContent xmlns:mc="http://schemas.openxmlformats.org/markup-compatibility/2006">
          <mc:Choice Requires="x14">
            <control shapeId="9246" r:id="rId25" name="Button 30">
              <controlPr defaultSize="0" print="0" autoFill="0" autoPict="0" macro="[0]!Reset_254">
                <anchor moveWithCells="1" sizeWithCells="1">
                  <from>
                    <xdr:col>28</xdr:col>
                    <xdr:colOff>38100</xdr:colOff>
                    <xdr:row>5</xdr:row>
                    <xdr:rowOff>0</xdr:rowOff>
                  </from>
                  <to>
                    <xdr:col>28</xdr:col>
                    <xdr:colOff>457200</xdr:colOff>
                    <xdr:row>6</xdr:row>
                    <xdr:rowOff>0</xdr:rowOff>
                  </to>
                </anchor>
              </controlPr>
            </control>
          </mc:Choice>
        </mc:AlternateContent>
        <mc:AlternateContent xmlns:mc="http://schemas.openxmlformats.org/markup-compatibility/2006">
          <mc:Choice Requires="x14">
            <control shapeId="9249" r:id="rId26" name="Button 33">
              <controlPr defaultSize="0" print="0" autoFill="0" autoPict="0" macro="[0]!Reset_Labels">
                <anchor moveWithCells="1" sizeWithCells="1">
                  <from>
                    <xdr:col>28</xdr:col>
                    <xdr:colOff>38100</xdr:colOff>
                    <xdr:row>11</xdr:row>
                    <xdr:rowOff>0</xdr:rowOff>
                  </from>
                  <to>
                    <xdr:col>28</xdr:col>
                    <xdr:colOff>457200</xdr:colOff>
                    <xdr:row>12</xdr:row>
                    <xdr:rowOff>0</xdr:rowOff>
                  </to>
                </anchor>
              </controlPr>
            </control>
          </mc:Choice>
        </mc:AlternateContent>
        <mc:AlternateContent xmlns:mc="http://schemas.openxmlformats.org/markup-compatibility/2006">
          <mc:Choice Requires="x14">
            <control shapeId="9250" r:id="rId27" name="Button 34">
              <controlPr defaultSize="0" print="0" autoFill="0" autoPict="0" macro="[0]!LabelID_From_Chromatogram">
                <anchor moveWithCells="1" sizeWithCells="1">
                  <from>
                    <xdr:col>26</xdr:col>
                    <xdr:colOff>9525</xdr:colOff>
                    <xdr:row>18</xdr:row>
                    <xdr:rowOff>76200</xdr:rowOff>
                  </from>
                  <to>
                    <xdr:col>27</xdr:col>
                    <xdr:colOff>9525</xdr:colOff>
                    <xdr:row>19</xdr:row>
                    <xdr:rowOff>95250</xdr:rowOff>
                  </to>
                </anchor>
              </controlPr>
            </control>
          </mc:Choice>
        </mc:AlternateContent>
        <mc:AlternateContent xmlns:mc="http://schemas.openxmlformats.org/markup-compatibility/2006">
          <mc:Choice Requires="x14">
            <control shapeId="9252" r:id="rId28" name="Button 36">
              <controlPr defaultSize="0" print="0" autoFill="0" autoPict="0" macro="[0]!HideID_From_Chromatogram">
                <anchor moveWithCells="1" sizeWithCells="1">
                  <from>
                    <xdr:col>25</xdr:col>
                    <xdr:colOff>0</xdr:colOff>
                    <xdr:row>18</xdr:row>
                    <xdr:rowOff>76200</xdr:rowOff>
                  </from>
                  <to>
                    <xdr:col>25</xdr:col>
                    <xdr:colOff>609600</xdr:colOff>
                    <xdr:row>19</xdr:row>
                    <xdr:rowOff>95250</xdr:rowOff>
                  </to>
                </anchor>
              </controlPr>
            </control>
          </mc:Choice>
        </mc:AlternateContent>
        <mc:AlternateContent xmlns:mc="http://schemas.openxmlformats.org/markup-compatibility/2006">
          <mc:Choice Requires="x14">
            <control shapeId="9253" r:id="rId29" name="Button 37">
              <controlPr defaultSize="0" print="0" autoFill="0" autoPict="0" macro="[0]!LabelandHide">
                <anchor moveWithCells="1" sizeWithCells="1">
                  <from>
                    <xdr:col>27</xdr:col>
                    <xdr:colOff>19050</xdr:colOff>
                    <xdr:row>18</xdr:row>
                    <xdr:rowOff>76200</xdr:rowOff>
                  </from>
                  <to>
                    <xdr:col>29</xdr:col>
                    <xdr:colOff>0</xdr:colOff>
                    <xdr:row>19</xdr:row>
                    <xdr:rowOff>95250</xdr:rowOff>
                  </to>
                </anchor>
              </controlPr>
            </control>
          </mc:Choice>
        </mc:AlternateContent>
        <mc:AlternateContent xmlns:mc="http://schemas.openxmlformats.org/markup-compatibility/2006">
          <mc:Choice Requires="x14">
            <control shapeId="9254" r:id="rId30" name="Button 38">
              <controlPr defaultSize="0" print="0" autoFill="0" autoPict="0" macro="[0]!UnhideID_From_Chromatogram">
                <anchor moveWithCells="1" sizeWithCells="1">
                  <from>
                    <xdr:col>25</xdr:col>
                    <xdr:colOff>9525</xdr:colOff>
                    <xdr:row>21</xdr:row>
                    <xdr:rowOff>114300</xdr:rowOff>
                  </from>
                  <to>
                    <xdr:col>25</xdr:col>
                    <xdr:colOff>600075</xdr:colOff>
                    <xdr:row>22</xdr:row>
                    <xdr:rowOff>114300</xdr:rowOff>
                  </to>
                </anchor>
              </controlPr>
            </control>
          </mc:Choice>
        </mc:AlternateContent>
        <mc:AlternateContent xmlns:mc="http://schemas.openxmlformats.org/markup-compatibility/2006">
          <mc:Choice Requires="x14">
            <control shapeId="9255" r:id="rId31" name="Check Box 39">
              <controlPr defaultSize="0" autoFill="0" autoLine="0" autoPict="0">
                <anchor moveWithCells="1">
                  <from>
                    <xdr:col>28</xdr:col>
                    <xdr:colOff>9525</xdr:colOff>
                    <xdr:row>20</xdr:row>
                    <xdr:rowOff>9525</xdr:rowOff>
                  </from>
                  <to>
                    <xdr:col>29</xdr:col>
                    <xdr:colOff>152400</xdr:colOff>
                    <xdr:row>21</xdr:row>
                    <xdr:rowOff>0</xdr:rowOff>
                  </to>
                </anchor>
              </controlPr>
            </control>
          </mc:Choice>
        </mc:AlternateContent>
        <mc:AlternateContent xmlns:mc="http://schemas.openxmlformats.org/markup-compatibility/2006">
          <mc:Choice Requires="x14">
            <control shapeId="9256" r:id="rId32" name="Button 40">
              <controlPr defaultSize="0" print="0" autoFill="0" autoPict="0" macro="[0]!UnhideAll_From_Chromatogram">
                <anchor moveWithCells="1" sizeWithCells="1">
                  <from>
                    <xdr:col>27</xdr:col>
                    <xdr:colOff>19050</xdr:colOff>
                    <xdr:row>21</xdr:row>
                    <xdr:rowOff>104775</xdr:rowOff>
                  </from>
                  <to>
                    <xdr:col>28</xdr:col>
                    <xdr:colOff>600075</xdr:colOff>
                    <xdr:row>22</xdr:row>
                    <xdr:rowOff>114300</xdr:rowOff>
                  </to>
                </anchor>
              </controlPr>
            </control>
          </mc:Choice>
        </mc:AlternateContent>
        <mc:AlternateContent xmlns:mc="http://schemas.openxmlformats.org/markup-compatibility/2006">
          <mc:Choice Requires="x14">
            <control shapeId="9257" r:id="rId33" name="Check Box 41">
              <controlPr defaultSize="0" autoFill="0" autoLine="0" autoPict="0">
                <anchor moveWithCells="1">
                  <from>
                    <xdr:col>25</xdr:col>
                    <xdr:colOff>9525</xdr:colOff>
                    <xdr:row>12</xdr:row>
                    <xdr:rowOff>85725</xdr:rowOff>
                  </from>
                  <to>
                    <xdr:col>25</xdr:col>
                    <xdr:colOff>600075</xdr:colOff>
                    <xdr:row>13</xdr:row>
                    <xdr:rowOff>85725</xdr:rowOff>
                  </to>
                </anchor>
              </controlPr>
            </control>
          </mc:Choice>
        </mc:AlternateContent>
        <mc:AlternateContent xmlns:mc="http://schemas.openxmlformats.org/markup-compatibility/2006">
          <mc:Choice Requires="x14">
            <control shapeId="9258" r:id="rId34" name="Check Box 42">
              <controlPr defaultSize="0" autoFill="0" autoLine="0" autoPict="0">
                <anchor moveWithCells="1">
                  <from>
                    <xdr:col>25</xdr:col>
                    <xdr:colOff>600075</xdr:colOff>
                    <xdr:row>12</xdr:row>
                    <xdr:rowOff>85725</xdr:rowOff>
                  </from>
                  <to>
                    <xdr:col>26</xdr:col>
                    <xdr:colOff>581025</xdr:colOff>
                    <xdr:row>13</xdr:row>
                    <xdr:rowOff>85725</xdr:rowOff>
                  </to>
                </anchor>
              </controlPr>
            </control>
          </mc:Choice>
        </mc:AlternateContent>
        <mc:AlternateContent xmlns:mc="http://schemas.openxmlformats.org/markup-compatibility/2006">
          <mc:Choice Requires="x14">
            <control shapeId="9259" r:id="rId35" name="Check Box 43">
              <controlPr defaultSize="0" autoFill="0" autoLine="0" autoPict="0">
                <anchor moveWithCells="1">
                  <from>
                    <xdr:col>27</xdr:col>
                    <xdr:colOff>0</xdr:colOff>
                    <xdr:row>12</xdr:row>
                    <xdr:rowOff>85725</xdr:rowOff>
                  </from>
                  <to>
                    <xdr:col>27</xdr:col>
                    <xdr:colOff>590550</xdr:colOff>
                    <xdr:row>13</xdr:row>
                    <xdr:rowOff>85725</xdr:rowOff>
                  </to>
                </anchor>
              </controlPr>
            </control>
          </mc:Choice>
        </mc:AlternateContent>
        <mc:AlternateContent xmlns:mc="http://schemas.openxmlformats.org/markup-compatibility/2006">
          <mc:Choice Requires="x14">
            <control shapeId="9260" r:id="rId36" name="Button 44">
              <controlPr defaultSize="0" print="0" autoFill="0" autoPict="0" macro="[0]!CopyChromatogram">
                <anchor moveWithCells="1" sizeWithCells="1">
                  <from>
                    <xdr:col>27</xdr:col>
                    <xdr:colOff>9525</xdr:colOff>
                    <xdr:row>13</xdr:row>
                    <xdr:rowOff>142875</xdr:rowOff>
                  </from>
                  <to>
                    <xdr:col>28</xdr:col>
                    <xdr:colOff>0</xdr:colOff>
                    <xdr:row>15</xdr:row>
                    <xdr:rowOff>38100</xdr:rowOff>
                  </to>
                </anchor>
              </controlPr>
            </control>
          </mc:Choice>
        </mc:AlternateContent>
        <mc:AlternateContent xmlns:mc="http://schemas.openxmlformats.org/markup-compatibility/2006">
          <mc:Choice Requires="x14">
            <control shapeId="9261" r:id="rId37" name="Button 45">
              <controlPr defaultSize="0" print="0" autoFill="0" autoPict="0" macro="[0]!ChromatogramsUnlabel">
                <anchor moveWithCells="1" sizeWithCells="1">
                  <from>
                    <xdr:col>26</xdr:col>
                    <xdr:colOff>0</xdr:colOff>
                    <xdr:row>21</xdr:row>
                    <xdr:rowOff>104775</xdr:rowOff>
                  </from>
                  <to>
                    <xdr:col>27</xdr:col>
                    <xdr:colOff>0</xdr:colOff>
                    <xdr:row>22</xdr:row>
                    <xdr:rowOff>114300</xdr:rowOff>
                  </to>
                </anchor>
              </controlPr>
            </control>
          </mc:Choice>
        </mc:AlternateContent>
        <mc:AlternateContent xmlns:mc="http://schemas.openxmlformats.org/markup-compatibility/2006">
          <mc:Choice Requires="x14">
            <control shapeId="9263" r:id="rId38" name="Button 47">
              <controlPr defaultSize="0" print="0" autoFill="0" autoPict="0" macro="[0]!ChromatogramsKillLabels">
                <anchor moveWithCells="1" sizeWithCells="1">
                  <from>
                    <xdr:col>27</xdr:col>
                    <xdr:colOff>314325</xdr:colOff>
                    <xdr:row>17</xdr:row>
                    <xdr:rowOff>0</xdr:rowOff>
                  </from>
                  <to>
                    <xdr:col>28</xdr:col>
                    <xdr:colOff>609600</xdr:colOff>
                    <xdr:row>17</xdr:row>
                    <xdr:rowOff>200025</xdr:rowOff>
                  </to>
                </anchor>
              </controlPr>
            </control>
          </mc:Choice>
        </mc:AlternateContent>
        <mc:AlternateContent xmlns:mc="http://schemas.openxmlformats.org/markup-compatibility/2006">
          <mc:Choice Requires="x14">
            <control shapeId="9264" r:id="rId39" name="Button 48">
              <controlPr defaultSize="0" print="0" autoFill="0" autoPict="0" macro="[0]!ChromatogramsKillAllLabels">
                <anchor moveWithCells="1" sizeWithCells="1">
                  <from>
                    <xdr:col>27</xdr:col>
                    <xdr:colOff>9525</xdr:colOff>
                    <xdr:row>15</xdr:row>
                    <xdr:rowOff>57150</xdr:rowOff>
                  </from>
                  <to>
                    <xdr:col>29</xdr:col>
                    <xdr:colOff>0</xdr:colOff>
                    <xdr:row>16</xdr:row>
                    <xdr:rowOff>104775</xdr:rowOff>
                  </to>
                </anchor>
              </controlPr>
            </control>
          </mc:Choice>
        </mc:AlternateContent>
        <mc:AlternateContent xmlns:mc="http://schemas.openxmlformats.org/markup-compatibility/2006">
          <mc:Choice Requires="x14">
            <control shapeId="9265" r:id="rId40" name="Button 49">
              <controlPr defaultSize="0" print="0" autoFill="0" autoPict="0" macro="[0]!CoA">
                <anchor moveWithCells="1" sizeWithCells="1">
                  <from>
                    <xdr:col>28</xdr:col>
                    <xdr:colOff>9525</xdr:colOff>
                    <xdr:row>12</xdr:row>
                    <xdr:rowOff>76200</xdr:rowOff>
                  </from>
                  <to>
                    <xdr:col>29</xdr:col>
                    <xdr:colOff>9525</xdr:colOff>
                    <xdr:row>13</xdr:row>
                    <xdr:rowOff>95250</xdr:rowOff>
                  </to>
                </anchor>
              </controlPr>
            </control>
          </mc:Choice>
        </mc:AlternateContent>
        <mc:AlternateContent xmlns:mc="http://schemas.openxmlformats.org/markup-compatibility/2006">
          <mc:Choice Requires="x14">
            <control shapeId="9266" r:id="rId41" name="Button 50">
              <controlPr defaultSize="0" print="0" autoFill="0" autoPict="0" macro="[0]!Base_Allchromatograms">
                <anchor moveWithCells="1" sizeWithCells="1">
                  <from>
                    <xdr:col>28</xdr:col>
                    <xdr:colOff>476250</xdr:colOff>
                    <xdr:row>0</xdr:row>
                    <xdr:rowOff>57150</xdr:rowOff>
                  </from>
                  <to>
                    <xdr:col>29</xdr:col>
                    <xdr:colOff>295275</xdr:colOff>
                    <xdr:row>2</xdr:row>
                    <xdr:rowOff>66675</xdr:rowOff>
                  </to>
                </anchor>
              </controlPr>
            </control>
          </mc:Choice>
        </mc:AlternateContent>
        <mc:AlternateContent xmlns:mc="http://schemas.openxmlformats.org/markup-compatibility/2006">
          <mc:Choice Requires="x14">
            <control shapeId="9267" r:id="rId42" name="Button 51">
              <controlPr defaultSize="0" print="0" autoFill="0" autoPict="0" macro="[0]!Base_210">
                <anchor moveWithCells="1" sizeWithCells="1">
                  <from>
                    <xdr:col>28</xdr:col>
                    <xdr:colOff>476250</xdr:colOff>
                    <xdr:row>3</xdr:row>
                    <xdr:rowOff>0</xdr:rowOff>
                  </from>
                  <to>
                    <xdr:col>29</xdr:col>
                    <xdr:colOff>285750</xdr:colOff>
                    <xdr:row>4</xdr:row>
                    <xdr:rowOff>0</xdr:rowOff>
                  </to>
                </anchor>
              </controlPr>
            </control>
          </mc:Choice>
        </mc:AlternateContent>
        <mc:AlternateContent xmlns:mc="http://schemas.openxmlformats.org/markup-compatibility/2006">
          <mc:Choice Requires="x14">
            <control shapeId="9268" r:id="rId43" name="Button 52">
              <controlPr defaultSize="0" print="0" autoFill="0" autoPict="0" macro="[0]!Base_254">
                <anchor moveWithCells="1" sizeWithCells="1">
                  <from>
                    <xdr:col>28</xdr:col>
                    <xdr:colOff>476250</xdr:colOff>
                    <xdr:row>5</xdr:row>
                    <xdr:rowOff>0</xdr:rowOff>
                  </from>
                  <to>
                    <xdr:col>29</xdr:col>
                    <xdr:colOff>285750</xdr:colOff>
                    <xdr:row>6</xdr:row>
                    <xdr:rowOff>0</xdr:rowOff>
                  </to>
                </anchor>
              </controlPr>
            </control>
          </mc:Choice>
        </mc:AlternateContent>
        <mc:AlternateContent xmlns:mc="http://schemas.openxmlformats.org/markup-compatibility/2006">
          <mc:Choice Requires="x14">
            <control shapeId="9271" r:id="rId44" name="Button 55">
              <controlPr defaultSize="0" print="0" autoFill="0" autoPict="0" macro="[0]!Base_Labels">
                <anchor moveWithCells="1" sizeWithCells="1">
                  <from>
                    <xdr:col>28</xdr:col>
                    <xdr:colOff>476250</xdr:colOff>
                    <xdr:row>11</xdr:row>
                    <xdr:rowOff>0</xdr:rowOff>
                  </from>
                  <to>
                    <xdr:col>29</xdr:col>
                    <xdr:colOff>285750</xdr:colOff>
                    <xdr:row>12</xdr:row>
                    <xdr:rowOff>0</xdr:rowOff>
                  </to>
                </anchor>
              </controlPr>
            </control>
          </mc:Choice>
        </mc:AlternateContent>
        <mc:AlternateContent xmlns:mc="http://schemas.openxmlformats.org/markup-compatibility/2006">
          <mc:Choice Requires="x14">
            <control shapeId="9272" r:id="rId45" name="Button 56">
              <controlPr defaultSize="0" print="0" autoFill="0" autoPict="0" macro="[0]!PreviousTraceTen">
                <anchor moveWithCells="1" sizeWithCells="1">
                  <from>
                    <xdr:col>25</xdr:col>
                    <xdr:colOff>9525</xdr:colOff>
                    <xdr:row>19</xdr:row>
                    <xdr:rowOff>104775</xdr:rowOff>
                  </from>
                  <to>
                    <xdr:col>25</xdr:col>
                    <xdr:colOff>228600</xdr:colOff>
                    <xdr:row>21</xdr:row>
                    <xdr:rowOff>85725</xdr:rowOff>
                  </to>
                </anchor>
              </controlPr>
            </control>
          </mc:Choice>
        </mc:AlternateContent>
        <mc:AlternateContent xmlns:mc="http://schemas.openxmlformats.org/markup-compatibility/2006">
          <mc:Choice Requires="x14">
            <control shapeId="9273" r:id="rId46" name="Button 57">
              <controlPr defaultSize="0" print="0" autoFill="0" autoPict="0" macro="[0]!NextTraceTen">
                <anchor moveWithCells="1" sizeWithCells="1">
                  <from>
                    <xdr:col>27</xdr:col>
                    <xdr:colOff>390525</xdr:colOff>
                    <xdr:row>19</xdr:row>
                    <xdr:rowOff>104775</xdr:rowOff>
                  </from>
                  <to>
                    <xdr:col>28</xdr:col>
                    <xdr:colOff>0</xdr:colOff>
                    <xdr:row>21</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00000000-0002-0000-0200-000000000000}">
          <x14:formula1>
            <xm:f>Summary!$K$2:$K$9</xm:f>
          </x14:formula1>
          <xm:sqref>AB18</xm:sqref>
        </x14:dataValidation>
        <x14:dataValidation type="list" allowBlank="1" showInputMessage="1" xr:uid="{00000000-0002-0000-0200-000001000000}">
          <x14:formula1>
            <xm:f>Summary!$K$2:$K$29</xm:f>
          </x14:formula1>
          <xm:sqref>Z18:AA18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V1:AB37"/>
  <sheetViews>
    <sheetView zoomScaleNormal="100" workbookViewId="0">
      <selection activeCell="Z11" sqref="Z11:Z12"/>
    </sheetView>
  </sheetViews>
  <sheetFormatPr defaultColWidth="9.140625" defaultRowHeight="15" x14ac:dyDescent="0.25"/>
  <cols>
    <col min="1" max="22" width="9.140625" style="9"/>
    <col min="23" max="23" width="9.140625" style="9" customWidth="1"/>
    <col min="24" max="24" width="9" style="9" customWidth="1"/>
    <col min="25" max="25" width="9.140625" hidden="1" customWidth="1"/>
    <col min="26" max="26" width="18" customWidth="1"/>
    <col min="27" max="28" width="8.85546875" customWidth="1"/>
    <col min="29" max="16384" width="9.140625" style="9"/>
  </cols>
  <sheetData>
    <row r="1" spans="22:28" ht="15.75" thickBot="1" x14ac:dyDescent="0.3">
      <c r="W1" s="17"/>
    </row>
    <row r="2" spans="22:28" ht="15.75" thickBot="1" x14ac:dyDescent="0.3">
      <c r="V2" s="16"/>
      <c r="W2" s="18"/>
      <c r="AB2" s="6">
        <v>1</v>
      </c>
    </row>
    <row r="3" spans="22:28" x14ac:dyDescent="0.25">
      <c r="V3" s="15"/>
      <c r="W3" s="19"/>
    </row>
    <row r="4" spans="22:28" ht="15.75" thickBot="1" x14ac:dyDescent="0.3">
      <c r="AB4" s="6">
        <v>1</v>
      </c>
    </row>
    <row r="5" spans="22:28" ht="16.5" thickBot="1" x14ac:dyDescent="0.3">
      <c r="Z5" s="14" t="s">
        <v>28</v>
      </c>
      <c r="AA5" s="13"/>
      <c r="AB5" s="6">
        <v>1</v>
      </c>
    </row>
    <row r="8" spans="22:28" ht="15" customHeight="1" x14ac:dyDescent="0.25">
      <c r="Z8" s="8"/>
      <c r="AB8" s="6">
        <v>1</v>
      </c>
    </row>
    <row r="9" spans="22:28" ht="15" customHeight="1" x14ac:dyDescent="0.25">
      <c r="Z9" s="8"/>
    </row>
    <row r="10" spans="22:28" ht="15" customHeight="1" thickBot="1" x14ac:dyDescent="0.3">
      <c r="AB10" s="6">
        <v>1</v>
      </c>
    </row>
    <row r="11" spans="22:28" x14ac:dyDescent="0.25">
      <c r="Z11" s="109">
        <v>0</v>
      </c>
      <c r="AB11" s="6">
        <v>1</v>
      </c>
    </row>
    <row r="12" spans="22:28" ht="15.75" thickBot="1" x14ac:dyDescent="0.3">
      <c r="Z12" s="110"/>
    </row>
    <row r="14" spans="22:28" x14ac:dyDescent="0.25">
      <c r="AB14" s="6">
        <v>1</v>
      </c>
    </row>
    <row r="16" spans="22:28" x14ac:dyDescent="0.25">
      <c r="AB16" s="6">
        <v>1</v>
      </c>
    </row>
    <row r="17" spans="28:28" x14ac:dyDescent="0.25">
      <c r="AB17" s="6">
        <v>1</v>
      </c>
    </row>
    <row r="20" spans="28:28" x14ac:dyDescent="0.25">
      <c r="AB20" s="6">
        <v>1</v>
      </c>
    </row>
    <row r="22" spans="28:28" x14ac:dyDescent="0.25">
      <c r="AB22" s="6">
        <v>1</v>
      </c>
    </row>
    <row r="23" spans="28:28" x14ac:dyDescent="0.25">
      <c r="AB23" s="6">
        <v>1</v>
      </c>
    </row>
    <row r="26" spans="28:28" x14ac:dyDescent="0.25">
      <c r="AB26" s="6">
        <v>3</v>
      </c>
    </row>
    <row r="27" spans="28:28" x14ac:dyDescent="0.25">
      <c r="AB27" s="107" t="s">
        <v>26</v>
      </c>
    </row>
    <row r="28" spans="28:28" x14ac:dyDescent="0.25">
      <c r="AB28" s="108"/>
    </row>
    <row r="29" spans="28:28" x14ac:dyDescent="0.25">
      <c r="AB29" s="6">
        <v>6</v>
      </c>
    </row>
    <row r="32" spans="28:28" x14ac:dyDescent="0.25">
      <c r="AB32" s="6">
        <v>1</v>
      </c>
    </row>
    <row r="33" spans="26:28" x14ac:dyDescent="0.25">
      <c r="AB33" s="107" t="s">
        <v>27</v>
      </c>
    </row>
    <row r="34" spans="26:28" x14ac:dyDescent="0.25">
      <c r="AB34" s="108"/>
    </row>
    <row r="35" spans="26:28" x14ac:dyDescent="0.25">
      <c r="AB35" s="6">
        <v>50</v>
      </c>
    </row>
    <row r="37" spans="26:28" x14ac:dyDescent="0.25">
      <c r="Z37" s="7" t="s">
        <v>25</v>
      </c>
    </row>
  </sheetData>
  <mergeCells count="3">
    <mergeCell ref="AB27:AB28"/>
    <mergeCell ref="AB33:AB34"/>
    <mergeCell ref="Z11:Z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verlay_Click">
                <anchor moveWithCells="1" sizeWithCells="1">
                  <from>
                    <xdr:col>23</xdr:col>
                    <xdr:colOff>457200</xdr:colOff>
                    <xdr:row>0</xdr:row>
                    <xdr:rowOff>38100</xdr:rowOff>
                  </from>
                  <to>
                    <xdr:col>26</xdr:col>
                    <xdr:colOff>161925</xdr:colOff>
                    <xdr:row>1</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Checkallandoverlay">
                <anchor moveWithCells="1" sizeWithCells="1">
                  <from>
                    <xdr:col>23</xdr:col>
                    <xdr:colOff>457200</xdr:colOff>
                    <xdr:row>30</xdr:row>
                    <xdr:rowOff>171450</xdr:rowOff>
                  </from>
                  <to>
                    <xdr:col>26</xdr:col>
                    <xdr:colOff>171450</xdr:colOff>
                    <xdr:row>32</xdr:row>
                    <xdr:rowOff>180975</xdr:rowOff>
                  </to>
                </anchor>
              </controlPr>
            </control>
          </mc:Choice>
        </mc:AlternateContent>
        <mc:AlternateContent xmlns:mc="http://schemas.openxmlformats.org/markup-compatibility/2006">
          <mc:Choice Requires="x14">
            <control shapeId="4100" r:id="rId6" name="Button 4">
              <controlPr defaultSize="0" print="0" autoFill="0" autoPict="0" macro="[0]!Uncheckallandoverlay">
                <anchor moveWithCells="1" sizeWithCells="1">
                  <from>
                    <xdr:col>23</xdr:col>
                    <xdr:colOff>457200</xdr:colOff>
                    <xdr:row>34</xdr:row>
                    <xdr:rowOff>0</xdr:rowOff>
                  </from>
                  <to>
                    <xdr:col>26</xdr:col>
                    <xdr:colOff>171450</xdr:colOff>
                    <xdr:row>35</xdr:row>
                    <xdr:rowOff>180975</xdr:rowOff>
                  </to>
                </anchor>
              </controlPr>
            </control>
          </mc:Choice>
        </mc:AlternateContent>
        <mc:AlternateContent xmlns:mc="http://schemas.openxmlformats.org/markup-compatibility/2006">
          <mc:Choice Requires="x14">
            <control shapeId="4102" r:id="rId7" name="Button 6">
              <controlPr defaultSize="0" print="0" autoFill="0" autoPict="0" macro="[0]!NotSelected">
                <anchor moveWithCells="1" sizeWithCells="1">
                  <from>
                    <xdr:col>23</xdr:col>
                    <xdr:colOff>457200</xdr:colOff>
                    <xdr:row>28</xdr:row>
                    <xdr:rowOff>104775</xdr:rowOff>
                  </from>
                  <to>
                    <xdr:col>26</xdr:col>
                    <xdr:colOff>171450</xdr:colOff>
                    <xdr:row>29</xdr:row>
                    <xdr:rowOff>180975</xdr:rowOff>
                  </to>
                </anchor>
              </controlPr>
            </control>
          </mc:Choice>
        </mc:AlternateContent>
        <mc:AlternateContent xmlns:mc="http://schemas.openxmlformats.org/markup-compatibility/2006">
          <mc:Choice Requires="x14">
            <control shapeId="4103" r:id="rId8" name="Button 7">
              <controlPr defaultSize="0" print="0" autoFill="0" autoPict="0" macro="[0]!OnlySelected">
                <anchor moveWithCells="1" sizeWithCells="1">
                  <from>
                    <xdr:col>23</xdr:col>
                    <xdr:colOff>457200</xdr:colOff>
                    <xdr:row>26</xdr:row>
                    <xdr:rowOff>114300</xdr:rowOff>
                  </from>
                  <to>
                    <xdr:col>26</xdr:col>
                    <xdr:colOff>171450</xdr:colOff>
                    <xdr:row>28</xdr:row>
                    <xdr:rowOff>0</xdr:rowOff>
                  </to>
                </anchor>
              </controlPr>
            </control>
          </mc:Choice>
        </mc:AlternateContent>
        <mc:AlternateContent xmlns:mc="http://schemas.openxmlformats.org/markup-compatibility/2006">
          <mc:Choice Requires="x14">
            <control shapeId="4104" r:id="rId9" name="Button 8">
              <controlPr defaultSize="0" print="0" autoFill="0" autoPict="0" macro="[0]!Showonly">
                <anchor moveWithCells="1" sizeWithCells="1">
                  <from>
                    <xdr:col>28</xdr:col>
                    <xdr:colOff>28575</xdr:colOff>
                    <xdr:row>12</xdr:row>
                    <xdr:rowOff>152400</xdr:rowOff>
                  </from>
                  <to>
                    <xdr:col>28</xdr:col>
                    <xdr:colOff>600075</xdr:colOff>
                    <xdr:row>14</xdr:row>
                    <xdr:rowOff>19050</xdr:rowOff>
                  </to>
                </anchor>
              </controlPr>
            </control>
          </mc:Choice>
        </mc:AlternateContent>
        <mc:AlternateContent xmlns:mc="http://schemas.openxmlformats.org/markup-compatibility/2006">
          <mc:Choice Requires="x14">
            <control shapeId="4105" r:id="rId10" name="Button 9">
              <controlPr defaultSize="0" print="0" autoFill="0" autoPict="0" macro="[0]!Showonlyrange">
                <anchor moveWithCells="1" sizeWithCells="1">
                  <from>
                    <xdr:col>28</xdr:col>
                    <xdr:colOff>28575</xdr:colOff>
                    <xdr:row>14</xdr:row>
                    <xdr:rowOff>180975</xdr:rowOff>
                  </from>
                  <to>
                    <xdr:col>28</xdr:col>
                    <xdr:colOff>600075</xdr:colOff>
                    <xdr:row>17</xdr:row>
                    <xdr:rowOff>9525</xdr:rowOff>
                  </to>
                </anchor>
              </controlPr>
            </control>
          </mc:Choice>
        </mc:AlternateContent>
        <mc:AlternateContent xmlns:mc="http://schemas.openxmlformats.org/markup-compatibility/2006">
          <mc:Choice Requires="x14">
            <control shapeId="4106" r:id="rId11" name="Button 10">
              <controlPr defaultSize="0" print="0" autoFill="0" autoPict="0" macro="[0]!NotShow">
                <anchor moveWithCells="1" sizeWithCells="1">
                  <from>
                    <xdr:col>28</xdr:col>
                    <xdr:colOff>28575</xdr:colOff>
                    <xdr:row>18</xdr:row>
                    <xdr:rowOff>152400</xdr:rowOff>
                  </from>
                  <to>
                    <xdr:col>28</xdr:col>
                    <xdr:colOff>600075</xdr:colOff>
                    <xdr:row>20</xdr:row>
                    <xdr:rowOff>28575</xdr:rowOff>
                  </to>
                </anchor>
              </controlPr>
            </control>
          </mc:Choice>
        </mc:AlternateContent>
        <mc:AlternateContent xmlns:mc="http://schemas.openxmlformats.org/markup-compatibility/2006">
          <mc:Choice Requires="x14">
            <control shapeId="4107" r:id="rId12" name="Button 11">
              <controlPr defaultSize="0" print="0" autoFill="0" autoPict="0" macro="[0]!NotShowRange">
                <anchor moveWithCells="1" sizeWithCells="1">
                  <from>
                    <xdr:col>28</xdr:col>
                    <xdr:colOff>28575</xdr:colOff>
                    <xdr:row>20</xdr:row>
                    <xdr:rowOff>180975</xdr:rowOff>
                  </from>
                  <to>
                    <xdr:col>28</xdr:col>
                    <xdr:colOff>600075</xdr:colOff>
                    <xdr:row>23</xdr:row>
                    <xdr:rowOff>9525</xdr:rowOff>
                  </to>
                </anchor>
              </controlPr>
            </control>
          </mc:Choice>
        </mc:AlternateContent>
        <mc:AlternateContent xmlns:mc="http://schemas.openxmlformats.org/markup-compatibility/2006">
          <mc:Choice Requires="x14">
            <control shapeId="4110" r:id="rId13" name="Button 14">
              <controlPr defaultSize="0" print="0" autoFill="0" autoPict="0" macro="[0]!AddOverlay">
                <anchor moveWithCells="1" sizeWithCells="1">
                  <from>
                    <xdr:col>28</xdr:col>
                    <xdr:colOff>28575</xdr:colOff>
                    <xdr:row>0</xdr:row>
                    <xdr:rowOff>161925</xdr:rowOff>
                  </from>
                  <to>
                    <xdr:col>28</xdr:col>
                    <xdr:colOff>600075</xdr:colOff>
                    <xdr:row>2</xdr:row>
                    <xdr:rowOff>28575</xdr:rowOff>
                  </to>
                </anchor>
              </controlPr>
            </control>
          </mc:Choice>
        </mc:AlternateContent>
        <mc:AlternateContent xmlns:mc="http://schemas.openxmlformats.org/markup-compatibility/2006">
          <mc:Choice Requires="x14">
            <control shapeId="4111" r:id="rId14" name="Button 15">
              <controlPr defaultSize="0" print="0" autoFill="0" autoPict="0" macro="[0]!AddOverlayRange">
                <anchor moveWithCells="1" sizeWithCells="1">
                  <from>
                    <xdr:col>28</xdr:col>
                    <xdr:colOff>28575</xdr:colOff>
                    <xdr:row>3</xdr:row>
                    <xdr:rowOff>0</xdr:rowOff>
                  </from>
                  <to>
                    <xdr:col>28</xdr:col>
                    <xdr:colOff>600075</xdr:colOff>
                    <xdr:row>5</xdr:row>
                    <xdr:rowOff>0</xdr:rowOff>
                  </to>
                </anchor>
              </controlPr>
            </control>
          </mc:Choice>
        </mc:AlternateContent>
        <mc:AlternateContent xmlns:mc="http://schemas.openxmlformats.org/markup-compatibility/2006">
          <mc:Choice Requires="x14">
            <control shapeId="4112" r:id="rId15" name="Button 16">
              <controlPr defaultSize="0" print="0" autoFill="0" autoPict="0" macro="[0]!RemoveOverlay">
                <anchor moveWithCells="1" sizeWithCells="1">
                  <from>
                    <xdr:col>28</xdr:col>
                    <xdr:colOff>28575</xdr:colOff>
                    <xdr:row>6</xdr:row>
                    <xdr:rowOff>152400</xdr:rowOff>
                  </from>
                  <to>
                    <xdr:col>28</xdr:col>
                    <xdr:colOff>600075</xdr:colOff>
                    <xdr:row>8</xdr:row>
                    <xdr:rowOff>28575</xdr:rowOff>
                  </to>
                </anchor>
              </controlPr>
            </control>
          </mc:Choice>
        </mc:AlternateContent>
        <mc:AlternateContent xmlns:mc="http://schemas.openxmlformats.org/markup-compatibility/2006">
          <mc:Choice Requires="x14">
            <control shapeId="4113" r:id="rId16" name="Button 17">
              <controlPr defaultSize="0" print="0" autoFill="0" autoPict="0" macro="[0]!RemoveOverlayRange">
                <anchor moveWithCells="1" sizeWithCells="1">
                  <from>
                    <xdr:col>28</xdr:col>
                    <xdr:colOff>28575</xdr:colOff>
                    <xdr:row>8</xdr:row>
                    <xdr:rowOff>180975</xdr:rowOff>
                  </from>
                  <to>
                    <xdr:col>28</xdr:col>
                    <xdr:colOff>600075</xdr:colOff>
                    <xdr:row>11</xdr:row>
                    <xdr:rowOff>9525</xdr:rowOff>
                  </to>
                </anchor>
              </controlPr>
            </control>
          </mc:Choice>
        </mc:AlternateContent>
        <mc:AlternateContent xmlns:mc="http://schemas.openxmlformats.org/markup-compatibility/2006">
          <mc:Choice Requires="x14">
            <control shapeId="4114" r:id="rId17" name="Button 18">
              <controlPr defaultSize="0" print="0" autoFill="0" autoPict="0" macro="[0]!RemoveSelected">
                <anchor moveWithCells="1" sizeWithCells="1">
                  <from>
                    <xdr:col>23</xdr:col>
                    <xdr:colOff>457200</xdr:colOff>
                    <xdr:row>24</xdr:row>
                    <xdr:rowOff>114300</xdr:rowOff>
                  </from>
                  <to>
                    <xdr:col>26</xdr:col>
                    <xdr:colOff>171450</xdr:colOff>
                    <xdr:row>26</xdr:row>
                    <xdr:rowOff>0</xdr:rowOff>
                  </to>
                </anchor>
              </controlPr>
            </control>
          </mc:Choice>
        </mc:AlternateContent>
        <mc:AlternateContent xmlns:mc="http://schemas.openxmlformats.org/markup-compatibility/2006">
          <mc:Choice Requires="x14">
            <control shapeId="4115" r:id="rId18" name="Button 19">
              <controlPr defaultSize="0" print="0" autoFill="0" autoPict="0" macro="[0]!ShowPolar">
                <anchor moveWithCells="1" sizeWithCells="1">
                  <from>
                    <xdr:col>28</xdr:col>
                    <xdr:colOff>28575</xdr:colOff>
                    <xdr:row>25</xdr:row>
                    <xdr:rowOff>0</xdr:rowOff>
                  </from>
                  <to>
                    <xdr:col>28</xdr:col>
                    <xdr:colOff>600075</xdr:colOff>
                    <xdr:row>26</xdr:row>
                    <xdr:rowOff>9525</xdr:rowOff>
                  </to>
                </anchor>
              </controlPr>
            </control>
          </mc:Choice>
        </mc:AlternateContent>
        <mc:AlternateContent xmlns:mc="http://schemas.openxmlformats.org/markup-compatibility/2006">
          <mc:Choice Requires="x14">
            <control shapeId="4116" r:id="rId19" name="Button 20">
              <controlPr defaultSize="0" print="0" autoFill="0" autoPict="0" macro="[0]!ShowNonpolar">
                <anchor moveWithCells="1" sizeWithCells="1">
                  <from>
                    <xdr:col>28</xdr:col>
                    <xdr:colOff>38100</xdr:colOff>
                    <xdr:row>28</xdr:row>
                    <xdr:rowOff>0</xdr:rowOff>
                  </from>
                  <to>
                    <xdr:col>29</xdr:col>
                    <xdr:colOff>0</xdr:colOff>
                    <xdr:row>29</xdr:row>
                    <xdr:rowOff>0</xdr:rowOff>
                  </to>
                </anchor>
              </controlPr>
            </control>
          </mc:Choice>
        </mc:AlternateContent>
        <mc:AlternateContent xmlns:mc="http://schemas.openxmlformats.org/markup-compatibility/2006">
          <mc:Choice Requires="x14">
            <control shapeId="4117" r:id="rId20" name="Button 21">
              <controlPr defaultSize="0" print="0" autoFill="0" autoPict="0" macro="[0]!ShowIntermediate">
                <anchor moveWithCells="1" sizeWithCells="1">
                  <from>
                    <xdr:col>28</xdr:col>
                    <xdr:colOff>28575</xdr:colOff>
                    <xdr:row>26</xdr:row>
                    <xdr:rowOff>95250</xdr:rowOff>
                  </from>
                  <to>
                    <xdr:col>28</xdr:col>
                    <xdr:colOff>600075</xdr:colOff>
                    <xdr:row>27</xdr:row>
                    <xdr:rowOff>95250</xdr:rowOff>
                  </to>
                </anchor>
              </controlPr>
            </control>
          </mc:Choice>
        </mc:AlternateContent>
        <mc:AlternateContent xmlns:mc="http://schemas.openxmlformats.org/markup-compatibility/2006">
          <mc:Choice Requires="x14">
            <control shapeId="4118" r:id="rId21" name="Button 22">
              <controlPr defaultSize="0" print="0" autoFill="0" autoPict="0" macro="[0]!ShowAcidic">
                <anchor moveWithCells="1" sizeWithCells="1">
                  <from>
                    <xdr:col>28</xdr:col>
                    <xdr:colOff>28575</xdr:colOff>
                    <xdr:row>30</xdr:row>
                    <xdr:rowOff>180975</xdr:rowOff>
                  </from>
                  <to>
                    <xdr:col>28</xdr:col>
                    <xdr:colOff>600075</xdr:colOff>
                    <xdr:row>32</xdr:row>
                    <xdr:rowOff>0</xdr:rowOff>
                  </to>
                </anchor>
              </controlPr>
            </control>
          </mc:Choice>
        </mc:AlternateContent>
        <mc:AlternateContent xmlns:mc="http://schemas.openxmlformats.org/markup-compatibility/2006">
          <mc:Choice Requires="x14">
            <control shapeId="4119" r:id="rId22" name="Button 23">
              <controlPr defaultSize="0" print="0" autoFill="0" autoPict="0" macro="[0]!ShowBasic">
                <anchor moveWithCells="1" sizeWithCells="1">
                  <from>
                    <xdr:col>28</xdr:col>
                    <xdr:colOff>28575</xdr:colOff>
                    <xdr:row>34</xdr:row>
                    <xdr:rowOff>0</xdr:rowOff>
                  </from>
                  <to>
                    <xdr:col>28</xdr:col>
                    <xdr:colOff>600075</xdr:colOff>
                    <xdr:row>35</xdr:row>
                    <xdr:rowOff>0</xdr:rowOff>
                  </to>
                </anchor>
              </controlPr>
            </control>
          </mc:Choice>
        </mc:AlternateContent>
        <mc:AlternateContent xmlns:mc="http://schemas.openxmlformats.org/markup-compatibility/2006">
          <mc:Choice Requires="x14">
            <control shapeId="4120" r:id="rId23" name="Button 24">
              <controlPr defaultSize="0" print="0" autoFill="0" autoPict="0" macro="[0]!ShowNeutral">
                <anchor moveWithCells="1" sizeWithCells="1">
                  <from>
                    <xdr:col>28</xdr:col>
                    <xdr:colOff>28575</xdr:colOff>
                    <xdr:row>32</xdr:row>
                    <xdr:rowOff>85725</xdr:rowOff>
                  </from>
                  <to>
                    <xdr:col>28</xdr:col>
                    <xdr:colOff>600075</xdr:colOff>
                    <xdr:row>33</xdr:row>
                    <xdr:rowOff>104775</xdr:rowOff>
                  </to>
                </anchor>
              </controlPr>
            </control>
          </mc:Choice>
        </mc:AlternateContent>
        <mc:AlternateContent xmlns:mc="http://schemas.openxmlformats.org/markup-compatibility/2006">
          <mc:Choice Requires="x14">
            <control shapeId="4124" r:id="rId24" name="Button 28">
              <controlPr defaultSize="0" print="0" autoFill="0" autoPict="0" macro="[0]!ShowPreviousTrace">
                <anchor moveWithCells="1" sizeWithCells="1">
                  <from>
                    <xdr:col>25</xdr:col>
                    <xdr:colOff>0</xdr:colOff>
                    <xdr:row>7</xdr:row>
                    <xdr:rowOff>9525</xdr:rowOff>
                  </from>
                  <to>
                    <xdr:col>26</xdr:col>
                    <xdr:colOff>9525</xdr:colOff>
                    <xdr:row>9</xdr:row>
                    <xdr:rowOff>0</xdr:rowOff>
                  </to>
                </anchor>
              </controlPr>
            </control>
          </mc:Choice>
        </mc:AlternateContent>
        <mc:AlternateContent xmlns:mc="http://schemas.openxmlformats.org/markup-compatibility/2006">
          <mc:Choice Requires="x14">
            <control shapeId="4125" r:id="rId25" name="Button 29">
              <controlPr defaultSize="0" print="0" autoFill="0" autoPict="0" macro="[0]!ShowNextTrace">
                <anchor moveWithCells="1" sizeWithCells="1">
                  <from>
                    <xdr:col>24</xdr:col>
                    <xdr:colOff>0</xdr:colOff>
                    <xdr:row>13</xdr:row>
                    <xdr:rowOff>0</xdr:rowOff>
                  </from>
                  <to>
                    <xdr:col>26</xdr:col>
                    <xdr:colOff>0</xdr:colOff>
                    <xdr:row>15</xdr:row>
                    <xdr:rowOff>0</xdr:rowOff>
                  </to>
                </anchor>
              </controlPr>
            </control>
          </mc:Choice>
        </mc:AlternateContent>
        <mc:AlternateContent xmlns:mc="http://schemas.openxmlformats.org/markup-compatibility/2006">
          <mc:Choice Requires="x14">
            <control shapeId="4127" r:id="rId26" name="Button 31">
              <controlPr defaultSize="0" print="0" autoFill="0" autoPict="0" macro="[0]!KeepTrace">
                <anchor moveWithCells="1" sizeWithCells="1">
                  <from>
                    <xdr:col>24</xdr:col>
                    <xdr:colOff>0</xdr:colOff>
                    <xdr:row>15</xdr:row>
                    <xdr:rowOff>180975</xdr:rowOff>
                  </from>
                  <to>
                    <xdr:col>26</xdr:col>
                    <xdr:colOff>0</xdr:colOff>
                    <xdr:row>17</xdr:row>
                    <xdr:rowOff>190500</xdr:rowOff>
                  </to>
                </anchor>
              </controlPr>
            </control>
          </mc:Choice>
        </mc:AlternateContent>
        <mc:AlternateContent xmlns:mc="http://schemas.openxmlformats.org/markup-compatibility/2006">
          <mc:Choice Requires="x14">
            <control shapeId="4130" r:id="rId27" name="Check Box 34">
              <controlPr defaultSize="0" autoFill="0" autoLine="0" autoPict="0">
                <anchor moveWithCells="1">
                  <from>
                    <xdr:col>25</xdr:col>
                    <xdr:colOff>152400</xdr:colOff>
                    <xdr:row>5</xdr:row>
                    <xdr:rowOff>66675</xdr:rowOff>
                  </from>
                  <to>
                    <xdr:col>25</xdr:col>
                    <xdr:colOff>1104900</xdr:colOff>
                    <xdr:row>6</xdr:row>
                    <xdr:rowOff>114300</xdr:rowOff>
                  </to>
                </anchor>
              </controlPr>
            </control>
          </mc:Choice>
        </mc:AlternateContent>
        <mc:AlternateContent xmlns:mc="http://schemas.openxmlformats.org/markup-compatibility/2006">
          <mc:Choice Requires="x14">
            <control shapeId="4131" r:id="rId28" name="Button 35">
              <controlPr defaultSize="0" print="0" autoFill="0" autoPict="0" macro="[0]!LabelAndCopy">
                <anchor moveWithCells="1" sizeWithCells="1">
                  <from>
                    <xdr:col>23</xdr:col>
                    <xdr:colOff>590550</xdr:colOff>
                    <xdr:row>19</xdr:row>
                    <xdr:rowOff>95250</xdr:rowOff>
                  </from>
                  <to>
                    <xdr:col>26</xdr:col>
                    <xdr:colOff>0</xdr:colOff>
                    <xdr:row>22</xdr:row>
                    <xdr:rowOff>104775</xdr:rowOff>
                  </to>
                </anchor>
              </controlPr>
            </control>
          </mc:Choice>
        </mc:AlternateContent>
        <mc:AlternateContent xmlns:mc="http://schemas.openxmlformats.org/markup-compatibility/2006">
          <mc:Choice Requires="x14">
            <control shapeId="4132" r:id="rId29" name="Check Box 36">
              <controlPr defaultSize="0" autoFill="0" autoLine="0" autoPict="0">
                <anchor moveWithCells="1">
                  <from>
                    <xdr:col>21</xdr:col>
                    <xdr:colOff>9525</xdr:colOff>
                    <xdr:row>1</xdr:row>
                    <xdr:rowOff>9525</xdr:rowOff>
                  </from>
                  <to>
                    <xdr:col>21</xdr:col>
                    <xdr:colOff>600075</xdr:colOff>
                    <xdr:row>1</xdr:row>
                    <xdr:rowOff>190500</xdr:rowOff>
                  </to>
                </anchor>
              </controlPr>
            </control>
          </mc:Choice>
        </mc:AlternateContent>
        <mc:AlternateContent xmlns:mc="http://schemas.openxmlformats.org/markup-compatibility/2006">
          <mc:Choice Requires="x14">
            <control shapeId="4133" r:id="rId30" name="Check Box 37">
              <controlPr defaultSize="0" autoFill="0" autoLine="0" autoPict="0">
                <anchor moveWithCells="1">
                  <from>
                    <xdr:col>22</xdr:col>
                    <xdr:colOff>9525</xdr:colOff>
                    <xdr:row>1</xdr:row>
                    <xdr:rowOff>0</xdr:rowOff>
                  </from>
                  <to>
                    <xdr:col>22</xdr:col>
                    <xdr:colOff>600075</xdr:colOff>
                    <xdr:row>2</xdr:row>
                    <xdr:rowOff>0</xdr:rowOff>
                  </to>
                </anchor>
              </controlPr>
            </control>
          </mc:Choice>
        </mc:AlternateContent>
        <mc:AlternateContent xmlns:mc="http://schemas.openxmlformats.org/markup-compatibility/2006">
          <mc:Choice Requires="x14">
            <control shapeId="4134" r:id="rId31" name="Button 38">
              <controlPr defaultSize="0" print="0" autoFill="0" autoPict="0" macro="[0]!Chromatogram_Inset_DAD_A_Small">
                <anchor moveWithCells="1" sizeWithCells="1">
                  <from>
                    <xdr:col>21</xdr:col>
                    <xdr:colOff>9525</xdr:colOff>
                    <xdr:row>3</xdr:row>
                    <xdr:rowOff>0</xdr:rowOff>
                  </from>
                  <to>
                    <xdr:col>21</xdr:col>
                    <xdr:colOff>295275</xdr:colOff>
                    <xdr:row>4</xdr:row>
                    <xdr:rowOff>0</xdr:rowOff>
                  </to>
                </anchor>
              </controlPr>
            </control>
          </mc:Choice>
        </mc:AlternateContent>
        <mc:AlternateContent xmlns:mc="http://schemas.openxmlformats.org/markup-compatibility/2006">
          <mc:Choice Requires="x14">
            <control shapeId="4135" r:id="rId32" name="Button 39">
              <controlPr defaultSize="0" print="0" autoFill="0" autoPict="0" macro="[0]!Chromatogram_Inset_DAD_A_Big">
                <anchor moveWithCells="1" sizeWithCells="1">
                  <from>
                    <xdr:col>21</xdr:col>
                    <xdr:colOff>314325</xdr:colOff>
                    <xdr:row>2</xdr:row>
                    <xdr:rowOff>180975</xdr:rowOff>
                  </from>
                  <to>
                    <xdr:col>21</xdr:col>
                    <xdr:colOff>600075</xdr:colOff>
                    <xdr:row>3</xdr:row>
                    <xdr:rowOff>190500</xdr:rowOff>
                  </to>
                </anchor>
              </controlPr>
            </control>
          </mc:Choice>
        </mc:AlternateContent>
        <mc:AlternateContent xmlns:mc="http://schemas.openxmlformats.org/markup-compatibility/2006">
          <mc:Choice Requires="x14">
            <control shapeId="4136" r:id="rId33" name="Button 40">
              <controlPr defaultSize="0" print="0" autoFill="0" autoPict="0" macro="[0]!Chromatogram_Inset_DAD_B_Small">
                <anchor moveWithCells="1" sizeWithCells="1">
                  <from>
                    <xdr:col>22</xdr:col>
                    <xdr:colOff>9525</xdr:colOff>
                    <xdr:row>3</xdr:row>
                    <xdr:rowOff>0</xdr:rowOff>
                  </from>
                  <to>
                    <xdr:col>22</xdr:col>
                    <xdr:colOff>295275</xdr:colOff>
                    <xdr:row>4</xdr:row>
                    <xdr:rowOff>0</xdr:rowOff>
                  </to>
                </anchor>
              </controlPr>
            </control>
          </mc:Choice>
        </mc:AlternateContent>
        <mc:AlternateContent xmlns:mc="http://schemas.openxmlformats.org/markup-compatibility/2006">
          <mc:Choice Requires="x14">
            <control shapeId="4137" r:id="rId34" name="Button 41">
              <controlPr defaultSize="0" print="0" autoFill="0" autoPict="0" macro="[0]!Chromatogram_Inset_DAD_B_Big">
                <anchor moveWithCells="1" sizeWithCells="1">
                  <from>
                    <xdr:col>22</xdr:col>
                    <xdr:colOff>314325</xdr:colOff>
                    <xdr:row>2</xdr:row>
                    <xdr:rowOff>180975</xdr:rowOff>
                  </from>
                  <to>
                    <xdr:col>22</xdr:col>
                    <xdr:colOff>600075</xdr:colOff>
                    <xdr:row>3</xdr:row>
                    <xdr:rowOff>190500</xdr:rowOff>
                  </to>
                </anchor>
              </controlPr>
            </control>
          </mc:Choice>
        </mc:AlternateContent>
        <mc:AlternateContent xmlns:mc="http://schemas.openxmlformats.org/markup-compatibility/2006">
          <mc:Choice Requires="x14">
            <control shapeId="4138" r:id="rId35" name="Button 42">
              <controlPr defaultSize="0" print="0" autoFill="0" autoPict="0" macro="[0]!Chromatogram_Inset_DAD_A_Down">
                <anchor moveWithCells="1" sizeWithCells="1">
                  <from>
                    <xdr:col>21</xdr:col>
                    <xdr:colOff>9525</xdr:colOff>
                    <xdr:row>4</xdr:row>
                    <xdr:rowOff>0</xdr:rowOff>
                  </from>
                  <to>
                    <xdr:col>21</xdr:col>
                    <xdr:colOff>295275</xdr:colOff>
                    <xdr:row>4</xdr:row>
                    <xdr:rowOff>209550</xdr:rowOff>
                  </to>
                </anchor>
              </controlPr>
            </control>
          </mc:Choice>
        </mc:AlternateContent>
        <mc:AlternateContent xmlns:mc="http://schemas.openxmlformats.org/markup-compatibility/2006">
          <mc:Choice Requires="x14">
            <control shapeId="4139" r:id="rId36" name="Button 43">
              <controlPr defaultSize="0" print="0" autoFill="0" autoPict="0" macro="[0]!Chromatogram_Inset_DAD_A_Up">
                <anchor moveWithCells="1" sizeWithCells="1">
                  <from>
                    <xdr:col>21</xdr:col>
                    <xdr:colOff>314325</xdr:colOff>
                    <xdr:row>4</xdr:row>
                    <xdr:rowOff>0</xdr:rowOff>
                  </from>
                  <to>
                    <xdr:col>21</xdr:col>
                    <xdr:colOff>600075</xdr:colOff>
                    <xdr:row>4</xdr:row>
                    <xdr:rowOff>209550</xdr:rowOff>
                  </to>
                </anchor>
              </controlPr>
            </control>
          </mc:Choice>
        </mc:AlternateContent>
        <mc:AlternateContent xmlns:mc="http://schemas.openxmlformats.org/markup-compatibility/2006">
          <mc:Choice Requires="x14">
            <control shapeId="4140" r:id="rId37" name="Button 44">
              <controlPr defaultSize="0" print="0" autoFill="0" autoPict="0" macro="[0]!Chromatogram_Inset_DAD_B_Down">
                <anchor moveWithCells="1" sizeWithCells="1">
                  <from>
                    <xdr:col>22</xdr:col>
                    <xdr:colOff>9525</xdr:colOff>
                    <xdr:row>4</xdr:row>
                    <xdr:rowOff>0</xdr:rowOff>
                  </from>
                  <to>
                    <xdr:col>22</xdr:col>
                    <xdr:colOff>295275</xdr:colOff>
                    <xdr:row>4</xdr:row>
                    <xdr:rowOff>200025</xdr:rowOff>
                  </to>
                </anchor>
              </controlPr>
            </control>
          </mc:Choice>
        </mc:AlternateContent>
        <mc:AlternateContent xmlns:mc="http://schemas.openxmlformats.org/markup-compatibility/2006">
          <mc:Choice Requires="x14">
            <control shapeId="4141" r:id="rId38" name="Button 45">
              <controlPr defaultSize="0" print="0" autoFill="0" autoPict="0" macro="[0]!Chromatogram_Inset_DAD_B_Up">
                <anchor moveWithCells="1" sizeWithCells="1">
                  <from>
                    <xdr:col>22</xdr:col>
                    <xdr:colOff>314325</xdr:colOff>
                    <xdr:row>4</xdr:row>
                    <xdr:rowOff>0</xdr:rowOff>
                  </from>
                  <to>
                    <xdr:col>22</xdr:col>
                    <xdr:colOff>600075</xdr:colOff>
                    <xdr:row>4</xdr:row>
                    <xdr:rowOff>200025</xdr:rowOff>
                  </to>
                </anchor>
              </controlPr>
            </control>
          </mc:Choice>
        </mc:AlternateContent>
        <mc:AlternateContent xmlns:mc="http://schemas.openxmlformats.org/markup-compatibility/2006">
          <mc:Choice Requires="x14">
            <control shapeId="4142" r:id="rId39" name="Button 46">
              <controlPr defaultSize="0" print="0" autoFill="0" autoPict="0" macro="[0]!Chromatogram_Inset_DAD_A_Reset">
                <anchor moveWithCells="1" sizeWithCells="1">
                  <from>
                    <xdr:col>21</xdr:col>
                    <xdr:colOff>9525</xdr:colOff>
                    <xdr:row>5</xdr:row>
                    <xdr:rowOff>0</xdr:rowOff>
                  </from>
                  <to>
                    <xdr:col>21</xdr:col>
                    <xdr:colOff>600075</xdr:colOff>
                    <xdr:row>6</xdr:row>
                    <xdr:rowOff>9525</xdr:rowOff>
                  </to>
                </anchor>
              </controlPr>
            </control>
          </mc:Choice>
        </mc:AlternateContent>
        <mc:AlternateContent xmlns:mc="http://schemas.openxmlformats.org/markup-compatibility/2006">
          <mc:Choice Requires="x14">
            <control shapeId="4143" r:id="rId40" name="Button 47">
              <controlPr defaultSize="0" print="0" autoFill="0" autoPict="0" macro="[0]!Chromatogram_Inset_DAD_B_Reset">
                <anchor moveWithCells="1" sizeWithCells="1">
                  <from>
                    <xdr:col>22</xdr:col>
                    <xdr:colOff>9525</xdr:colOff>
                    <xdr:row>5</xdr:row>
                    <xdr:rowOff>0</xdr:rowOff>
                  </from>
                  <to>
                    <xdr:col>22</xdr:col>
                    <xdr:colOff>609600</xdr:colOff>
                    <xdr:row>6</xdr:row>
                    <xdr:rowOff>9525</xdr:rowOff>
                  </to>
                </anchor>
              </controlPr>
            </control>
          </mc:Choice>
        </mc:AlternateContent>
        <mc:AlternateContent xmlns:mc="http://schemas.openxmlformats.org/markup-compatibility/2006">
          <mc:Choice Requires="x14">
            <control shapeId="4144" r:id="rId41" name="Button 48">
              <controlPr defaultSize="0" print="0" autoFill="0" autoPict="0" macro="[0]!Chromatogram_Inset_Click">
                <anchor moveWithCells="1" sizeWithCells="1">
                  <from>
                    <xdr:col>21</xdr:col>
                    <xdr:colOff>9525</xdr:colOff>
                    <xdr:row>2</xdr:row>
                    <xdr:rowOff>9525</xdr:rowOff>
                  </from>
                  <to>
                    <xdr:col>22</xdr:col>
                    <xdr:colOff>600075</xdr:colOff>
                    <xdr:row>3</xdr:row>
                    <xdr:rowOff>0</xdr:rowOff>
                  </to>
                </anchor>
              </controlPr>
            </control>
          </mc:Choice>
        </mc:AlternateContent>
        <mc:AlternateContent xmlns:mc="http://schemas.openxmlformats.org/markup-compatibility/2006">
          <mc:Choice Requires="x14">
            <control shapeId="4145" r:id="rId42" name="Button 49">
              <controlPr defaultSize="0" print="0" autoFill="0" autoPict="0" macro="[0]!ShowSelectedClass">
                <anchor moveWithCells="1" sizeWithCells="1">
                  <from>
                    <xdr:col>23</xdr:col>
                    <xdr:colOff>457200</xdr:colOff>
                    <xdr:row>1</xdr:row>
                    <xdr:rowOff>171450</xdr:rowOff>
                  </from>
                  <to>
                    <xdr:col>26</xdr:col>
                    <xdr:colOff>161925</xdr:colOff>
                    <xdr:row>3</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00000000-0002-0000-0300-000000000000}">
          <x14:formula1>
            <xm:f>Summary!$K$2:$K$29</xm:f>
          </x14:formula1>
          <xm:sqref>Z5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Z1:AB27"/>
  <sheetViews>
    <sheetView zoomScaleNormal="100" workbookViewId="0">
      <pane ySplit="10" topLeftCell="A11" activePane="bottomLeft" state="frozen"/>
      <selection pane="bottomLeft" activeCell="AA21" sqref="AA21"/>
    </sheetView>
  </sheetViews>
  <sheetFormatPr defaultColWidth="9.140625" defaultRowHeight="15" x14ac:dyDescent="0.25"/>
  <cols>
    <col min="1" max="16384" width="9.140625" style="24"/>
  </cols>
  <sheetData>
    <row r="1" spans="26:28" ht="15.75" thickBot="1" x14ac:dyDescent="0.3">
      <c r="Z1" s="42" t="s">
        <v>30</v>
      </c>
      <c r="AB1" s="42" t="s">
        <v>19</v>
      </c>
    </row>
    <row r="2" spans="26:28" ht="15.75" thickBot="1" x14ac:dyDescent="0.3">
      <c r="Z2" s="25">
        <v>1.5</v>
      </c>
      <c r="AB2" s="25">
        <v>5</v>
      </c>
    </row>
    <row r="3" spans="26:28" ht="15.75" thickBot="1" x14ac:dyDescent="0.3"/>
    <row r="4" spans="26:28" ht="15.75" thickBot="1" x14ac:dyDescent="0.3">
      <c r="AA4" s="43"/>
    </row>
    <row r="5" spans="26:28" ht="15.75" thickBot="1" x14ac:dyDescent="0.3"/>
    <row r="6" spans="26:28" ht="15.75" thickBot="1" x14ac:dyDescent="0.3">
      <c r="AA6" s="44"/>
    </row>
    <row r="8" spans="26:28" x14ac:dyDescent="0.25">
      <c r="AA8" s="23"/>
    </row>
    <row r="9" spans="26:28" x14ac:dyDescent="0.25">
      <c r="AA9" s="23"/>
    </row>
    <row r="10" spans="26:28" x14ac:dyDescent="0.25">
      <c r="AA10" s="23"/>
    </row>
    <row r="11" spans="26:28" ht="15.75" thickBot="1" x14ac:dyDescent="0.3"/>
    <row r="12" spans="26:28" ht="15.75" thickBot="1" x14ac:dyDescent="0.3">
      <c r="Z12" s="25">
        <v>100</v>
      </c>
    </row>
    <row r="14" spans="26:28" ht="15.75" thickBot="1" x14ac:dyDescent="0.3">
      <c r="Z14" s="45"/>
    </row>
    <row r="15" spans="26:28" ht="15.75" thickBot="1" x14ac:dyDescent="0.3">
      <c r="Z15" s="25">
        <v>0.5</v>
      </c>
      <c r="AA15" s="25">
        <v>10</v>
      </c>
    </row>
    <row r="17" spans="26:28" ht="15.75" thickBot="1" x14ac:dyDescent="0.3"/>
    <row r="18" spans="26:28" ht="15.75" thickBot="1" x14ac:dyDescent="0.3">
      <c r="Z18" s="111" t="s">
        <v>42</v>
      </c>
      <c r="AA18" s="112"/>
      <c r="AB18" s="46"/>
    </row>
    <row r="20" spans="26:28" ht="15.75" thickBot="1" x14ac:dyDescent="0.3"/>
    <row r="21" spans="26:28" ht="15.75" thickBot="1" x14ac:dyDescent="0.3">
      <c r="AA21" s="25">
        <v>0</v>
      </c>
    </row>
    <row r="25" spans="26:28" x14ac:dyDescent="0.25">
      <c r="Z25" s="46"/>
      <c r="AA25" s="41"/>
    </row>
    <row r="27" spans="26:28" x14ac:dyDescent="0.25">
      <c r="Z27" s="47" t="s">
        <v>75</v>
      </c>
      <c r="AB27" s="47" t="s">
        <v>95</v>
      </c>
    </row>
  </sheetData>
  <mergeCells count="1">
    <mergeCell ref="Z18:AA18"/>
  </mergeCells>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Check Box 1">
              <controlPr defaultSize="0" autoFill="0" autoLine="0" autoPict="0">
                <anchor moveWithCells="1">
                  <from>
                    <xdr:col>26</xdr:col>
                    <xdr:colOff>9525</xdr:colOff>
                    <xdr:row>3</xdr:row>
                    <xdr:rowOff>9525</xdr:rowOff>
                  </from>
                  <to>
                    <xdr:col>26</xdr:col>
                    <xdr:colOff>600075</xdr:colOff>
                    <xdr:row>3</xdr:row>
                    <xdr:rowOff>190500</xdr:rowOff>
                  </to>
                </anchor>
              </controlPr>
            </control>
          </mc:Choice>
        </mc:AlternateContent>
        <mc:AlternateContent xmlns:mc="http://schemas.openxmlformats.org/markup-compatibility/2006">
          <mc:Choice Requires="x14">
            <control shapeId="12290" r:id="rId4" name="Check Box 2">
              <controlPr defaultSize="0" autoFill="0" autoLine="0" autoPict="0">
                <anchor moveWithCells="1">
                  <from>
                    <xdr:col>26</xdr:col>
                    <xdr:colOff>9525</xdr:colOff>
                    <xdr:row>4</xdr:row>
                    <xdr:rowOff>180975</xdr:rowOff>
                  </from>
                  <to>
                    <xdr:col>26</xdr:col>
                    <xdr:colOff>600075</xdr:colOff>
                    <xdr:row>5</xdr:row>
                    <xdr:rowOff>180975</xdr:rowOff>
                  </to>
                </anchor>
              </controlPr>
            </control>
          </mc:Choice>
        </mc:AlternateContent>
        <mc:AlternateContent xmlns:mc="http://schemas.openxmlformats.org/markup-compatibility/2006">
          <mc:Choice Requires="x14">
            <control shapeId="12291" r:id="rId5" name="Check Box 3">
              <controlPr defaultSize="0" autoFill="0" autoLine="0" autoPict="0">
                <anchor moveWithCells="1">
                  <from>
                    <xdr:col>26</xdr:col>
                    <xdr:colOff>9525</xdr:colOff>
                    <xdr:row>7</xdr:row>
                    <xdr:rowOff>0</xdr:rowOff>
                  </from>
                  <to>
                    <xdr:col>26</xdr:col>
                    <xdr:colOff>600075</xdr:colOff>
                    <xdr:row>8</xdr:row>
                    <xdr:rowOff>0</xdr:rowOff>
                  </to>
                </anchor>
              </controlPr>
            </control>
          </mc:Choice>
        </mc:AlternateContent>
        <mc:AlternateContent xmlns:mc="http://schemas.openxmlformats.org/markup-compatibility/2006">
          <mc:Choice Requires="x14">
            <control shapeId="12292" r:id="rId6" name="Check Box 4">
              <controlPr defaultSize="0" autoFill="0" autoLine="0" autoPict="0">
                <anchor moveWithCells="1">
                  <from>
                    <xdr:col>26</xdr:col>
                    <xdr:colOff>9525</xdr:colOff>
                    <xdr:row>9</xdr:row>
                    <xdr:rowOff>0</xdr:rowOff>
                  </from>
                  <to>
                    <xdr:col>26</xdr:col>
                    <xdr:colOff>600075</xdr:colOff>
                    <xdr:row>10</xdr:row>
                    <xdr:rowOff>0</xdr:rowOff>
                  </to>
                </anchor>
              </controlPr>
            </control>
          </mc:Choice>
        </mc:AlternateContent>
        <mc:AlternateContent xmlns:mc="http://schemas.openxmlformats.org/markup-compatibility/2006">
          <mc:Choice Requires="x14">
            <control shapeId="12293" r:id="rId7" name="Button 5">
              <controlPr defaultSize="0" print="0" autoFill="0" autoPict="0" macro="[0]!Chromatograms_Click">
                <anchor moveWithCells="1" sizeWithCells="1">
                  <from>
                    <xdr:col>25</xdr:col>
                    <xdr:colOff>0</xdr:colOff>
                    <xdr:row>15</xdr:row>
                    <xdr:rowOff>19050</xdr:rowOff>
                  </from>
                  <to>
                    <xdr:col>27</xdr:col>
                    <xdr:colOff>0</xdr:colOff>
                    <xdr:row>16</xdr:row>
                    <xdr:rowOff>104775</xdr:rowOff>
                  </to>
                </anchor>
              </controlPr>
            </control>
          </mc:Choice>
        </mc:AlternateContent>
        <mc:AlternateContent xmlns:mc="http://schemas.openxmlformats.org/markup-compatibility/2006">
          <mc:Choice Requires="x14">
            <control shapeId="12294" r:id="rId8" name="Button 6">
              <controlPr defaultSize="0" print="0" autoFill="0" autoPict="0" macro="[0]!DAD_A_Small">
                <anchor moveWithCells="1" sizeWithCells="1">
                  <from>
                    <xdr:col>25</xdr:col>
                    <xdr:colOff>0</xdr:colOff>
                    <xdr:row>3</xdr:row>
                    <xdr:rowOff>0</xdr:rowOff>
                  </from>
                  <to>
                    <xdr:col>25</xdr:col>
                    <xdr:colOff>285750</xdr:colOff>
                    <xdr:row>4</xdr:row>
                    <xdr:rowOff>0</xdr:rowOff>
                  </to>
                </anchor>
              </controlPr>
            </control>
          </mc:Choice>
        </mc:AlternateContent>
        <mc:AlternateContent xmlns:mc="http://schemas.openxmlformats.org/markup-compatibility/2006">
          <mc:Choice Requires="x14">
            <control shapeId="12295" r:id="rId9" name="Button 7">
              <controlPr defaultSize="0" print="0" autoFill="0" autoPict="0" macro="[0]!DAD_A_Big">
                <anchor moveWithCells="1" sizeWithCells="1">
                  <from>
                    <xdr:col>25</xdr:col>
                    <xdr:colOff>323850</xdr:colOff>
                    <xdr:row>3</xdr:row>
                    <xdr:rowOff>0</xdr:rowOff>
                  </from>
                  <to>
                    <xdr:col>25</xdr:col>
                    <xdr:colOff>609600</xdr:colOff>
                    <xdr:row>4</xdr:row>
                    <xdr:rowOff>0</xdr:rowOff>
                  </to>
                </anchor>
              </controlPr>
            </control>
          </mc:Choice>
        </mc:AlternateContent>
        <mc:AlternateContent xmlns:mc="http://schemas.openxmlformats.org/markup-compatibility/2006">
          <mc:Choice Requires="x14">
            <control shapeId="12296" r:id="rId10" name="Button 8">
              <controlPr defaultSize="0" print="0" autoFill="0" autoPict="0" macro="[0]!DAD_B_Small">
                <anchor moveWithCells="1" sizeWithCells="1">
                  <from>
                    <xdr:col>24</xdr:col>
                    <xdr:colOff>609600</xdr:colOff>
                    <xdr:row>5</xdr:row>
                    <xdr:rowOff>0</xdr:rowOff>
                  </from>
                  <to>
                    <xdr:col>25</xdr:col>
                    <xdr:colOff>285750</xdr:colOff>
                    <xdr:row>6</xdr:row>
                    <xdr:rowOff>0</xdr:rowOff>
                  </to>
                </anchor>
              </controlPr>
            </control>
          </mc:Choice>
        </mc:AlternateContent>
        <mc:AlternateContent xmlns:mc="http://schemas.openxmlformats.org/markup-compatibility/2006">
          <mc:Choice Requires="x14">
            <control shapeId="12297" r:id="rId11" name="Button 9">
              <controlPr defaultSize="0" print="0" autoFill="0" autoPict="0" macro="[0]!DAD_B_Big">
                <anchor moveWithCells="1" sizeWithCells="1">
                  <from>
                    <xdr:col>25</xdr:col>
                    <xdr:colOff>323850</xdr:colOff>
                    <xdr:row>5</xdr:row>
                    <xdr:rowOff>0</xdr:rowOff>
                  </from>
                  <to>
                    <xdr:col>25</xdr:col>
                    <xdr:colOff>609600</xdr:colOff>
                    <xdr:row>6</xdr:row>
                    <xdr:rowOff>0</xdr:rowOff>
                  </to>
                </anchor>
              </controlPr>
            </control>
          </mc:Choice>
        </mc:AlternateContent>
        <mc:AlternateContent xmlns:mc="http://schemas.openxmlformats.org/markup-compatibility/2006">
          <mc:Choice Requires="x14">
            <control shapeId="12302" r:id="rId12" name="Button 14">
              <controlPr defaultSize="0" print="0" autoFill="0" autoPict="0" macro="[0]!DAD_A_Down">
                <anchor moveWithCells="1" sizeWithCells="1">
                  <from>
                    <xdr:col>27</xdr:col>
                    <xdr:colOff>9525</xdr:colOff>
                    <xdr:row>2</xdr:row>
                    <xdr:rowOff>190500</xdr:rowOff>
                  </from>
                  <to>
                    <xdr:col>27</xdr:col>
                    <xdr:colOff>295275</xdr:colOff>
                    <xdr:row>3</xdr:row>
                    <xdr:rowOff>190500</xdr:rowOff>
                  </to>
                </anchor>
              </controlPr>
            </control>
          </mc:Choice>
        </mc:AlternateContent>
        <mc:AlternateContent xmlns:mc="http://schemas.openxmlformats.org/markup-compatibility/2006">
          <mc:Choice Requires="x14">
            <control shapeId="12303" r:id="rId13" name="Button 15">
              <controlPr defaultSize="0" print="0" autoFill="0" autoPict="0" macro="[0]!DAD_A_Up">
                <anchor moveWithCells="1" sizeWithCells="1">
                  <from>
                    <xdr:col>27</xdr:col>
                    <xdr:colOff>323850</xdr:colOff>
                    <xdr:row>2</xdr:row>
                    <xdr:rowOff>190500</xdr:rowOff>
                  </from>
                  <to>
                    <xdr:col>28</xdr:col>
                    <xdr:colOff>0</xdr:colOff>
                    <xdr:row>3</xdr:row>
                    <xdr:rowOff>190500</xdr:rowOff>
                  </to>
                </anchor>
              </controlPr>
            </control>
          </mc:Choice>
        </mc:AlternateContent>
        <mc:AlternateContent xmlns:mc="http://schemas.openxmlformats.org/markup-compatibility/2006">
          <mc:Choice Requires="x14">
            <control shapeId="12304" r:id="rId14" name="Button 16">
              <controlPr defaultSize="0" print="0" autoFill="0" autoPict="0" macro="[0]!DAD_B_Down">
                <anchor moveWithCells="1" sizeWithCells="1">
                  <from>
                    <xdr:col>27</xdr:col>
                    <xdr:colOff>9525</xdr:colOff>
                    <xdr:row>4</xdr:row>
                    <xdr:rowOff>200025</xdr:rowOff>
                  </from>
                  <to>
                    <xdr:col>27</xdr:col>
                    <xdr:colOff>295275</xdr:colOff>
                    <xdr:row>5</xdr:row>
                    <xdr:rowOff>200025</xdr:rowOff>
                  </to>
                </anchor>
              </controlPr>
            </control>
          </mc:Choice>
        </mc:AlternateContent>
        <mc:AlternateContent xmlns:mc="http://schemas.openxmlformats.org/markup-compatibility/2006">
          <mc:Choice Requires="x14">
            <control shapeId="12305" r:id="rId15" name="Button 17">
              <controlPr defaultSize="0" print="0" autoFill="0" autoPict="0" macro="[0]!DAD_B_Up">
                <anchor moveWithCells="1" sizeWithCells="1">
                  <from>
                    <xdr:col>27</xdr:col>
                    <xdr:colOff>323850</xdr:colOff>
                    <xdr:row>4</xdr:row>
                    <xdr:rowOff>200025</xdr:rowOff>
                  </from>
                  <to>
                    <xdr:col>28</xdr:col>
                    <xdr:colOff>0</xdr:colOff>
                    <xdr:row>6</xdr:row>
                    <xdr:rowOff>0</xdr:rowOff>
                  </to>
                </anchor>
              </controlPr>
            </control>
          </mc:Choice>
        </mc:AlternateContent>
        <mc:AlternateContent xmlns:mc="http://schemas.openxmlformats.org/markup-compatibility/2006">
          <mc:Choice Requires="x14">
            <control shapeId="12310" r:id="rId16" name="Check Box 22">
              <controlPr defaultSize="0" autoFill="0" autoLine="0" autoPict="0">
                <anchor moveWithCells="1">
                  <from>
                    <xdr:col>26</xdr:col>
                    <xdr:colOff>19050</xdr:colOff>
                    <xdr:row>11</xdr:row>
                    <xdr:rowOff>0</xdr:rowOff>
                  </from>
                  <to>
                    <xdr:col>27</xdr:col>
                    <xdr:colOff>0</xdr:colOff>
                    <xdr:row>11</xdr:row>
                    <xdr:rowOff>190500</xdr:rowOff>
                  </to>
                </anchor>
              </controlPr>
            </control>
          </mc:Choice>
        </mc:AlternateContent>
        <mc:AlternateContent xmlns:mc="http://schemas.openxmlformats.org/markup-compatibility/2006">
          <mc:Choice Requires="x14">
            <control shapeId="12311" r:id="rId17" name="Button 23">
              <controlPr defaultSize="0" print="0" autoFill="0" autoPict="0" macro="[0]!PeakNumDOWN">
                <anchor moveWithCells="1" sizeWithCells="1">
                  <from>
                    <xdr:col>27</xdr:col>
                    <xdr:colOff>9525</xdr:colOff>
                    <xdr:row>10</xdr:row>
                    <xdr:rowOff>180975</xdr:rowOff>
                  </from>
                  <to>
                    <xdr:col>27</xdr:col>
                    <xdr:colOff>295275</xdr:colOff>
                    <xdr:row>12</xdr:row>
                    <xdr:rowOff>0</xdr:rowOff>
                  </to>
                </anchor>
              </controlPr>
            </control>
          </mc:Choice>
        </mc:AlternateContent>
        <mc:AlternateContent xmlns:mc="http://schemas.openxmlformats.org/markup-compatibility/2006">
          <mc:Choice Requires="x14">
            <control shapeId="12312" r:id="rId18" name="Button 24">
              <controlPr defaultSize="0" print="0" autoFill="0" autoPict="0" macro="[0]!PeakNumUP">
                <anchor moveWithCells="1" sizeWithCells="1">
                  <from>
                    <xdr:col>27</xdr:col>
                    <xdr:colOff>323850</xdr:colOff>
                    <xdr:row>10</xdr:row>
                    <xdr:rowOff>180975</xdr:rowOff>
                  </from>
                  <to>
                    <xdr:col>28</xdr:col>
                    <xdr:colOff>0</xdr:colOff>
                    <xdr:row>12</xdr:row>
                    <xdr:rowOff>0</xdr:rowOff>
                  </to>
                </anchor>
              </controlPr>
            </control>
          </mc:Choice>
        </mc:AlternateContent>
        <mc:AlternateContent xmlns:mc="http://schemas.openxmlformats.org/markup-compatibility/2006">
          <mc:Choice Requires="x14">
            <control shapeId="12315" r:id="rId19" name="Button 27">
              <controlPr defaultSize="0" print="0" autoFill="0" autoPict="0" macro="[0]!Clear_Inset">
                <anchor moveWithCells="1" sizeWithCells="1">
                  <from>
                    <xdr:col>25</xdr:col>
                    <xdr:colOff>600075</xdr:colOff>
                    <xdr:row>22</xdr:row>
                    <xdr:rowOff>180975</xdr:rowOff>
                  </from>
                  <to>
                    <xdr:col>26</xdr:col>
                    <xdr:colOff>600075</xdr:colOff>
                    <xdr:row>25</xdr:row>
                    <xdr:rowOff>0</xdr:rowOff>
                  </to>
                </anchor>
              </controlPr>
            </control>
          </mc:Choice>
        </mc:AlternateContent>
        <mc:AlternateContent xmlns:mc="http://schemas.openxmlformats.org/markup-compatibility/2006">
          <mc:Choice Requires="x14">
            <control shapeId="12316" r:id="rId20" name="Button 28">
              <controlPr defaultSize="0" print="0" autoFill="0" autoPict="0" macro="[0]!Reset_Allchromatograms">
                <anchor moveWithCells="1" sizeWithCells="1">
                  <from>
                    <xdr:col>28</xdr:col>
                    <xdr:colOff>28575</xdr:colOff>
                    <xdr:row>0</xdr:row>
                    <xdr:rowOff>57150</xdr:rowOff>
                  </from>
                  <to>
                    <xdr:col>28</xdr:col>
                    <xdr:colOff>447675</xdr:colOff>
                    <xdr:row>2</xdr:row>
                    <xdr:rowOff>66675</xdr:rowOff>
                  </to>
                </anchor>
              </controlPr>
            </control>
          </mc:Choice>
        </mc:AlternateContent>
        <mc:AlternateContent xmlns:mc="http://schemas.openxmlformats.org/markup-compatibility/2006">
          <mc:Choice Requires="x14">
            <control shapeId="12317" r:id="rId21" name="Button 29">
              <controlPr defaultSize="0" print="0" autoFill="0" autoPict="0" macro="[0]!Reset_210">
                <anchor moveWithCells="1" sizeWithCells="1">
                  <from>
                    <xdr:col>28</xdr:col>
                    <xdr:colOff>28575</xdr:colOff>
                    <xdr:row>2</xdr:row>
                    <xdr:rowOff>190500</xdr:rowOff>
                  </from>
                  <to>
                    <xdr:col>28</xdr:col>
                    <xdr:colOff>447675</xdr:colOff>
                    <xdr:row>3</xdr:row>
                    <xdr:rowOff>190500</xdr:rowOff>
                  </to>
                </anchor>
              </controlPr>
            </control>
          </mc:Choice>
        </mc:AlternateContent>
        <mc:AlternateContent xmlns:mc="http://schemas.openxmlformats.org/markup-compatibility/2006">
          <mc:Choice Requires="x14">
            <control shapeId="12318" r:id="rId22" name="Button 30">
              <controlPr defaultSize="0" print="0" autoFill="0" autoPict="0" macro="[0]!Reset_254">
                <anchor moveWithCells="1" sizeWithCells="1">
                  <from>
                    <xdr:col>28</xdr:col>
                    <xdr:colOff>28575</xdr:colOff>
                    <xdr:row>4</xdr:row>
                    <xdr:rowOff>200025</xdr:rowOff>
                  </from>
                  <to>
                    <xdr:col>28</xdr:col>
                    <xdr:colOff>447675</xdr:colOff>
                    <xdr:row>6</xdr:row>
                    <xdr:rowOff>0</xdr:rowOff>
                  </to>
                </anchor>
              </controlPr>
            </control>
          </mc:Choice>
        </mc:AlternateContent>
        <mc:AlternateContent xmlns:mc="http://schemas.openxmlformats.org/markup-compatibility/2006">
          <mc:Choice Requires="x14">
            <control shapeId="12321" r:id="rId23" name="Button 33">
              <controlPr defaultSize="0" print="0" autoFill="0" autoPict="0" macro="[0]!Reset_Labels">
                <anchor moveWithCells="1" sizeWithCells="1">
                  <from>
                    <xdr:col>28</xdr:col>
                    <xdr:colOff>28575</xdr:colOff>
                    <xdr:row>11</xdr:row>
                    <xdr:rowOff>0</xdr:rowOff>
                  </from>
                  <to>
                    <xdr:col>28</xdr:col>
                    <xdr:colOff>447675</xdr:colOff>
                    <xdr:row>12</xdr:row>
                    <xdr:rowOff>0</xdr:rowOff>
                  </to>
                </anchor>
              </controlPr>
            </control>
          </mc:Choice>
        </mc:AlternateContent>
        <mc:AlternateContent xmlns:mc="http://schemas.openxmlformats.org/markup-compatibility/2006">
          <mc:Choice Requires="x14">
            <control shapeId="12322" r:id="rId24" name="Button 34">
              <controlPr defaultSize="0" print="0" autoFill="0" autoPict="0" macro="[0]!LabelID_From_Chromatogram">
                <anchor moveWithCells="1" sizeWithCells="1">
                  <from>
                    <xdr:col>26</xdr:col>
                    <xdr:colOff>9525</xdr:colOff>
                    <xdr:row>18</xdr:row>
                    <xdr:rowOff>76200</xdr:rowOff>
                  </from>
                  <to>
                    <xdr:col>27</xdr:col>
                    <xdr:colOff>9525</xdr:colOff>
                    <xdr:row>19</xdr:row>
                    <xdr:rowOff>95250</xdr:rowOff>
                  </to>
                </anchor>
              </controlPr>
            </control>
          </mc:Choice>
        </mc:AlternateContent>
        <mc:AlternateContent xmlns:mc="http://schemas.openxmlformats.org/markup-compatibility/2006">
          <mc:Choice Requires="x14">
            <control shapeId="12323" r:id="rId25" name="Button 35">
              <controlPr defaultSize="0" print="0" autoFill="0" autoPict="0" macro="[0]!HideID_From_Chromatogram">
                <anchor moveWithCells="1" sizeWithCells="1">
                  <from>
                    <xdr:col>25</xdr:col>
                    <xdr:colOff>0</xdr:colOff>
                    <xdr:row>18</xdr:row>
                    <xdr:rowOff>76200</xdr:rowOff>
                  </from>
                  <to>
                    <xdr:col>25</xdr:col>
                    <xdr:colOff>609600</xdr:colOff>
                    <xdr:row>19</xdr:row>
                    <xdr:rowOff>95250</xdr:rowOff>
                  </to>
                </anchor>
              </controlPr>
            </control>
          </mc:Choice>
        </mc:AlternateContent>
        <mc:AlternateContent xmlns:mc="http://schemas.openxmlformats.org/markup-compatibility/2006">
          <mc:Choice Requires="x14">
            <control shapeId="12324" r:id="rId26" name="Button 36">
              <controlPr defaultSize="0" print="0" autoFill="0" autoPict="0" macro="[0]!LabelandHide">
                <anchor moveWithCells="1" sizeWithCells="1">
                  <from>
                    <xdr:col>27</xdr:col>
                    <xdr:colOff>19050</xdr:colOff>
                    <xdr:row>18</xdr:row>
                    <xdr:rowOff>76200</xdr:rowOff>
                  </from>
                  <to>
                    <xdr:col>29</xdr:col>
                    <xdr:colOff>0</xdr:colOff>
                    <xdr:row>19</xdr:row>
                    <xdr:rowOff>95250</xdr:rowOff>
                  </to>
                </anchor>
              </controlPr>
            </control>
          </mc:Choice>
        </mc:AlternateContent>
        <mc:AlternateContent xmlns:mc="http://schemas.openxmlformats.org/markup-compatibility/2006">
          <mc:Choice Requires="x14">
            <control shapeId="12325" r:id="rId27" name="Button 37">
              <controlPr defaultSize="0" print="0" autoFill="0" autoPict="0" macro="[0]!UnhideID_From_Chromatogram">
                <anchor moveWithCells="1" sizeWithCells="1">
                  <from>
                    <xdr:col>25</xdr:col>
                    <xdr:colOff>9525</xdr:colOff>
                    <xdr:row>21</xdr:row>
                    <xdr:rowOff>104775</xdr:rowOff>
                  </from>
                  <to>
                    <xdr:col>25</xdr:col>
                    <xdr:colOff>600075</xdr:colOff>
                    <xdr:row>22</xdr:row>
                    <xdr:rowOff>123825</xdr:rowOff>
                  </to>
                </anchor>
              </controlPr>
            </control>
          </mc:Choice>
        </mc:AlternateContent>
        <mc:AlternateContent xmlns:mc="http://schemas.openxmlformats.org/markup-compatibility/2006">
          <mc:Choice Requires="x14">
            <control shapeId="12326" r:id="rId28" name="Check Box 39">
              <controlPr defaultSize="0" autoFill="0" autoLine="0" autoPict="0">
                <anchor moveWithCells="1">
                  <from>
                    <xdr:col>28</xdr:col>
                    <xdr:colOff>9525</xdr:colOff>
                    <xdr:row>20</xdr:row>
                    <xdr:rowOff>9525</xdr:rowOff>
                  </from>
                  <to>
                    <xdr:col>29</xdr:col>
                    <xdr:colOff>152400</xdr:colOff>
                    <xdr:row>21</xdr:row>
                    <xdr:rowOff>0</xdr:rowOff>
                  </to>
                </anchor>
              </controlPr>
            </control>
          </mc:Choice>
        </mc:AlternateContent>
        <mc:AlternateContent xmlns:mc="http://schemas.openxmlformats.org/markup-compatibility/2006">
          <mc:Choice Requires="x14">
            <control shapeId="12327" r:id="rId29" name="Button 39">
              <controlPr defaultSize="0" print="0" autoFill="0" autoPict="0" macro="[0]!UnhideAll_From_Chromatogram">
                <anchor moveWithCells="1" sizeWithCells="1">
                  <from>
                    <xdr:col>27</xdr:col>
                    <xdr:colOff>19050</xdr:colOff>
                    <xdr:row>21</xdr:row>
                    <xdr:rowOff>104775</xdr:rowOff>
                  </from>
                  <to>
                    <xdr:col>29</xdr:col>
                    <xdr:colOff>0</xdr:colOff>
                    <xdr:row>22</xdr:row>
                    <xdr:rowOff>123825</xdr:rowOff>
                  </to>
                </anchor>
              </controlPr>
            </control>
          </mc:Choice>
        </mc:AlternateContent>
        <mc:AlternateContent xmlns:mc="http://schemas.openxmlformats.org/markup-compatibility/2006">
          <mc:Choice Requires="x14">
            <control shapeId="12332" r:id="rId30" name="Button 44">
              <controlPr defaultSize="0" print="0" autoFill="0" autoPict="0" macro="[0]!ChromatogramsUnlabel">
                <anchor moveWithCells="1" sizeWithCells="1">
                  <from>
                    <xdr:col>26</xdr:col>
                    <xdr:colOff>0</xdr:colOff>
                    <xdr:row>21</xdr:row>
                    <xdr:rowOff>104775</xdr:rowOff>
                  </from>
                  <to>
                    <xdr:col>27</xdr:col>
                    <xdr:colOff>19050</xdr:colOff>
                    <xdr:row>22</xdr:row>
                    <xdr:rowOff>123825</xdr:rowOff>
                  </to>
                </anchor>
              </controlPr>
            </control>
          </mc:Choice>
        </mc:AlternateContent>
        <mc:AlternateContent xmlns:mc="http://schemas.openxmlformats.org/markup-compatibility/2006">
          <mc:Choice Requires="x14">
            <control shapeId="12333" r:id="rId31" name="Button 45">
              <controlPr defaultSize="0" print="0" autoFill="0" autoPict="0" macro="[0]!ChromatogramsKillLabels">
                <anchor moveWithCells="1" sizeWithCells="1">
                  <from>
                    <xdr:col>27</xdr:col>
                    <xdr:colOff>9525</xdr:colOff>
                    <xdr:row>13</xdr:row>
                    <xdr:rowOff>152400</xdr:rowOff>
                  </from>
                  <to>
                    <xdr:col>29</xdr:col>
                    <xdr:colOff>9525</xdr:colOff>
                    <xdr:row>15</xdr:row>
                    <xdr:rowOff>28575</xdr:rowOff>
                  </to>
                </anchor>
              </controlPr>
            </control>
          </mc:Choice>
        </mc:AlternateContent>
        <mc:AlternateContent xmlns:mc="http://schemas.openxmlformats.org/markup-compatibility/2006">
          <mc:Choice Requires="x14">
            <control shapeId="12334" r:id="rId32" name="Button 46">
              <controlPr defaultSize="0" print="0" autoFill="0" autoPict="0" macro="[0]!ChromatogramsKillAllLabels">
                <anchor moveWithCells="1" sizeWithCells="1">
                  <from>
                    <xdr:col>27</xdr:col>
                    <xdr:colOff>9525</xdr:colOff>
                    <xdr:row>15</xdr:row>
                    <xdr:rowOff>38100</xdr:rowOff>
                  </from>
                  <to>
                    <xdr:col>29</xdr:col>
                    <xdr:colOff>0</xdr:colOff>
                    <xdr:row>16</xdr:row>
                    <xdr:rowOff>104775</xdr:rowOff>
                  </to>
                </anchor>
              </controlPr>
            </control>
          </mc:Choice>
        </mc:AlternateContent>
        <mc:AlternateContent xmlns:mc="http://schemas.openxmlformats.org/markup-compatibility/2006">
          <mc:Choice Requires="x14">
            <control shapeId="12335" r:id="rId33" name="Button 1">
              <controlPr defaultSize="0" print="0" autoFill="0" autoPict="0" macro="[0]!GenerateUVGrid">
                <anchor moveWithCells="1" sizeWithCells="1">
                  <from>
                    <xdr:col>25</xdr:col>
                    <xdr:colOff>9525</xdr:colOff>
                    <xdr:row>34</xdr:row>
                    <xdr:rowOff>142875</xdr:rowOff>
                  </from>
                  <to>
                    <xdr:col>29</xdr:col>
                    <xdr:colOff>0</xdr:colOff>
                    <xdr:row>36</xdr:row>
                    <xdr:rowOff>0</xdr:rowOff>
                  </to>
                </anchor>
              </controlPr>
            </control>
          </mc:Choice>
        </mc:AlternateContent>
        <mc:AlternateContent xmlns:mc="http://schemas.openxmlformats.org/markup-compatibility/2006">
          <mc:Choice Requires="x14">
            <control shapeId="12336" r:id="rId34" name="Check Box 41">
              <controlPr defaultSize="0" autoFill="0" autoLine="0" autoPict="0">
                <anchor moveWithCells="1">
                  <from>
                    <xdr:col>25</xdr:col>
                    <xdr:colOff>9525</xdr:colOff>
                    <xdr:row>12</xdr:row>
                    <xdr:rowOff>85725</xdr:rowOff>
                  </from>
                  <to>
                    <xdr:col>25</xdr:col>
                    <xdr:colOff>600075</xdr:colOff>
                    <xdr:row>13</xdr:row>
                    <xdr:rowOff>85725</xdr:rowOff>
                  </to>
                </anchor>
              </controlPr>
            </control>
          </mc:Choice>
        </mc:AlternateContent>
        <mc:AlternateContent xmlns:mc="http://schemas.openxmlformats.org/markup-compatibility/2006">
          <mc:Choice Requires="x14">
            <control shapeId="12337" r:id="rId35" name="Check Box 42">
              <controlPr defaultSize="0" autoFill="0" autoLine="0" autoPict="0">
                <anchor moveWithCells="1">
                  <from>
                    <xdr:col>25</xdr:col>
                    <xdr:colOff>600075</xdr:colOff>
                    <xdr:row>12</xdr:row>
                    <xdr:rowOff>85725</xdr:rowOff>
                  </from>
                  <to>
                    <xdr:col>26</xdr:col>
                    <xdr:colOff>581025</xdr:colOff>
                    <xdr:row>13</xdr:row>
                    <xdr:rowOff>85725</xdr:rowOff>
                  </to>
                </anchor>
              </controlPr>
            </control>
          </mc:Choice>
        </mc:AlternateContent>
        <mc:AlternateContent xmlns:mc="http://schemas.openxmlformats.org/markup-compatibility/2006">
          <mc:Choice Requires="x14">
            <control shapeId="12338" r:id="rId36" name="Check Box 43">
              <controlPr defaultSize="0" autoFill="0" autoLine="0" autoPict="0">
                <anchor moveWithCells="1">
                  <from>
                    <xdr:col>27</xdr:col>
                    <xdr:colOff>0</xdr:colOff>
                    <xdr:row>12</xdr:row>
                    <xdr:rowOff>85725</xdr:rowOff>
                  </from>
                  <to>
                    <xdr:col>27</xdr:col>
                    <xdr:colOff>590550</xdr:colOff>
                    <xdr:row>13</xdr:row>
                    <xdr:rowOff>85725</xdr:rowOff>
                  </to>
                </anchor>
              </controlPr>
            </control>
          </mc:Choice>
        </mc:AlternateContent>
        <mc:AlternateContent xmlns:mc="http://schemas.openxmlformats.org/markup-compatibility/2006">
          <mc:Choice Requires="x14">
            <control shapeId="12341" r:id="rId37" name="Option Button 53">
              <controlPr defaultSize="0" autoFill="0" autoLine="0" autoPict="0">
                <anchor moveWithCells="1">
                  <from>
                    <xdr:col>24</xdr:col>
                    <xdr:colOff>600075</xdr:colOff>
                    <xdr:row>27</xdr:row>
                    <xdr:rowOff>0</xdr:rowOff>
                  </from>
                  <to>
                    <xdr:col>26</xdr:col>
                    <xdr:colOff>600075</xdr:colOff>
                    <xdr:row>28</xdr:row>
                    <xdr:rowOff>9525</xdr:rowOff>
                  </to>
                </anchor>
              </controlPr>
            </control>
          </mc:Choice>
        </mc:AlternateContent>
        <mc:AlternateContent xmlns:mc="http://schemas.openxmlformats.org/markup-compatibility/2006">
          <mc:Choice Requires="x14">
            <control shapeId="12342" r:id="rId38" name="Option Button 54">
              <controlPr defaultSize="0" autoFill="0" autoLine="0" autoPict="0">
                <anchor moveWithCells="1">
                  <from>
                    <xdr:col>24</xdr:col>
                    <xdr:colOff>600075</xdr:colOff>
                    <xdr:row>28</xdr:row>
                    <xdr:rowOff>0</xdr:rowOff>
                  </from>
                  <to>
                    <xdr:col>26</xdr:col>
                    <xdr:colOff>600075</xdr:colOff>
                    <xdr:row>29</xdr:row>
                    <xdr:rowOff>9525</xdr:rowOff>
                  </to>
                </anchor>
              </controlPr>
            </control>
          </mc:Choice>
        </mc:AlternateContent>
        <mc:AlternateContent xmlns:mc="http://schemas.openxmlformats.org/markup-compatibility/2006">
          <mc:Choice Requires="x14">
            <control shapeId="12343" r:id="rId39" name="Option Button 55">
              <controlPr defaultSize="0" autoFill="0" autoLine="0" autoPict="0">
                <anchor moveWithCells="1">
                  <from>
                    <xdr:col>24</xdr:col>
                    <xdr:colOff>600075</xdr:colOff>
                    <xdr:row>29</xdr:row>
                    <xdr:rowOff>9525</xdr:rowOff>
                  </from>
                  <to>
                    <xdr:col>26</xdr:col>
                    <xdr:colOff>600075</xdr:colOff>
                    <xdr:row>30</xdr:row>
                    <xdr:rowOff>9525</xdr:rowOff>
                  </to>
                </anchor>
              </controlPr>
            </control>
          </mc:Choice>
        </mc:AlternateContent>
        <mc:AlternateContent xmlns:mc="http://schemas.openxmlformats.org/markup-compatibility/2006">
          <mc:Choice Requires="x14">
            <control shapeId="12344" r:id="rId40" name="Option Button 56">
              <controlPr defaultSize="0" autoFill="0" autoLine="0" autoPict="0">
                <anchor moveWithCells="1">
                  <from>
                    <xdr:col>24</xdr:col>
                    <xdr:colOff>600075</xdr:colOff>
                    <xdr:row>30</xdr:row>
                    <xdr:rowOff>19050</xdr:rowOff>
                  </from>
                  <to>
                    <xdr:col>26</xdr:col>
                    <xdr:colOff>600075</xdr:colOff>
                    <xdr:row>31</xdr:row>
                    <xdr:rowOff>19050</xdr:rowOff>
                  </to>
                </anchor>
              </controlPr>
            </control>
          </mc:Choice>
        </mc:AlternateContent>
        <mc:AlternateContent xmlns:mc="http://schemas.openxmlformats.org/markup-compatibility/2006">
          <mc:Choice Requires="x14">
            <control shapeId="12346" r:id="rId41" name="Button 58">
              <controlPr defaultSize="0" print="0" autoFill="0" autoPict="0" macro="[0]!NextClass">
                <anchor moveWithCells="1" sizeWithCells="1">
                  <from>
                    <xdr:col>27</xdr:col>
                    <xdr:colOff>304800</xdr:colOff>
                    <xdr:row>17</xdr:row>
                    <xdr:rowOff>9525</xdr:rowOff>
                  </from>
                  <to>
                    <xdr:col>28</xdr:col>
                    <xdr:colOff>600075</xdr:colOff>
                    <xdr:row>18</xdr:row>
                    <xdr:rowOff>0</xdr:rowOff>
                  </to>
                </anchor>
              </controlPr>
            </control>
          </mc:Choice>
        </mc:AlternateContent>
        <mc:AlternateContent xmlns:mc="http://schemas.openxmlformats.org/markup-compatibility/2006">
          <mc:Choice Requires="x14">
            <control shapeId="12347" r:id="rId42" name="Check Box 59">
              <controlPr defaultSize="0" autoFill="0" autoLine="0" autoPict="0">
                <anchor moveWithCells="1">
                  <from>
                    <xdr:col>27</xdr:col>
                    <xdr:colOff>9525</xdr:colOff>
                    <xdr:row>26</xdr:row>
                    <xdr:rowOff>171450</xdr:rowOff>
                  </from>
                  <to>
                    <xdr:col>29</xdr:col>
                    <xdr:colOff>9525</xdr:colOff>
                    <xdr:row>28</xdr:row>
                    <xdr:rowOff>19050</xdr:rowOff>
                  </to>
                </anchor>
              </controlPr>
            </control>
          </mc:Choice>
        </mc:AlternateContent>
        <mc:AlternateContent xmlns:mc="http://schemas.openxmlformats.org/markup-compatibility/2006">
          <mc:Choice Requires="x14">
            <control shapeId="12350" r:id="rId43" name="Button 62">
              <controlPr defaultSize="0" print="0" autoFill="0" autoPict="0" macro="[0]!UpdateUVGrid">
                <anchor moveWithCells="1" sizeWithCells="1">
                  <from>
                    <xdr:col>25</xdr:col>
                    <xdr:colOff>19050</xdr:colOff>
                    <xdr:row>31</xdr:row>
                    <xdr:rowOff>171450</xdr:rowOff>
                  </from>
                  <to>
                    <xdr:col>29</xdr:col>
                    <xdr:colOff>0</xdr:colOff>
                    <xdr:row>34</xdr:row>
                    <xdr:rowOff>57150</xdr:rowOff>
                  </to>
                </anchor>
              </controlPr>
            </control>
          </mc:Choice>
        </mc:AlternateContent>
        <mc:AlternateContent xmlns:mc="http://schemas.openxmlformats.org/markup-compatibility/2006">
          <mc:Choice Requires="x14">
            <control shapeId="12351" r:id="rId44" name="Button 63">
              <controlPr defaultSize="0" print="0" autoFill="0" autoPict="0" macro="[0]!Base_Allchromatograms">
                <anchor moveWithCells="1" sizeWithCells="1">
                  <from>
                    <xdr:col>28</xdr:col>
                    <xdr:colOff>457200</xdr:colOff>
                    <xdr:row>0</xdr:row>
                    <xdr:rowOff>57150</xdr:rowOff>
                  </from>
                  <to>
                    <xdr:col>29</xdr:col>
                    <xdr:colOff>266700</xdr:colOff>
                    <xdr:row>2</xdr:row>
                    <xdr:rowOff>66675</xdr:rowOff>
                  </to>
                </anchor>
              </controlPr>
            </control>
          </mc:Choice>
        </mc:AlternateContent>
        <mc:AlternateContent xmlns:mc="http://schemas.openxmlformats.org/markup-compatibility/2006">
          <mc:Choice Requires="x14">
            <control shapeId="12352" r:id="rId45" name="Button 64">
              <controlPr defaultSize="0" print="0" autoFill="0" autoPict="0" macro="[0]!Base_210">
                <anchor moveWithCells="1" sizeWithCells="1">
                  <from>
                    <xdr:col>28</xdr:col>
                    <xdr:colOff>457200</xdr:colOff>
                    <xdr:row>2</xdr:row>
                    <xdr:rowOff>190500</xdr:rowOff>
                  </from>
                  <to>
                    <xdr:col>29</xdr:col>
                    <xdr:colOff>266700</xdr:colOff>
                    <xdr:row>3</xdr:row>
                    <xdr:rowOff>190500</xdr:rowOff>
                  </to>
                </anchor>
              </controlPr>
            </control>
          </mc:Choice>
        </mc:AlternateContent>
        <mc:AlternateContent xmlns:mc="http://schemas.openxmlformats.org/markup-compatibility/2006">
          <mc:Choice Requires="x14">
            <control shapeId="12353" r:id="rId46" name="Button 65">
              <controlPr defaultSize="0" print="0" autoFill="0" autoPict="0" macro="[0]!Base_254">
                <anchor moveWithCells="1" sizeWithCells="1">
                  <from>
                    <xdr:col>28</xdr:col>
                    <xdr:colOff>457200</xdr:colOff>
                    <xdr:row>4</xdr:row>
                    <xdr:rowOff>200025</xdr:rowOff>
                  </from>
                  <to>
                    <xdr:col>29</xdr:col>
                    <xdr:colOff>266700</xdr:colOff>
                    <xdr:row>6</xdr:row>
                    <xdr:rowOff>0</xdr:rowOff>
                  </to>
                </anchor>
              </controlPr>
            </control>
          </mc:Choice>
        </mc:AlternateContent>
        <mc:AlternateContent xmlns:mc="http://schemas.openxmlformats.org/markup-compatibility/2006">
          <mc:Choice Requires="x14">
            <control shapeId="12356" r:id="rId47" name="Button 68">
              <controlPr defaultSize="0" print="0" autoFill="0" autoPict="0" macro="[0]!Base_Labels">
                <anchor moveWithCells="1" sizeWithCells="1">
                  <from>
                    <xdr:col>28</xdr:col>
                    <xdr:colOff>466725</xdr:colOff>
                    <xdr:row>11</xdr:row>
                    <xdr:rowOff>0</xdr:rowOff>
                  </from>
                  <to>
                    <xdr:col>29</xdr:col>
                    <xdr:colOff>276225</xdr:colOff>
                    <xdr:row>12</xdr:row>
                    <xdr:rowOff>0</xdr:rowOff>
                  </to>
                </anchor>
              </controlPr>
            </control>
          </mc:Choice>
        </mc:AlternateContent>
        <mc:AlternateContent xmlns:mc="http://schemas.openxmlformats.org/markup-compatibility/2006">
          <mc:Choice Requires="x14">
            <control shapeId="12357" r:id="rId48" name="Check Box 69">
              <controlPr defaultSize="0" autoFill="0" autoLine="0" autoPict="0">
                <anchor moveWithCells="1">
                  <from>
                    <xdr:col>27</xdr:col>
                    <xdr:colOff>209550</xdr:colOff>
                    <xdr:row>27</xdr:row>
                    <xdr:rowOff>180975</xdr:rowOff>
                  </from>
                  <to>
                    <xdr:col>29</xdr:col>
                    <xdr:colOff>0</xdr:colOff>
                    <xdr:row>29</xdr:row>
                    <xdr:rowOff>9525</xdr:rowOff>
                  </to>
                </anchor>
              </controlPr>
            </control>
          </mc:Choice>
        </mc:AlternateContent>
        <mc:AlternateContent xmlns:mc="http://schemas.openxmlformats.org/markup-compatibility/2006">
          <mc:Choice Requires="x14">
            <control shapeId="12358" r:id="rId49" name="Check Box 70">
              <controlPr defaultSize="0" autoFill="0" autoLine="0" autoPict="0">
                <anchor moveWithCells="1">
                  <from>
                    <xdr:col>27</xdr:col>
                    <xdr:colOff>209550</xdr:colOff>
                    <xdr:row>29</xdr:row>
                    <xdr:rowOff>0</xdr:rowOff>
                  </from>
                  <to>
                    <xdr:col>29</xdr:col>
                    <xdr:colOff>0</xdr:colOff>
                    <xdr:row>30</xdr:row>
                    <xdr:rowOff>19050</xdr:rowOff>
                  </to>
                </anchor>
              </controlPr>
            </control>
          </mc:Choice>
        </mc:AlternateContent>
        <mc:AlternateContent xmlns:mc="http://schemas.openxmlformats.org/markup-compatibility/2006">
          <mc:Choice Requires="x14">
            <control shapeId="12359" r:id="rId50" name="Button 71">
              <controlPr defaultSize="0" print="0" autoFill="0" autoPict="0" macro="[0]!NextTraceOne">
                <anchor moveWithCells="1" sizeWithCells="1">
                  <from>
                    <xdr:col>27</xdr:col>
                    <xdr:colOff>19050</xdr:colOff>
                    <xdr:row>19</xdr:row>
                    <xdr:rowOff>114300</xdr:rowOff>
                  </from>
                  <to>
                    <xdr:col>27</xdr:col>
                    <xdr:colOff>381000</xdr:colOff>
                    <xdr:row>21</xdr:row>
                    <xdr:rowOff>104775</xdr:rowOff>
                  </to>
                </anchor>
              </controlPr>
            </control>
          </mc:Choice>
        </mc:AlternateContent>
        <mc:AlternateContent xmlns:mc="http://schemas.openxmlformats.org/markup-compatibility/2006">
          <mc:Choice Requires="x14">
            <control shapeId="12360" r:id="rId51" name="Button 72">
              <controlPr defaultSize="0" print="0" autoFill="0" autoPict="0" macro="[0]!PreviousTraceOne">
                <anchor moveWithCells="1" sizeWithCells="1">
                  <from>
                    <xdr:col>25</xdr:col>
                    <xdr:colOff>238125</xdr:colOff>
                    <xdr:row>19</xdr:row>
                    <xdr:rowOff>114300</xdr:rowOff>
                  </from>
                  <to>
                    <xdr:col>25</xdr:col>
                    <xdr:colOff>600075</xdr:colOff>
                    <xdr:row>21</xdr:row>
                    <xdr:rowOff>95250</xdr:rowOff>
                  </to>
                </anchor>
              </controlPr>
            </control>
          </mc:Choice>
        </mc:AlternateContent>
        <mc:AlternateContent xmlns:mc="http://schemas.openxmlformats.org/markup-compatibility/2006">
          <mc:Choice Requires="x14">
            <control shapeId="12361" r:id="rId52" name="Button 73">
              <controlPr defaultSize="0" print="0" autoFill="0" autoPict="0" macro="[0]!PreviousTraceTen">
                <anchor moveWithCells="1" sizeWithCells="1">
                  <from>
                    <xdr:col>25</xdr:col>
                    <xdr:colOff>9525</xdr:colOff>
                    <xdr:row>19</xdr:row>
                    <xdr:rowOff>114300</xdr:rowOff>
                  </from>
                  <to>
                    <xdr:col>25</xdr:col>
                    <xdr:colOff>228600</xdr:colOff>
                    <xdr:row>21</xdr:row>
                    <xdr:rowOff>95250</xdr:rowOff>
                  </to>
                </anchor>
              </controlPr>
            </control>
          </mc:Choice>
        </mc:AlternateContent>
        <mc:AlternateContent xmlns:mc="http://schemas.openxmlformats.org/markup-compatibility/2006">
          <mc:Choice Requires="x14">
            <control shapeId="12362" r:id="rId53" name="Button 74">
              <controlPr defaultSize="0" print="0" autoFill="0" autoPict="0" macro="[0]!NextTraceTen">
                <anchor moveWithCells="1" sizeWithCells="1">
                  <from>
                    <xdr:col>27</xdr:col>
                    <xdr:colOff>390525</xdr:colOff>
                    <xdr:row>19</xdr:row>
                    <xdr:rowOff>114300</xdr:rowOff>
                  </from>
                  <to>
                    <xdr:col>28</xdr:col>
                    <xdr:colOff>0</xdr:colOff>
                    <xdr:row>21</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00000000-0002-0000-0400-000000000000}">
          <x14:formula1>
            <xm:f>Summary!$K$2:$K$9</xm:f>
          </x14:formula1>
          <xm:sqref>AB18</xm:sqref>
        </x14:dataValidation>
        <x14:dataValidation type="list" allowBlank="1" showInputMessage="1" xr:uid="{00000000-0002-0000-0400-000001000000}">
          <x14:formula1>
            <xm:f>Summary!$K$2:$K$29</xm:f>
          </x14:formula1>
          <xm:sqref>Z18:AA18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dimension ref="T1:AC27"/>
  <sheetViews>
    <sheetView zoomScaleNormal="100" workbookViewId="0">
      <selection activeCell="AA21" sqref="AA21"/>
    </sheetView>
  </sheetViews>
  <sheetFormatPr defaultColWidth="9.140625" defaultRowHeight="15" x14ac:dyDescent="0.25"/>
  <cols>
    <col min="1" max="16384" width="9.140625" style="24"/>
  </cols>
  <sheetData>
    <row r="1" spans="22:28" ht="15.75" thickBot="1" x14ac:dyDescent="0.3">
      <c r="Z1" s="42" t="s">
        <v>30</v>
      </c>
      <c r="AB1" s="42" t="s">
        <v>19</v>
      </c>
    </row>
    <row r="2" spans="22:28" ht="15.75" thickBot="1" x14ac:dyDescent="0.3">
      <c r="Z2" s="25">
        <v>1.5</v>
      </c>
      <c r="AB2" s="25">
        <v>5</v>
      </c>
    </row>
    <row r="3" spans="22:28" ht="15.75" thickBot="1" x14ac:dyDescent="0.3"/>
    <row r="4" spans="22:28" ht="15.75" thickBot="1" x14ac:dyDescent="0.3">
      <c r="AA4" s="43"/>
    </row>
    <row r="5" spans="22:28" ht="15.75" thickBot="1" x14ac:dyDescent="0.3"/>
    <row r="6" spans="22:28" ht="15.75" thickBot="1" x14ac:dyDescent="0.3">
      <c r="AA6" s="44"/>
    </row>
    <row r="8" spans="22:28" x14ac:dyDescent="0.25">
      <c r="AA8" s="23"/>
    </row>
    <row r="9" spans="22:28" x14ac:dyDescent="0.25">
      <c r="AA9" s="23"/>
    </row>
    <row r="10" spans="22:28" x14ac:dyDescent="0.25">
      <c r="AA10" s="23"/>
    </row>
    <row r="11" spans="22:28" ht="15.75" thickBot="1" x14ac:dyDescent="0.3"/>
    <row r="12" spans="22:28" ht="15.75" thickBot="1" x14ac:dyDescent="0.3">
      <c r="Z12" s="25">
        <v>100</v>
      </c>
    </row>
    <row r="13" spans="22:28" ht="15.75" thickBot="1" x14ac:dyDescent="0.3">
      <c r="V13" s="89" t="s">
        <v>116</v>
      </c>
      <c r="W13" s="1"/>
      <c r="X13" s="1"/>
      <c r="Y13" s="1"/>
    </row>
    <row r="14" spans="22:28" ht="15.75" thickBot="1" x14ac:dyDescent="0.3">
      <c r="V14" s="88" t="s">
        <v>104</v>
      </c>
      <c r="W14" s="2">
        <v>200</v>
      </c>
      <c r="X14" s="2">
        <v>500</v>
      </c>
      <c r="Y14" s="50" t="s">
        <v>83</v>
      </c>
      <c r="Z14" s="45"/>
    </row>
    <row r="15" spans="22:28" ht="15.75" thickBot="1" x14ac:dyDescent="0.3">
      <c r="Y15" s="91" t="s">
        <v>111</v>
      </c>
      <c r="Z15" s="25">
        <v>0.5</v>
      </c>
      <c r="AA15" s="25">
        <v>10</v>
      </c>
      <c r="AB15" s="47" t="s">
        <v>108</v>
      </c>
    </row>
    <row r="16" spans="22:28" ht="15.75" thickBot="1" x14ac:dyDescent="0.3">
      <c r="V16" s="42" t="s">
        <v>114</v>
      </c>
      <c r="W16" s="42" t="s">
        <v>115</v>
      </c>
      <c r="X16" s="42" t="s">
        <v>109</v>
      </c>
      <c r="Y16" s="92" t="s">
        <v>113</v>
      </c>
      <c r="Z16" s="25">
        <v>200</v>
      </c>
      <c r="AA16" s="25">
        <v>600</v>
      </c>
      <c r="AB16" s="47" t="s">
        <v>83</v>
      </c>
    </row>
    <row r="17" spans="20:29" ht="15.75" thickBot="1" x14ac:dyDescent="0.3">
      <c r="V17" s="25">
        <v>-20</v>
      </c>
      <c r="W17" s="25">
        <v>20</v>
      </c>
      <c r="X17" s="25">
        <v>4</v>
      </c>
      <c r="Y17" s="47" t="s">
        <v>83</v>
      </c>
    </row>
    <row r="18" spans="20:29" ht="15.75" thickBot="1" x14ac:dyDescent="0.3">
      <c r="Z18" s="90"/>
      <c r="AA18" s="90"/>
      <c r="AB18" s="46"/>
    </row>
    <row r="19" spans="20:29" ht="15.75" thickBot="1" x14ac:dyDescent="0.3">
      <c r="V19" s="25">
        <v>-20</v>
      </c>
      <c r="W19" s="25">
        <v>20</v>
      </c>
      <c r="X19" s="25">
        <v>5</v>
      </c>
      <c r="Y19" s="47" t="s">
        <v>19</v>
      </c>
    </row>
    <row r="20" spans="20:29" ht="15.75" thickBot="1" x14ac:dyDescent="0.3"/>
    <row r="21" spans="20:29" ht="15.75" thickBot="1" x14ac:dyDescent="0.3">
      <c r="V21" s="93">
        <v>0.9</v>
      </c>
      <c r="W21" s="93">
        <v>1.1000000000000001</v>
      </c>
      <c r="X21" s="25">
        <v>0.05</v>
      </c>
      <c r="Y21" s="47" t="s">
        <v>30</v>
      </c>
      <c r="AA21" s="25">
        <v>0</v>
      </c>
    </row>
    <row r="23" spans="20:29" x14ac:dyDescent="0.25">
      <c r="T23" s="47" t="s">
        <v>112</v>
      </c>
      <c r="U23" s="47" t="s">
        <v>9</v>
      </c>
      <c r="V23" s="47" t="s">
        <v>111</v>
      </c>
      <c r="W23" s="47" t="s">
        <v>90</v>
      </c>
      <c r="Z23" s="47"/>
      <c r="AC23" s="47" t="s">
        <v>130</v>
      </c>
    </row>
    <row r="25" spans="20:29" x14ac:dyDescent="0.25">
      <c r="Z25" s="46"/>
      <c r="AA25" s="41"/>
    </row>
    <row r="27" spans="20:29" x14ac:dyDescent="0.25">
      <c r="Z27" s="47"/>
      <c r="AB27" s="47"/>
    </row>
  </sheetData>
  <pageMargins left="0.7" right="0.7" top="0.75" bottom="0.75" header="0.3" footer="0.3"/>
  <pageSetup paperSize="0" orientation="portrait" horizontalDpi="0" verticalDpi="0" copies="0"/>
  <drawing r:id="rId1"/>
  <legacyDrawing r:id="rId2"/>
  <controls>
    <mc:AlternateContent xmlns:mc="http://schemas.openxmlformats.org/markup-compatibility/2006">
      <mc:Choice Requires="x14">
        <control shapeId="16448" r:id="rId3" name="ListBox1">
          <controlPr defaultSize="0" autoLine="0" autoPict="0" r:id="rId4">
            <anchor moveWithCells="1">
              <from>
                <xdr:col>18</xdr:col>
                <xdr:colOff>552450</xdr:colOff>
                <xdr:row>23</xdr:row>
                <xdr:rowOff>9525</xdr:rowOff>
              </from>
              <to>
                <xdr:col>28</xdr:col>
                <xdr:colOff>542925</xdr:colOff>
                <xdr:row>35</xdr:row>
                <xdr:rowOff>180975</xdr:rowOff>
              </to>
            </anchor>
          </controlPr>
        </control>
      </mc:Choice>
      <mc:Fallback>
        <control shapeId="16448" r:id="rId3" name="ListBox1"/>
      </mc:Fallback>
    </mc:AlternateContent>
    <mc:AlternateContent xmlns:mc="http://schemas.openxmlformats.org/markup-compatibility/2006">
      <mc:Choice Requires="x14">
        <control shapeId="16385" r:id="rId5" name="Check Box 1">
          <controlPr defaultSize="0" autoFill="0" autoLine="0" autoPict="0">
            <anchor moveWithCells="1">
              <from>
                <xdr:col>26</xdr:col>
                <xdr:colOff>9525</xdr:colOff>
                <xdr:row>3</xdr:row>
                <xdr:rowOff>9525</xdr:rowOff>
              </from>
              <to>
                <xdr:col>26</xdr:col>
                <xdr:colOff>600075</xdr:colOff>
                <xdr:row>3</xdr:row>
                <xdr:rowOff>190500</xdr:rowOff>
              </to>
            </anchor>
          </controlPr>
        </control>
      </mc:Choice>
    </mc:AlternateContent>
    <mc:AlternateContent xmlns:mc="http://schemas.openxmlformats.org/markup-compatibility/2006">
      <mc:Choice Requires="x14">
        <control shapeId="16386" r:id="rId6" name="Check Box 2">
          <controlPr defaultSize="0" autoFill="0" autoLine="0" autoPict="0">
            <anchor moveWithCells="1">
              <from>
                <xdr:col>26</xdr:col>
                <xdr:colOff>9525</xdr:colOff>
                <xdr:row>4</xdr:row>
                <xdr:rowOff>180975</xdr:rowOff>
              </from>
              <to>
                <xdr:col>26</xdr:col>
                <xdr:colOff>600075</xdr:colOff>
                <xdr:row>5</xdr:row>
                <xdr:rowOff>180975</xdr:rowOff>
              </to>
            </anchor>
          </controlPr>
        </control>
      </mc:Choice>
    </mc:AlternateContent>
    <mc:AlternateContent xmlns:mc="http://schemas.openxmlformats.org/markup-compatibility/2006">
      <mc:Choice Requires="x14">
        <control shapeId="16387" r:id="rId7" name="Check Box 3">
          <controlPr defaultSize="0" autoFill="0" autoLine="0" autoPict="0">
            <anchor moveWithCells="1">
              <from>
                <xdr:col>26</xdr:col>
                <xdr:colOff>9525</xdr:colOff>
                <xdr:row>7</xdr:row>
                <xdr:rowOff>0</xdr:rowOff>
              </from>
              <to>
                <xdr:col>26</xdr:col>
                <xdr:colOff>600075</xdr:colOff>
                <xdr:row>8</xdr:row>
                <xdr:rowOff>0</xdr:rowOff>
              </to>
            </anchor>
          </controlPr>
        </control>
      </mc:Choice>
    </mc:AlternateContent>
    <mc:AlternateContent xmlns:mc="http://schemas.openxmlformats.org/markup-compatibility/2006">
      <mc:Choice Requires="x14">
        <control shapeId="16388" r:id="rId8" name="Check Box 4">
          <controlPr defaultSize="0" autoFill="0" autoLine="0" autoPict="0">
            <anchor moveWithCells="1">
              <from>
                <xdr:col>26</xdr:col>
                <xdr:colOff>9525</xdr:colOff>
                <xdr:row>9</xdr:row>
                <xdr:rowOff>0</xdr:rowOff>
              </from>
              <to>
                <xdr:col>26</xdr:col>
                <xdr:colOff>600075</xdr:colOff>
                <xdr:row>10</xdr:row>
                <xdr:rowOff>0</xdr:rowOff>
              </to>
            </anchor>
          </controlPr>
        </control>
      </mc:Choice>
    </mc:AlternateContent>
    <mc:AlternateContent xmlns:mc="http://schemas.openxmlformats.org/markup-compatibility/2006">
      <mc:Choice Requires="x14">
        <control shapeId="16389" r:id="rId9" name="Button 5">
          <controlPr defaultSize="0" print="0" autoFill="0" autoPict="0" macro="[0]!Chromatograms_Click">
            <anchor moveWithCells="1" sizeWithCells="1">
              <from>
                <xdr:col>28</xdr:col>
                <xdr:colOff>0</xdr:colOff>
                <xdr:row>14</xdr:row>
                <xdr:rowOff>9525</xdr:rowOff>
              </from>
              <to>
                <xdr:col>29</xdr:col>
                <xdr:colOff>133350</xdr:colOff>
                <xdr:row>16</xdr:row>
                <xdr:rowOff>0</xdr:rowOff>
              </to>
            </anchor>
          </controlPr>
        </control>
      </mc:Choice>
    </mc:AlternateContent>
    <mc:AlternateContent xmlns:mc="http://schemas.openxmlformats.org/markup-compatibility/2006">
      <mc:Choice Requires="x14">
        <control shapeId="16390" r:id="rId10" name="Button 6">
          <controlPr defaultSize="0" print="0" autoFill="0" autoPict="0" macro="[0]!DAD_A_Small">
            <anchor moveWithCells="1" sizeWithCells="1">
              <from>
                <xdr:col>25</xdr:col>
                <xdr:colOff>0</xdr:colOff>
                <xdr:row>3</xdr:row>
                <xdr:rowOff>0</xdr:rowOff>
              </from>
              <to>
                <xdr:col>25</xdr:col>
                <xdr:colOff>285750</xdr:colOff>
                <xdr:row>4</xdr:row>
                <xdr:rowOff>0</xdr:rowOff>
              </to>
            </anchor>
          </controlPr>
        </control>
      </mc:Choice>
    </mc:AlternateContent>
    <mc:AlternateContent xmlns:mc="http://schemas.openxmlformats.org/markup-compatibility/2006">
      <mc:Choice Requires="x14">
        <control shapeId="16391" r:id="rId11" name="Button 7">
          <controlPr defaultSize="0" print="0" autoFill="0" autoPict="0" macro="[0]!DAD_A_Big">
            <anchor moveWithCells="1" sizeWithCells="1">
              <from>
                <xdr:col>25</xdr:col>
                <xdr:colOff>323850</xdr:colOff>
                <xdr:row>3</xdr:row>
                <xdr:rowOff>0</xdr:rowOff>
              </from>
              <to>
                <xdr:col>25</xdr:col>
                <xdr:colOff>609600</xdr:colOff>
                <xdr:row>4</xdr:row>
                <xdr:rowOff>0</xdr:rowOff>
              </to>
            </anchor>
          </controlPr>
        </control>
      </mc:Choice>
    </mc:AlternateContent>
    <mc:AlternateContent xmlns:mc="http://schemas.openxmlformats.org/markup-compatibility/2006">
      <mc:Choice Requires="x14">
        <control shapeId="16392" r:id="rId12" name="Button 8">
          <controlPr defaultSize="0" print="0" autoFill="0" autoPict="0" macro="[0]!DAD_B_Small">
            <anchor moveWithCells="1" sizeWithCells="1">
              <from>
                <xdr:col>24</xdr:col>
                <xdr:colOff>609600</xdr:colOff>
                <xdr:row>5</xdr:row>
                <xdr:rowOff>0</xdr:rowOff>
              </from>
              <to>
                <xdr:col>25</xdr:col>
                <xdr:colOff>285750</xdr:colOff>
                <xdr:row>6</xdr:row>
                <xdr:rowOff>0</xdr:rowOff>
              </to>
            </anchor>
          </controlPr>
        </control>
      </mc:Choice>
    </mc:AlternateContent>
    <mc:AlternateContent xmlns:mc="http://schemas.openxmlformats.org/markup-compatibility/2006">
      <mc:Choice Requires="x14">
        <control shapeId="16393" r:id="rId13" name="Button 9">
          <controlPr defaultSize="0" print="0" autoFill="0" autoPict="0" macro="[0]!DAD_B_Big">
            <anchor moveWithCells="1" sizeWithCells="1">
              <from>
                <xdr:col>25</xdr:col>
                <xdr:colOff>323850</xdr:colOff>
                <xdr:row>5</xdr:row>
                <xdr:rowOff>0</xdr:rowOff>
              </from>
              <to>
                <xdr:col>25</xdr:col>
                <xdr:colOff>609600</xdr:colOff>
                <xdr:row>6</xdr:row>
                <xdr:rowOff>0</xdr:rowOff>
              </to>
            </anchor>
          </controlPr>
        </control>
      </mc:Choice>
    </mc:AlternateContent>
    <mc:AlternateContent xmlns:mc="http://schemas.openxmlformats.org/markup-compatibility/2006">
      <mc:Choice Requires="x14">
        <control shapeId="16398" r:id="rId14" name="Button 14">
          <controlPr defaultSize="0" print="0" autoFill="0" autoPict="0" macro="[0]!DAD_A_Down">
            <anchor moveWithCells="1" sizeWithCells="1">
              <from>
                <xdr:col>27</xdr:col>
                <xdr:colOff>9525</xdr:colOff>
                <xdr:row>2</xdr:row>
                <xdr:rowOff>190500</xdr:rowOff>
              </from>
              <to>
                <xdr:col>27</xdr:col>
                <xdr:colOff>295275</xdr:colOff>
                <xdr:row>3</xdr:row>
                <xdr:rowOff>190500</xdr:rowOff>
              </to>
            </anchor>
          </controlPr>
        </control>
      </mc:Choice>
    </mc:AlternateContent>
    <mc:AlternateContent xmlns:mc="http://schemas.openxmlformats.org/markup-compatibility/2006">
      <mc:Choice Requires="x14">
        <control shapeId="16399" r:id="rId15" name="Button 15">
          <controlPr defaultSize="0" print="0" autoFill="0" autoPict="0" macro="[0]!DAD_A_Up">
            <anchor moveWithCells="1" sizeWithCells="1">
              <from>
                <xdr:col>27</xdr:col>
                <xdr:colOff>323850</xdr:colOff>
                <xdr:row>2</xdr:row>
                <xdr:rowOff>190500</xdr:rowOff>
              </from>
              <to>
                <xdr:col>28</xdr:col>
                <xdr:colOff>0</xdr:colOff>
                <xdr:row>3</xdr:row>
                <xdr:rowOff>190500</xdr:rowOff>
              </to>
            </anchor>
          </controlPr>
        </control>
      </mc:Choice>
    </mc:AlternateContent>
    <mc:AlternateContent xmlns:mc="http://schemas.openxmlformats.org/markup-compatibility/2006">
      <mc:Choice Requires="x14">
        <control shapeId="16400" r:id="rId16" name="Button 16">
          <controlPr defaultSize="0" print="0" autoFill="0" autoPict="0" macro="[0]!DAD_B_Down">
            <anchor moveWithCells="1" sizeWithCells="1">
              <from>
                <xdr:col>27</xdr:col>
                <xdr:colOff>9525</xdr:colOff>
                <xdr:row>4</xdr:row>
                <xdr:rowOff>200025</xdr:rowOff>
              </from>
              <to>
                <xdr:col>27</xdr:col>
                <xdr:colOff>295275</xdr:colOff>
                <xdr:row>5</xdr:row>
                <xdr:rowOff>200025</xdr:rowOff>
              </to>
            </anchor>
          </controlPr>
        </control>
      </mc:Choice>
    </mc:AlternateContent>
    <mc:AlternateContent xmlns:mc="http://schemas.openxmlformats.org/markup-compatibility/2006">
      <mc:Choice Requires="x14">
        <control shapeId="16401" r:id="rId17" name="Button 17">
          <controlPr defaultSize="0" print="0" autoFill="0" autoPict="0" macro="[0]!DAD_B_Up">
            <anchor moveWithCells="1" sizeWithCells="1">
              <from>
                <xdr:col>27</xdr:col>
                <xdr:colOff>323850</xdr:colOff>
                <xdr:row>4</xdr:row>
                <xdr:rowOff>200025</xdr:rowOff>
              </from>
              <to>
                <xdr:col>28</xdr:col>
                <xdr:colOff>0</xdr:colOff>
                <xdr:row>6</xdr:row>
                <xdr:rowOff>0</xdr:rowOff>
              </to>
            </anchor>
          </controlPr>
        </control>
      </mc:Choice>
    </mc:AlternateContent>
    <mc:AlternateContent xmlns:mc="http://schemas.openxmlformats.org/markup-compatibility/2006">
      <mc:Choice Requires="x14">
        <control shapeId="16406" r:id="rId18" name="Check Box 22">
          <controlPr defaultSize="0" autoFill="0" autoLine="0" autoPict="0">
            <anchor moveWithCells="1">
              <from>
                <xdr:col>26</xdr:col>
                <xdr:colOff>19050</xdr:colOff>
                <xdr:row>11</xdr:row>
                <xdr:rowOff>0</xdr:rowOff>
              </from>
              <to>
                <xdr:col>27</xdr:col>
                <xdr:colOff>0</xdr:colOff>
                <xdr:row>11</xdr:row>
                <xdr:rowOff>190500</xdr:rowOff>
              </to>
            </anchor>
          </controlPr>
        </control>
      </mc:Choice>
    </mc:AlternateContent>
    <mc:AlternateContent xmlns:mc="http://schemas.openxmlformats.org/markup-compatibility/2006">
      <mc:Choice Requires="x14">
        <control shapeId="16407" r:id="rId19" name="Button 23">
          <controlPr defaultSize="0" print="0" autoFill="0" autoPict="0" macro="[0]!PeakNumDOWN">
            <anchor moveWithCells="1" sizeWithCells="1">
              <from>
                <xdr:col>27</xdr:col>
                <xdr:colOff>9525</xdr:colOff>
                <xdr:row>10</xdr:row>
                <xdr:rowOff>180975</xdr:rowOff>
              </from>
              <to>
                <xdr:col>27</xdr:col>
                <xdr:colOff>295275</xdr:colOff>
                <xdr:row>12</xdr:row>
                <xdr:rowOff>0</xdr:rowOff>
              </to>
            </anchor>
          </controlPr>
        </control>
      </mc:Choice>
    </mc:AlternateContent>
    <mc:AlternateContent xmlns:mc="http://schemas.openxmlformats.org/markup-compatibility/2006">
      <mc:Choice Requires="x14">
        <control shapeId="16408" r:id="rId20" name="Button 24">
          <controlPr defaultSize="0" print="0" autoFill="0" autoPict="0" macro="[0]!PeakNumUP">
            <anchor moveWithCells="1" sizeWithCells="1">
              <from>
                <xdr:col>27</xdr:col>
                <xdr:colOff>323850</xdr:colOff>
                <xdr:row>10</xdr:row>
                <xdr:rowOff>180975</xdr:rowOff>
              </from>
              <to>
                <xdr:col>28</xdr:col>
                <xdr:colOff>0</xdr:colOff>
                <xdr:row>12</xdr:row>
                <xdr:rowOff>0</xdr:rowOff>
              </to>
            </anchor>
          </controlPr>
        </control>
      </mc:Choice>
    </mc:AlternateContent>
    <mc:AlternateContent xmlns:mc="http://schemas.openxmlformats.org/markup-compatibility/2006">
      <mc:Choice Requires="x14">
        <control shapeId="16410" r:id="rId21" name="Button 28">
          <controlPr defaultSize="0" print="0" autoFill="0" autoPict="0" macro="[0]!Reset_Allchromatograms">
            <anchor moveWithCells="1" sizeWithCells="1">
              <from>
                <xdr:col>28</xdr:col>
                <xdr:colOff>28575</xdr:colOff>
                <xdr:row>0</xdr:row>
                <xdr:rowOff>57150</xdr:rowOff>
              </from>
              <to>
                <xdr:col>28</xdr:col>
                <xdr:colOff>447675</xdr:colOff>
                <xdr:row>2</xdr:row>
                <xdr:rowOff>66675</xdr:rowOff>
              </to>
            </anchor>
          </controlPr>
        </control>
      </mc:Choice>
    </mc:AlternateContent>
    <mc:AlternateContent xmlns:mc="http://schemas.openxmlformats.org/markup-compatibility/2006">
      <mc:Choice Requires="x14">
        <control shapeId="16411" r:id="rId22" name="Button 29">
          <controlPr defaultSize="0" print="0" autoFill="0" autoPict="0" macro="[0]!Reset_210">
            <anchor moveWithCells="1" sizeWithCells="1">
              <from>
                <xdr:col>28</xdr:col>
                <xdr:colOff>28575</xdr:colOff>
                <xdr:row>2</xdr:row>
                <xdr:rowOff>190500</xdr:rowOff>
              </from>
              <to>
                <xdr:col>28</xdr:col>
                <xdr:colOff>447675</xdr:colOff>
                <xdr:row>3</xdr:row>
                <xdr:rowOff>190500</xdr:rowOff>
              </to>
            </anchor>
          </controlPr>
        </control>
      </mc:Choice>
    </mc:AlternateContent>
    <mc:AlternateContent xmlns:mc="http://schemas.openxmlformats.org/markup-compatibility/2006">
      <mc:Choice Requires="x14">
        <control shapeId="16412" r:id="rId23" name="Button 30">
          <controlPr defaultSize="0" print="0" autoFill="0" autoPict="0" macro="[0]!Reset_254">
            <anchor moveWithCells="1" sizeWithCells="1">
              <from>
                <xdr:col>28</xdr:col>
                <xdr:colOff>28575</xdr:colOff>
                <xdr:row>4</xdr:row>
                <xdr:rowOff>200025</xdr:rowOff>
              </from>
              <to>
                <xdr:col>28</xdr:col>
                <xdr:colOff>447675</xdr:colOff>
                <xdr:row>6</xdr:row>
                <xdr:rowOff>0</xdr:rowOff>
              </to>
            </anchor>
          </controlPr>
        </control>
      </mc:Choice>
    </mc:AlternateContent>
    <mc:AlternateContent xmlns:mc="http://schemas.openxmlformats.org/markup-compatibility/2006">
      <mc:Choice Requires="x14">
        <control shapeId="16415" r:id="rId24" name="Button 33">
          <controlPr defaultSize="0" print="0" autoFill="0" autoPict="0" macro="[0]!Reset_Labels">
            <anchor moveWithCells="1" sizeWithCells="1">
              <from>
                <xdr:col>28</xdr:col>
                <xdr:colOff>28575</xdr:colOff>
                <xdr:row>11</xdr:row>
                <xdr:rowOff>0</xdr:rowOff>
              </from>
              <to>
                <xdr:col>28</xdr:col>
                <xdr:colOff>447675</xdr:colOff>
                <xdr:row>12</xdr:row>
                <xdr:rowOff>0</xdr:rowOff>
              </to>
            </anchor>
          </controlPr>
        </control>
      </mc:Choice>
    </mc:AlternateContent>
    <mc:AlternateContent xmlns:mc="http://schemas.openxmlformats.org/markup-compatibility/2006">
      <mc:Choice Requires="x14">
        <control shapeId="16420" r:id="rId25" name="Check Box 39">
          <controlPr defaultSize="0" autoFill="0" autoLine="0" autoPict="0">
            <anchor moveWithCells="1">
              <from>
                <xdr:col>28</xdr:col>
                <xdr:colOff>9525</xdr:colOff>
                <xdr:row>20</xdr:row>
                <xdr:rowOff>9525</xdr:rowOff>
              </from>
              <to>
                <xdr:col>29</xdr:col>
                <xdr:colOff>152400</xdr:colOff>
                <xdr:row>21</xdr:row>
                <xdr:rowOff>0</xdr:rowOff>
              </to>
            </anchor>
          </controlPr>
        </control>
      </mc:Choice>
    </mc:AlternateContent>
    <mc:AlternateContent xmlns:mc="http://schemas.openxmlformats.org/markup-compatibility/2006">
      <mc:Choice Requires="x14">
        <control shapeId="16426" r:id="rId26" name="Check Box 41">
          <controlPr defaultSize="0" autoFill="0" autoLine="0" autoPict="0">
            <anchor moveWithCells="1">
              <from>
                <xdr:col>25</xdr:col>
                <xdr:colOff>9525</xdr:colOff>
                <xdr:row>12</xdr:row>
                <xdr:rowOff>85725</xdr:rowOff>
              </from>
              <to>
                <xdr:col>25</xdr:col>
                <xdr:colOff>600075</xdr:colOff>
                <xdr:row>13</xdr:row>
                <xdr:rowOff>76200</xdr:rowOff>
              </to>
            </anchor>
          </controlPr>
        </control>
      </mc:Choice>
    </mc:AlternateContent>
    <mc:AlternateContent xmlns:mc="http://schemas.openxmlformats.org/markup-compatibility/2006">
      <mc:Choice Requires="x14">
        <control shapeId="16427" r:id="rId27" name="Check Box 42">
          <controlPr defaultSize="0" autoFill="0" autoLine="0" autoPict="0">
            <anchor moveWithCells="1">
              <from>
                <xdr:col>25</xdr:col>
                <xdr:colOff>600075</xdr:colOff>
                <xdr:row>12</xdr:row>
                <xdr:rowOff>85725</xdr:rowOff>
              </from>
              <to>
                <xdr:col>26</xdr:col>
                <xdr:colOff>581025</xdr:colOff>
                <xdr:row>13</xdr:row>
                <xdr:rowOff>76200</xdr:rowOff>
              </to>
            </anchor>
          </controlPr>
        </control>
      </mc:Choice>
    </mc:AlternateContent>
    <mc:AlternateContent xmlns:mc="http://schemas.openxmlformats.org/markup-compatibility/2006">
      <mc:Choice Requires="x14">
        <control shapeId="16428" r:id="rId28" name="Check Box 43">
          <controlPr defaultSize="0" autoFill="0" autoLine="0" autoPict="0">
            <anchor moveWithCells="1">
              <from>
                <xdr:col>27</xdr:col>
                <xdr:colOff>0</xdr:colOff>
                <xdr:row>12</xdr:row>
                <xdr:rowOff>85725</xdr:rowOff>
              </from>
              <to>
                <xdr:col>27</xdr:col>
                <xdr:colOff>590550</xdr:colOff>
                <xdr:row>13</xdr:row>
                <xdr:rowOff>76200</xdr:rowOff>
              </to>
            </anchor>
          </controlPr>
        </control>
      </mc:Choice>
    </mc:AlternateContent>
    <mc:AlternateContent xmlns:mc="http://schemas.openxmlformats.org/markup-compatibility/2006">
      <mc:Choice Requires="x14">
        <control shapeId="16436" r:id="rId29" name="Button 50">
          <controlPr defaultSize="0" print="0" autoFill="0" autoPict="0" macro="[0]!Base_Allchromatograms">
            <anchor moveWithCells="1" sizeWithCells="1">
              <from>
                <xdr:col>28</xdr:col>
                <xdr:colOff>457200</xdr:colOff>
                <xdr:row>0</xdr:row>
                <xdr:rowOff>57150</xdr:rowOff>
              </from>
              <to>
                <xdr:col>29</xdr:col>
                <xdr:colOff>266700</xdr:colOff>
                <xdr:row>2</xdr:row>
                <xdr:rowOff>66675</xdr:rowOff>
              </to>
            </anchor>
          </controlPr>
        </control>
      </mc:Choice>
    </mc:AlternateContent>
    <mc:AlternateContent xmlns:mc="http://schemas.openxmlformats.org/markup-compatibility/2006">
      <mc:Choice Requires="x14">
        <control shapeId="16437" r:id="rId30" name="Button 51">
          <controlPr defaultSize="0" print="0" autoFill="0" autoPict="0" macro="[0]!Base_210">
            <anchor moveWithCells="1" sizeWithCells="1">
              <from>
                <xdr:col>28</xdr:col>
                <xdr:colOff>457200</xdr:colOff>
                <xdr:row>2</xdr:row>
                <xdr:rowOff>190500</xdr:rowOff>
              </from>
              <to>
                <xdr:col>29</xdr:col>
                <xdr:colOff>266700</xdr:colOff>
                <xdr:row>3</xdr:row>
                <xdr:rowOff>190500</xdr:rowOff>
              </to>
            </anchor>
          </controlPr>
        </control>
      </mc:Choice>
    </mc:AlternateContent>
    <mc:AlternateContent xmlns:mc="http://schemas.openxmlformats.org/markup-compatibility/2006">
      <mc:Choice Requires="x14">
        <control shapeId="16438" r:id="rId31" name="Button 52">
          <controlPr defaultSize="0" print="0" autoFill="0" autoPict="0" macro="[0]!Base_254">
            <anchor moveWithCells="1" sizeWithCells="1">
              <from>
                <xdr:col>28</xdr:col>
                <xdr:colOff>457200</xdr:colOff>
                <xdr:row>4</xdr:row>
                <xdr:rowOff>200025</xdr:rowOff>
              </from>
              <to>
                <xdr:col>29</xdr:col>
                <xdr:colOff>266700</xdr:colOff>
                <xdr:row>6</xdr:row>
                <xdr:rowOff>0</xdr:rowOff>
              </to>
            </anchor>
          </controlPr>
        </control>
      </mc:Choice>
    </mc:AlternateContent>
    <mc:AlternateContent xmlns:mc="http://schemas.openxmlformats.org/markup-compatibility/2006">
      <mc:Choice Requires="x14">
        <control shapeId="16441" r:id="rId32" name="Button 55">
          <controlPr defaultSize="0" print="0" autoFill="0" autoPict="0" macro="[0]!Base_Labels">
            <anchor moveWithCells="1" sizeWithCells="1">
              <from>
                <xdr:col>28</xdr:col>
                <xdr:colOff>466725</xdr:colOff>
                <xdr:row>11</xdr:row>
                <xdr:rowOff>0</xdr:rowOff>
              </from>
              <to>
                <xdr:col>29</xdr:col>
                <xdr:colOff>276225</xdr:colOff>
                <xdr:row>12</xdr:row>
                <xdr:rowOff>0</xdr:rowOff>
              </to>
            </anchor>
          </controlPr>
        </control>
      </mc:Choice>
    </mc:AlternateContent>
    <mc:AlternateContent xmlns:mc="http://schemas.openxmlformats.org/markup-compatibility/2006">
      <mc:Choice Requires="x14">
        <control shapeId="16444" r:id="rId33" name="Button 60">
          <controlPr defaultSize="0" print="0" autoFill="0" autoPict="0" macro="[0]!NextTraceOne">
            <anchor moveWithCells="1" sizeWithCells="1">
              <from>
                <xdr:col>27</xdr:col>
                <xdr:colOff>19050</xdr:colOff>
                <xdr:row>19</xdr:row>
                <xdr:rowOff>114300</xdr:rowOff>
              </from>
              <to>
                <xdr:col>27</xdr:col>
                <xdr:colOff>381000</xdr:colOff>
                <xdr:row>21</xdr:row>
                <xdr:rowOff>104775</xdr:rowOff>
              </to>
            </anchor>
          </controlPr>
        </control>
      </mc:Choice>
    </mc:AlternateContent>
    <mc:AlternateContent xmlns:mc="http://schemas.openxmlformats.org/markup-compatibility/2006">
      <mc:Choice Requires="x14">
        <control shapeId="16445" r:id="rId34" name="Button 61">
          <controlPr defaultSize="0" print="0" autoFill="0" autoPict="0" macro="[0]!PreviousTraceOne">
            <anchor moveWithCells="1" sizeWithCells="1">
              <from>
                <xdr:col>25</xdr:col>
                <xdr:colOff>238125</xdr:colOff>
                <xdr:row>19</xdr:row>
                <xdr:rowOff>114300</xdr:rowOff>
              </from>
              <to>
                <xdr:col>25</xdr:col>
                <xdr:colOff>600075</xdr:colOff>
                <xdr:row>21</xdr:row>
                <xdr:rowOff>95250</xdr:rowOff>
              </to>
            </anchor>
          </controlPr>
        </control>
      </mc:Choice>
    </mc:AlternateContent>
    <mc:AlternateContent xmlns:mc="http://schemas.openxmlformats.org/markup-compatibility/2006">
      <mc:Choice Requires="x14">
        <control shapeId="16446" r:id="rId35" name="Button 62">
          <controlPr defaultSize="0" print="0" autoFill="0" autoPict="0" macro="[0]!PreviousTraceTen">
            <anchor moveWithCells="1" sizeWithCells="1">
              <from>
                <xdr:col>25</xdr:col>
                <xdr:colOff>9525</xdr:colOff>
                <xdr:row>19</xdr:row>
                <xdr:rowOff>114300</xdr:rowOff>
              </from>
              <to>
                <xdr:col>25</xdr:col>
                <xdr:colOff>228600</xdr:colOff>
                <xdr:row>21</xdr:row>
                <xdr:rowOff>95250</xdr:rowOff>
              </to>
            </anchor>
          </controlPr>
        </control>
      </mc:Choice>
    </mc:AlternateContent>
    <mc:AlternateContent xmlns:mc="http://schemas.openxmlformats.org/markup-compatibility/2006">
      <mc:Choice Requires="x14">
        <control shapeId="16447" r:id="rId36" name="Button 63">
          <controlPr defaultSize="0" print="0" autoFill="0" autoPict="0" macro="[0]!NextTraceTen">
            <anchor moveWithCells="1" sizeWithCells="1">
              <from>
                <xdr:col>27</xdr:col>
                <xdr:colOff>390525</xdr:colOff>
                <xdr:row>19</xdr:row>
                <xdr:rowOff>114300</xdr:rowOff>
              </from>
              <to>
                <xdr:col>28</xdr:col>
                <xdr:colOff>0</xdr:colOff>
                <xdr:row>21</xdr:row>
                <xdr:rowOff>104775</xdr:rowOff>
              </to>
            </anchor>
          </controlPr>
        </control>
      </mc:Choice>
    </mc:AlternateContent>
    <mc:AlternateContent xmlns:mc="http://schemas.openxmlformats.org/markup-compatibility/2006">
      <mc:Choice Requires="x14">
        <control shapeId="16450" r:id="rId37" name="Button 66">
          <controlPr defaultSize="0" print="0" autoFill="0" autoPict="0" macro="[0]!UVSearchOne">
            <anchor moveWithCells="1" sizeWithCells="1">
              <from>
                <xdr:col>25</xdr:col>
                <xdr:colOff>609600</xdr:colOff>
                <xdr:row>17</xdr:row>
                <xdr:rowOff>0</xdr:rowOff>
              </from>
              <to>
                <xdr:col>26</xdr:col>
                <xdr:colOff>609600</xdr:colOff>
                <xdr:row>19</xdr:row>
                <xdr:rowOff>9525</xdr:rowOff>
              </to>
            </anchor>
          </controlPr>
        </control>
      </mc:Choice>
    </mc:AlternateContent>
    <mc:AlternateContent xmlns:mc="http://schemas.openxmlformats.org/markup-compatibility/2006">
      <mc:Choice Requires="x14">
        <control shapeId="16451" r:id="rId38" name="Button 67">
          <controlPr defaultSize="0" print="0" autoFill="0" autoPict="0" macro="[0]!Clear_Inset">
            <anchor moveWithCells="1" sizeWithCells="1">
              <from>
                <xdr:col>27</xdr:col>
                <xdr:colOff>19050</xdr:colOff>
                <xdr:row>17</xdr:row>
                <xdr:rowOff>0</xdr:rowOff>
              </from>
              <to>
                <xdr:col>28</xdr:col>
                <xdr:colOff>0</xdr:colOff>
                <xdr:row>19</xdr:row>
                <xdr:rowOff>9525</xdr:rowOff>
              </to>
            </anchor>
          </controlPr>
        </control>
      </mc:Choice>
    </mc:AlternateContent>
    <mc:AlternateContent xmlns:mc="http://schemas.openxmlformats.org/markup-compatibility/2006">
      <mc:Choice Requires="x14">
        <control shapeId="16452" r:id="rId39" name="Button 68">
          <controlPr defaultSize="0" print="0" autoFill="0" autoPict="0" macro="[0]!KeepDbaseTrace">
            <anchor moveWithCells="1" sizeWithCells="1">
              <from>
                <xdr:col>25</xdr:col>
                <xdr:colOff>9525</xdr:colOff>
                <xdr:row>17</xdr:row>
                <xdr:rowOff>0</xdr:rowOff>
              </from>
              <to>
                <xdr:col>25</xdr:col>
                <xdr:colOff>590550</xdr:colOff>
                <xdr:row>19</xdr:row>
                <xdr:rowOff>9525</xdr:rowOff>
              </to>
            </anchor>
          </controlPr>
        </control>
      </mc:Choice>
    </mc:AlternateContent>
    <mc:AlternateContent xmlns:mc="http://schemas.openxmlformats.org/markup-compatibility/2006">
      <mc:Choice Requires="x14">
        <control shapeId="16457" r:id="rId40" name="Check Box 73">
          <controlPr defaultSize="0" autoFill="0" autoLine="0" autoPict="0">
            <anchor moveWithCells="1">
              <from>
                <xdr:col>19</xdr:col>
                <xdr:colOff>0</xdr:colOff>
                <xdr:row>16</xdr:row>
                <xdr:rowOff>0</xdr:rowOff>
              </from>
              <to>
                <xdr:col>20</xdr:col>
                <xdr:colOff>466725</xdr:colOff>
                <xdr:row>17</xdr:row>
                <xdr:rowOff>0</xdr:rowOff>
              </to>
            </anchor>
          </controlPr>
        </control>
      </mc:Choice>
    </mc:AlternateContent>
    <mc:AlternateContent xmlns:mc="http://schemas.openxmlformats.org/markup-compatibility/2006">
      <mc:Choice Requires="x14">
        <control shapeId="16458" r:id="rId41" name="Check Box 74">
          <controlPr defaultSize="0" autoFill="0" autoLine="0" autoPict="0">
            <anchor moveWithCells="1">
              <from>
                <xdr:col>19</xdr:col>
                <xdr:colOff>0</xdr:colOff>
                <xdr:row>18</xdr:row>
                <xdr:rowOff>0</xdr:rowOff>
              </from>
              <to>
                <xdr:col>20</xdr:col>
                <xdr:colOff>476250</xdr:colOff>
                <xdr:row>19</xdr:row>
                <xdr:rowOff>9525</xdr:rowOff>
              </to>
            </anchor>
          </controlPr>
        </control>
      </mc:Choice>
    </mc:AlternateContent>
    <mc:AlternateContent xmlns:mc="http://schemas.openxmlformats.org/markup-compatibility/2006">
      <mc:Choice Requires="x14">
        <control shapeId="16459" r:id="rId42" name="Check Box 75">
          <controlPr defaultSize="0" autoFill="0" autoLine="0" autoPict="0">
            <anchor moveWithCells="1">
              <from>
                <xdr:col>19</xdr:col>
                <xdr:colOff>0</xdr:colOff>
                <xdr:row>20</xdr:row>
                <xdr:rowOff>0</xdr:rowOff>
              </from>
              <to>
                <xdr:col>20</xdr:col>
                <xdr:colOff>476250</xdr:colOff>
                <xdr:row>21</xdr:row>
                <xdr:rowOff>0</xdr:rowOff>
              </to>
            </anchor>
          </controlPr>
        </control>
      </mc:Choice>
    </mc:AlternateContent>
    <mc:AlternateContent xmlns:mc="http://schemas.openxmlformats.org/markup-compatibility/2006">
      <mc:Choice Requires="x14">
        <control shapeId="16460" r:id="rId43" name="Check Box 76">
          <controlPr defaultSize="0" autoFill="0" autoLine="0" autoPict="0">
            <anchor moveWithCells="1">
              <from>
                <xdr:col>28</xdr:col>
                <xdr:colOff>9525</xdr:colOff>
                <xdr:row>17</xdr:row>
                <xdr:rowOff>0</xdr:rowOff>
              </from>
              <to>
                <xdr:col>29</xdr:col>
                <xdr:colOff>266700</xdr:colOff>
                <xdr:row>18</xdr:row>
                <xdr:rowOff>9525</xdr:rowOff>
              </to>
            </anchor>
          </controlPr>
        </control>
      </mc:Choice>
    </mc:AlternateContent>
    <mc:AlternateContent xmlns:mc="http://schemas.openxmlformats.org/markup-compatibility/2006">
      <mc:Choice Requires="x14">
        <control shapeId="16461" r:id="rId44" name="Check Box 77">
          <controlPr defaultSize="0" autoFill="0" autoLine="0" autoPict="0">
            <anchor moveWithCells="1">
              <from>
                <xdr:col>28</xdr:col>
                <xdr:colOff>9525</xdr:colOff>
                <xdr:row>18</xdr:row>
                <xdr:rowOff>0</xdr:rowOff>
              </from>
              <to>
                <xdr:col>29</xdr:col>
                <xdr:colOff>266700</xdr:colOff>
                <xdr:row>19</xdr:row>
                <xdr:rowOff>9525</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xr:uid="{00000000-0002-0000-0500-000000000000}">
          <x14:formula1>
            <xm:f>Summary!$K$2:$K$9</xm:f>
          </x14:formula1>
          <xm:sqref>AB18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HX1"/>
  <sheetViews>
    <sheetView workbookViewId="0"/>
  </sheetViews>
  <sheetFormatPr defaultRowHeight="15" x14ac:dyDescent="0.25"/>
  <cols>
    <col min="1" max="1" width="56.5703125" customWidth="1"/>
    <col min="2" max="2" width="13.28515625" customWidth="1"/>
    <col min="3" max="4" width="43.140625" customWidth="1"/>
    <col min="5" max="5" width="17.42578125" customWidth="1"/>
    <col min="232" max="232" width="23.140625" customWidth="1"/>
  </cols>
  <sheetData>
    <row r="1" spans="1:232" x14ac:dyDescent="0.25">
      <c r="A1" s="104"/>
      <c r="B1" s="5" t="s">
        <v>93</v>
      </c>
      <c r="C1" s="5" t="s">
        <v>90</v>
      </c>
      <c r="D1" s="5" t="s">
        <v>130</v>
      </c>
      <c r="E1" s="5" t="s">
        <v>92</v>
      </c>
      <c r="F1" s="84">
        <v>190</v>
      </c>
      <c r="G1" s="84">
        <v>192</v>
      </c>
      <c r="H1" s="84">
        <v>194</v>
      </c>
      <c r="I1" s="84">
        <v>196</v>
      </c>
      <c r="J1" s="84">
        <v>198</v>
      </c>
      <c r="K1" s="84">
        <v>200</v>
      </c>
      <c r="L1" s="84">
        <v>202</v>
      </c>
      <c r="M1" s="84">
        <v>204</v>
      </c>
      <c r="N1" s="84">
        <v>206</v>
      </c>
      <c r="O1" s="84">
        <v>208</v>
      </c>
      <c r="P1" s="84">
        <v>210</v>
      </c>
      <c r="Q1" s="84">
        <v>212</v>
      </c>
      <c r="R1" s="84">
        <v>214</v>
      </c>
      <c r="S1" s="84">
        <v>216</v>
      </c>
      <c r="T1" s="84">
        <v>218</v>
      </c>
      <c r="U1" s="84">
        <v>220</v>
      </c>
      <c r="V1" s="84">
        <v>222</v>
      </c>
      <c r="W1" s="84">
        <v>224</v>
      </c>
      <c r="X1" s="84">
        <v>226</v>
      </c>
      <c r="Y1" s="84">
        <v>228</v>
      </c>
      <c r="Z1" s="84">
        <v>230</v>
      </c>
      <c r="AA1" s="84">
        <v>232</v>
      </c>
      <c r="AB1" s="84">
        <v>234</v>
      </c>
      <c r="AC1" s="84">
        <v>236</v>
      </c>
      <c r="AD1" s="84">
        <v>238</v>
      </c>
      <c r="AE1" s="84">
        <v>240</v>
      </c>
      <c r="AF1" s="84">
        <v>242</v>
      </c>
      <c r="AG1" s="84">
        <v>244</v>
      </c>
      <c r="AH1" s="84">
        <v>246</v>
      </c>
      <c r="AI1" s="84">
        <v>248</v>
      </c>
      <c r="AJ1" s="84">
        <v>250</v>
      </c>
      <c r="AK1" s="84">
        <v>252</v>
      </c>
      <c r="AL1" s="84">
        <v>254</v>
      </c>
      <c r="AM1" s="84">
        <v>256</v>
      </c>
      <c r="AN1" s="84">
        <v>258</v>
      </c>
      <c r="AO1" s="84">
        <v>260</v>
      </c>
      <c r="AP1" s="84">
        <v>262</v>
      </c>
      <c r="AQ1" s="84">
        <v>264</v>
      </c>
      <c r="AR1" s="84">
        <v>266</v>
      </c>
      <c r="AS1" s="84">
        <v>268</v>
      </c>
      <c r="AT1" s="84">
        <v>270</v>
      </c>
      <c r="AU1" s="84">
        <v>272</v>
      </c>
      <c r="AV1" s="84">
        <v>274</v>
      </c>
      <c r="AW1" s="84">
        <v>276</v>
      </c>
      <c r="AX1" s="84">
        <v>278</v>
      </c>
      <c r="AY1" s="84">
        <v>280</v>
      </c>
      <c r="AZ1" s="84">
        <v>282</v>
      </c>
      <c r="BA1" s="84">
        <v>284</v>
      </c>
      <c r="BB1" s="84">
        <v>286</v>
      </c>
      <c r="BC1" s="84">
        <v>288</v>
      </c>
      <c r="BD1" s="84">
        <v>290</v>
      </c>
      <c r="BE1" s="84">
        <v>292</v>
      </c>
      <c r="BF1" s="84">
        <v>294</v>
      </c>
      <c r="BG1" s="84">
        <v>296</v>
      </c>
      <c r="BH1" s="84">
        <v>298</v>
      </c>
      <c r="BI1" s="84">
        <v>300</v>
      </c>
      <c r="BJ1" s="84">
        <v>302</v>
      </c>
      <c r="BK1" s="84">
        <v>304</v>
      </c>
      <c r="BL1" s="84">
        <v>306</v>
      </c>
      <c r="BM1" s="84">
        <v>308</v>
      </c>
      <c r="BN1" s="84">
        <v>310</v>
      </c>
      <c r="BO1" s="84">
        <v>312</v>
      </c>
      <c r="BP1" s="84">
        <v>314</v>
      </c>
      <c r="BQ1" s="84">
        <v>316</v>
      </c>
      <c r="BR1" s="84">
        <v>318</v>
      </c>
      <c r="BS1" s="84">
        <v>320</v>
      </c>
      <c r="BT1" s="84">
        <v>322</v>
      </c>
      <c r="BU1" s="84">
        <v>324</v>
      </c>
      <c r="BV1" s="84">
        <v>326</v>
      </c>
      <c r="BW1" s="84">
        <v>328</v>
      </c>
      <c r="BX1" s="84">
        <v>330</v>
      </c>
      <c r="BY1" s="84">
        <v>332</v>
      </c>
      <c r="BZ1" s="84">
        <v>334</v>
      </c>
      <c r="CA1" s="84">
        <v>336</v>
      </c>
      <c r="CB1" s="84">
        <v>338</v>
      </c>
      <c r="CC1" s="84">
        <v>340</v>
      </c>
      <c r="CD1" s="84">
        <v>342</v>
      </c>
      <c r="CE1" s="84">
        <v>344</v>
      </c>
      <c r="CF1" s="84">
        <v>346</v>
      </c>
      <c r="CG1" s="84">
        <v>348</v>
      </c>
      <c r="CH1" s="84">
        <v>350</v>
      </c>
      <c r="CI1" s="84">
        <v>352</v>
      </c>
      <c r="CJ1" s="84">
        <v>354</v>
      </c>
      <c r="CK1" s="84">
        <v>356</v>
      </c>
      <c r="CL1" s="84">
        <v>358</v>
      </c>
      <c r="CM1" s="84">
        <v>360</v>
      </c>
      <c r="CN1" s="84">
        <v>362</v>
      </c>
      <c r="CO1" s="84">
        <v>364</v>
      </c>
      <c r="CP1" s="84">
        <v>366</v>
      </c>
      <c r="CQ1" s="84">
        <v>368</v>
      </c>
      <c r="CR1" s="84">
        <v>370</v>
      </c>
      <c r="CS1" s="84">
        <v>372</v>
      </c>
      <c r="CT1" s="84">
        <v>374</v>
      </c>
      <c r="CU1" s="84">
        <v>376</v>
      </c>
      <c r="CV1" s="84">
        <v>378</v>
      </c>
      <c r="CW1" s="84">
        <v>380</v>
      </c>
      <c r="CX1" s="84">
        <v>382</v>
      </c>
      <c r="CY1" s="84">
        <v>384</v>
      </c>
      <c r="CZ1" s="84">
        <v>386</v>
      </c>
      <c r="DA1" s="84">
        <v>388</v>
      </c>
      <c r="DB1" s="84">
        <v>390</v>
      </c>
      <c r="DC1" s="84">
        <v>392</v>
      </c>
      <c r="DD1" s="84">
        <v>394</v>
      </c>
      <c r="DE1" s="84">
        <v>396</v>
      </c>
      <c r="DF1" s="84">
        <v>398</v>
      </c>
      <c r="DG1" s="84">
        <v>400</v>
      </c>
      <c r="DH1" s="84">
        <v>402</v>
      </c>
      <c r="DI1" s="84">
        <v>404</v>
      </c>
      <c r="DJ1" s="84">
        <v>406</v>
      </c>
      <c r="DK1" s="84">
        <v>408</v>
      </c>
      <c r="DL1" s="84">
        <v>410</v>
      </c>
      <c r="DM1" s="84">
        <v>412</v>
      </c>
      <c r="DN1" s="84">
        <v>414</v>
      </c>
      <c r="DO1" s="84">
        <v>416</v>
      </c>
      <c r="DP1" s="84">
        <v>418</v>
      </c>
      <c r="DQ1" s="84">
        <v>420</v>
      </c>
      <c r="DR1" s="84">
        <v>422</v>
      </c>
      <c r="DS1" s="84">
        <v>424</v>
      </c>
      <c r="DT1" s="84">
        <v>426</v>
      </c>
      <c r="DU1" s="84">
        <v>428</v>
      </c>
      <c r="DV1" s="84">
        <v>430</v>
      </c>
      <c r="DW1" s="84">
        <v>432</v>
      </c>
      <c r="DX1" s="84">
        <v>434</v>
      </c>
      <c r="DY1" s="84">
        <v>436</v>
      </c>
      <c r="DZ1" s="84">
        <v>438</v>
      </c>
      <c r="EA1" s="84">
        <v>440</v>
      </c>
      <c r="EB1" s="84">
        <v>442</v>
      </c>
      <c r="EC1" s="84">
        <v>444</v>
      </c>
      <c r="ED1" s="84">
        <v>446</v>
      </c>
      <c r="EE1" s="84">
        <v>448</v>
      </c>
      <c r="EF1" s="84">
        <v>450</v>
      </c>
      <c r="EG1" s="84">
        <v>452</v>
      </c>
      <c r="EH1" s="84">
        <v>454</v>
      </c>
      <c r="EI1" s="84">
        <v>456</v>
      </c>
      <c r="EJ1" s="84">
        <v>458</v>
      </c>
      <c r="EK1" s="84">
        <v>460</v>
      </c>
      <c r="EL1" s="84">
        <v>462</v>
      </c>
      <c r="EM1" s="84">
        <v>464</v>
      </c>
      <c r="EN1" s="84">
        <v>466</v>
      </c>
      <c r="EO1" s="84">
        <v>468</v>
      </c>
      <c r="EP1" s="84">
        <v>470</v>
      </c>
      <c r="EQ1" s="84">
        <v>472</v>
      </c>
      <c r="ER1" s="84">
        <v>474</v>
      </c>
      <c r="ES1" s="84">
        <v>476</v>
      </c>
      <c r="ET1" s="84">
        <v>478</v>
      </c>
      <c r="EU1" s="84">
        <v>480</v>
      </c>
      <c r="EV1" s="84">
        <v>482</v>
      </c>
      <c r="EW1" s="84">
        <v>484</v>
      </c>
      <c r="EX1" s="84">
        <v>486</v>
      </c>
      <c r="EY1" s="84">
        <v>488</v>
      </c>
      <c r="EZ1" s="84">
        <v>490</v>
      </c>
      <c r="FA1" s="84">
        <v>492</v>
      </c>
      <c r="FB1" s="84">
        <v>494</v>
      </c>
      <c r="FC1" s="84">
        <v>496</v>
      </c>
      <c r="FD1" s="84">
        <v>498</v>
      </c>
      <c r="FE1" s="84">
        <v>500</v>
      </c>
      <c r="FF1" s="84">
        <v>502</v>
      </c>
      <c r="FG1" s="84">
        <v>504</v>
      </c>
      <c r="FH1" s="84">
        <v>506</v>
      </c>
      <c r="FI1" s="84">
        <v>508</v>
      </c>
      <c r="FJ1" s="84">
        <v>510</v>
      </c>
      <c r="FK1" s="84">
        <v>512</v>
      </c>
      <c r="FL1" s="84">
        <v>514</v>
      </c>
      <c r="FM1" s="84">
        <v>516</v>
      </c>
      <c r="FN1" s="84">
        <v>518</v>
      </c>
      <c r="FO1" s="84">
        <v>520</v>
      </c>
      <c r="FP1" s="84">
        <v>522</v>
      </c>
      <c r="FQ1" s="84">
        <v>524</v>
      </c>
      <c r="FR1" s="84">
        <v>526</v>
      </c>
      <c r="FS1" s="84">
        <v>528</v>
      </c>
      <c r="FT1" s="84">
        <v>530</v>
      </c>
      <c r="FU1" s="84">
        <v>532</v>
      </c>
      <c r="FV1" s="84">
        <v>534</v>
      </c>
      <c r="FW1" s="84">
        <v>536</v>
      </c>
      <c r="FX1" s="84">
        <v>538</v>
      </c>
      <c r="FY1" s="84">
        <v>540</v>
      </c>
      <c r="FZ1" s="84">
        <v>542</v>
      </c>
      <c r="GA1" s="84">
        <v>544</v>
      </c>
      <c r="GB1" s="84">
        <v>546</v>
      </c>
      <c r="GC1" s="84">
        <v>548</v>
      </c>
      <c r="GD1" s="84">
        <v>550</v>
      </c>
      <c r="GE1" s="84">
        <v>552</v>
      </c>
      <c r="GF1" s="84">
        <v>554</v>
      </c>
      <c r="GG1" s="84">
        <v>556</v>
      </c>
      <c r="GH1" s="84">
        <v>558</v>
      </c>
      <c r="GI1" s="84">
        <v>560</v>
      </c>
      <c r="GJ1" s="84">
        <v>562</v>
      </c>
      <c r="GK1" s="84">
        <v>564</v>
      </c>
      <c r="GL1" s="84">
        <v>566</v>
      </c>
      <c r="GM1" s="84">
        <v>568</v>
      </c>
      <c r="GN1" s="84">
        <v>570</v>
      </c>
      <c r="GO1" s="84">
        <v>572</v>
      </c>
      <c r="GP1" s="84">
        <v>574</v>
      </c>
      <c r="GQ1" s="84">
        <v>576</v>
      </c>
      <c r="GR1" s="84">
        <v>578</v>
      </c>
      <c r="GS1" s="84">
        <v>580</v>
      </c>
      <c r="GT1" s="84">
        <v>582</v>
      </c>
      <c r="GU1" s="84">
        <v>584</v>
      </c>
      <c r="GV1" s="84">
        <v>586</v>
      </c>
      <c r="GW1" s="84">
        <v>588</v>
      </c>
      <c r="GX1" s="84">
        <v>590</v>
      </c>
      <c r="GY1" s="84">
        <v>592</v>
      </c>
      <c r="GZ1" s="84">
        <v>594</v>
      </c>
      <c r="HA1" s="84">
        <v>596</v>
      </c>
      <c r="HB1" s="84">
        <v>598</v>
      </c>
      <c r="HC1" s="84">
        <v>600</v>
      </c>
      <c r="HD1" s="84">
        <v>602</v>
      </c>
      <c r="HE1" s="84">
        <v>604</v>
      </c>
      <c r="HF1" s="84">
        <v>606</v>
      </c>
      <c r="HG1" s="84">
        <v>608</v>
      </c>
      <c r="HH1" s="84">
        <v>610</v>
      </c>
      <c r="HI1" s="84">
        <v>612</v>
      </c>
      <c r="HJ1" s="84">
        <v>614</v>
      </c>
      <c r="HK1" s="84">
        <v>616</v>
      </c>
      <c r="HL1" s="84">
        <v>618</v>
      </c>
      <c r="HM1" s="84">
        <v>620</v>
      </c>
      <c r="HN1" s="84">
        <v>622</v>
      </c>
      <c r="HO1" s="84">
        <v>624</v>
      </c>
      <c r="HP1" s="84">
        <v>626</v>
      </c>
      <c r="HQ1" s="84">
        <v>628</v>
      </c>
      <c r="HR1" s="84">
        <v>630</v>
      </c>
      <c r="HS1" s="84">
        <v>632</v>
      </c>
      <c r="HT1" s="84">
        <v>634</v>
      </c>
      <c r="HU1" s="84">
        <v>636</v>
      </c>
      <c r="HV1" s="84">
        <v>638</v>
      </c>
      <c r="HW1" s="84">
        <v>640</v>
      </c>
      <c r="HX1" s="5" t="s">
        <v>97</v>
      </c>
    </row>
  </sheetData>
  <autoFilter ref="B1:HX1" xr:uid="{00000000-0009-0000-0000-00000600000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DbaseLoad">
                <anchor moveWithCells="1" sizeWithCells="1">
                  <from>
                    <xdr:col>0</xdr:col>
                    <xdr:colOff>1390650</xdr:colOff>
                    <xdr:row>4</xdr:row>
                    <xdr:rowOff>180975</xdr:rowOff>
                  </from>
                  <to>
                    <xdr:col>0</xdr:col>
                    <xdr:colOff>2371725</xdr:colOff>
                    <xdr:row>7</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DbaseAppend">
                <anchor moveWithCells="1" sizeWithCells="1">
                  <from>
                    <xdr:col>0</xdr:col>
                    <xdr:colOff>1390650</xdr:colOff>
                    <xdr:row>8</xdr:row>
                    <xdr:rowOff>0</xdr:rowOff>
                  </from>
                  <to>
                    <xdr:col>0</xdr:col>
                    <xdr:colOff>2371725</xdr:colOff>
                    <xdr:row>10</xdr:row>
                    <xdr:rowOff>9525</xdr:rowOff>
                  </to>
                </anchor>
              </controlPr>
            </control>
          </mc:Choice>
        </mc:AlternateContent>
        <mc:AlternateContent xmlns:mc="http://schemas.openxmlformats.org/markup-compatibility/2006">
          <mc:Choice Requires="x14">
            <control shapeId="14339" r:id="rId5" name="Button 3">
              <controlPr defaultSize="0" print="0" autoFill="0" autoPict="0" macro="[0]!DbaseSave">
                <anchor moveWithCells="1" sizeWithCells="1">
                  <from>
                    <xdr:col>0</xdr:col>
                    <xdr:colOff>1390650</xdr:colOff>
                    <xdr:row>11</xdr:row>
                    <xdr:rowOff>0</xdr:rowOff>
                  </from>
                  <to>
                    <xdr:col>0</xdr:col>
                    <xdr:colOff>2371725</xdr:colOff>
                    <xdr:row>13</xdr:row>
                    <xdr:rowOff>9525</xdr:rowOff>
                  </to>
                </anchor>
              </controlPr>
            </control>
          </mc:Choice>
        </mc:AlternateContent>
        <mc:AlternateContent xmlns:mc="http://schemas.openxmlformats.org/markup-compatibility/2006">
          <mc:Choice Requires="x14">
            <control shapeId="14340" r:id="rId6" name="Button 4">
              <controlPr defaultSize="0" print="0" autoFill="0" autoPict="0" macro="[0]!DbaseClear">
                <anchor moveWithCells="1" sizeWithCells="1">
                  <from>
                    <xdr:col>0</xdr:col>
                    <xdr:colOff>1390650</xdr:colOff>
                    <xdr:row>14</xdr:row>
                    <xdr:rowOff>9525</xdr:rowOff>
                  </from>
                  <to>
                    <xdr:col>0</xdr:col>
                    <xdr:colOff>2371725</xdr:colOff>
                    <xdr:row>16</xdr:row>
                    <xdr:rowOff>19050</xdr:rowOff>
                  </to>
                </anchor>
              </controlPr>
            </control>
          </mc:Choice>
        </mc:AlternateContent>
        <mc:AlternateContent xmlns:mc="http://schemas.openxmlformats.org/markup-compatibility/2006">
          <mc:Choice Requires="x14">
            <control shapeId="14341" r:id="rId7" name="Button 5">
              <controlPr defaultSize="0" print="0" autoFill="0" autoPict="0" macro="[0]!DbaseAdd">
                <anchor moveWithCells="1" sizeWithCells="1">
                  <from>
                    <xdr:col>0</xdr:col>
                    <xdr:colOff>1390650</xdr:colOff>
                    <xdr:row>1</xdr:row>
                    <xdr:rowOff>171450</xdr:rowOff>
                  </from>
                  <to>
                    <xdr:col>0</xdr:col>
                    <xdr:colOff>2371725</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U37"/>
  <sheetViews>
    <sheetView zoomScaleNormal="100" workbookViewId="0"/>
  </sheetViews>
  <sheetFormatPr defaultRowHeight="15" x14ac:dyDescent="0.25"/>
  <cols>
    <col min="1" max="10" width="11" customWidth="1"/>
  </cols>
  <sheetData>
    <row r="1" spans="1:18" x14ac:dyDescent="0.25">
      <c r="A1" s="117"/>
      <c r="B1" s="118"/>
      <c r="C1" s="118"/>
      <c r="D1" s="118"/>
      <c r="E1" s="118"/>
      <c r="F1" s="118"/>
      <c r="G1" s="118"/>
      <c r="H1" s="119"/>
      <c r="I1" s="119"/>
      <c r="J1" s="119"/>
      <c r="K1" s="120"/>
      <c r="L1" s="120"/>
      <c r="M1" s="120"/>
      <c r="N1" s="120"/>
      <c r="O1" s="120"/>
      <c r="P1" s="53" t="s">
        <v>94</v>
      </c>
    </row>
    <row r="2" spans="1:18" x14ac:dyDescent="0.25">
      <c r="A2" s="118"/>
      <c r="B2" s="117"/>
      <c r="C2" s="117"/>
      <c r="D2" s="117"/>
      <c r="E2" s="117"/>
      <c r="F2" s="117"/>
      <c r="G2" s="117"/>
      <c r="H2" s="117"/>
      <c r="I2" s="117"/>
      <c r="J2" s="117"/>
      <c r="K2" s="120"/>
      <c r="L2" s="120"/>
      <c r="M2" s="120"/>
      <c r="N2" s="120"/>
      <c r="O2" s="120"/>
    </row>
    <row r="3" spans="1:18" x14ac:dyDescent="0.25">
      <c r="A3" s="118"/>
      <c r="B3" s="117"/>
      <c r="C3" s="117"/>
      <c r="D3" s="117"/>
      <c r="E3" s="117"/>
      <c r="F3" s="117"/>
      <c r="G3" s="117"/>
      <c r="H3" s="117"/>
      <c r="I3" s="117"/>
      <c r="J3" s="117"/>
      <c r="K3" s="120"/>
      <c r="L3" s="120"/>
      <c r="M3" s="120"/>
      <c r="N3" s="120"/>
      <c r="O3" s="120"/>
    </row>
    <row r="4" spans="1:18" ht="15.75" thickBot="1" x14ac:dyDescent="0.3">
      <c r="A4" s="118"/>
      <c r="B4" s="117"/>
      <c r="C4" s="117"/>
      <c r="D4" s="117"/>
      <c r="E4" s="117"/>
      <c r="F4" s="117"/>
      <c r="G4" s="117"/>
      <c r="H4" s="117"/>
      <c r="I4" s="117"/>
      <c r="J4" s="117"/>
      <c r="K4" s="120"/>
      <c r="L4" s="120"/>
      <c r="M4" s="120"/>
      <c r="N4" s="120"/>
      <c r="O4" s="120"/>
    </row>
    <row r="5" spans="1:18" ht="15.75" thickBot="1" x14ac:dyDescent="0.3">
      <c r="A5" s="118"/>
      <c r="B5" s="117"/>
      <c r="C5" s="117"/>
      <c r="D5" s="117"/>
      <c r="E5" s="117"/>
      <c r="F5" s="117"/>
      <c r="G5" s="117"/>
      <c r="H5" s="117"/>
      <c r="I5" s="117"/>
      <c r="J5" s="117"/>
      <c r="K5" s="120"/>
      <c r="L5" s="120"/>
      <c r="M5" s="120"/>
      <c r="N5" s="120"/>
      <c r="O5" s="120"/>
      <c r="P5" s="62" t="s">
        <v>32</v>
      </c>
      <c r="Q5" s="49"/>
      <c r="R5" s="2">
        <v>1</v>
      </c>
    </row>
    <row r="6" spans="1:18" ht="15.75" thickBot="1" x14ac:dyDescent="0.3">
      <c r="A6" s="118"/>
      <c r="B6" s="117"/>
      <c r="C6" s="117"/>
      <c r="D6" s="117"/>
      <c r="E6" s="117"/>
      <c r="F6" s="117"/>
      <c r="G6" s="117"/>
      <c r="H6" s="117"/>
      <c r="I6" s="117"/>
      <c r="J6" s="117"/>
      <c r="K6" s="120"/>
      <c r="L6" s="120"/>
      <c r="M6" s="120"/>
      <c r="N6" s="120"/>
      <c r="O6" s="120"/>
      <c r="P6" s="62" t="s">
        <v>0</v>
      </c>
      <c r="Q6" s="49"/>
      <c r="R6" s="2">
        <v>1</v>
      </c>
    </row>
    <row r="7" spans="1:18" ht="15.75" thickBot="1" x14ac:dyDescent="0.3">
      <c r="A7" s="118"/>
      <c r="B7" s="117"/>
      <c r="C7" s="117"/>
      <c r="D7" s="117"/>
      <c r="E7" s="117"/>
      <c r="F7" s="117"/>
      <c r="G7" s="117"/>
      <c r="H7" s="117"/>
      <c r="I7" s="117"/>
      <c r="J7" s="117"/>
      <c r="K7" s="120"/>
      <c r="L7" s="120"/>
      <c r="M7" s="120"/>
      <c r="N7" s="120"/>
      <c r="O7" s="120"/>
      <c r="P7" s="62" t="s">
        <v>1</v>
      </c>
      <c r="Q7" s="49"/>
      <c r="R7" s="2">
        <v>1</v>
      </c>
    </row>
    <row r="8" spans="1:18" ht="15.75" thickBot="1" x14ac:dyDescent="0.3">
      <c r="A8" s="119"/>
      <c r="B8" s="117"/>
      <c r="C8" s="117"/>
      <c r="D8" s="117"/>
      <c r="E8" s="117"/>
      <c r="F8" s="117"/>
      <c r="G8" s="117"/>
      <c r="H8" s="117"/>
      <c r="I8" s="117"/>
      <c r="J8" s="117"/>
      <c r="K8" s="120"/>
      <c r="L8" s="120"/>
      <c r="M8" s="120"/>
      <c r="N8" s="120"/>
      <c r="O8" s="120"/>
      <c r="P8" s="62" t="s">
        <v>2</v>
      </c>
      <c r="Q8" s="49"/>
      <c r="R8" s="2"/>
    </row>
    <row r="9" spans="1:18" ht="15.75" thickBot="1" x14ac:dyDescent="0.3">
      <c r="A9" s="119"/>
      <c r="B9" s="117"/>
      <c r="C9" s="117"/>
      <c r="D9" s="117"/>
      <c r="E9" s="117"/>
      <c r="F9" s="117"/>
      <c r="G9" s="117"/>
      <c r="H9" s="117"/>
      <c r="I9" s="117"/>
      <c r="J9" s="117"/>
      <c r="K9" s="120"/>
      <c r="L9" s="120"/>
      <c r="M9" s="120"/>
      <c r="N9" s="120"/>
      <c r="O9" s="120"/>
      <c r="P9" s="62" t="s">
        <v>3</v>
      </c>
      <c r="Q9" s="49"/>
      <c r="R9" s="2"/>
    </row>
    <row r="10" spans="1:18" ht="15.75" thickBot="1" x14ac:dyDescent="0.3">
      <c r="A10" s="119"/>
      <c r="B10" s="117"/>
      <c r="C10" s="117"/>
      <c r="D10" s="117"/>
      <c r="E10" s="117"/>
      <c r="F10" s="117"/>
      <c r="G10" s="117"/>
      <c r="H10" s="117"/>
      <c r="I10" s="117"/>
      <c r="J10" s="117"/>
      <c r="K10" s="120"/>
      <c r="L10" s="120"/>
      <c r="M10" s="120"/>
      <c r="N10" s="120"/>
      <c r="O10" s="120"/>
      <c r="P10" s="62" t="s">
        <v>14</v>
      </c>
      <c r="Q10" s="49"/>
      <c r="R10" s="2"/>
    </row>
    <row r="11" spans="1:18" ht="15.75" thickBot="1" x14ac:dyDescent="0.3">
      <c r="A11" s="120"/>
      <c r="B11" s="120"/>
      <c r="C11" s="120"/>
      <c r="D11" s="120"/>
      <c r="E11" s="120"/>
      <c r="F11" s="120"/>
      <c r="G11" s="120"/>
      <c r="H11" s="120"/>
      <c r="I11" s="120"/>
      <c r="J11" s="120"/>
      <c r="K11" s="120"/>
      <c r="L11" s="120"/>
      <c r="M11" s="120"/>
      <c r="N11" s="120"/>
      <c r="O11" s="120"/>
      <c r="P11" s="62"/>
      <c r="Q11" s="49"/>
      <c r="R11" s="2"/>
    </row>
    <row r="12" spans="1:18" ht="15.75" thickBot="1" x14ac:dyDescent="0.3">
      <c r="A12" s="120"/>
      <c r="B12" s="120"/>
      <c r="C12" s="120"/>
      <c r="D12" s="120"/>
      <c r="E12" s="120"/>
      <c r="F12" s="120"/>
      <c r="G12" s="120"/>
      <c r="H12" s="120"/>
      <c r="I12" s="120"/>
      <c r="J12" s="120"/>
      <c r="K12" s="120"/>
      <c r="L12" s="120"/>
      <c r="M12" s="120"/>
      <c r="N12" s="120"/>
      <c r="O12" s="120"/>
      <c r="P12" s="62"/>
      <c r="Q12" s="49"/>
      <c r="R12" s="2"/>
    </row>
    <row r="13" spans="1:18" ht="15.75" thickBot="1" x14ac:dyDescent="0.3">
      <c r="A13" s="121"/>
      <c r="B13" s="120"/>
      <c r="C13" s="120"/>
      <c r="D13" s="118"/>
      <c r="E13" s="118"/>
      <c r="F13" s="122"/>
      <c r="G13" s="53" t="s">
        <v>96</v>
      </c>
      <c r="H13" s="54"/>
      <c r="I13" s="54"/>
      <c r="J13" s="54"/>
      <c r="K13" s="54"/>
      <c r="L13" s="54"/>
      <c r="M13" s="54"/>
      <c r="N13" s="54"/>
      <c r="O13" s="85"/>
      <c r="P13" s="62" t="s">
        <v>9</v>
      </c>
      <c r="Q13" s="49"/>
      <c r="R13" s="2"/>
    </row>
    <row r="14" spans="1:18" ht="15.75" thickBot="1" x14ac:dyDescent="0.3">
      <c r="A14" s="120"/>
      <c r="B14" s="120"/>
      <c r="C14" s="120"/>
      <c r="D14" s="119"/>
      <c r="E14" s="119"/>
      <c r="F14" s="120"/>
      <c r="G14" s="124" t="s">
        <v>105</v>
      </c>
      <c r="H14" s="1"/>
      <c r="I14" s="1"/>
      <c r="J14" s="87" t="s">
        <v>103</v>
      </c>
      <c r="K14" s="1"/>
      <c r="L14" s="89" t="s">
        <v>106</v>
      </c>
      <c r="M14" s="1"/>
      <c r="N14" s="1"/>
      <c r="O14" s="1"/>
      <c r="P14" s="62"/>
      <c r="Q14" s="49"/>
      <c r="R14" s="2"/>
    </row>
    <row r="15" spans="1:18" ht="15.75" thickBot="1" x14ac:dyDescent="0.3">
      <c r="A15" s="120"/>
      <c r="B15" s="120"/>
      <c r="C15" s="120"/>
      <c r="D15" s="120"/>
      <c r="E15" s="120"/>
      <c r="F15" s="120"/>
      <c r="G15" s="125" t="s">
        <v>102</v>
      </c>
      <c r="H15" s="4"/>
      <c r="I15" s="49"/>
      <c r="J15" s="2">
        <v>500</v>
      </c>
      <c r="K15" s="1"/>
      <c r="L15" s="88" t="s">
        <v>104</v>
      </c>
      <c r="M15" s="2">
        <v>200</v>
      </c>
      <c r="N15" s="2">
        <v>500</v>
      </c>
      <c r="O15" s="50" t="s">
        <v>83</v>
      </c>
      <c r="P15" s="62" t="s">
        <v>12</v>
      </c>
      <c r="Q15" s="49"/>
      <c r="R15" s="2">
        <v>1</v>
      </c>
    </row>
    <row r="16" spans="1:18" ht="15.75" thickBot="1" x14ac:dyDescent="0.3">
      <c r="A16" s="123"/>
      <c r="B16" s="120"/>
      <c r="C16" s="120"/>
      <c r="D16" s="120"/>
      <c r="E16" s="120"/>
      <c r="F16" s="120"/>
      <c r="G16" s="125" t="s">
        <v>98</v>
      </c>
      <c r="H16" s="4"/>
      <c r="I16" s="49"/>
      <c r="J16" s="2">
        <v>1.5</v>
      </c>
      <c r="K16" s="1"/>
      <c r="L16" s="1"/>
      <c r="M16" s="1"/>
      <c r="N16" s="1"/>
      <c r="O16" s="1"/>
      <c r="P16" s="62" t="s">
        <v>6</v>
      </c>
      <c r="Q16" s="49"/>
      <c r="R16" s="2">
        <v>1</v>
      </c>
    </row>
    <row r="17" spans="1:20" ht="15.75" thickBot="1" x14ac:dyDescent="0.3">
      <c r="A17" s="120"/>
      <c r="B17" s="120"/>
      <c r="C17" s="120"/>
      <c r="D17" s="120"/>
      <c r="E17" s="120"/>
      <c r="F17" s="120"/>
      <c r="G17" s="125" t="s">
        <v>99</v>
      </c>
      <c r="H17" s="4"/>
      <c r="I17" s="49"/>
      <c r="J17" s="2">
        <v>300</v>
      </c>
      <c r="K17" s="1"/>
      <c r="L17" s="1"/>
      <c r="M17" s="1"/>
      <c r="N17" s="1"/>
      <c r="O17" s="1"/>
      <c r="P17" s="62" t="s">
        <v>15</v>
      </c>
      <c r="Q17" s="49"/>
      <c r="R17" s="2"/>
    </row>
    <row r="18" spans="1:20" ht="15.75" thickBot="1" x14ac:dyDescent="0.3">
      <c r="A18" s="59"/>
      <c r="B18" s="60"/>
      <c r="C18" s="60"/>
      <c r="D18" s="60"/>
      <c r="E18" s="60"/>
      <c r="F18" s="60"/>
      <c r="G18" s="125" t="s">
        <v>100</v>
      </c>
      <c r="H18" s="4"/>
      <c r="I18" s="49"/>
      <c r="J18" s="2">
        <v>300</v>
      </c>
      <c r="K18" s="1"/>
      <c r="L18" s="1"/>
      <c r="M18" s="1"/>
      <c r="N18" s="1"/>
      <c r="O18" s="1"/>
      <c r="P18" s="62" t="s">
        <v>4</v>
      </c>
      <c r="Q18" s="49"/>
      <c r="R18" s="2">
        <v>1</v>
      </c>
    </row>
    <row r="19" spans="1:20" ht="15.75" thickBot="1" x14ac:dyDescent="0.3">
      <c r="A19" s="53" t="s">
        <v>87</v>
      </c>
      <c r="B19" s="54"/>
      <c r="C19" s="54"/>
      <c r="D19" s="54"/>
      <c r="E19" s="54"/>
      <c r="F19" s="54"/>
      <c r="G19" s="125" t="s">
        <v>101</v>
      </c>
      <c r="H19" s="4"/>
      <c r="I19" s="49"/>
      <c r="J19" s="2">
        <v>10</v>
      </c>
      <c r="K19" s="88" t="s">
        <v>110</v>
      </c>
      <c r="L19" s="2">
        <v>2</v>
      </c>
      <c r="M19" s="88" t="s">
        <v>109</v>
      </c>
      <c r="N19" s="2">
        <v>2</v>
      </c>
      <c r="O19" s="86"/>
      <c r="P19" s="62"/>
      <c r="Q19" s="49"/>
      <c r="R19" s="2"/>
    </row>
    <row r="20" spans="1:20" ht="15.75" thickBot="1" x14ac:dyDescent="0.3">
      <c r="A20" s="55"/>
      <c r="B20" s="1"/>
      <c r="C20" s="1"/>
      <c r="D20" s="1"/>
      <c r="E20" s="1"/>
      <c r="F20" s="1"/>
      <c r="G20" s="126"/>
      <c r="H20" s="1"/>
      <c r="I20" s="1"/>
      <c r="J20" s="1"/>
      <c r="K20" s="1"/>
      <c r="L20" s="1"/>
      <c r="M20" s="1"/>
      <c r="N20" s="1"/>
      <c r="O20" s="1"/>
      <c r="P20" s="62"/>
      <c r="Q20" s="49"/>
      <c r="R20" s="2"/>
    </row>
    <row r="21" spans="1:20" ht="15.75" thickBot="1" x14ac:dyDescent="0.3">
      <c r="A21" s="57" t="s">
        <v>76</v>
      </c>
      <c r="B21" s="4"/>
      <c r="C21" s="49"/>
      <c r="D21" s="2">
        <v>5</v>
      </c>
      <c r="E21" s="50" t="s">
        <v>19</v>
      </c>
      <c r="F21" s="1"/>
      <c r="G21" s="125" t="s">
        <v>88</v>
      </c>
      <c r="H21" s="4"/>
      <c r="I21" s="49"/>
      <c r="J21" s="2">
        <v>10</v>
      </c>
      <c r="K21" s="50" t="s">
        <v>19</v>
      </c>
      <c r="L21" s="1"/>
      <c r="M21" s="1"/>
      <c r="N21" s="1"/>
      <c r="O21" s="1"/>
      <c r="P21" s="62" t="s">
        <v>31</v>
      </c>
      <c r="Q21" s="49"/>
      <c r="R21" s="2"/>
    </row>
    <row r="22" spans="1:20" ht="15.75" thickBot="1" x14ac:dyDescent="0.3">
      <c r="A22" s="57" t="s">
        <v>77</v>
      </c>
      <c r="B22" s="4"/>
      <c r="C22" s="49"/>
      <c r="D22" s="2">
        <v>0.1</v>
      </c>
      <c r="E22" s="50" t="s">
        <v>82</v>
      </c>
      <c r="F22" s="1"/>
      <c r="G22" s="125" t="s">
        <v>89</v>
      </c>
      <c r="H22" s="4"/>
      <c r="I22" s="49"/>
      <c r="J22" s="105" t="s">
        <v>43</v>
      </c>
      <c r="K22" s="106"/>
      <c r="L22" s="1"/>
      <c r="M22" s="1"/>
      <c r="N22" s="1"/>
      <c r="O22" s="56"/>
      <c r="P22" s="62" t="s">
        <v>41</v>
      </c>
      <c r="Q22" s="49"/>
      <c r="R22" s="2"/>
    </row>
    <row r="23" spans="1:20" ht="15.75" thickBot="1" x14ac:dyDescent="0.3">
      <c r="A23" s="57" t="s">
        <v>78</v>
      </c>
      <c r="B23" s="4"/>
      <c r="C23" s="49"/>
      <c r="D23" s="2">
        <v>5</v>
      </c>
      <c r="E23" s="50" t="s">
        <v>83</v>
      </c>
      <c r="F23" s="1"/>
      <c r="G23" s="126"/>
      <c r="L23" s="41"/>
      <c r="M23" s="1"/>
      <c r="N23" s="1"/>
      <c r="O23" s="56"/>
      <c r="P23" s="62" t="s">
        <v>48</v>
      </c>
      <c r="Q23" s="49"/>
      <c r="R23" s="2"/>
    </row>
    <row r="24" spans="1:20" ht="15.75" thickBot="1" x14ac:dyDescent="0.3">
      <c r="A24" s="58"/>
      <c r="B24" s="1"/>
      <c r="C24" s="1"/>
      <c r="D24" s="1"/>
      <c r="E24" s="50"/>
      <c r="F24" s="1"/>
      <c r="G24" s="127"/>
      <c r="H24" s="120"/>
      <c r="I24" s="120"/>
      <c r="J24" s="119"/>
      <c r="K24" s="1"/>
      <c r="L24" s="1"/>
      <c r="M24" s="1"/>
      <c r="N24" s="1"/>
      <c r="O24" s="56"/>
    </row>
    <row r="25" spans="1:20" ht="15.75" thickBot="1" x14ac:dyDescent="0.3">
      <c r="A25" s="57" t="s">
        <v>79</v>
      </c>
      <c r="B25" s="4"/>
      <c r="C25" s="49"/>
      <c r="D25" s="2">
        <v>5</v>
      </c>
      <c r="E25" s="50" t="s">
        <v>19</v>
      </c>
      <c r="F25" s="1"/>
      <c r="G25" s="127"/>
      <c r="H25" s="120"/>
      <c r="I25" s="120"/>
      <c r="J25" s="119"/>
      <c r="K25" s="41"/>
      <c r="L25" s="50"/>
      <c r="M25" s="1"/>
      <c r="N25" s="1"/>
      <c r="O25" s="1"/>
      <c r="P25" s="94" t="s">
        <v>128</v>
      </c>
    </row>
    <row r="26" spans="1:20" ht="15.75" thickBot="1" x14ac:dyDescent="0.3">
      <c r="A26" s="57" t="s">
        <v>80</v>
      </c>
      <c r="B26" s="4"/>
      <c r="C26" s="49"/>
      <c r="D26" s="2">
        <v>0.1</v>
      </c>
      <c r="E26" s="50" t="s">
        <v>82</v>
      </c>
      <c r="F26" s="1"/>
      <c r="G26" s="127"/>
      <c r="H26" s="120"/>
      <c r="I26" s="120"/>
      <c r="J26" s="119"/>
      <c r="K26" s="1"/>
      <c r="L26" s="1"/>
      <c r="M26" s="1"/>
      <c r="N26" s="1"/>
      <c r="O26" s="56"/>
    </row>
    <row r="27" spans="1:20" ht="15.75" thickBot="1" x14ac:dyDescent="0.3">
      <c r="A27" s="57" t="s">
        <v>81</v>
      </c>
      <c r="B27" s="4"/>
      <c r="C27" s="49"/>
      <c r="D27" s="2">
        <v>5</v>
      </c>
      <c r="E27" s="50" t="s">
        <v>83</v>
      </c>
      <c r="F27" s="1"/>
      <c r="G27" s="128"/>
      <c r="H27" s="120"/>
      <c r="I27" s="120"/>
      <c r="J27" s="120"/>
      <c r="K27" s="1"/>
      <c r="L27" s="1"/>
      <c r="M27" s="1"/>
      <c r="N27" s="1"/>
      <c r="O27" s="1"/>
      <c r="P27" s="115" t="s">
        <v>117</v>
      </c>
      <c r="Q27" s="116"/>
      <c r="R27" s="2">
        <v>100</v>
      </c>
      <c r="T27" t="s">
        <v>118</v>
      </c>
    </row>
    <row r="28" spans="1:20" ht="15.75" thickBot="1" x14ac:dyDescent="0.3">
      <c r="A28" s="57" t="s">
        <v>84</v>
      </c>
      <c r="B28" s="4"/>
      <c r="C28" s="49"/>
      <c r="D28" s="2">
        <v>1</v>
      </c>
      <c r="E28" s="50"/>
      <c r="F28" s="1"/>
      <c r="G28" s="62" t="s">
        <v>107</v>
      </c>
      <c r="H28" s="4"/>
      <c r="I28" s="49"/>
      <c r="J28" s="2">
        <v>1</v>
      </c>
      <c r="K28" s="50" t="s">
        <v>108</v>
      </c>
      <c r="L28" s="1"/>
      <c r="M28" s="1"/>
      <c r="N28" s="1"/>
      <c r="O28" s="1"/>
      <c r="P28" s="115" t="s">
        <v>1</v>
      </c>
      <c r="Q28" s="116"/>
      <c r="R28" s="2">
        <v>0</v>
      </c>
      <c r="T28" t="s">
        <v>119</v>
      </c>
    </row>
    <row r="29" spans="1:20" ht="15.75" thickBot="1" x14ac:dyDescent="0.3">
      <c r="A29" s="57" t="s">
        <v>85</v>
      </c>
      <c r="B29" s="4"/>
      <c r="C29" s="49"/>
      <c r="D29" s="2">
        <v>1</v>
      </c>
      <c r="E29" s="50"/>
      <c r="F29" s="1"/>
      <c r="G29" s="55"/>
      <c r="K29" s="1"/>
      <c r="L29" s="1"/>
      <c r="M29" s="1"/>
      <c r="N29" s="1"/>
      <c r="O29" s="1"/>
      <c r="P29" s="115" t="s">
        <v>120</v>
      </c>
      <c r="Q29" s="116"/>
      <c r="R29" s="2">
        <v>0</v>
      </c>
      <c r="S29" t="s">
        <v>19</v>
      </c>
      <c r="T29" t="s">
        <v>121</v>
      </c>
    </row>
    <row r="30" spans="1:20" ht="15.75" thickBot="1" x14ac:dyDescent="0.3">
      <c r="A30" s="58"/>
      <c r="B30" s="1"/>
      <c r="C30" s="1"/>
      <c r="D30" s="1"/>
      <c r="E30" s="50"/>
      <c r="F30" s="1"/>
      <c r="G30" s="62" t="s">
        <v>129</v>
      </c>
      <c r="H30" s="4"/>
      <c r="I30" s="49"/>
      <c r="J30" s="2">
        <v>100</v>
      </c>
      <c r="K30" s="1"/>
      <c r="L30" s="1"/>
      <c r="M30" s="1"/>
      <c r="N30" s="1"/>
      <c r="O30" s="1"/>
      <c r="P30" s="115" t="s">
        <v>31</v>
      </c>
      <c r="Q30" s="116"/>
      <c r="R30" s="2">
        <v>0</v>
      </c>
      <c r="T30" t="s">
        <v>122</v>
      </c>
    </row>
    <row r="31" spans="1:20" ht="15.75" thickBot="1" x14ac:dyDescent="0.3">
      <c r="A31" s="50"/>
      <c r="B31" s="1"/>
      <c r="C31" s="1"/>
      <c r="D31" s="41"/>
      <c r="E31" s="50"/>
      <c r="F31" s="56"/>
      <c r="G31" s="55"/>
      <c r="H31" s="1"/>
      <c r="I31" s="1"/>
      <c r="J31" s="1"/>
      <c r="K31" s="1"/>
      <c r="L31" s="1"/>
      <c r="M31" s="1"/>
      <c r="N31" s="1"/>
      <c r="O31" s="1"/>
      <c r="P31" s="113" t="s">
        <v>41</v>
      </c>
      <c r="Q31" s="114"/>
      <c r="R31" s="2">
        <v>0</v>
      </c>
      <c r="S31" t="s">
        <v>19</v>
      </c>
      <c r="T31" t="s">
        <v>123</v>
      </c>
    </row>
    <row r="32" spans="1:20" ht="15.75" thickBot="1" x14ac:dyDescent="0.3">
      <c r="A32" s="50"/>
      <c r="B32" s="1"/>
      <c r="C32" s="1"/>
      <c r="D32" s="41"/>
      <c r="E32" s="50"/>
      <c r="F32" s="56"/>
      <c r="G32" s="55"/>
      <c r="H32" s="1"/>
      <c r="I32" s="1"/>
      <c r="J32" s="1"/>
      <c r="K32" s="1"/>
      <c r="L32" s="1"/>
      <c r="M32" s="1"/>
      <c r="N32" s="1"/>
      <c r="O32" s="1"/>
      <c r="P32" s="113" t="s">
        <v>124</v>
      </c>
      <c r="Q32" s="114"/>
      <c r="R32" s="95">
        <v>0.5</v>
      </c>
      <c r="S32" t="s">
        <v>108</v>
      </c>
      <c r="T32" t="s">
        <v>125</v>
      </c>
    </row>
    <row r="33" spans="1:21" ht="15.75" thickBot="1" x14ac:dyDescent="0.3">
      <c r="A33" s="50"/>
      <c r="B33" s="1"/>
      <c r="C33" s="1"/>
      <c r="D33" s="41"/>
      <c r="E33" s="50"/>
      <c r="F33" s="56"/>
      <c r="G33" s="55"/>
      <c r="H33" s="1"/>
      <c r="I33" s="1"/>
      <c r="J33" s="1"/>
      <c r="K33" s="1"/>
      <c r="L33" s="1"/>
      <c r="M33" s="1"/>
      <c r="N33" s="1"/>
      <c r="O33" s="1"/>
      <c r="P33" s="113" t="s">
        <v>126</v>
      </c>
      <c r="Q33" s="114"/>
      <c r="R33" s="96">
        <v>14</v>
      </c>
      <c r="S33" t="s">
        <v>108</v>
      </c>
      <c r="T33" t="s">
        <v>127</v>
      </c>
    </row>
    <row r="34" spans="1:21" ht="8.25" customHeight="1" x14ac:dyDescent="0.25">
      <c r="A34" s="55"/>
      <c r="B34" s="1"/>
      <c r="C34" s="1"/>
      <c r="D34" s="1"/>
      <c r="E34" s="1"/>
      <c r="F34" s="56"/>
      <c r="G34" s="55"/>
      <c r="H34" s="1"/>
      <c r="I34" s="1"/>
      <c r="J34" s="1"/>
      <c r="K34" s="1"/>
      <c r="L34" s="1"/>
      <c r="M34" s="1"/>
      <c r="N34" s="1"/>
      <c r="O34" s="56"/>
    </row>
    <row r="35" spans="1:21" ht="15.75" thickBot="1" x14ac:dyDescent="0.3">
      <c r="A35" s="55"/>
      <c r="B35" s="1"/>
      <c r="C35" s="1"/>
      <c r="D35" s="1"/>
      <c r="E35" s="1"/>
      <c r="F35" s="56"/>
      <c r="G35" s="55"/>
      <c r="H35" s="1"/>
      <c r="I35" s="1"/>
      <c r="J35" s="1"/>
      <c r="K35" s="1"/>
      <c r="L35" s="1"/>
      <c r="M35" s="1"/>
      <c r="N35" s="1"/>
      <c r="O35" s="56"/>
      <c r="P35" s="94" t="s">
        <v>131</v>
      </c>
      <c r="T35" s="103" t="s">
        <v>132</v>
      </c>
    </row>
    <row r="36" spans="1:21" x14ac:dyDescent="0.25">
      <c r="A36" s="55"/>
      <c r="B36" s="1"/>
      <c r="C36" s="1"/>
      <c r="D36" s="1"/>
      <c r="E36" s="1"/>
      <c r="F36" s="56"/>
      <c r="G36" s="55"/>
      <c r="H36" s="1"/>
      <c r="I36" s="1"/>
      <c r="J36" s="1"/>
      <c r="K36" s="1"/>
      <c r="L36" s="1"/>
      <c r="M36" s="1"/>
      <c r="N36" s="1"/>
      <c r="O36" s="1"/>
      <c r="P36" s="97"/>
      <c r="Q36" s="98"/>
      <c r="R36" s="99"/>
      <c r="T36" s="97"/>
      <c r="U36" s="99"/>
    </row>
    <row r="37" spans="1:21" ht="15.75" thickBot="1" x14ac:dyDescent="0.3">
      <c r="A37" s="59"/>
      <c r="B37" s="60"/>
      <c r="C37" s="60"/>
      <c r="D37" s="60"/>
      <c r="E37" s="60"/>
      <c r="F37" s="61"/>
      <c r="G37" s="59"/>
      <c r="H37" s="60"/>
      <c r="I37" s="60"/>
      <c r="J37" s="60"/>
      <c r="K37" s="60"/>
      <c r="L37" s="60"/>
      <c r="M37" s="60"/>
      <c r="N37" s="60"/>
      <c r="O37" s="60"/>
      <c r="P37" s="100"/>
      <c r="Q37" s="101"/>
      <c r="R37" s="102"/>
      <c r="T37" s="100"/>
      <c r="U37" s="102"/>
    </row>
  </sheetData>
  <mergeCells count="8">
    <mergeCell ref="P31:Q31"/>
    <mergeCell ref="P32:Q32"/>
    <mergeCell ref="P33:Q33"/>
    <mergeCell ref="J22:K22"/>
    <mergeCell ref="P27:Q27"/>
    <mergeCell ref="P28:Q28"/>
    <mergeCell ref="P29:Q29"/>
    <mergeCell ref="P30:Q30"/>
  </mergeCells>
  <dataValidations disablePrompts="1" count="1">
    <dataValidation allowBlank="1" showInputMessage="1" sqref="L23" xr:uid="{00000000-0002-0000-0700-000000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UpdatePeakLabels_Peaksheet">
                <anchor moveWithCells="1" sizeWithCells="1">
                  <from>
                    <xdr:col>0</xdr:col>
                    <xdr:colOff>114300</xdr:colOff>
                    <xdr:row>34</xdr:row>
                    <xdr:rowOff>28575</xdr:rowOff>
                  </from>
                  <to>
                    <xdr:col>1</xdr:col>
                    <xdr:colOff>600075</xdr:colOff>
                    <xdr:row>35</xdr:row>
                    <xdr:rowOff>161925</xdr:rowOff>
                  </to>
                </anchor>
              </controlPr>
            </control>
          </mc:Choice>
        </mc:AlternateContent>
        <mc:AlternateContent xmlns:mc="http://schemas.openxmlformats.org/markup-compatibility/2006">
          <mc:Choice Requires="x14">
            <control shapeId="2052" r:id="rId5" name="Check Box 4">
              <controlPr defaultSize="0" autoFill="0" autoLine="0" autoPict="0">
                <anchor moveWithCells="1">
                  <from>
                    <xdr:col>11</xdr:col>
                    <xdr:colOff>9525</xdr:colOff>
                    <xdr:row>20</xdr:row>
                    <xdr:rowOff>0</xdr:rowOff>
                  </from>
                  <to>
                    <xdr:col>13</xdr:col>
                    <xdr:colOff>581025</xdr:colOff>
                    <xdr:row>21</xdr:row>
                    <xdr:rowOff>0</xdr:rowOff>
                  </to>
                </anchor>
              </controlPr>
            </control>
          </mc:Choice>
        </mc:AlternateContent>
        <mc:AlternateContent xmlns:mc="http://schemas.openxmlformats.org/markup-compatibility/2006">
          <mc:Choice Requires="x14">
            <control shapeId="2053" r:id="rId6" name="Check Box 5">
              <controlPr defaultSize="0" autoFill="0" autoLine="0" autoPict="0">
                <anchor moveWithCells="1">
                  <from>
                    <xdr:col>11</xdr:col>
                    <xdr:colOff>0</xdr:colOff>
                    <xdr:row>23</xdr:row>
                    <xdr:rowOff>9525</xdr:rowOff>
                  </from>
                  <to>
                    <xdr:col>13</xdr:col>
                    <xdr:colOff>600075</xdr:colOff>
                    <xdr:row>24</xdr:row>
                    <xdr:rowOff>9525</xdr:rowOff>
                  </to>
                </anchor>
              </controlPr>
            </control>
          </mc:Choice>
        </mc:AlternateContent>
        <mc:AlternateContent xmlns:mc="http://schemas.openxmlformats.org/markup-compatibility/2006">
          <mc:Choice Requires="x14">
            <control shapeId="2054" r:id="rId7" name="Check Box 6">
              <controlPr defaultSize="0" autoFill="0" autoLine="0" autoPict="0">
                <anchor moveWithCells="1">
                  <from>
                    <xdr:col>11</xdr:col>
                    <xdr:colOff>0</xdr:colOff>
                    <xdr:row>24</xdr:row>
                    <xdr:rowOff>9525</xdr:rowOff>
                  </from>
                  <to>
                    <xdr:col>13</xdr:col>
                    <xdr:colOff>600075</xdr:colOff>
                    <xdr:row>25</xdr:row>
                    <xdr:rowOff>9525</xdr:rowOff>
                  </to>
                </anchor>
              </controlPr>
            </control>
          </mc:Choice>
        </mc:AlternateContent>
        <mc:AlternateContent xmlns:mc="http://schemas.openxmlformats.org/markup-compatibility/2006">
          <mc:Choice Requires="x14">
            <control shapeId="2055" r:id="rId8" name="Check Box 7">
              <controlPr defaultSize="0" autoFill="0" autoLine="0" autoPict="0">
                <anchor moveWithCells="1">
                  <from>
                    <xdr:col>15</xdr:col>
                    <xdr:colOff>28575</xdr:colOff>
                    <xdr:row>1</xdr:row>
                    <xdr:rowOff>180975</xdr:rowOff>
                  </from>
                  <to>
                    <xdr:col>17</xdr:col>
                    <xdr:colOff>600075</xdr:colOff>
                    <xdr:row>3</xdr:row>
                    <xdr:rowOff>0</xdr:rowOff>
                  </to>
                </anchor>
              </controlPr>
            </control>
          </mc:Choice>
        </mc:AlternateContent>
        <mc:AlternateContent xmlns:mc="http://schemas.openxmlformats.org/markup-compatibility/2006">
          <mc:Choice Requires="x14">
            <control shapeId="2056" r:id="rId9" name="Option Button 8">
              <controlPr defaultSize="0" autoFill="0" autoLine="0" autoPict="0">
                <anchor moveWithCells="1">
                  <from>
                    <xdr:col>8</xdr:col>
                    <xdr:colOff>247650</xdr:colOff>
                    <xdr:row>14</xdr:row>
                    <xdr:rowOff>0</xdr:rowOff>
                  </from>
                  <to>
                    <xdr:col>8</xdr:col>
                    <xdr:colOff>466725</xdr:colOff>
                    <xdr:row>15</xdr:row>
                    <xdr:rowOff>0</xdr:rowOff>
                  </to>
                </anchor>
              </controlPr>
            </control>
          </mc:Choice>
        </mc:AlternateContent>
        <mc:AlternateContent xmlns:mc="http://schemas.openxmlformats.org/markup-compatibility/2006">
          <mc:Choice Requires="x14">
            <control shapeId="2057" r:id="rId10" name="Option Button 9">
              <controlPr defaultSize="0" autoFill="0" autoLine="0" autoPict="0">
                <anchor moveWithCells="1">
                  <from>
                    <xdr:col>8</xdr:col>
                    <xdr:colOff>247650</xdr:colOff>
                    <xdr:row>15</xdr:row>
                    <xdr:rowOff>0</xdr:rowOff>
                  </from>
                  <to>
                    <xdr:col>8</xdr:col>
                    <xdr:colOff>466725</xdr:colOff>
                    <xdr:row>16</xdr:row>
                    <xdr:rowOff>0</xdr:rowOff>
                  </to>
                </anchor>
              </controlPr>
            </control>
          </mc:Choice>
        </mc:AlternateContent>
        <mc:AlternateContent xmlns:mc="http://schemas.openxmlformats.org/markup-compatibility/2006">
          <mc:Choice Requires="x14">
            <control shapeId="2058" r:id="rId11" name="Option Button 10">
              <controlPr defaultSize="0" autoFill="0" autoLine="0" autoPict="0">
                <anchor moveWithCells="1">
                  <from>
                    <xdr:col>8</xdr:col>
                    <xdr:colOff>247650</xdr:colOff>
                    <xdr:row>15</xdr:row>
                    <xdr:rowOff>190500</xdr:rowOff>
                  </from>
                  <to>
                    <xdr:col>8</xdr:col>
                    <xdr:colOff>466725</xdr:colOff>
                    <xdr:row>16</xdr:row>
                    <xdr:rowOff>190500</xdr:rowOff>
                  </to>
                </anchor>
              </controlPr>
            </control>
          </mc:Choice>
        </mc:AlternateContent>
        <mc:AlternateContent xmlns:mc="http://schemas.openxmlformats.org/markup-compatibility/2006">
          <mc:Choice Requires="x14">
            <control shapeId="2059" r:id="rId12" name="Option Button 11">
              <controlPr defaultSize="0" autoFill="0" autoLine="0" autoPict="0">
                <anchor moveWithCells="1">
                  <from>
                    <xdr:col>8</xdr:col>
                    <xdr:colOff>247650</xdr:colOff>
                    <xdr:row>16</xdr:row>
                    <xdr:rowOff>180975</xdr:rowOff>
                  </from>
                  <to>
                    <xdr:col>8</xdr:col>
                    <xdr:colOff>466725</xdr:colOff>
                    <xdr:row>17</xdr:row>
                    <xdr:rowOff>180975</xdr:rowOff>
                  </to>
                </anchor>
              </controlPr>
            </control>
          </mc:Choice>
        </mc:AlternateContent>
        <mc:AlternateContent xmlns:mc="http://schemas.openxmlformats.org/markup-compatibility/2006">
          <mc:Choice Requires="x14">
            <control shapeId="2060" r:id="rId13" name="Option Button 12">
              <controlPr defaultSize="0" autoFill="0" autoLine="0" autoPict="0">
                <anchor moveWithCells="1">
                  <from>
                    <xdr:col>8</xdr:col>
                    <xdr:colOff>247650</xdr:colOff>
                    <xdr:row>17</xdr:row>
                    <xdr:rowOff>190500</xdr:rowOff>
                  </from>
                  <to>
                    <xdr:col>8</xdr:col>
                    <xdr:colOff>466725</xdr:colOff>
                    <xdr:row>18</xdr:row>
                    <xdr:rowOff>190500</xdr:rowOff>
                  </to>
                </anchor>
              </controlPr>
            </control>
          </mc:Choice>
        </mc:AlternateContent>
        <mc:AlternateContent xmlns:mc="http://schemas.openxmlformats.org/markup-compatibility/2006">
          <mc:Choice Requires="x14">
            <control shapeId="2061" r:id="rId14" name="Check Box 13">
              <controlPr defaultSize="0" autoFill="0" autoLine="0" autoPict="0">
                <anchor moveWithCells="1">
                  <from>
                    <xdr:col>11</xdr:col>
                    <xdr:colOff>0</xdr:colOff>
                    <xdr:row>25</xdr:row>
                    <xdr:rowOff>9525</xdr:rowOff>
                  </from>
                  <to>
                    <xdr:col>14</xdr:col>
                    <xdr:colOff>276225</xdr:colOff>
                    <xdr:row>26</xdr:row>
                    <xdr:rowOff>19050</xdr:rowOff>
                  </to>
                </anchor>
              </controlPr>
            </control>
          </mc:Choice>
        </mc:AlternateContent>
        <mc:AlternateContent xmlns:mc="http://schemas.openxmlformats.org/markup-compatibility/2006">
          <mc:Choice Requires="x14">
            <control shapeId="2063" r:id="rId15" name="Check Box 15">
              <controlPr defaultSize="0" autoFill="0" autoLine="0" autoPict="0">
                <anchor moveWithCells="1">
                  <from>
                    <xdr:col>11</xdr:col>
                    <xdr:colOff>0</xdr:colOff>
                    <xdr:row>26</xdr:row>
                    <xdr:rowOff>190500</xdr:rowOff>
                  </from>
                  <to>
                    <xdr:col>14</xdr:col>
                    <xdr:colOff>38100</xdr:colOff>
                    <xdr:row>28</xdr:row>
                    <xdr:rowOff>0</xdr:rowOff>
                  </to>
                </anchor>
              </controlPr>
            </control>
          </mc:Choice>
        </mc:AlternateContent>
        <mc:AlternateContent xmlns:mc="http://schemas.openxmlformats.org/markup-compatibility/2006">
          <mc:Choice Requires="x14">
            <control shapeId="2064" r:id="rId16" name="Check Box 16">
              <controlPr defaultSize="0" autoFill="0" autoLine="0" autoPict="0">
                <anchor moveWithCells="1">
                  <from>
                    <xdr:col>11</xdr:col>
                    <xdr:colOff>0</xdr:colOff>
                    <xdr:row>27</xdr:row>
                    <xdr:rowOff>190500</xdr:rowOff>
                  </from>
                  <to>
                    <xdr:col>14</xdr:col>
                    <xdr:colOff>38100</xdr:colOff>
                    <xdr:row>29</xdr:row>
                    <xdr:rowOff>0</xdr:rowOff>
                  </to>
                </anchor>
              </controlPr>
            </control>
          </mc:Choice>
        </mc:AlternateContent>
        <mc:AlternateContent xmlns:mc="http://schemas.openxmlformats.org/markup-compatibility/2006">
          <mc:Choice Requires="x14">
            <control shapeId="2065" r:id="rId17" name="Check Box 17">
              <controlPr defaultSize="0" autoFill="0" autoLine="0" autoPict="0">
                <anchor moveWithCells="1">
                  <from>
                    <xdr:col>11</xdr:col>
                    <xdr:colOff>9525</xdr:colOff>
                    <xdr:row>16</xdr:row>
                    <xdr:rowOff>104775</xdr:rowOff>
                  </from>
                  <to>
                    <xdr:col>14</xdr:col>
                    <xdr:colOff>285750</xdr:colOff>
                    <xdr:row>17</xdr:row>
                    <xdr:rowOff>114300</xdr:rowOff>
                  </to>
                </anchor>
              </controlPr>
            </control>
          </mc:Choice>
        </mc:AlternateContent>
        <mc:AlternateContent xmlns:mc="http://schemas.openxmlformats.org/markup-compatibility/2006">
          <mc:Choice Requires="x14">
            <control shapeId="2066" r:id="rId18" name="Check Box 18">
              <controlPr defaultSize="0" autoFill="0" autoLine="0" autoPict="0">
                <anchor moveWithCells="1">
                  <from>
                    <xdr:col>11</xdr:col>
                    <xdr:colOff>9525</xdr:colOff>
                    <xdr:row>15</xdr:row>
                    <xdr:rowOff>85725</xdr:rowOff>
                  </from>
                  <to>
                    <xdr:col>14</xdr:col>
                    <xdr:colOff>285750</xdr:colOff>
                    <xdr:row>16</xdr:row>
                    <xdr:rowOff>95250</xdr:rowOff>
                  </to>
                </anchor>
              </controlPr>
            </control>
          </mc:Choice>
        </mc:AlternateContent>
        <mc:AlternateContent xmlns:mc="http://schemas.openxmlformats.org/markup-compatibility/2006">
          <mc:Choice Requires="x14">
            <control shapeId="2067" r:id="rId19" name="Check Box 19">
              <controlPr defaultSize="0" autoFill="0" autoLine="0" autoPict="0">
                <anchor moveWithCells="1">
                  <from>
                    <xdr:col>15</xdr:col>
                    <xdr:colOff>9525</xdr:colOff>
                    <xdr:row>24</xdr:row>
                    <xdr:rowOff>180975</xdr:rowOff>
                  </from>
                  <to>
                    <xdr:col>17</xdr:col>
                    <xdr:colOff>581025</xdr:colOff>
                    <xdr:row>25</xdr:row>
                    <xdr:rowOff>180975</xdr:rowOff>
                  </to>
                </anchor>
              </controlPr>
            </control>
          </mc:Choice>
        </mc:AlternateContent>
        <mc:AlternateContent xmlns:mc="http://schemas.openxmlformats.org/markup-compatibility/2006">
          <mc:Choice Requires="x14">
            <control shapeId="2068" r:id="rId20" name="Option Button 20">
              <controlPr defaultSize="0" autoFill="0" autoLine="0" autoPict="0">
                <anchor moveWithCells="1" sizeWithCells="1">
                  <from>
                    <xdr:col>19</xdr:col>
                    <xdr:colOff>9525</xdr:colOff>
                    <xdr:row>35</xdr:row>
                    <xdr:rowOff>19050</xdr:rowOff>
                  </from>
                  <to>
                    <xdr:col>20</xdr:col>
                    <xdr:colOff>581025</xdr:colOff>
                    <xdr:row>35</xdr:row>
                    <xdr:rowOff>180975</xdr:rowOff>
                  </to>
                </anchor>
              </controlPr>
            </control>
          </mc:Choice>
        </mc:AlternateContent>
        <mc:AlternateContent xmlns:mc="http://schemas.openxmlformats.org/markup-compatibility/2006">
          <mc:Choice Requires="x14">
            <control shapeId="2069" r:id="rId21" name="Option Button 21">
              <controlPr defaultSize="0" autoFill="0" autoLine="0" autoPict="0">
                <anchor moveWithCells="1" sizeWithCells="1">
                  <from>
                    <xdr:col>19</xdr:col>
                    <xdr:colOff>9525</xdr:colOff>
                    <xdr:row>36</xdr:row>
                    <xdr:rowOff>19050</xdr:rowOff>
                  </from>
                  <to>
                    <xdr:col>20</xdr:col>
                    <xdr:colOff>600075</xdr:colOff>
                    <xdr:row>36</xdr:row>
                    <xdr:rowOff>171450</xdr:rowOff>
                  </to>
                </anchor>
              </controlPr>
            </control>
          </mc:Choice>
        </mc:AlternateContent>
        <mc:AlternateContent xmlns:mc="http://schemas.openxmlformats.org/markup-compatibility/2006">
          <mc:Choice Requires="x14">
            <control shapeId="2070" r:id="rId22" name="Check Box 22">
              <controlPr defaultSize="0" autoFill="0" autoLine="0" autoPict="0">
                <anchor moveWithCells="1" sizeWithCells="1">
                  <from>
                    <xdr:col>15</xdr:col>
                    <xdr:colOff>9525</xdr:colOff>
                    <xdr:row>35</xdr:row>
                    <xdr:rowOff>9525</xdr:rowOff>
                  </from>
                  <to>
                    <xdr:col>16</xdr:col>
                    <xdr:colOff>371475</xdr:colOff>
                    <xdr:row>35</xdr:row>
                    <xdr:rowOff>180975</xdr:rowOff>
                  </to>
                </anchor>
              </controlPr>
            </control>
          </mc:Choice>
        </mc:AlternateContent>
        <mc:AlternateContent xmlns:mc="http://schemas.openxmlformats.org/markup-compatibility/2006">
          <mc:Choice Requires="x14">
            <control shapeId="2071" r:id="rId23" name="Check Box 23">
              <controlPr defaultSize="0" autoFill="0" autoLine="0" autoPict="0">
                <anchor moveWithCells="1" sizeWithCells="1">
                  <from>
                    <xdr:col>15</xdr:col>
                    <xdr:colOff>9525</xdr:colOff>
                    <xdr:row>36</xdr:row>
                    <xdr:rowOff>9525</xdr:rowOff>
                  </from>
                  <to>
                    <xdr:col>16</xdr:col>
                    <xdr:colOff>371475</xdr:colOff>
                    <xdr:row>36</xdr:row>
                    <xdr:rowOff>180975</xdr:rowOff>
                  </to>
                </anchor>
              </controlPr>
            </control>
          </mc:Choice>
        </mc:AlternateContent>
        <mc:AlternateContent xmlns:mc="http://schemas.openxmlformats.org/markup-compatibility/2006">
          <mc:Choice Requires="x14">
            <control shapeId="2072" r:id="rId24" name="Check Box 24">
              <controlPr defaultSize="0" autoFill="0" autoLine="0" autoPict="0">
                <anchor moveWithCells="1" sizeWithCells="1">
                  <from>
                    <xdr:col>16</xdr:col>
                    <xdr:colOff>381000</xdr:colOff>
                    <xdr:row>35</xdr:row>
                    <xdr:rowOff>9525</xdr:rowOff>
                  </from>
                  <to>
                    <xdr:col>17</xdr:col>
                    <xdr:colOff>590550</xdr:colOff>
                    <xdr:row>35</xdr:row>
                    <xdr:rowOff>180975</xdr:rowOff>
                  </to>
                </anchor>
              </controlPr>
            </control>
          </mc:Choice>
        </mc:AlternateContent>
        <mc:AlternateContent xmlns:mc="http://schemas.openxmlformats.org/markup-compatibility/2006">
          <mc:Choice Requires="x14">
            <control shapeId="2073" r:id="rId25" name="Check Box 25">
              <controlPr defaultSize="0" autoFill="0" autoLine="0" autoPict="0">
                <anchor moveWithCells="1" sizeWithCells="1">
                  <from>
                    <xdr:col>16</xdr:col>
                    <xdr:colOff>381000</xdr:colOff>
                    <xdr:row>36</xdr:row>
                    <xdr:rowOff>9525</xdr:rowOff>
                  </from>
                  <to>
                    <xdr:col>17</xdr:col>
                    <xdr:colOff>590550</xdr:colOff>
                    <xdr:row>36</xdr:row>
                    <xdr:rowOff>171450</xdr:rowOff>
                  </to>
                </anchor>
              </controlPr>
            </control>
          </mc:Choice>
        </mc:AlternateContent>
        <mc:AlternateContent xmlns:mc="http://schemas.openxmlformats.org/markup-compatibility/2006">
          <mc:Choice Requires="x14">
            <control shapeId="2074" r:id="rId26" name="Group Box 26">
              <controlPr defaultSize="0" autoFill="0" autoPict="0">
                <anchor moveWithCells="1">
                  <from>
                    <xdr:col>18</xdr:col>
                    <xdr:colOff>600075</xdr:colOff>
                    <xdr:row>35</xdr:row>
                    <xdr:rowOff>0</xdr:rowOff>
                  </from>
                  <to>
                    <xdr:col>20</xdr:col>
                    <xdr:colOff>600075</xdr:colOff>
                    <xdr:row>36</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xr:uid="{00000000-0002-0000-0700-000001000000}">
          <x14:formula1>
            <xm:f>Summary!$K$2:$K$29</xm:f>
          </x14:formula1>
          <xm:sqref>J22:K22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N227"/>
  <sheetViews>
    <sheetView workbookViewId="0"/>
  </sheetViews>
  <sheetFormatPr defaultRowHeight="15" x14ac:dyDescent="0.25"/>
  <sheetData>
    <row r="1" spans="1:14" x14ac:dyDescent="0.25">
      <c r="A1" t="s">
        <v>137</v>
      </c>
      <c r="B1">
        <v>1</v>
      </c>
      <c r="C1">
        <v>2</v>
      </c>
      <c r="D1">
        <v>3</v>
      </c>
      <c r="E1">
        <v>4</v>
      </c>
      <c r="F1">
        <v>5</v>
      </c>
      <c r="G1">
        <v>6</v>
      </c>
      <c r="H1">
        <v>7</v>
      </c>
      <c r="I1">
        <v>8</v>
      </c>
      <c r="J1">
        <v>9</v>
      </c>
      <c r="K1">
        <v>10</v>
      </c>
      <c r="L1">
        <v>11</v>
      </c>
      <c r="M1">
        <v>12</v>
      </c>
      <c r="N1">
        <v>13</v>
      </c>
    </row>
    <row r="2" spans="1:14" x14ac:dyDescent="0.25">
      <c r="A2">
        <v>190</v>
      </c>
      <c r="B2">
        <v>7.1191269999999998</v>
      </c>
      <c r="C2">
        <v>5.5605840000000004</v>
      </c>
      <c r="D2">
        <v>0.73733599999999999</v>
      </c>
      <c r="E2">
        <v>8.1954309999999992</v>
      </c>
      <c r="F2">
        <v>3.3201849999999999</v>
      </c>
      <c r="G2">
        <v>4.9786489999999999</v>
      </c>
      <c r="H2">
        <v>5.3884930000000004</v>
      </c>
      <c r="I2">
        <v>10.80799</v>
      </c>
      <c r="J2">
        <v>1.183665</v>
      </c>
      <c r="K2">
        <v>2.904544</v>
      </c>
      <c r="L2">
        <v>16.079457999999999</v>
      </c>
      <c r="M2">
        <v>5.5690559999999998</v>
      </c>
      <c r="N2">
        <v>65.979585999999998</v>
      </c>
    </row>
    <row r="3" spans="1:14" x14ac:dyDescent="0.25">
      <c r="A3">
        <v>192</v>
      </c>
      <c r="B3">
        <v>7.2307379999999997</v>
      </c>
      <c r="C3">
        <v>4.9665140000000001</v>
      </c>
      <c r="D3">
        <v>0.810921</v>
      </c>
      <c r="E3">
        <v>8.2532770000000006</v>
      </c>
      <c r="F3">
        <v>3.4763069999999998</v>
      </c>
      <c r="G3">
        <v>4.9854010000000004</v>
      </c>
      <c r="H3">
        <v>5.5675970000000001</v>
      </c>
      <c r="I3">
        <v>10.762833000000001</v>
      </c>
      <c r="J3">
        <v>1.133659</v>
      </c>
      <c r="K3">
        <v>2.9189690000000001</v>
      </c>
      <c r="L3">
        <v>16.215378000000001</v>
      </c>
      <c r="M3">
        <v>5.7620570000000004</v>
      </c>
      <c r="N3">
        <v>60.191363000000003</v>
      </c>
    </row>
    <row r="4" spans="1:14" x14ac:dyDescent="0.25">
      <c r="A4">
        <v>194</v>
      </c>
      <c r="B4">
        <v>7.3710969999999998</v>
      </c>
      <c r="C4">
        <v>4.3654989999999998</v>
      </c>
      <c r="D4">
        <v>0.864699</v>
      </c>
      <c r="E4">
        <v>8.2022069999999996</v>
      </c>
      <c r="F4">
        <v>3.5030679999999998</v>
      </c>
      <c r="G4">
        <v>4.8856320000000002</v>
      </c>
      <c r="H4">
        <v>5.6622789999999998</v>
      </c>
      <c r="I4">
        <v>10.534145000000001</v>
      </c>
      <c r="J4">
        <v>1.147896</v>
      </c>
      <c r="K4">
        <v>2.9653100000000001</v>
      </c>
      <c r="L4">
        <v>15.932584</v>
      </c>
      <c r="M4">
        <v>5.8650609999999999</v>
      </c>
      <c r="N4">
        <v>52.856583000000001</v>
      </c>
    </row>
    <row r="5" spans="1:14" x14ac:dyDescent="0.25">
      <c r="A5">
        <v>196</v>
      </c>
      <c r="B5">
        <v>7.5943909999999999</v>
      </c>
      <c r="C5">
        <v>3.8261270000000001</v>
      </c>
      <c r="D5">
        <v>0.91600800000000004</v>
      </c>
      <c r="E5">
        <v>8.1603399999999997</v>
      </c>
      <c r="F5">
        <v>3.4693450000000001</v>
      </c>
      <c r="G5">
        <v>4.7653970000000001</v>
      </c>
      <c r="H5">
        <v>5.7235120000000004</v>
      </c>
      <c r="I5">
        <v>10.190537000000001</v>
      </c>
      <c r="J5">
        <v>1.185894</v>
      </c>
      <c r="K5">
        <v>2.9839720000000001</v>
      </c>
      <c r="L5">
        <v>15.449569</v>
      </c>
      <c r="M5">
        <v>5.9251659999999999</v>
      </c>
      <c r="N5">
        <v>45.575434999999999</v>
      </c>
    </row>
    <row r="6" spans="1:14" x14ac:dyDescent="0.25">
      <c r="A6">
        <v>198</v>
      </c>
      <c r="B6">
        <v>7.8553629999999997</v>
      </c>
      <c r="C6">
        <v>3.3912580000000001</v>
      </c>
      <c r="D6">
        <v>0.96873600000000004</v>
      </c>
      <c r="E6">
        <v>8.1983130000000006</v>
      </c>
      <c r="F6">
        <v>3.4063330000000001</v>
      </c>
      <c r="G6">
        <v>4.6200780000000004</v>
      </c>
      <c r="H6">
        <v>5.7584160000000004</v>
      </c>
      <c r="I6">
        <v>9.7544989999999991</v>
      </c>
      <c r="J6">
        <v>1.2311970000000001</v>
      </c>
      <c r="K6">
        <v>2.9893640000000001</v>
      </c>
      <c r="L6">
        <v>14.806146</v>
      </c>
      <c r="M6">
        <v>5.9334519999999999</v>
      </c>
      <c r="N6">
        <v>38.923095000000004</v>
      </c>
    </row>
    <row r="7" spans="1:14" x14ac:dyDescent="0.25">
      <c r="A7">
        <v>200</v>
      </c>
      <c r="B7">
        <v>8.1375240000000009</v>
      </c>
      <c r="C7">
        <v>3.040943</v>
      </c>
      <c r="D7">
        <v>1.0161739999999999</v>
      </c>
      <c r="E7">
        <v>8.3169889999999995</v>
      </c>
      <c r="F7">
        <v>3.3019189999999998</v>
      </c>
      <c r="G7">
        <v>4.4482879999999998</v>
      </c>
      <c r="H7">
        <v>5.8038109999999996</v>
      </c>
      <c r="I7">
        <v>9.2071629999999995</v>
      </c>
      <c r="J7">
        <v>1.264081</v>
      </c>
      <c r="K7">
        <v>2.9787110000000001</v>
      </c>
      <c r="L7">
        <v>13.978256</v>
      </c>
      <c r="M7">
        <v>5.9090660000000002</v>
      </c>
      <c r="N7">
        <v>32.767248000000002</v>
      </c>
    </row>
    <row r="8" spans="1:14" x14ac:dyDescent="0.25">
      <c r="A8">
        <v>202</v>
      </c>
      <c r="B8">
        <v>8.4338519999999999</v>
      </c>
      <c r="C8">
        <v>2.7357459999999998</v>
      </c>
      <c r="D8">
        <v>1.070559</v>
      </c>
      <c r="E8">
        <v>8.5803639999999994</v>
      </c>
      <c r="F8">
        <v>3.1746219999999998</v>
      </c>
      <c r="G8">
        <v>4.2659609999999999</v>
      </c>
      <c r="H8">
        <v>5.8779789999999998</v>
      </c>
      <c r="I8">
        <v>8.5172170000000005</v>
      </c>
      <c r="J8">
        <v>1.2924089999999999</v>
      </c>
      <c r="K8">
        <v>2.9577559999999998</v>
      </c>
      <c r="L8">
        <v>12.910285</v>
      </c>
      <c r="M8">
        <v>5.8657750000000002</v>
      </c>
      <c r="N8">
        <v>26.564416000000001</v>
      </c>
    </row>
    <row r="9" spans="1:14" x14ac:dyDescent="0.25">
      <c r="A9">
        <v>204</v>
      </c>
      <c r="B9">
        <v>8.6780139999999992</v>
      </c>
      <c r="C9">
        <v>2.4654400000000001</v>
      </c>
      <c r="D9">
        <v>1.1242110000000001</v>
      </c>
      <c r="E9">
        <v>9.0021640000000005</v>
      </c>
      <c r="F9">
        <v>3.0683250000000002</v>
      </c>
      <c r="G9">
        <v>4.1142580000000004</v>
      </c>
      <c r="H9">
        <v>5.946453</v>
      </c>
      <c r="I9">
        <v>7.8130670000000002</v>
      </c>
      <c r="J9">
        <v>1.3256749999999999</v>
      </c>
      <c r="K9">
        <v>2.9433560000000001</v>
      </c>
      <c r="L9">
        <v>11.795318999999999</v>
      </c>
      <c r="M9">
        <v>5.814082</v>
      </c>
      <c r="N9">
        <v>20.821733999999999</v>
      </c>
    </row>
    <row r="10" spans="1:14" x14ac:dyDescent="0.25">
      <c r="A10">
        <v>206</v>
      </c>
      <c r="B10">
        <v>8.8038120000000006</v>
      </c>
      <c r="C10">
        <v>2.2294700000000001</v>
      </c>
      <c r="D10">
        <v>1.1617360000000001</v>
      </c>
      <c r="E10">
        <v>9.5049729999999997</v>
      </c>
      <c r="F10">
        <v>2.9697450000000001</v>
      </c>
      <c r="G10">
        <v>4.0370619999999997</v>
      </c>
      <c r="H10">
        <v>5.9764920000000004</v>
      </c>
      <c r="I10">
        <v>7.2128370000000004</v>
      </c>
      <c r="J10">
        <v>1.3634900000000001</v>
      </c>
      <c r="K10">
        <v>2.9325950000000001</v>
      </c>
      <c r="L10">
        <v>10.851737999999999</v>
      </c>
      <c r="M10">
        <v>5.7505620000000004</v>
      </c>
      <c r="N10">
        <v>15.649053</v>
      </c>
    </row>
    <row r="11" spans="1:14" x14ac:dyDescent="0.25">
      <c r="A11">
        <v>208</v>
      </c>
      <c r="B11">
        <v>8.7604349999999993</v>
      </c>
      <c r="C11">
        <v>2.0055890000000001</v>
      </c>
      <c r="D11">
        <v>1.1889000000000001</v>
      </c>
      <c r="E11">
        <v>10.014056</v>
      </c>
      <c r="F11">
        <v>2.8742740000000002</v>
      </c>
      <c r="G11">
        <v>4.0517149999999997</v>
      </c>
      <c r="H11">
        <v>5.9067109999999996</v>
      </c>
      <c r="I11">
        <v>6.7696690000000004</v>
      </c>
      <c r="J11">
        <v>1.3914759999999999</v>
      </c>
      <c r="K11">
        <v>2.9053580000000001</v>
      </c>
      <c r="L11">
        <v>10.145308</v>
      </c>
      <c r="M11">
        <v>5.6557849999999998</v>
      </c>
      <c r="N11">
        <v>10.904902</v>
      </c>
    </row>
    <row r="12" spans="1:14" x14ac:dyDescent="0.25">
      <c r="A12">
        <v>210</v>
      </c>
      <c r="B12">
        <v>8.5250830000000004</v>
      </c>
      <c r="C12">
        <v>1.7848139999999999</v>
      </c>
      <c r="D12">
        <v>1.1841470000000001</v>
      </c>
      <c r="E12">
        <v>10.440932999999999</v>
      </c>
      <c r="F12">
        <v>2.789669</v>
      </c>
      <c r="G12">
        <v>4.1529410000000002</v>
      </c>
      <c r="H12">
        <v>5.7439270000000002</v>
      </c>
      <c r="I12">
        <v>6.5002370000000003</v>
      </c>
      <c r="J12">
        <v>1.3948799999999999</v>
      </c>
      <c r="K12">
        <v>2.8609019999999998</v>
      </c>
      <c r="L12">
        <v>9.7009930000000004</v>
      </c>
      <c r="M12">
        <v>5.5309239999999997</v>
      </c>
      <c r="N12">
        <v>7.1193619999999997</v>
      </c>
    </row>
    <row r="13" spans="1:14" x14ac:dyDescent="0.25">
      <c r="A13">
        <v>212</v>
      </c>
      <c r="B13">
        <v>8.1012210000000007</v>
      </c>
      <c r="C13">
        <v>1.5657140000000001</v>
      </c>
      <c r="D13">
        <v>1.1503989999999999</v>
      </c>
      <c r="E13">
        <v>10.723007000000001</v>
      </c>
      <c r="F13">
        <v>2.6878340000000001</v>
      </c>
      <c r="G13">
        <v>4.3553579999999998</v>
      </c>
      <c r="H13">
        <v>5.5382379999999998</v>
      </c>
      <c r="I13">
        <v>6.3377299999999996</v>
      </c>
      <c r="J13">
        <v>1.3869419999999999</v>
      </c>
      <c r="K13">
        <v>2.803992</v>
      </c>
      <c r="L13">
        <v>9.4080300000000001</v>
      </c>
      <c r="M13">
        <v>5.4038029999999999</v>
      </c>
      <c r="N13">
        <v>4.3662029999999996</v>
      </c>
    </row>
    <row r="14" spans="1:14" x14ac:dyDescent="0.25">
      <c r="A14">
        <v>214</v>
      </c>
      <c r="B14">
        <v>7.5246050000000002</v>
      </c>
      <c r="C14">
        <v>1.365513</v>
      </c>
      <c r="D14">
        <v>1.101661</v>
      </c>
      <c r="E14">
        <v>10.805873</v>
      </c>
      <c r="F14">
        <v>2.5706169999999999</v>
      </c>
      <c r="G14">
        <v>4.678223</v>
      </c>
      <c r="H14">
        <v>5.3364310000000001</v>
      </c>
      <c r="I14">
        <v>6.2160479999999998</v>
      </c>
      <c r="J14">
        <v>1.3642350000000001</v>
      </c>
      <c r="K14">
        <v>2.7371629999999998</v>
      </c>
      <c r="L14">
        <v>9.1704480000000004</v>
      </c>
      <c r="M14">
        <v>5.2861929999999999</v>
      </c>
      <c r="N14">
        <v>2.5391520000000001</v>
      </c>
    </row>
    <row r="15" spans="1:14" x14ac:dyDescent="0.25">
      <c r="A15">
        <v>216</v>
      </c>
      <c r="B15">
        <v>6.841037</v>
      </c>
      <c r="C15">
        <v>1.1739280000000001</v>
      </c>
      <c r="D15">
        <v>1.045436</v>
      </c>
      <c r="E15">
        <v>10.669295999999999</v>
      </c>
      <c r="F15">
        <v>2.4604059999999999</v>
      </c>
      <c r="G15">
        <v>5.1670540000000003</v>
      </c>
      <c r="H15">
        <v>5.1489250000000002</v>
      </c>
      <c r="I15">
        <v>6.0880590000000003</v>
      </c>
      <c r="J15">
        <v>1.3174870000000001</v>
      </c>
      <c r="K15">
        <v>2.6560260000000002</v>
      </c>
      <c r="L15">
        <v>8.9188939999999999</v>
      </c>
      <c r="M15">
        <v>5.1692169999999997</v>
      </c>
      <c r="N15">
        <v>1.3631720000000001</v>
      </c>
    </row>
    <row r="16" spans="1:14" x14ac:dyDescent="0.25">
      <c r="A16">
        <v>218</v>
      </c>
      <c r="B16">
        <v>6.1479249999999999</v>
      </c>
      <c r="C16">
        <v>0.98733800000000005</v>
      </c>
      <c r="D16">
        <v>0.97568699999999997</v>
      </c>
      <c r="E16">
        <v>10.281954000000001</v>
      </c>
      <c r="F16">
        <v>2.4146359999999998</v>
      </c>
      <c r="G16">
        <v>5.7994450000000004</v>
      </c>
      <c r="H16">
        <v>4.9486689999999998</v>
      </c>
      <c r="I16">
        <v>5.9249609999999997</v>
      </c>
      <c r="J16">
        <v>1.2491429999999999</v>
      </c>
      <c r="K16">
        <v>2.5527009999999999</v>
      </c>
      <c r="L16">
        <v>8.6156089999999992</v>
      </c>
      <c r="M16">
        <v>5.0223279999999999</v>
      </c>
      <c r="N16">
        <v>0.65794299999999994</v>
      </c>
    </row>
    <row r="17" spans="1:14" x14ac:dyDescent="0.25">
      <c r="A17">
        <v>220</v>
      </c>
      <c r="B17">
        <v>5.6090730000000004</v>
      </c>
      <c r="C17">
        <v>0.81897600000000004</v>
      </c>
      <c r="D17">
        <v>0.91297899999999998</v>
      </c>
      <c r="E17">
        <v>9.6080660000000009</v>
      </c>
      <c r="F17">
        <v>2.4927980000000001</v>
      </c>
      <c r="G17">
        <v>6.5008189999999999</v>
      </c>
      <c r="H17">
        <v>4.6950770000000004</v>
      </c>
      <c r="I17">
        <v>5.7192189999999998</v>
      </c>
      <c r="J17">
        <v>1.175233</v>
      </c>
      <c r="K17">
        <v>2.429392</v>
      </c>
      <c r="L17">
        <v>8.2584970000000002</v>
      </c>
      <c r="M17">
        <v>4.807582</v>
      </c>
      <c r="N17">
        <v>0.25140499999999999</v>
      </c>
    </row>
    <row r="18" spans="1:14" x14ac:dyDescent="0.25">
      <c r="A18">
        <v>222</v>
      </c>
      <c r="B18">
        <v>5.3805149999999999</v>
      </c>
      <c r="C18">
        <v>0.68639300000000003</v>
      </c>
      <c r="D18">
        <v>0.89374600000000004</v>
      </c>
      <c r="E18">
        <v>8.6761710000000001</v>
      </c>
      <c r="F18">
        <v>2.6924920000000001</v>
      </c>
      <c r="G18">
        <v>7.0696110000000001</v>
      </c>
      <c r="H18">
        <v>4.3766069999999999</v>
      </c>
      <c r="I18">
        <v>5.4968279999999998</v>
      </c>
      <c r="J18">
        <v>1.106832</v>
      </c>
      <c r="K18">
        <v>2.281768</v>
      </c>
      <c r="L18">
        <v>7.8985399999999997</v>
      </c>
      <c r="M18">
        <v>4.5298230000000004</v>
      </c>
      <c r="N18">
        <v>4.0901E-2</v>
      </c>
    </row>
    <row r="19" spans="1:14" x14ac:dyDescent="0.25">
      <c r="A19">
        <v>224</v>
      </c>
      <c r="B19">
        <v>5.4968500000000002</v>
      </c>
      <c r="C19">
        <v>0.587565</v>
      </c>
      <c r="D19">
        <v>0.89413699999999996</v>
      </c>
      <c r="E19">
        <v>7.5602320000000001</v>
      </c>
      <c r="F19">
        <v>2.9901599999999999</v>
      </c>
      <c r="G19">
        <v>7.348198</v>
      </c>
      <c r="H19">
        <v>4.0041349999999998</v>
      </c>
      <c r="I19">
        <v>5.268732</v>
      </c>
      <c r="J19">
        <v>1.034602</v>
      </c>
      <c r="K19">
        <v>2.1117859999999999</v>
      </c>
      <c r="L19">
        <v>7.5594869999999998</v>
      </c>
      <c r="M19">
        <v>4.1904839999999997</v>
      </c>
      <c r="N19">
        <v>-6.4310999999999993E-2</v>
      </c>
    </row>
    <row r="20" spans="1:14" x14ac:dyDescent="0.25">
      <c r="A20">
        <v>226</v>
      </c>
      <c r="B20">
        <v>5.96678</v>
      </c>
      <c r="C20">
        <v>0.51718200000000003</v>
      </c>
      <c r="D20">
        <v>0.91124300000000003</v>
      </c>
      <c r="E20">
        <v>6.4909910000000002</v>
      </c>
      <c r="F20">
        <v>3.330619</v>
      </c>
      <c r="G20">
        <v>7.182747</v>
      </c>
      <c r="H20">
        <v>3.6158589999999999</v>
      </c>
      <c r="I20">
        <v>5.0450150000000002</v>
      </c>
      <c r="J20">
        <v>0.96703399999999995</v>
      </c>
      <c r="K20">
        <v>1.934706</v>
      </c>
      <c r="L20">
        <v>7.2712500000000002</v>
      </c>
      <c r="M20">
        <v>3.824055</v>
      </c>
      <c r="N20">
        <v>-0.11279699999999999</v>
      </c>
    </row>
    <row r="21" spans="1:14" x14ac:dyDescent="0.25">
      <c r="A21">
        <v>228</v>
      </c>
      <c r="B21">
        <v>6.7743989999999998</v>
      </c>
      <c r="C21">
        <v>0.45460800000000001</v>
      </c>
      <c r="D21">
        <v>0.94338900000000003</v>
      </c>
      <c r="E21">
        <v>5.657362</v>
      </c>
      <c r="F21">
        <v>3.6681409999999999</v>
      </c>
      <c r="G21">
        <v>6.5390180000000004</v>
      </c>
      <c r="H21">
        <v>3.229387</v>
      </c>
      <c r="I21">
        <v>4.8514140000000001</v>
      </c>
      <c r="J21">
        <v>0.89252100000000001</v>
      </c>
      <c r="K21">
        <v>1.7679290000000001</v>
      </c>
      <c r="L21">
        <v>7.0703870000000002</v>
      </c>
      <c r="M21">
        <v>3.4528099999999999</v>
      </c>
      <c r="N21">
        <v>-0.13689899999999999</v>
      </c>
    </row>
    <row r="22" spans="1:14" x14ac:dyDescent="0.25">
      <c r="A22">
        <v>230</v>
      </c>
      <c r="B22">
        <v>7.8170679999999999</v>
      </c>
      <c r="C22">
        <v>0.40602500000000002</v>
      </c>
      <c r="D22">
        <v>0.98339500000000002</v>
      </c>
      <c r="E22">
        <v>5.1813399999999996</v>
      </c>
      <c r="F22">
        <v>3.9346269999999999</v>
      </c>
      <c r="G22">
        <v>5.6495740000000003</v>
      </c>
      <c r="H22">
        <v>2.871559</v>
      </c>
      <c r="I22">
        <v>4.7362780000000004</v>
      </c>
      <c r="J22">
        <v>0.80752900000000005</v>
      </c>
      <c r="K22">
        <v>1.626042</v>
      </c>
      <c r="L22">
        <v>6.9924900000000001</v>
      </c>
      <c r="M22">
        <v>3.1172900000000001</v>
      </c>
      <c r="N22">
        <v>-0.14404800000000001</v>
      </c>
    </row>
    <row r="23" spans="1:14" x14ac:dyDescent="0.25">
      <c r="A23">
        <v>232</v>
      </c>
      <c r="B23">
        <v>9.0416699999999999</v>
      </c>
      <c r="C23">
        <v>0.372116</v>
      </c>
      <c r="D23">
        <v>1.0336970000000001</v>
      </c>
      <c r="E23">
        <v>4.9790700000000001</v>
      </c>
      <c r="F23">
        <v>4.0844389999999997</v>
      </c>
      <c r="G23">
        <v>4.7542809999999998</v>
      </c>
      <c r="H23">
        <v>2.5136379999999998</v>
      </c>
      <c r="I23">
        <v>4.7172270000000003</v>
      </c>
      <c r="J23">
        <v>0.715202</v>
      </c>
      <c r="K23">
        <v>1.500203</v>
      </c>
      <c r="L23">
        <v>7.0607170000000004</v>
      </c>
      <c r="M23">
        <v>2.8102209999999999</v>
      </c>
      <c r="N23">
        <v>-0.13930899999999999</v>
      </c>
    </row>
    <row r="24" spans="1:14" x14ac:dyDescent="0.25">
      <c r="A24">
        <v>234</v>
      </c>
      <c r="B24">
        <v>10.397117</v>
      </c>
      <c r="C24">
        <v>0.34107799999999999</v>
      </c>
      <c r="D24">
        <v>1.095016</v>
      </c>
      <c r="E24">
        <v>4.9720279999999999</v>
      </c>
      <c r="F24">
        <v>4.076263</v>
      </c>
      <c r="G24">
        <v>3.9845999999999999</v>
      </c>
      <c r="H24">
        <v>2.1252550000000001</v>
      </c>
      <c r="I24">
        <v>4.8199149999999999</v>
      </c>
      <c r="J24">
        <v>0.62050899999999998</v>
      </c>
      <c r="K24">
        <v>1.369974</v>
      </c>
      <c r="L24">
        <v>7.3069110000000004</v>
      </c>
      <c r="M24">
        <v>2.5261309999999999</v>
      </c>
      <c r="N24">
        <v>-0.131351</v>
      </c>
    </row>
    <row r="25" spans="1:14" x14ac:dyDescent="0.25">
      <c r="A25">
        <v>236</v>
      </c>
      <c r="B25">
        <v>11.693709999999999</v>
      </c>
      <c r="C25">
        <v>0.31079200000000001</v>
      </c>
      <c r="D25">
        <v>1.172353</v>
      </c>
      <c r="E25">
        <v>5.0924360000000002</v>
      </c>
      <c r="F25">
        <v>3.9210050000000001</v>
      </c>
      <c r="G25">
        <v>3.4096220000000002</v>
      </c>
      <c r="H25">
        <v>1.740575</v>
      </c>
      <c r="I25">
        <v>5.04657</v>
      </c>
      <c r="J25">
        <v>0.53535600000000005</v>
      </c>
      <c r="K25">
        <v>1.2299089999999999</v>
      </c>
      <c r="L25">
        <v>7.7282299999999999</v>
      </c>
      <c r="M25">
        <v>2.2661829999999998</v>
      </c>
      <c r="N25">
        <v>-0.11919</v>
      </c>
    </row>
    <row r="26" spans="1:14" x14ac:dyDescent="0.25">
      <c r="A26">
        <v>238</v>
      </c>
      <c r="B26">
        <v>12.883773</v>
      </c>
      <c r="C26">
        <v>0.28942800000000002</v>
      </c>
      <c r="D26">
        <v>1.2422869999999999</v>
      </c>
      <c r="E26">
        <v>5.2993129999999997</v>
      </c>
      <c r="F26">
        <v>3.6715300000000002</v>
      </c>
      <c r="G26">
        <v>2.984486</v>
      </c>
      <c r="H26">
        <v>1.3905080000000001</v>
      </c>
      <c r="I26">
        <v>5.4113910000000001</v>
      </c>
      <c r="J26">
        <v>0.46700799999999998</v>
      </c>
      <c r="K26">
        <v>1.076924</v>
      </c>
      <c r="L26">
        <v>8.3778670000000002</v>
      </c>
      <c r="M26">
        <v>2.012311</v>
      </c>
      <c r="N26">
        <v>-0.10032199999999999</v>
      </c>
    </row>
    <row r="27" spans="1:14" x14ac:dyDescent="0.25">
      <c r="A27">
        <v>240</v>
      </c>
      <c r="B27">
        <v>13.769049000000001</v>
      </c>
      <c r="C27">
        <v>0.27785100000000001</v>
      </c>
      <c r="D27">
        <v>1.2841670000000001</v>
      </c>
      <c r="E27">
        <v>5.5463240000000003</v>
      </c>
      <c r="F27">
        <v>3.409386</v>
      </c>
      <c r="G27">
        <v>2.7004429999999999</v>
      </c>
      <c r="H27">
        <v>1.1407799999999999</v>
      </c>
      <c r="I27">
        <v>5.8973389999999997</v>
      </c>
      <c r="J27">
        <v>0.42191099999999998</v>
      </c>
      <c r="K27">
        <v>0.93066400000000005</v>
      </c>
      <c r="L27">
        <v>9.2203300000000006</v>
      </c>
      <c r="M27">
        <v>1.778554</v>
      </c>
      <c r="N27">
        <v>-8.2638000000000003E-2</v>
      </c>
    </row>
    <row r="28" spans="1:14" x14ac:dyDescent="0.25">
      <c r="A28">
        <v>242</v>
      </c>
      <c r="B28">
        <v>14.224567</v>
      </c>
      <c r="C28">
        <v>0.25531700000000002</v>
      </c>
      <c r="D28">
        <v>1.3112090000000001</v>
      </c>
      <c r="E28">
        <v>5.7881650000000002</v>
      </c>
      <c r="F28">
        <v>3.1411639999999998</v>
      </c>
      <c r="G28">
        <v>2.5113460000000001</v>
      </c>
      <c r="H28">
        <v>1.002637</v>
      </c>
      <c r="I28">
        <v>6.5219639999999997</v>
      </c>
      <c r="J28">
        <v>0.39659499999999998</v>
      </c>
      <c r="K28">
        <v>0.80133299999999996</v>
      </c>
      <c r="L28">
        <v>10.285534</v>
      </c>
      <c r="M28">
        <v>1.5657430000000001</v>
      </c>
      <c r="N28">
        <v>-6.0186999999999997E-2</v>
      </c>
    </row>
    <row r="29" spans="1:14" x14ac:dyDescent="0.25">
      <c r="A29">
        <v>244</v>
      </c>
      <c r="B29">
        <v>14.091616</v>
      </c>
      <c r="C29">
        <v>0.23413</v>
      </c>
      <c r="D29">
        <v>1.304708</v>
      </c>
      <c r="E29">
        <v>5.9368239999999997</v>
      </c>
      <c r="F29">
        <v>2.8702990000000002</v>
      </c>
      <c r="G29">
        <v>2.404455</v>
      </c>
      <c r="H29">
        <v>0.96412500000000001</v>
      </c>
      <c r="I29">
        <v>7.2430789999999998</v>
      </c>
      <c r="J29">
        <v>0.38106400000000001</v>
      </c>
      <c r="K29">
        <v>0.71027200000000001</v>
      </c>
      <c r="L29">
        <v>11.493760999999999</v>
      </c>
      <c r="M29">
        <v>1.402844</v>
      </c>
      <c r="N29">
        <v>-4.5513999999999999E-2</v>
      </c>
    </row>
    <row r="30" spans="1:14" x14ac:dyDescent="0.25">
      <c r="A30">
        <v>246</v>
      </c>
      <c r="B30">
        <v>13.380953</v>
      </c>
      <c r="C30">
        <v>0.218061</v>
      </c>
      <c r="D30">
        <v>1.2400450000000001</v>
      </c>
      <c r="E30">
        <v>5.9033040000000003</v>
      </c>
      <c r="F30">
        <v>2.552181</v>
      </c>
      <c r="G30">
        <v>2.3504580000000002</v>
      </c>
      <c r="H30">
        <v>0.97738899999999995</v>
      </c>
      <c r="I30">
        <v>8.0854660000000003</v>
      </c>
      <c r="J30">
        <v>0.37738100000000002</v>
      </c>
      <c r="K30">
        <v>0.65709200000000001</v>
      </c>
      <c r="L30">
        <v>12.877421</v>
      </c>
      <c r="M30">
        <v>1.286608</v>
      </c>
      <c r="N30">
        <v>-3.7322000000000001E-2</v>
      </c>
    </row>
    <row r="31" spans="1:14" x14ac:dyDescent="0.25">
      <c r="A31">
        <v>248</v>
      </c>
      <c r="B31">
        <v>12.358511</v>
      </c>
      <c r="C31">
        <v>0.20633899999999999</v>
      </c>
      <c r="D31">
        <v>1.1254660000000001</v>
      </c>
      <c r="E31">
        <v>5.6667300000000003</v>
      </c>
      <c r="F31">
        <v>2.2002799999999998</v>
      </c>
      <c r="G31">
        <v>2.3259340000000002</v>
      </c>
      <c r="H31">
        <v>1.017112</v>
      </c>
      <c r="I31">
        <v>8.9822290000000002</v>
      </c>
      <c r="J31">
        <v>0.37739899999999998</v>
      </c>
      <c r="K31">
        <v>0.63641099999999995</v>
      </c>
      <c r="L31">
        <v>14.334047</v>
      </c>
      <c r="M31">
        <v>1.218345</v>
      </c>
      <c r="N31">
        <v>-2.6283000000000001E-2</v>
      </c>
    </row>
    <row r="32" spans="1:14" x14ac:dyDescent="0.25">
      <c r="A32">
        <v>250</v>
      </c>
      <c r="B32">
        <v>11.304955</v>
      </c>
      <c r="C32">
        <v>0.19661799999999999</v>
      </c>
      <c r="D32">
        <v>0.97358999999999996</v>
      </c>
      <c r="E32">
        <v>5.2624089999999999</v>
      </c>
      <c r="F32">
        <v>1.828057</v>
      </c>
      <c r="G32">
        <v>2.325841</v>
      </c>
      <c r="H32">
        <v>1.0770580000000001</v>
      </c>
      <c r="I32">
        <v>9.9675139999999995</v>
      </c>
      <c r="J32">
        <v>0.37771700000000002</v>
      </c>
      <c r="K32">
        <v>0.63704799999999995</v>
      </c>
      <c r="L32">
        <v>15.914206999999999</v>
      </c>
      <c r="M32">
        <v>1.171924</v>
      </c>
      <c r="N32">
        <v>-1.7944999999999999E-2</v>
      </c>
    </row>
    <row r="33" spans="1:14" x14ac:dyDescent="0.25">
      <c r="A33">
        <v>252</v>
      </c>
      <c r="B33">
        <v>10.499886</v>
      </c>
      <c r="C33">
        <v>0.183951</v>
      </c>
      <c r="D33">
        <v>0.82099100000000003</v>
      </c>
      <c r="E33">
        <v>4.7951439999999996</v>
      </c>
      <c r="F33">
        <v>1.503387</v>
      </c>
      <c r="G33">
        <v>2.3561040000000002</v>
      </c>
      <c r="H33">
        <v>1.1391279999999999</v>
      </c>
      <c r="I33">
        <v>10.971759</v>
      </c>
      <c r="J33">
        <v>0.38481799999999999</v>
      </c>
      <c r="K33">
        <v>0.64577899999999999</v>
      </c>
      <c r="L33">
        <v>17.513021999999999</v>
      </c>
      <c r="M33">
        <v>1.1461520000000001</v>
      </c>
      <c r="N33">
        <v>-1.7114999999999998E-2</v>
      </c>
    </row>
    <row r="34" spans="1:14" x14ac:dyDescent="0.25">
      <c r="A34">
        <v>254</v>
      </c>
      <c r="B34">
        <v>9.9476119999999995</v>
      </c>
      <c r="C34">
        <v>0.179649</v>
      </c>
      <c r="D34">
        <v>0.68988700000000003</v>
      </c>
      <c r="E34">
        <v>4.3281400000000003</v>
      </c>
      <c r="F34">
        <v>1.229425</v>
      </c>
      <c r="G34">
        <v>2.3999820000000001</v>
      </c>
      <c r="H34">
        <v>1.191594</v>
      </c>
      <c r="I34">
        <v>12.04073</v>
      </c>
      <c r="J34">
        <v>0.40256399999999998</v>
      </c>
      <c r="K34">
        <v>0.656362</v>
      </c>
      <c r="L34">
        <v>19.186802</v>
      </c>
      <c r="M34">
        <v>1.1446000000000001</v>
      </c>
      <c r="N34">
        <v>-1.9889E-2</v>
      </c>
    </row>
    <row r="35" spans="1:14" x14ac:dyDescent="0.25">
      <c r="A35">
        <v>256</v>
      </c>
      <c r="B35">
        <v>9.5915280000000003</v>
      </c>
      <c r="C35">
        <v>0.177233</v>
      </c>
      <c r="D35">
        <v>0.59953299999999998</v>
      </c>
      <c r="E35">
        <v>3.9195639999999998</v>
      </c>
      <c r="F35">
        <v>1.02203</v>
      </c>
      <c r="G35">
        <v>2.4417399999999998</v>
      </c>
      <c r="H35">
        <v>1.243349</v>
      </c>
      <c r="I35">
        <v>13.12246</v>
      </c>
      <c r="J35">
        <v>0.421817</v>
      </c>
      <c r="K35">
        <v>0.67110499999999995</v>
      </c>
      <c r="L35">
        <v>20.875152</v>
      </c>
      <c r="M35">
        <v>1.1664969999999999</v>
      </c>
      <c r="N35">
        <v>-2.0163E-2</v>
      </c>
    </row>
    <row r="36" spans="1:14" x14ac:dyDescent="0.25">
      <c r="A36">
        <v>258</v>
      </c>
      <c r="B36">
        <v>9.3139679999999991</v>
      </c>
      <c r="C36">
        <v>0.169709</v>
      </c>
      <c r="D36">
        <v>0.55006500000000003</v>
      </c>
      <c r="E36">
        <v>3.58521</v>
      </c>
      <c r="F36">
        <v>0.88139199999999995</v>
      </c>
      <c r="G36">
        <v>2.4796770000000001</v>
      </c>
      <c r="H36">
        <v>1.3041290000000001</v>
      </c>
      <c r="I36">
        <v>14.173800999999999</v>
      </c>
      <c r="J36">
        <v>0.444272</v>
      </c>
      <c r="K36">
        <v>0.68812700000000004</v>
      </c>
      <c r="L36">
        <v>22.495989000000002</v>
      </c>
      <c r="M36">
        <v>1.1995880000000001</v>
      </c>
      <c r="N36">
        <v>-2.1742999999999998E-2</v>
      </c>
    </row>
    <row r="37" spans="1:14" x14ac:dyDescent="0.25">
      <c r="A37">
        <v>260</v>
      </c>
      <c r="B37">
        <v>8.9809040000000007</v>
      </c>
      <c r="C37">
        <v>0.16378100000000001</v>
      </c>
      <c r="D37">
        <v>0.526976</v>
      </c>
      <c r="E37">
        <v>3.2605019999999998</v>
      </c>
      <c r="F37">
        <v>0.78985000000000005</v>
      </c>
      <c r="G37">
        <v>2.5044019999999998</v>
      </c>
      <c r="H37">
        <v>1.3622840000000001</v>
      </c>
      <c r="I37">
        <v>15.234870000000001</v>
      </c>
      <c r="J37">
        <v>0.47105200000000003</v>
      </c>
      <c r="K37">
        <v>0.71546799999999999</v>
      </c>
      <c r="L37">
        <v>24.108014000000001</v>
      </c>
      <c r="M37">
        <v>1.244499</v>
      </c>
      <c r="N37">
        <v>-2.215E-2</v>
      </c>
    </row>
    <row r="38" spans="1:14" x14ac:dyDescent="0.25">
      <c r="A38">
        <v>262</v>
      </c>
      <c r="B38">
        <v>8.5188790000000001</v>
      </c>
      <c r="C38">
        <v>0.16019900000000001</v>
      </c>
      <c r="D38">
        <v>0.51219400000000004</v>
      </c>
      <c r="E38">
        <v>2.907991</v>
      </c>
      <c r="F38">
        <v>0.73131299999999999</v>
      </c>
      <c r="G38">
        <v>2.5122249999999999</v>
      </c>
      <c r="H38">
        <v>1.4191560000000001</v>
      </c>
      <c r="I38">
        <v>16.258434000000001</v>
      </c>
      <c r="J38">
        <v>0.49377900000000002</v>
      </c>
      <c r="K38">
        <v>0.74624599999999996</v>
      </c>
      <c r="L38">
        <v>25.642671</v>
      </c>
      <c r="M38">
        <v>1.3010139999999999</v>
      </c>
      <c r="N38">
        <v>-2.3133999999999998E-2</v>
      </c>
    </row>
    <row r="39" spans="1:14" x14ac:dyDescent="0.25">
      <c r="A39">
        <v>264</v>
      </c>
      <c r="B39">
        <v>7.8928789999999998</v>
      </c>
      <c r="C39">
        <v>0.15281500000000001</v>
      </c>
      <c r="D39">
        <v>0.50339100000000003</v>
      </c>
      <c r="E39">
        <v>2.522297</v>
      </c>
      <c r="F39">
        <v>0.69839899999999999</v>
      </c>
      <c r="G39">
        <v>2.489913</v>
      </c>
      <c r="H39">
        <v>1.4806889999999999</v>
      </c>
      <c r="I39">
        <v>17.224931000000002</v>
      </c>
      <c r="J39">
        <v>0.52110900000000004</v>
      </c>
      <c r="K39">
        <v>0.77644000000000002</v>
      </c>
      <c r="L39">
        <v>27.074332999999999</v>
      </c>
      <c r="M39">
        <v>1.370795</v>
      </c>
      <c r="N39">
        <v>-2.0264999999999998E-2</v>
      </c>
    </row>
    <row r="40" spans="1:14" x14ac:dyDescent="0.25">
      <c r="A40">
        <v>266</v>
      </c>
      <c r="B40">
        <v>7.1469339999999999</v>
      </c>
      <c r="C40">
        <v>0.14319399999999999</v>
      </c>
      <c r="D40">
        <v>0.50507899999999994</v>
      </c>
      <c r="E40">
        <v>2.1367449999999999</v>
      </c>
      <c r="F40">
        <v>0.679643</v>
      </c>
      <c r="G40">
        <v>2.4308260000000002</v>
      </c>
      <c r="H40">
        <v>1.5563610000000001</v>
      </c>
      <c r="I40">
        <v>18.088811</v>
      </c>
      <c r="J40">
        <v>0.54850200000000005</v>
      </c>
      <c r="K40">
        <v>0.81276800000000005</v>
      </c>
      <c r="L40">
        <v>28.334821999999999</v>
      </c>
      <c r="M40">
        <v>1.4454880000000001</v>
      </c>
      <c r="N40">
        <v>-1.8058999999999999E-2</v>
      </c>
    </row>
    <row r="41" spans="1:14" x14ac:dyDescent="0.25">
      <c r="A41">
        <v>268</v>
      </c>
      <c r="B41">
        <v>6.3203259999999997</v>
      </c>
      <c r="C41">
        <v>0.139179</v>
      </c>
      <c r="D41">
        <v>0.50881500000000002</v>
      </c>
      <c r="E41">
        <v>1.8132429999999999</v>
      </c>
      <c r="F41">
        <v>0.66106600000000004</v>
      </c>
      <c r="G41">
        <v>2.3492839999999999</v>
      </c>
      <c r="H41">
        <v>1.6457349999999999</v>
      </c>
      <c r="I41">
        <v>18.881288999999999</v>
      </c>
      <c r="J41">
        <v>0.57815399999999995</v>
      </c>
      <c r="K41">
        <v>0.85148000000000001</v>
      </c>
      <c r="L41">
        <v>29.442118000000001</v>
      </c>
      <c r="M41">
        <v>1.522227</v>
      </c>
      <c r="N41">
        <v>-2.3361E-2</v>
      </c>
    </row>
    <row r="42" spans="1:14" x14ac:dyDescent="0.25">
      <c r="A42">
        <v>270</v>
      </c>
      <c r="B42">
        <v>5.5239909999999997</v>
      </c>
      <c r="C42">
        <v>0.124907</v>
      </c>
      <c r="D42">
        <v>0.50096200000000002</v>
      </c>
      <c r="E42">
        <v>1.6120319999999999</v>
      </c>
      <c r="F42">
        <v>0.64546300000000001</v>
      </c>
      <c r="G42">
        <v>2.2633230000000002</v>
      </c>
      <c r="H42">
        <v>1.7480500000000001</v>
      </c>
      <c r="I42">
        <v>19.541765999999999</v>
      </c>
      <c r="J42">
        <v>0.60448999999999997</v>
      </c>
      <c r="K42">
        <v>0.88413600000000003</v>
      </c>
      <c r="L42">
        <v>30.311730000000001</v>
      </c>
      <c r="M42">
        <v>1.6053599999999999</v>
      </c>
      <c r="N42">
        <v>-1.7218000000000001E-2</v>
      </c>
    </row>
    <row r="43" spans="1:14" x14ac:dyDescent="0.25">
      <c r="A43">
        <v>272</v>
      </c>
      <c r="B43">
        <v>4.8467859999999998</v>
      </c>
      <c r="C43">
        <v>0.113635</v>
      </c>
      <c r="D43">
        <v>0.48865399999999998</v>
      </c>
      <c r="E43">
        <v>1.511933</v>
      </c>
      <c r="F43">
        <v>0.63500599999999996</v>
      </c>
      <c r="G43">
        <v>2.20858</v>
      </c>
      <c r="H43">
        <v>1.856195</v>
      </c>
      <c r="I43">
        <v>20.040929999999999</v>
      </c>
      <c r="J43">
        <v>0.63012500000000005</v>
      </c>
      <c r="K43">
        <v>0.92037599999999997</v>
      </c>
      <c r="L43">
        <v>30.915174</v>
      </c>
      <c r="M43">
        <v>1.6898839999999999</v>
      </c>
      <c r="N43">
        <v>-1.6456999999999999E-2</v>
      </c>
    </row>
    <row r="44" spans="1:14" x14ac:dyDescent="0.25">
      <c r="A44">
        <v>274</v>
      </c>
      <c r="B44">
        <v>4.3420740000000002</v>
      </c>
      <c r="C44">
        <v>9.9389000000000005E-2</v>
      </c>
      <c r="D44">
        <v>0.48218699999999998</v>
      </c>
      <c r="E44">
        <v>1.471088</v>
      </c>
      <c r="F44">
        <v>0.62801600000000002</v>
      </c>
      <c r="G44">
        <v>2.194922</v>
      </c>
      <c r="H44">
        <v>1.9558500000000001</v>
      </c>
      <c r="I44">
        <v>20.353846999999998</v>
      </c>
      <c r="J44">
        <v>0.648289</v>
      </c>
      <c r="K44">
        <v>0.95604699999999998</v>
      </c>
      <c r="L44">
        <v>31.215612</v>
      </c>
      <c r="M44">
        <v>1.7648170000000001</v>
      </c>
      <c r="N44">
        <v>-1.9352999999999999E-2</v>
      </c>
    </row>
    <row r="45" spans="1:14" x14ac:dyDescent="0.25">
      <c r="A45">
        <v>276</v>
      </c>
      <c r="B45">
        <v>4.025868</v>
      </c>
      <c r="C45">
        <v>8.7628999999999999E-2</v>
      </c>
      <c r="D45">
        <v>0.47869600000000001</v>
      </c>
      <c r="E45">
        <v>1.455365</v>
      </c>
      <c r="F45">
        <v>0.60797100000000004</v>
      </c>
      <c r="G45">
        <v>2.2001379999999999</v>
      </c>
      <c r="H45">
        <v>2.0585010000000001</v>
      </c>
      <c r="I45">
        <v>20.464839000000001</v>
      </c>
      <c r="J45">
        <v>0.66560699999999995</v>
      </c>
      <c r="K45">
        <v>0.98267599999999999</v>
      </c>
      <c r="L45">
        <v>31.177823</v>
      </c>
      <c r="M45">
        <v>1.81891</v>
      </c>
      <c r="N45">
        <v>-2.2255E-2</v>
      </c>
    </row>
    <row r="46" spans="1:14" x14ac:dyDescent="0.25">
      <c r="A46">
        <v>278</v>
      </c>
      <c r="B46">
        <v>3.8647480000000001</v>
      </c>
      <c r="C46">
        <v>7.7929999999999999E-2</v>
      </c>
      <c r="D46">
        <v>0.462588</v>
      </c>
      <c r="E46">
        <v>1.4399219999999999</v>
      </c>
      <c r="F46">
        <v>0.59329900000000002</v>
      </c>
      <c r="G46">
        <v>2.227474</v>
      </c>
      <c r="H46">
        <v>2.1504379999999998</v>
      </c>
      <c r="I46">
        <v>20.360227999999999</v>
      </c>
      <c r="J46">
        <v>0.68074999999999997</v>
      </c>
      <c r="K46">
        <v>0.99835300000000005</v>
      </c>
      <c r="L46">
        <v>30.805489000000001</v>
      </c>
      <c r="M46">
        <v>1.8566659999999999</v>
      </c>
      <c r="N46">
        <v>-2.7796999999999999E-2</v>
      </c>
    </row>
    <row r="47" spans="1:14" x14ac:dyDescent="0.25">
      <c r="A47">
        <v>280</v>
      </c>
      <c r="B47">
        <v>3.8019699999999998</v>
      </c>
      <c r="C47">
        <v>8.0378000000000005E-2</v>
      </c>
      <c r="D47">
        <v>0.442415</v>
      </c>
      <c r="E47">
        <v>1.419754</v>
      </c>
      <c r="F47">
        <v>0.59311100000000005</v>
      </c>
      <c r="G47">
        <v>2.2557969999999998</v>
      </c>
      <c r="H47">
        <v>2.2180939999999998</v>
      </c>
      <c r="I47">
        <v>20.050370000000001</v>
      </c>
      <c r="J47">
        <v>0.67125500000000005</v>
      </c>
      <c r="K47">
        <v>1.0087459999999999</v>
      </c>
      <c r="L47">
        <v>30.115213000000001</v>
      </c>
      <c r="M47">
        <v>1.8659939999999999</v>
      </c>
      <c r="N47">
        <v>-2.7980999999999999E-2</v>
      </c>
    </row>
    <row r="48" spans="1:14" x14ac:dyDescent="0.25">
      <c r="A48">
        <v>282</v>
      </c>
      <c r="B48">
        <v>3.7941069999999999</v>
      </c>
      <c r="C48">
        <v>9.2702000000000007E-2</v>
      </c>
      <c r="D48">
        <v>0.42450399999999999</v>
      </c>
      <c r="E48">
        <v>1.3929689999999999</v>
      </c>
      <c r="F48">
        <v>0.59829100000000002</v>
      </c>
      <c r="G48">
        <v>2.2780939999999998</v>
      </c>
      <c r="H48">
        <v>2.2533319999999999</v>
      </c>
      <c r="I48">
        <v>19.548756000000001</v>
      </c>
      <c r="J48">
        <v>0.65457299999999996</v>
      </c>
      <c r="K48">
        <v>1.0047410000000001</v>
      </c>
      <c r="L48">
        <v>29.119446</v>
      </c>
      <c r="M48">
        <v>1.841143</v>
      </c>
      <c r="N48">
        <v>-2.5561E-2</v>
      </c>
    </row>
    <row r="49" spans="1:14" x14ac:dyDescent="0.25">
      <c r="A49">
        <v>284</v>
      </c>
      <c r="B49">
        <v>3.7977050000000001</v>
      </c>
      <c r="C49">
        <v>0.100703</v>
      </c>
      <c r="D49">
        <v>0.40572900000000001</v>
      </c>
      <c r="E49">
        <v>1.3626039999999999</v>
      </c>
      <c r="F49">
        <v>0.60417200000000004</v>
      </c>
      <c r="G49">
        <v>2.2944879999999999</v>
      </c>
      <c r="H49">
        <v>2.2553879999999999</v>
      </c>
      <c r="I49">
        <v>18.858053999999999</v>
      </c>
      <c r="J49">
        <v>0.64239400000000002</v>
      </c>
      <c r="K49">
        <v>0.98433199999999998</v>
      </c>
      <c r="L49">
        <v>27.843025999999998</v>
      </c>
      <c r="M49">
        <v>1.7866299999999999</v>
      </c>
      <c r="N49">
        <v>-2.0785999999999999E-2</v>
      </c>
    </row>
    <row r="50" spans="1:14" x14ac:dyDescent="0.25">
      <c r="A50">
        <v>286</v>
      </c>
      <c r="B50">
        <v>3.7823129999999998</v>
      </c>
      <c r="C50">
        <v>0.111043</v>
      </c>
      <c r="D50">
        <v>0.386328</v>
      </c>
      <c r="E50">
        <v>1.339717</v>
      </c>
      <c r="F50">
        <v>0.61942900000000001</v>
      </c>
      <c r="G50">
        <v>2.307884</v>
      </c>
      <c r="H50">
        <v>2.2216049999999998</v>
      </c>
      <c r="I50">
        <v>17.989764000000001</v>
      </c>
      <c r="J50">
        <v>0.62853800000000004</v>
      </c>
      <c r="K50">
        <v>0.95389500000000005</v>
      </c>
      <c r="L50">
        <v>26.325544000000001</v>
      </c>
      <c r="M50">
        <v>1.701989</v>
      </c>
      <c r="N50">
        <v>-1.4803E-2</v>
      </c>
    </row>
    <row r="51" spans="1:14" x14ac:dyDescent="0.25">
      <c r="A51">
        <v>288</v>
      </c>
      <c r="B51">
        <v>3.7310059999999998</v>
      </c>
      <c r="C51">
        <v>0.11774800000000001</v>
      </c>
      <c r="D51">
        <v>0.36962299999999998</v>
      </c>
      <c r="E51">
        <v>1.328193</v>
      </c>
      <c r="F51">
        <v>0.65048700000000004</v>
      </c>
      <c r="G51">
        <v>2.3195350000000001</v>
      </c>
      <c r="H51">
        <v>2.1606299999999998</v>
      </c>
      <c r="I51">
        <v>16.971077999999999</v>
      </c>
      <c r="J51">
        <v>0.600553</v>
      </c>
      <c r="K51">
        <v>0.90852900000000003</v>
      </c>
      <c r="L51">
        <v>24.599661000000001</v>
      </c>
      <c r="M51">
        <v>1.598821</v>
      </c>
      <c r="N51">
        <v>-1.0034E-2</v>
      </c>
    </row>
    <row r="52" spans="1:14" x14ac:dyDescent="0.25">
      <c r="A52">
        <v>290</v>
      </c>
      <c r="B52">
        <v>3.6360380000000001</v>
      </c>
      <c r="C52">
        <v>0.11884599999999999</v>
      </c>
      <c r="D52">
        <v>0.35930400000000001</v>
      </c>
      <c r="E52">
        <v>1.3348439999999999</v>
      </c>
      <c r="F52">
        <v>0.69578399999999996</v>
      </c>
      <c r="G52">
        <v>2.322085</v>
      </c>
      <c r="H52">
        <v>2.0737459999999999</v>
      </c>
      <c r="I52">
        <v>15.823836999999999</v>
      </c>
      <c r="J52">
        <v>0.57048399999999999</v>
      </c>
      <c r="K52">
        <v>0.85565999999999998</v>
      </c>
      <c r="L52">
        <v>22.702484999999999</v>
      </c>
      <c r="M52">
        <v>1.4844489999999999</v>
      </c>
      <c r="N52">
        <v>-7.639E-3</v>
      </c>
    </row>
    <row r="53" spans="1:14" x14ac:dyDescent="0.25">
      <c r="A53">
        <v>292</v>
      </c>
      <c r="B53">
        <v>3.4847100000000002</v>
      </c>
      <c r="C53">
        <v>0.114535</v>
      </c>
      <c r="D53">
        <v>0.35148099999999999</v>
      </c>
      <c r="E53">
        <v>1.363712</v>
      </c>
      <c r="F53">
        <v>0.75017900000000004</v>
      </c>
      <c r="G53">
        <v>2.3100489999999998</v>
      </c>
      <c r="H53">
        <v>1.961916</v>
      </c>
      <c r="I53">
        <v>14.578602</v>
      </c>
      <c r="J53">
        <v>0.54089600000000004</v>
      </c>
      <c r="K53">
        <v>0.80229399999999995</v>
      </c>
      <c r="L53">
        <v>20.681384000000001</v>
      </c>
      <c r="M53">
        <v>1.361488</v>
      </c>
      <c r="N53">
        <v>-3.1100000000000002E-4</v>
      </c>
    </row>
    <row r="54" spans="1:14" x14ac:dyDescent="0.25">
      <c r="A54">
        <v>294</v>
      </c>
      <c r="B54">
        <v>3.2817059999999998</v>
      </c>
      <c r="C54">
        <v>0.109362</v>
      </c>
      <c r="D54">
        <v>0.340424</v>
      </c>
      <c r="E54">
        <v>1.4050830000000001</v>
      </c>
      <c r="F54">
        <v>0.81477200000000005</v>
      </c>
      <c r="G54">
        <v>2.2861259999999999</v>
      </c>
      <c r="H54">
        <v>1.8418129999999999</v>
      </c>
      <c r="I54">
        <v>13.258043000000001</v>
      </c>
      <c r="J54">
        <v>0.49939299999999998</v>
      </c>
      <c r="K54">
        <v>0.74882499999999996</v>
      </c>
      <c r="L54">
        <v>18.584368000000001</v>
      </c>
      <c r="M54">
        <v>1.241986</v>
      </c>
      <c r="N54">
        <v>-3.3199999999999999E-4</v>
      </c>
    </row>
    <row r="55" spans="1:14" x14ac:dyDescent="0.25">
      <c r="A55">
        <v>296</v>
      </c>
      <c r="B55">
        <v>3.0381990000000001</v>
      </c>
      <c r="C55">
        <v>0.105713</v>
      </c>
      <c r="D55">
        <v>0.34181400000000001</v>
      </c>
      <c r="E55">
        <v>1.452671</v>
      </c>
      <c r="F55">
        <v>0.894069</v>
      </c>
      <c r="G55">
        <v>2.2399520000000002</v>
      </c>
      <c r="H55">
        <v>1.7166220000000001</v>
      </c>
      <c r="I55">
        <v>11.903598000000001</v>
      </c>
      <c r="J55">
        <v>0.45879500000000001</v>
      </c>
      <c r="K55">
        <v>0.69969899999999996</v>
      </c>
      <c r="L55">
        <v>16.463683</v>
      </c>
      <c r="M55">
        <v>1.1399889999999999</v>
      </c>
      <c r="N55">
        <v>-6.79E-3</v>
      </c>
    </row>
    <row r="56" spans="1:14" x14ac:dyDescent="0.25">
      <c r="A56">
        <v>298</v>
      </c>
      <c r="B56">
        <v>2.7532350000000001</v>
      </c>
      <c r="C56">
        <v>0.104797</v>
      </c>
      <c r="D56">
        <v>0.34235399999999999</v>
      </c>
      <c r="E56">
        <v>1.5175749999999999</v>
      </c>
      <c r="F56">
        <v>0.98402800000000001</v>
      </c>
      <c r="G56">
        <v>2.1751640000000001</v>
      </c>
      <c r="H56">
        <v>1.5860399999999999</v>
      </c>
      <c r="I56">
        <v>10.499604</v>
      </c>
      <c r="J56">
        <v>0.420043</v>
      </c>
      <c r="K56">
        <v>0.65225</v>
      </c>
      <c r="L56">
        <v>14.304729</v>
      </c>
      <c r="M56">
        <v>1.0432360000000001</v>
      </c>
      <c r="N56">
        <v>2.1100000000000001E-4</v>
      </c>
    </row>
    <row r="57" spans="1:14" x14ac:dyDescent="0.25">
      <c r="A57">
        <v>300</v>
      </c>
      <c r="B57">
        <v>2.4595660000000001</v>
      </c>
      <c r="C57">
        <v>0.10587000000000001</v>
      </c>
      <c r="D57">
        <v>0.33500400000000002</v>
      </c>
      <c r="E57">
        <v>1.5848420000000001</v>
      </c>
      <c r="F57">
        <v>1.0782099999999999</v>
      </c>
      <c r="G57">
        <v>2.0912679999999999</v>
      </c>
      <c r="H57">
        <v>1.4711350000000001</v>
      </c>
      <c r="I57">
        <v>9.1434230000000003</v>
      </c>
      <c r="J57">
        <v>0.38397799999999999</v>
      </c>
      <c r="K57">
        <v>0.61229599999999995</v>
      </c>
      <c r="L57">
        <v>12.273840999999999</v>
      </c>
      <c r="M57">
        <v>0.959727</v>
      </c>
      <c r="N57">
        <v>9.5639999999999996E-3</v>
      </c>
    </row>
    <row r="58" spans="1:14" x14ac:dyDescent="0.25">
      <c r="A58">
        <v>302</v>
      </c>
      <c r="B58">
        <v>2.176088</v>
      </c>
      <c r="C58">
        <v>0.11186</v>
      </c>
      <c r="D58">
        <v>0.333291</v>
      </c>
      <c r="E58">
        <v>1.6431530000000001</v>
      </c>
      <c r="F58">
        <v>1.177487</v>
      </c>
      <c r="G58">
        <v>1.9858450000000001</v>
      </c>
      <c r="H58">
        <v>1.3720969999999999</v>
      </c>
      <c r="I58">
        <v>7.8476429999999997</v>
      </c>
      <c r="J58">
        <v>0.35373900000000003</v>
      </c>
      <c r="K58">
        <v>0.57769199999999998</v>
      </c>
      <c r="L58">
        <v>10.35483</v>
      </c>
      <c r="M58">
        <v>0.89824199999999998</v>
      </c>
      <c r="N58">
        <v>1.295E-2</v>
      </c>
    </row>
    <row r="59" spans="1:14" x14ac:dyDescent="0.25">
      <c r="A59">
        <v>304</v>
      </c>
      <c r="B59">
        <v>1.9081379999999999</v>
      </c>
      <c r="C59">
        <v>0.11261699999999999</v>
      </c>
      <c r="D59">
        <v>0.32913300000000001</v>
      </c>
      <c r="E59">
        <v>1.6959770000000001</v>
      </c>
      <c r="F59">
        <v>1.2823420000000001</v>
      </c>
      <c r="G59">
        <v>1.875942</v>
      </c>
      <c r="H59">
        <v>1.2842530000000001</v>
      </c>
      <c r="I59">
        <v>6.6262549999999996</v>
      </c>
      <c r="J59">
        <v>0.31988100000000003</v>
      </c>
      <c r="K59">
        <v>0.55221500000000001</v>
      </c>
      <c r="L59">
        <v>8.581137</v>
      </c>
      <c r="M59">
        <v>0.84988300000000006</v>
      </c>
      <c r="N59">
        <v>1.4715000000000001E-2</v>
      </c>
    </row>
    <row r="60" spans="1:14" x14ac:dyDescent="0.25">
      <c r="A60">
        <v>306</v>
      </c>
      <c r="B60">
        <v>1.67919</v>
      </c>
      <c r="C60">
        <v>0.114468</v>
      </c>
      <c r="D60">
        <v>0.31381500000000001</v>
      </c>
      <c r="E60">
        <v>1.737646</v>
      </c>
      <c r="F60">
        <v>1.392271</v>
      </c>
      <c r="G60">
        <v>1.7592559999999999</v>
      </c>
      <c r="H60">
        <v>1.2113510000000001</v>
      </c>
      <c r="I60">
        <v>5.4738150000000001</v>
      </c>
      <c r="J60">
        <v>0.28592200000000001</v>
      </c>
      <c r="K60">
        <v>0.53434999999999999</v>
      </c>
      <c r="L60">
        <v>6.9451980000000004</v>
      </c>
      <c r="M60">
        <v>0.81254499999999996</v>
      </c>
      <c r="N60">
        <v>1.4716E-2</v>
      </c>
    </row>
    <row r="61" spans="1:14" x14ac:dyDescent="0.25">
      <c r="A61">
        <v>308</v>
      </c>
      <c r="B61">
        <v>1.5072449999999999</v>
      </c>
      <c r="C61">
        <v>0.11504499999999999</v>
      </c>
      <c r="D61">
        <v>0.30275099999999999</v>
      </c>
      <c r="E61">
        <v>1.759876</v>
      </c>
      <c r="F61">
        <v>1.48726</v>
      </c>
      <c r="G61">
        <v>1.6424030000000001</v>
      </c>
      <c r="H61">
        <v>1.166107</v>
      </c>
      <c r="I61">
        <v>4.4638850000000003</v>
      </c>
      <c r="J61">
        <v>0.25463999999999998</v>
      </c>
      <c r="K61">
        <v>0.52177700000000005</v>
      </c>
      <c r="L61">
        <v>5.548432</v>
      </c>
      <c r="M61">
        <v>0.78893500000000005</v>
      </c>
      <c r="N61">
        <v>1.7718999999999999E-2</v>
      </c>
    </row>
    <row r="62" spans="1:14" x14ac:dyDescent="0.25">
      <c r="A62">
        <v>310</v>
      </c>
      <c r="B62">
        <v>1.3944080000000001</v>
      </c>
      <c r="C62">
        <v>0.12114</v>
      </c>
      <c r="D62">
        <v>0.29817199999999999</v>
      </c>
      <c r="E62">
        <v>1.769547</v>
      </c>
      <c r="F62">
        <v>1.5693349999999999</v>
      </c>
      <c r="G62">
        <v>1.525077</v>
      </c>
      <c r="H62">
        <v>1.134401</v>
      </c>
      <c r="I62">
        <v>3.5876519999999998</v>
      </c>
      <c r="J62">
        <v>0.21801799999999999</v>
      </c>
      <c r="K62">
        <v>0.50897700000000001</v>
      </c>
      <c r="L62">
        <v>4.346813</v>
      </c>
      <c r="M62">
        <v>0.76859900000000003</v>
      </c>
      <c r="N62">
        <v>2.4289000000000002E-2</v>
      </c>
    </row>
    <row r="63" spans="1:14" x14ac:dyDescent="0.25">
      <c r="A63">
        <v>312</v>
      </c>
      <c r="B63">
        <v>1.3431109999999999</v>
      </c>
      <c r="C63">
        <v>0.129191</v>
      </c>
      <c r="D63">
        <v>0.28920899999999999</v>
      </c>
      <c r="E63">
        <v>1.763442</v>
      </c>
      <c r="F63">
        <v>1.6384510000000001</v>
      </c>
      <c r="G63">
        <v>1.4060589999999999</v>
      </c>
      <c r="H63">
        <v>1.0981209999999999</v>
      </c>
      <c r="I63">
        <v>2.8192219999999999</v>
      </c>
      <c r="J63">
        <v>0.181563</v>
      </c>
      <c r="K63">
        <v>0.50025500000000001</v>
      </c>
      <c r="L63">
        <v>3.3086609999999999</v>
      </c>
      <c r="M63">
        <v>0.76327400000000001</v>
      </c>
      <c r="N63">
        <v>3.4209000000000003E-2</v>
      </c>
    </row>
    <row r="64" spans="1:14" x14ac:dyDescent="0.25">
      <c r="A64">
        <v>314</v>
      </c>
      <c r="B64">
        <v>1.344379</v>
      </c>
      <c r="C64">
        <v>0.130832</v>
      </c>
      <c r="D64">
        <v>0.26251000000000002</v>
      </c>
      <c r="E64">
        <v>1.7287079999999999</v>
      </c>
      <c r="F64">
        <v>1.6801189999999999</v>
      </c>
      <c r="G64">
        <v>1.2884089999999999</v>
      </c>
      <c r="H64">
        <v>1.076462</v>
      </c>
      <c r="I64">
        <v>2.1909529999999999</v>
      </c>
      <c r="J64">
        <v>0.15720000000000001</v>
      </c>
      <c r="K64">
        <v>0.50155899999999998</v>
      </c>
      <c r="L64">
        <v>2.4880270000000002</v>
      </c>
      <c r="M64">
        <v>0.75711700000000004</v>
      </c>
      <c r="N64">
        <v>3.1142E-2</v>
      </c>
    </row>
    <row r="65" spans="1:14" x14ac:dyDescent="0.25">
      <c r="A65">
        <v>316</v>
      </c>
      <c r="B65">
        <v>1.395367</v>
      </c>
      <c r="C65">
        <v>0.12708700000000001</v>
      </c>
      <c r="D65">
        <v>0.233151</v>
      </c>
      <c r="E65">
        <v>1.6778900000000001</v>
      </c>
      <c r="F65">
        <v>1.6995100000000001</v>
      </c>
      <c r="G65">
        <v>1.1604449999999999</v>
      </c>
      <c r="H65">
        <v>1.063185</v>
      </c>
      <c r="I65">
        <v>1.6747460000000001</v>
      </c>
      <c r="J65">
        <v>0.149205</v>
      </c>
      <c r="K65">
        <v>0.50170000000000003</v>
      </c>
      <c r="L65">
        <v>1.8279639999999999</v>
      </c>
      <c r="M65">
        <v>0.74209199999999997</v>
      </c>
      <c r="N65">
        <v>2.376E-2</v>
      </c>
    </row>
    <row r="66" spans="1:14" x14ac:dyDescent="0.25">
      <c r="A66">
        <v>318</v>
      </c>
      <c r="B66">
        <v>1.4876400000000001</v>
      </c>
      <c r="C66">
        <v>0.12679099999999999</v>
      </c>
      <c r="D66">
        <v>0.21885299999999999</v>
      </c>
      <c r="E66">
        <v>1.6170610000000001</v>
      </c>
      <c r="F66">
        <v>1.6992830000000001</v>
      </c>
      <c r="G66">
        <v>1.034119</v>
      </c>
      <c r="H66">
        <v>1.04792</v>
      </c>
      <c r="I66">
        <v>1.273407</v>
      </c>
      <c r="J66">
        <v>0.13843900000000001</v>
      </c>
      <c r="K66">
        <v>0.49676199999999998</v>
      </c>
      <c r="L66">
        <v>1.326997</v>
      </c>
      <c r="M66">
        <v>0.73050800000000005</v>
      </c>
      <c r="N66">
        <v>1.7798000000000001E-2</v>
      </c>
    </row>
    <row r="67" spans="1:14" x14ac:dyDescent="0.25">
      <c r="A67">
        <v>320</v>
      </c>
      <c r="B67">
        <v>1.6101209999999999</v>
      </c>
      <c r="C67">
        <v>0.132437</v>
      </c>
      <c r="D67">
        <v>0.19989899999999999</v>
      </c>
      <c r="E67">
        <v>1.537134</v>
      </c>
      <c r="F67">
        <v>1.6692210000000001</v>
      </c>
      <c r="G67">
        <v>0.90974200000000005</v>
      </c>
      <c r="H67">
        <v>1.035507</v>
      </c>
      <c r="I67">
        <v>0.95379599999999998</v>
      </c>
      <c r="J67">
        <v>0.109711</v>
      </c>
      <c r="K67">
        <v>0.48884899999999998</v>
      </c>
      <c r="L67">
        <v>0.928427</v>
      </c>
      <c r="M67">
        <v>0.71845300000000001</v>
      </c>
      <c r="N67">
        <v>1.7347000000000001E-2</v>
      </c>
    </row>
    <row r="68" spans="1:14" x14ac:dyDescent="0.25">
      <c r="A68">
        <v>322</v>
      </c>
      <c r="B68">
        <v>1.750216</v>
      </c>
      <c r="C68">
        <v>0.13750899999999999</v>
      </c>
      <c r="D68">
        <v>0.181112</v>
      </c>
      <c r="E68">
        <v>1.4550510000000001</v>
      </c>
      <c r="F68">
        <v>1.6129880000000001</v>
      </c>
      <c r="G68">
        <v>0.78688800000000003</v>
      </c>
      <c r="H68">
        <v>1.0190380000000001</v>
      </c>
      <c r="I68">
        <v>0.72439699999999996</v>
      </c>
      <c r="J68">
        <v>8.7919999999999998E-2</v>
      </c>
      <c r="K68">
        <v>0.48787700000000001</v>
      </c>
      <c r="L68">
        <v>0.64466999999999997</v>
      </c>
      <c r="M68">
        <v>0.71023999999999998</v>
      </c>
      <c r="N68">
        <v>1.6875000000000001E-2</v>
      </c>
    </row>
    <row r="69" spans="1:14" x14ac:dyDescent="0.25">
      <c r="A69">
        <v>324</v>
      </c>
      <c r="B69">
        <v>1.912469</v>
      </c>
      <c r="C69">
        <v>0.142037</v>
      </c>
      <c r="D69">
        <v>0.170793</v>
      </c>
      <c r="E69">
        <v>1.3721920000000001</v>
      </c>
      <c r="F69">
        <v>1.5379700000000001</v>
      </c>
      <c r="G69">
        <v>0.67003100000000004</v>
      </c>
      <c r="H69">
        <v>1.0008049999999999</v>
      </c>
      <c r="I69">
        <v>0.54349999999999998</v>
      </c>
      <c r="J69">
        <v>6.5977999999999995E-2</v>
      </c>
      <c r="K69">
        <v>0.48579299999999997</v>
      </c>
      <c r="L69">
        <v>0.43863099999999999</v>
      </c>
      <c r="M69">
        <v>0.70095700000000005</v>
      </c>
      <c r="N69">
        <v>1.6348999999999999E-2</v>
      </c>
    </row>
    <row r="70" spans="1:14" x14ac:dyDescent="0.25">
      <c r="A70">
        <v>326</v>
      </c>
      <c r="B70">
        <v>2.0979410000000001</v>
      </c>
      <c r="C70">
        <v>0.144677</v>
      </c>
      <c r="D70">
        <v>0.16606199999999999</v>
      </c>
      <c r="E70">
        <v>1.295741</v>
      </c>
      <c r="F70">
        <v>1.4469749999999999</v>
      </c>
      <c r="G70">
        <v>0.580291</v>
      </c>
      <c r="H70">
        <v>0.98350700000000002</v>
      </c>
      <c r="I70">
        <v>0.42154599999999998</v>
      </c>
      <c r="J70">
        <v>4.8139000000000001E-2</v>
      </c>
      <c r="K70">
        <v>0.48093399999999997</v>
      </c>
      <c r="L70">
        <v>0.292437</v>
      </c>
      <c r="M70">
        <v>0.68178499999999997</v>
      </c>
      <c r="N70">
        <v>1.6483000000000001E-2</v>
      </c>
    </row>
    <row r="71" spans="1:14" x14ac:dyDescent="0.25">
      <c r="A71">
        <v>328</v>
      </c>
      <c r="B71">
        <v>2.2952340000000002</v>
      </c>
      <c r="C71">
        <v>0.146338</v>
      </c>
      <c r="D71">
        <v>0.156585</v>
      </c>
      <c r="E71">
        <v>1.203354</v>
      </c>
      <c r="F71">
        <v>1.331205</v>
      </c>
      <c r="G71">
        <v>0.49928699999999998</v>
      </c>
      <c r="H71">
        <v>0.96067499999999995</v>
      </c>
      <c r="I71">
        <v>0.33684500000000001</v>
      </c>
      <c r="J71">
        <v>3.6347999999999998E-2</v>
      </c>
      <c r="K71">
        <v>0.47610400000000003</v>
      </c>
      <c r="L71">
        <v>0.18228900000000001</v>
      </c>
      <c r="M71">
        <v>0.656802</v>
      </c>
      <c r="N71">
        <v>2.4188999999999999E-2</v>
      </c>
    </row>
    <row r="72" spans="1:14" x14ac:dyDescent="0.25">
      <c r="A72">
        <v>330</v>
      </c>
      <c r="B72">
        <v>2.484353</v>
      </c>
      <c r="C72">
        <v>0.149755</v>
      </c>
      <c r="D72">
        <v>0.149865</v>
      </c>
      <c r="E72">
        <v>1.107926</v>
      </c>
      <c r="F72">
        <v>1.2139690000000001</v>
      </c>
      <c r="G72">
        <v>0.42734299999999997</v>
      </c>
      <c r="H72">
        <v>0.92726699999999995</v>
      </c>
      <c r="I72">
        <v>0.27082299999999998</v>
      </c>
      <c r="J72">
        <v>2.2249999999999999E-2</v>
      </c>
      <c r="K72">
        <v>0.46501300000000001</v>
      </c>
      <c r="L72">
        <v>0.11277</v>
      </c>
      <c r="M72">
        <v>0.63061800000000001</v>
      </c>
      <c r="N72">
        <v>2.8486000000000001E-2</v>
      </c>
    </row>
    <row r="73" spans="1:14" x14ac:dyDescent="0.25">
      <c r="A73">
        <v>332</v>
      </c>
      <c r="B73">
        <v>2.6841409999999999</v>
      </c>
      <c r="C73">
        <v>0.146511</v>
      </c>
      <c r="D73">
        <v>0.15056900000000001</v>
      </c>
      <c r="E73">
        <v>1.021396</v>
      </c>
      <c r="F73">
        <v>1.0881460000000001</v>
      </c>
      <c r="G73">
        <v>0.37543700000000002</v>
      </c>
      <c r="H73">
        <v>0.89777499999999999</v>
      </c>
      <c r="I73">
        <v>0.21771799999999999</v>
      </c>
      <c r="J73">
        <v>1.6494999999999999E-2</v>
      </c>
      <c r="K73">
        <v>0.460586</v>
      </c>
      <c r="L73">
        <v>6.9642999999999997E-2</v>
      </c>
      <c r="M73">
        <v>0.61150700000000002</v>
      </c>
      <c r="N73">
        <v>3.0567E-2</v>
      </c>
    </row>
    <row r="74" spans="1:14" x14ac:dyDescent="0.25">
      <c r="A74">
        <v>334</v>
      </c>
      <c r="B74">
        <v>2.8972570000000002</v>
      </c>
      <c r="C74">
        <v>0.13809199999999999</v>
      </c>
      <c r="D74">
        <v>0.151083</v>
      </c>
      <c r="E74">
        <v>0.93674400000000002</v>
      </c>
      <c r="F74">
        <v>0.94111800000000001</v>
      </c>
      <c r="G74">
        <v>0.33527200000000001</v>
      </c>
      <c r="H74">
        <v>0.86932500000000001</v>
      </c>
      <c r="I74">
        <v>0.18903900000000001</v>
      </c>
      <c r="J74">
        <v>1.3547999999999999E-2</v>
      </c>
      <c r="K74">
        <v>0.461974</v>
      </c>
      <c r="L74">
        <v>2.8871000000000001E-2</v>
      </c>
      <c r="M74">
        <v>0.60067899999999996</v>
      </c>
      <c r="N74">
        <v>3.2037000000000003E-2</v>
      </c>
    </row>
    <row r="75" spans="1:14" x14ac:dyDescent="0.25">
      <c r="A75">
        <v>336</v>
      </c>
      <c r="B75">
        <v>3.1119180000000002</v>
      </c>
      <c r="C75">
        <v>0.13355</v>
      </c>
      <c r="D75">
        <v>0.15704699999999999</v>
      </c>
      <c r="E75">
        <v>0.86253999999999997</v>
      </c>
      <c r="F75">
        <v>0.81025499999999995</v>
      </c>
      <c r="G75">
        <v>0.31104500000000002</v>
      </c>
      <c r="H75">
        <v>0.83160299999999998</v>
      </c>
      <c r="I75">
        <v>0.176397</v>
      </c>
      <c r="J75">
        <v>1.6025999999999999E-2</v>
      </c>
      <c r="K75">
        <v>0.45739099999999999</v>
      </c>
      <c r="L75">
        <v>3.545E-3</v>
      </c>
      <c r="M75">
        <v>0.58848100000000003</v>
      </c>
      <c r="N75">
        <v>1.9653E-2</v>
      </c>
    </row>
    <row r="76" spans="1:14" x14ac:dyDescent="0.25">
      <c r="A76">
        <v>338</v>
      </c>
      <c r="B76">
        <v>3.3176079999999999</v>
      </c>
      <c r="C76">
        <v>0.138713</v>
      </c>
      <c r="D76">
        <v>0.16019900000000001</v>
      </c>
      <c r="E76">
        <v>0.79000899999999996</v>
      </c>
      <c r="F76">
        <v>0.681114</v>
      </c>
      <c r="G76">
        <v>0.29510500000000001</v>
      </c>
      <c r="H76">
        <v>0.795099</v>
      </c>
      <c r="I76">
        <v>0.15440499999999999</v>
      </c>
      <c r="J76">
        <v>1.7233999999999999E-2</v>
      </c>
      <c r="K76">
        <v>0.44848399999999999</v>
      </c>
      <c r="L76">
        <v>-6.881E-3</v>
      </c>
      <c r="M76">
        <v>0.58206800000000003</v>
      </c>
      <c r="N76">
        <v>1.5918999999999999E-2</v>
      </c>
    </row>
    <row r="77" spans="1:14" x14ac:dyDescent="0.25">
      <c r="A77">
        <v>340</v>
      </c>
      <c r="B77">
        <v>3.5044759999999999</v>
      </c>
      <c r="C77">
        <v>0.13947899999999999</v>
      </c>
      <c r="D77">
        <v>0.16755200000000001</v>
      </c>
      <c r="E77">
        <v>0.73823499999999997</v>
      </c>
      <c r="F77">
        <v>0.567357</v>
      </c>
      <c r="G77">
        <v>0.28251599999999999</v>
      </c>
      <c r="H77">
        <v>0.762208</v>
      </c>
      <c r="I77">
        <v>0.13630900000000001</v>
      </c>
      <c r="J77">
        <v>1.6278000000000001E-2</v>
      </c>
      <c r="K77">
        <v>0.44196999999999997</v>
      </c>
      <c r="L77">
        <v>-1.0161999999999999E-2</v>
      </c>
      <c r="M77">
        <v>0.576376</v>
      </c>
      <c r="N77">
        <v>1.8147E-2</v>
      </c>
    </row>
    <row r="78" spans="1:14" x14ac:dyDescent="0.25">
      <c r="A78">
        <v>342</v>
      </c>
      <c r="B78">
        <v>3.6806290000000002</v>
      </c>
      <c r="C78">
        <v>0.135687</v>
      </c>
      <c r="D78">
        <v>0.183363</v>
      </c>
      <c r="E78">
        <v>0.70080100000000001</v>
      </c>
      <c r="F78">
        <v>0.46889399999999998</v>
      </c>
      <c r="G78">
        <v>0.27829100000000001</v>
      </c>
      <c r="H78">
        <v>0.72647700000000004</v>
      </c>
      <c r="I78">
        <v>0.130242</v>
      </c>
      <c r="J78">
        <v>1.1095000000000001E-2</v>
      </c>
      <c r="K78">
        <v>0.43830000000000002</v>
      </c>
      <c r="L78">
        <v>-7.241E-3</v>
      </c>
      <c r="M78">
        <v>0.57297500000000001</v>
      </c>
      <c r="N78">
        <v>1.7146000000000002E-2</v>
      </c>
    </row>
    <row r="79" spans="1:14" x14ac:dyDescent="0.25">
      <c r="A79">
        <v>344</v>
      </c>
      <c r="B79">
        <v>3.8410410000000001</v>
      </c>
      <c r="C79">
        <v>0.13575599999999999</v>
      </c>
      <c r="D79">
        <v>0.195075</v>
      </c>
      <c r="E79">
        <v>0.68010499999999996</v>
      </c>
      <c r="F79">
        <v>0.386403</v>
      </c>
      <c r="G79">
        <v>0.28026499999999999</v>
      </c>
      <c r="H79">
        <v>0.69346799999999997</v>
      </c>
      <c r="I79">
        <v>0.116574</v>
      </c>
      <c r="J79">
        <v>3.542E-3</v>
      </c>
      <c r="K79">
        <v>0.44169199999999997</v>
      </c>
      <c r="L79">
        <v>-1.0319999999999999E-3</v>
      </c>
      <c r="M79">
        <v>0.56925199999999998</v>
      </c>
      <c r="N79">
        <v>2.0516E-2</v>
      </c>
    </row>
    <row r="80" spans="1:14" x14ac:dyDescent="0.25">
      <c r="A80">
        <v>346</v>
      </c>
      <c r="B80">
        <v>3.983581</v>
      </c>
      <c r="C80">
        <v>0.13170899999999999</v>
      </c>
      <c r="D80">
        <v>0.21299299999999999</v>
      </c>
      <c r="E80">
        <v>0.67677299999999996</v>
      </c>
      <c r="F80">
        <v>0.31270199999999998</v>
      </c>
      <c r="G80">
        <v>0.28245399999999998</v>
      </c>
      <c r="H80">
        <v>0.66708100000000004</v>
      </c>
      <c r="I80">
        <v>0.108823</v>
      </c>
      <c r="J80">
        <v>7.4799999999999997E-3</v>
      </c>
      <c r="K80">
        <v>0.44453599999999999</v>
      </c>
      <c r="L80">
        <v>-5.4970000000000001E-3</v>
      </c>
      <c r="M80">
        <v>0.56306400000000001</v>
      </c>
      <c r="N80">
        <v>2.077E-2</v>
      </c>
    </row>
    <row r="81" spans="1:14" x14ac:dyDescent="0.25">
      <c r="A81">
        <v>348</v>
      </c>
      <c r="B81">
        <v>4.1052499999999998</v>
      </c>
      <c r="C81">
        <v>0.126217</v>
      </c>
      <c r="D81">
        <v>0.22894500000000001</v>
      </c>
      <c r="E81">
        <v>0.67917499999999997</v>
      </c>
      <c r="F81">
        <v>0.25182300000000002</v>
      </c>
      <c r="G81">
        <v>0.27979799999999999</v>
      </c>
      <c r="H81">
        <v>0.63757799999999998</v>
      </c>
      <c r="I81">
        <v>0.107472</v>
      </c>
      <c r="J81">
        <v>1.3778E-2</v>
      </c>
      <c r="K81">
        <v>0.44851200000000002</v>
      </c>
      <c r="L81">
        <v>-7.2649999999999998E-3</v>
      </c>
      <c r="M81">
        <v>0.56513000000000002</v>
      </c>
      <c r="N81">
        <v>1.9521E-2</v>
      </c>
    </row>
    <row r="82" spans="1:14" x14ac:dyDescent="0.25">
      <c r="A82">
        <v>350</v>
      </c>
      <c r="B82">
        <v>4.2124319999999997</v>
      </c>
      <c r="C82">
        <v>0.11933199999999999</v>
      </c>
      <c r="D82">
        <v>0.24284</v>
      </c>
      <c r="E82">
        <v>0.70367999999999997</v>
      </c>
      <c r="F82">
        <v>0.206763</v>
      </c>
      <c r="G82">
        <v>0.28917799999999999</v>
      </c>
      <c r="H82">
        <v>0.61142300000000005</v>
      </c>
      <c r="I82">
        <v>0.100378</v>
      </c>
      <c r="J82">
        <v>1.5154000000000001E-2</v>
      </c>
      <c r="K82">
        <v>0.44956800000000002</v>
      </c>
      <c r="L82">
        <v>-1.0718999999999999E-2</v>
      </c>
      <c r="M82">
        <v>0.56370699999999996</v>
      </c>
      <c r="N82">
        <v>1.8315000000000001E-2</v>
      </c>
    </row>
    <row r="83" spans="1:14" x14ac:dyDescent="0.25">
      <c r="A83">
        <v>352</v>
      </c>
      <c r="B83">
        <v>4.2866559999999998</v>
      </c>
      <c r="C83">
        <v>0.114061</v>
      </c>
      <c r="D83">
        <v>0.25226199999999999</v>
      </c>
      <c r="E83">
        <v>0.73832699999999996</v>
      </c>
      <c r="F83">
        <v>0.16811899999999999</v>
      </c>
      <c r="G83">
        <v>0.30383500000000002</v>
      </c>
      <c r="H83">
        <v>0.58316299999999999</v>
      </c>
      <c r="I83">
        <v>9.3665999999999999E-2</v>
      </c>
      <c r="J83">
        <v>2.6095E-2</v>
      </c>
      <c r="K83">
        <v>0.45301000000000002</v>
      </c>
      <c r="L83">
        <v>-6.7349999999999997E-3</v>
      </c>
      <c r="M83">
        <v>0.55890499999999999</v>
      </c>
      <c r="N83">
        <v>2.5658E-2</v>
      </c>
    </row>
    <row r="84" spans="1:14" x14ac:dyDescent="0.25">
      <c r="A84">
        <v>354</v>
      </c>
      <c r="B84">
        <v>4.3363870000000002</v>
      </c>
      <c r="C84">
        <v>0.116045</v>
      </c>
      <c r="D84">
        <v>0.26927499999999999</v>
      </c>
      <c r="E84">
        <v>0.77623200000000003</v>
      </c>
      <c r="F84">
        <v>0.13941999999999999</v>
      </c>
      <c r="G84">
        <v>0.31149500000000002</v>
      </c>
      <c r="H84">
        <v>0.55934399999999995</v>
      </c>
      <c r="I84">
        <v>9.4619999999999996E-2</v>
      </c>
      <c r="J84">
        <v>2.3288E-2</v>
      </c>
      <c r="K84">
        <v>0.45388899999999999</v>
      </c>
      <c r="L84">
        <v>7.4609999999999998E-3</v>
      </c>
      <c r="M84">
        <v>0.55196199999999995</v>
      </c>
      <c r="N84">
        <v>3.2638E-2</v>
      </c>
    </row>
    <row r="85" spans="1:14" x14ac:dyDescent="0.25">
      <c r="A85">
        <v>356</v>
      </c>
      <c r="B85">
        <v>4.365977</v>
      </c>
      <c r="C85">
        <v>0.116829</v>
      </c>
      <c r="D85">
        <v>0.28770800000000002</v>
      </c>
      <c r="E85">
        <v>0.83263699999999996</v>
      </c>
      <c r="F85">
        <v>0.13236700000000001</v>
      </c>
      <c r="G85">
        <v>0.319631</v>
      </c>
      <c r="H85">
        <v>0.52430100000000002</v>
      </c>
      <c r="I85">
        <v>8.8830000000000006E-2</v>
      </c>
      <c r="J85">
        <v>1.677E-2</v>
      </c>
      <c r="K85">
        <v>0.45069300000000001</v>
      </c>
      <c r="L85">
        <v>9.5340000000000008E-3</v>
      </c>
      <c r="M85">
        <v>0.55022599999999999</v>
      </c>
      <c r="N85">
        <v>3.5285999999999998E-2</v>
      </c>
    </row>
    <row r="86" spans="1:14" x14ac:dyDescent="0.25">
      <c r="A86">
        <v>358</v>
      </c>
      <c r="B86">
        <v>4.3457629999999998</v>
      </c>
      <c r="C86">
        <v>9.8609000000000002E-2</v>
      </c>
      <c r="D86">
        <v>0.29476000000000002</v>
      </c>
      <c r="E86">
        <v>0.88175800000000004</v>
      </c>
      <c r="F86">
        <v>0.127718</v>
      </c>
      <c r="G86">
        <v>0.33320899999999998</v>
      </c>
      <c r="H86">
        <v>0.485286</v>
      </c>
      <c r="I86">
        <v>8.0384999999999998E-2</v>
      </c>
      <c r="J86">
        <v>1.84E-2</v>
      </c>
      <c r="K86">
        <v>0.45025300000000001</v>
      </c>
      <c r="L86">
        <v>1.1979E-2</v>
      </c>
      <c r="M86">
        <v>0.54416299999999995</v>
      </c>
      <c r="N86">
        <v>3.4053E-2</v>
      </c>
    </row>
    <row r="87" spans="1:14" x14ac:dyDescent="0.25">
      <c r="A87">
        <v>360</v>
      </c>
      <c r="B87">
        <v>4.2889699999999999</v>
      </c>
      <c r="C87">
        <v>9.9928000000000003E-2</v>
      </c>
      <c r="D87">
        <v>0.30784699999999998</v>
      </c>
      <c r="E87">
        <v>0.93569800000000003</v>
      </c>
      <c r="F87">
        <v>0.12110799999999999</v>
      </c>
      <c r="G87">
        <v>0.34211200000000003</v>
      </c>
      <c r="H87">
        <v>0.45900299999999999</v>
      </c>
      <c r="I87">
        <v>8.4813E-2</v>
      </c>
      <c r="J87">
        <v>2.196E-2</v>
      </c>
      <c r="K87">
        <v>0.437417</v>
      </c>
      <c r="L87">
        <v>1.895E-3</v>
      </c>
      <c r="M87">
        <v>0.53196100000000002</v>
      </c>
      <c r="N87">
        <v>3.6731E-2</v>
      </c>
    </row>
    <row r="88" spans="1:14" x14ac:dyDescent="0.25">
      <c r="A88">
        <v>362</v>
      </c>
      <c r="B88">
        <v>4.207751</v>
      </c>
      <c r="C88">
        <v>0.10641399999999999</v>
      </c>
      <c r="D88">
        <v>0.33484399999999997</v>
      </c>
      <c r="E88">
        <v>1.000961</v>
      </c>
      <c r="F88">
        <v>0.118073</v>
      </c>
      <c r="G88">
        <v>0.363373</v>
      </c>
      <c r="H88">
        <v>0.42020200000000002</v>
      </c>
      <c r="I88">
        <v>7.7257999999999993E-2</v>
      </c>
      <c r="J88">
        <v>2.0760000000000001E-2</v>
      </c>
      <c r="K88">
        <v>0.42787599999999998</v>
      </c>
      <c r="L88">
        <v>3.0140000000000002E-3</v>
      </c>
      <c r="M88">
        <v>0.52169699999999997</v>
      </c>
      <c r="N88">
        <v>2.6891999999999999E-2</v>
      </c>
    </row>
    <row r="89" spans="1:14" x14ac:dyDescent="0.25">
      <c r="A89">
        <v>364</v>
      </c>
      <c r="B89">
        <v>4.0857010000000002</v>
      </c>
      <c r="C89">
        <v>0.10199800000000001</v>
      </c>
      <c r="D89">
        <v>0.34439199999999998</v>
      </c>
      <c r="E89">
        <v>1.0717410000000001</v>
      </c>
      <c r="F89">
        <v>0.120265</v>
      </c>
      <c r="G89">
        <v>0.38204500000000002</v>
      </c>
      <c r="H89">
        <v>0.38976300000000003</v>
      </c>
      <c r="I89">
        <v>6.4615000000000006E-2</v>
      </c>
      <c r="J89">
        <v>1.5429E-2</v>
      </c>
      <c r="K89">
        <v>0.42304199999999997</v>
      </c>
      <c r="L89">
        <v>1.217E-2</v>
      </c>
      <c r="M89">
        <v>0.50508900000000001</v>
      </c>
      <c r="N89">
        <v>2.7768999999999999E-2</v>
      </c>
    </row>
    <row r="90" spans="1:14" x14ac:dyDescent="0.25">
      <c r="A90">
        <v>366</v>
      </c>
      <c r="B90">
        <v>3.9504320000000002</v>
      </c>
      <c r="C90">
        <v>0.10484</v>
      </c>
      <c r="D90">
        <v>0.34719299999999997</v>
      </c>
      <c r="E90">
        <v>1.1358470000000001</v>
      </c>
      <c r="F90">
        <v>0.13064600000000001</v>
      </c>
      <c r="G90">
        <v>0.386214</v>
      </c>
      <c r="H90">
        <v>0.35954199999999997</v>
      </c>
      <c r="I90">
        <v>6.0449999999999997E-2</v>
      </c>
      <c r="J90">
        <v>2.5493999999999999E-2</v>
      </c>
      <c r="K90">
        <v>0.41880600000000001</v>
      </c>
      <c r="L90">
        <v>7.2350000000000001E-3</v>
      </c>
      <c r="M90">
        <v>0.48840099999999997</v>
      </c>
      <c r="N90">
        <v>2.4815E-2</v>
      </c>
    </row>
    <row r="91" spans="1:14" x14ac:dyDescent="0.25">
      <c r="A91">
        <v>368</v>
      </c>
      <c r="B91">
        <v>3.7953649999999999</v>
      </c>
      <c r="C91">
        <v>0.115826</v>
      </c>
      <c r="D91">
        <v>0.36911300000000002</v>
      </c>
      <c r="E91">
        <v>1.1961109999999999</v>
      </c>
      <c r="F91">
        <v>0.13217699999999999</v>
      </c>
      <c r="G91">
        <v>0.40446300000000002</v>
      </c>
      <c r="H91">
        <v>0.32723000000000002</v>
      </c>
      <c r="I91">
        <v>6.8612999999999993E-2</v>
      </c>
      <c r="J91">
        <v>3.4347999999999997E-2</v>
      </c>
      <c r="K91">
        <v>0.41516900000000001</v>
      </c>
      <c r="L91">
        <v>5.8200000000000005E-4</v>
      </c>
      <c r="M91">
        <v>0.47075499999999998</v>
      </c>
      <c r="N91">
        <v>1.4411999999999999E-2</v>
      </c>
    </row>
    <row r="92" spans="1:14" x14ac:dyDescent="0.25">
      <c r="A92">
        <v>370</v>
      </c>
      <c r="B92">
        <v>3.6081099999999999</v>
      </c>
      <c r="C92">
        <v>0.112069</v>
      </c>
      <c r="D92">
        <v>0.393793</v>
      </c>
      <c r="E92">
        <v>1.264014</v>
      </c>
      <c r="F92">
        <v>0.13353100000000001</v>
      </c>
      <c r="G92">
        <v>0.426896</v>
      </c>
      <c r="H92">
        <v>0.300122</v>
      </c>
      <c r="I92">
        <v>6.9561999999999999E-2</v>
      </c>
      <c r="J92">
        <v>3.5909000000000003E-2</v>
      </c>
      <c r="K92">
        <v>0.410466</v>
      </c>
      <c r="L92">
        <v>-1.1211E-2</v>
      </c>
      <c r="M92">
        <v>0.447743</v>
      </c>
      <c r="N92">
        <v>1.8124000000000001E-2</v>
      </c>
    </row>
    <row r="93" spans="1:14" x14ac:dyDescent="0.25">
      <c r="A93">
        <v>372</v>
      </c>
      <c r="B93">
        <v>3.3958370000000002</v>
      </c>
      <c r="C93">
        <v>0.10639700000000001</v>
      </c>
      <c r="D93">
        <v>0.41337299999999999</v>
      </c>
      <c r="E93">
        <v>1.31012</v>
      </c>
      <c r="F93">
        <v>0.14306099999999999</v>
      </c>
      <c r="G93">
        <v>0.43445600000000001</v>
      </c>
      <c r="H93">
        <v>0.26602599999999998</v>
      </c>
      <c r="I93">
        <v>6.3903000000000001E-2</v>
      </c>
      <c r="J93">
        <v>3.2562000000000001E-2</v>
      </c>
      <c r="K93">
        <v>0.39351599999999998</v>
      </c>
      <c r="L93">
        <v>-8.9499999999999996E-3</v>
      </c>
      <c r="M93">
        <v>0.42702299999999999</v>
      </c>
      <c r="N93">
        <v>2.1634E-2</v>
      </c>
    </row>
    <row r="94" spans="1:14" x14ac:dyDescent="0.25">
      <c r="A94">
        <v>374</v>
      </c>
      <c r="B94">
        <v>3.1747230000000002</v>
      </c>
      <c r="C94">
        <v>0.106429</v>
      </c>
      <c r="D94">
        <v>0.42548000000000002</v>
      </c>
      <c r="E94">
        <v>1.3510949999999999</v>
      </c>
      <c r="F94">
        <v>0.15268499999999999</v>
      </c>
      <c r="G94">
        <v>0.45563999999999999</v>
      </c>
      <c r="H94">
        <v>0.247394</v>
      </c>
      <c r="I94">
        <v>7.3582999999999996E-2</v>
      </c>
      <c r="J94">
        <v>2.1240999999999999E-2</v>
      </c>
      <c r="K94">
        <v>0.382081</v>
      </c>
      <c r="L94">
        <v>-4.385E-3</v>
      </c>
      <c r="M94">
        <v>0.39335999999999999</v>
      </c>
      <c r="N94">
        <v>2.7373999999999999E-2</v>
      </c>
    </row>
    <row r="95" spans="1:14" x14ac:dyDescent="0.25">
      <c r="A95">
        <v>376</v>
      </c>
      <c r="B95">
        <v>2.9443589999999999</v>
      </c>
      <c r="C95">
        <v>9.6156000000000005E-2</v>
      </c>
      <c r="D95">
        <v>0.434201</v>
      </c>
      <c r="E95">
        <v>1.414701</v>
      </c>
      <c r="F95">
        <v>0.160744</v>
      </c>
      <c r="G95">
        <v>0.47706799999999999</v>
      </c>
      <c r="H95">
        <v>0.22825400000000001</v>
      </c>
      <c r="I95">
        <v>8.1431000000000003E-2</v>
      </c>
      <c r="J95">
        <v>1.9900000000000001E-2</v>
      </c>
      <c r="K95">
        <v>0.37847700000000001</v>
      </c>
      <c r="L95">
        <v>-1.3158E-2</v>
      </c>
      <c r="M95">
        <v>0.36325499999999999</v>
      </c>
      <c r="N95">
        <v>2.6365E-2</v>
      </c>
    </row>
    <row r="96" spans="1:14" x14ac:dyDescent="0.25">
      <c r="A96">
        <v>378</v>
      </c>
      <c r="B96">
        <v>2.7036020000000001</v>
      </c>
      <c r="C96">
        <v>8.9928999999999995E-2</v>
      </c>
      <c r="D96">
        <v>0.43636200000000003</v>
      </c>
      <c r="E96">
        <v>1.457225</v>
      </c>
      <c r="F96">
        <v>0.16351299999999999</v>
      </c>
      <c r="G96">
        <v>0.49984699999999999</v>
      </c>
      <c r="H96">
        <v>0.203296</v>
      </c>
      <c r="I96">
        <v>7.2192000000000006E-2</v>
      </c>
      <c r="J96">
        <v>1.8256999999999999E-2</v>
      </c>
      <c r="K96">
        <v>0.36093599999999998</v>
      </c>
      <c r="L96">
        <v>-2.1305000000000001E-2</v>
      </c>
      <c r="M96">
        <v>0.34353499999999998</v>
      </c>
      <c r="N96">
        <v>1.721E-2</v>
      </c>
    </row>
    <row r="97" spans="1:14" x14ac:dyDescent="0.25">
      <c r="A97">
        <v>380</v>
      </c>
      <c r="B97">
        <v>2.4775459999999998</v>
      </c>
      <c r="C97">
        <v>8.8896000000000003E-2</v>
      </c>
      <c r="D97">
        <v>0.45389699999999999</v>
      </c>
      <c r="E97">
        <v>1.4972259999999999</v>
      </c>
      <c r="F97">
        <v>0.175571</v>
      </c>
      <c r="G97">
        <v>0.53125</v>
      </c>
      <c r="H97">
        <v>0.17220299999999999</v>
      </c>
      <c r="I97">
        <v>7.1251999999999996E-2</v>
      </c>
      <c r="J97">
        <v>1.8519000000000001E-2</v>
      </c>
      <c r="K97">
        <v>0.34134999999999999</v>
      </c>
      <c r="L97">
        <v>-1.4194999999999999E-2</v>
      </c>
      <c r="M97">
        <v>0.33006799999999997</v>
      </c>
      <c r="N97">
        <v>2.2074E-2</v>
      </c>
    </row>
    <row r="98" spans="1:14" x14ac:dyDescent="0.25">
      <c r="A98">
        <v>382</v>
      </c>
      <c r="B98">
        <v>2.2418420000000001</v>
      </c>
      <c r="C98">
        <v>8.695E-2</v>
      </c>
      <c r="D98">
        <v>0.47212500000000002</v>
      </c>
      <c r="E98">
        <v>1.5338099999999999</v>
      </c>
      <c r="F98">
        <v>0.197377</v>
      </c>
      <c r="G98">
        <v>0.55937099999999995</v>
      </c>
      <c r="H98">
        <v>0.14154600000000001</v>
      </c>
      <c r="I98">
        <v>7.0734000000000005E-2</v>
      </c>
      <c r="J98">
        <v>2.589E-2</v>
      </c>
      <c r="K98">
        <v>0.32536900000000002</v>
      </c>
      <c r="L98">
        <v>-7.0429999999999998E-3</v>
      </c>
      <c r="M98">
        <v>0.30174200000000001</v>
      </c>
      <c r="N98">
        <v>3.4086999999999999E-2</v>
      </c>
    </row>
    <row r="99" spans="1:14" x14ac:dyDescent="0.25">
      <c r="A99">
        <v>384</v>
      </c>
      <c r="B99">
        <v>2.0053589999999999</v>
      </c>
      <c r="C99">
        <v>8.8574E-2</v>
      </c>
      <c r="D99">
        <v>0.46840300000000001</v>
      </c>
      <c r="E99">
        <v>1.5607120000000001</v>
      </c>
      <c r="F99">
        <v>0.206927</v>
      </c>
      <c r="G99">
        <v>0.58866399999999997</v>
      </c>
      <c r="H99">
        <v>0.12345299999999999</v>
      </c>
      <c r="I99">
        <v>6.7890000000000006E-2</v>
      </c>
      <c r="J99">
        <v>1.9258999999999998E-2</v>
      </c>
      <c r="K99">
        <v>0.30896800000000002</v>
      </c>
      <c r="L99">
        <v>-8.3879999999999996E-3</v>
      </c>
      <c r="M99">
        <v>0.26052199999999998</v>
      </c>
      <c r="N99">
        <v>2.1387E-2</v>
      </c>
    </row>
    <row r="100" spans="1:14" x14ac:dyDescent="0.25">
      <c r="A100">
        <v>386</v>
      </c>
      <c r="B100">
        <v>1.778354</v>
      </c>
      <c r="C100">
        <v>9.0393000000000001E-2</v>
      </c>
      <c r="D100">
        <v>0.46845500000000001</v>
      </c>
      <c r="E100">
        <v>1.5819259999999999</v>
      </c>
      <c r="F100">
        <v>0.21743899999999999</v>
      </c>
      <c r="G100">
        <v>0.62190599999999996</v>
      </c>
      <c r="H100">
        <v>0.11369899999999999</v>
      </c>
      <c r="I100">
        <v>6.9915000000000005E-2</v>
      </c>
      <c r="J100">
        <v>6.6160000000000004E-3</v>
      </c>
      <c r="K100">
        <v>0.29120600000000002</v>
      </c>
      <c r="L100">
        <v>-1.1986E-2</v>
      </c>
      <c r="M100">
        <v>0.239425</v>
      </c>
      <c r="N100">
        <v>1.2975E-2</v>
      </c>
    </row>
    <row r="101" spans="1:14" x14ac:dyDescent="0.25">
      <c r="A101">
        <v>388</v>
      </c>
      <c r="B101">
        <v>1.577799</v>
      </c>
      <c r="C101">
        <v>9.4616000000000006E-2</v>
      </c>
      <c r="D101">
        <v>0.46010699999999999</v>
      </c>
      <c r="E101">
        <v>1.590408</v>
      </c>
      <c r="F101">
        <v>0.23191200000000001</v>
      </c>
      <c r="G101">
        <v>0.64497199999999999</v>
      </c>
      <c r="H101">
        <v>9.7709000000000004E-2</v>
      </c>
      <c r="I101">
        <v>6.7142999999999994E-2</v>
      </c>
      <c r="J101">
        <v>8.5909999999999997E-3</v>
      </c>
      <c r="K101">
        <v>0.27389999999999998</v>
      </c>
      <c r="L101">
        <v>-1.2123E-2</v>
      </c>
      <c r="M101">
        <v>0.22302900000000001</v>
      </c>
      <c r="N101">
        <v>1.7059999999999999E-2</v>
      </c>
    </row>
    <row r="102" spans="1:14" x14ac:dyDescent="0.25">
      <c r="A102">
        <v>390</v>
      </c>
      <c r="B102">
        <v>1.3628450000000001</v>
      </c>
      <c r="C102">
        <v>9.1422000000000003E-2</v>
      </c>
      <c r="D102">
        <v>0.44761200000000001</v>
      </c>
      <c r="E102">
        <v>1.574289</v>
      </c>
      <c r="F102">
        <v>0.24940000000000001</v>
      </c>
      <c r="G102">
        <v>0.67045399999999999</v>
      </c>
      <c r="H102">
        <v>7.8058000000000002E-2</v>
      </c>
      <c r="I102">
        <v>6.3671000000000005E-2</v>
      </c>
      <c r="J102">
        <v>1.6722000000000001E-2</v>
      </c>
      <c r="K102">
        <v>0.25303100000000001</v>
      </c>
      <c r="L102">
        <v>-6.3899999999999998E-3</v>
      </c>
      <c r="M102">
        <v>0.20031399999999999</v>
      </c>
      <c r="N102">
        <v>1.5143999999999999E-2</v>
      </c>
    </row>
    <row r="103" spans="1:14" x14ac:dyDescent="0.25">
      <c r="A103">
        <v>392</v>
      </c>
      <c r="B103">
        <v>1.170221</v>
      </c>
      <c r="C103">
        <v>6.7225999999999994E-2</v>
      </c>
      <c r="D103">
        <v>0.44244899999999998</v>
      </c>
      <c r="E103">
        <v>1.540897</v>
      </c>
      <c r="F103">
        <v>0.25652000000000003</v>
      </c>
      <c r="G103">
        <v>0.69628500000000004</v>
      </c>
      <c r="H103">
        <v>6.7835999999999994E-2</v>
      </c>
      <c r="I103">
        <v>6.5690999999999999E-2</v>
      </c>
      <c r="J103">
        <v>1.1292999999999999E-2</v>
      </c>
      <c r="K103">
        <v>0.23618</v>
      </c>
      <c r="L103">
        <v>-8.1119999999999994E-3</v>
      </c>
      <c r="M103">
        <v>0.17435800000000001</v>
      </c>
      <c r="N103">
        <v>1.5694E-2</v>
      </c>
    </row>
    <row r="104" spans="1:14" x14ac:dyDescent="0.25">
      <c r="A104">
        <v>394</v>
      </c>
      <c r="B104">
        <v>1.008672</v>
      </c>
      <c r="C104">
        <v>7.2358000000000006E-2</v>
      </c>
      <c r="D104">
        <v>0.43189499999999997</v>
      </c>
      <c r="E104">
        <v>1.5025729999999999</v>
      </c>
      <c r="F104">
        <v>0.261494</v>
      </c>
      <c r="G104">
        <v>0.72179400000000005</v>
      </c>
      <c r="H104">
        <v>5.8120999999999999E-2</v>
      </c>
      <c r="I104">
        <v>7.2513999999999995E-2</v>
      </c>
      <c r="J104">
        <v>-1.4859999999999999E-3</v>
      </c>
      <c r="K104">
        <v>0.22522</v>
      </c>
      <c r="L104">
        <v>-1.6664999999999999E-2</v>
      </c>
      <c r="M104">
        <v>0.14313400000000001</v>
      </c>
      <c r="N104">
        <v>1.4685999999999999E-2</v>
      </c>
    </row>
    <row r="105" spans="1:14" x14ac:dyDescent="0.25">
      <c r="A105">
        <v>396</v>
      </c>
      <c r="B105">
        <v>0.83426699999999998</v>
      </c>
      <c r="C105">
        <v>9.1152999999999998E-2</v>
      </c>
      <c r="D105">
        <v>0.41870000000000002</v>
      </c>
      <c r="E105">
        <v>1.4575979999999999</v>
      </c>
      <c r="F105">
        <v>0.28882099999999999</v>
      </c>
      <c r="G105">
        <v>0.752336</v>
      </c>
      <c r="H105">
        <v>5.1404999999999999E-2</v>
      </c>
      <c r="I105">
        <v>7.6380000000000003E-2</v>
      </c>
      <c r="J105">
        <v>1.0011000000000001E-2</v>
      </c>
      <c r="K105">
        <v>0.20799699999999999</v>
      </c>
      <c r="L105">
        <v>-1.4607999999999999E-2</v>
      </c>
      <c r="M105">
        <v>0.12670200000000001</v>
      </c>
      <c r="N105">
        <v>1.6223000000000001E-2</v>
      </c>
    </row>
    <row r="106" spans="1:14" x14ac:dyDescent="0.25">
      <c r="A106">
        <v>398</v>
      </c>
      <c r="B106">
        <v>0.681172</v>
      </c>
      <c r="C106">
        <v>8.4116999999999997E-2</v>
      </c>
      <c r="D106">
        <v>0.40202599999999999</v>
      </c>
      <c r="E106">
        <v>1.4116679999999999</v>
      </c>
      <c r="F106">
        <v>0.31110300000000002</v>
      </c>
      <c r="G106">
        <v>0.78470200000000001</v>
      </c>
      <c r="H106">
        <v>4.3161999999999999E-2</v>
      </c>
      <c r="I106">
        <v>7.5726000000000002E-2</v>
      </c>
      <c r="J106">
        <v>1.4919E-2</v>
      </c>
      <c r="K106">
        <v>0.18993499999999999</v>
      </c>
      <c r="L106">
        <v>-7.7000000000000002E-3</v>
      </c>
      <c r="M106">
        <v>0.106421</v>
      </c>
      <c r="N106">
        <v>2.0027E-2</v>
      </c>
    </row>
    <row r="107" spans="1:14" x14ac:dyDescent="0.25">
      <c r="A107">
        <v>400</v>
      </c>
      <c r="B107">
        <v>0.55711599999999994</v>
      </c>
      <c r="C107">
        <v>8.2598000000000005E-2</v>
      </c>
      <c r="D107">
        <v>0.39463900000000002</v>
      </c>
      <c r="E107">
        <v>1.36425</v>
      </c>
      <c r="F107">
        <v>0.33619399999999999</v>
      </c>
      <c r="G107">
        <v>0.82006599999999996</v>
      </c>
      <c r="H107">
        <v>3.3216000000000002E-2</v>
      </c>
      <c r="I107">
        <v>7.1236999999999995E-2</v>
      </c>
      <c r="J107">
        <v>8.319E-3</v>
      </c>
      <c r="K107">
        <v>0.18118100000000001</v>
      </c>
      <c r="L107">
        <v>-6.7799999999999996E-3</v>
      </c>
      <c r="M107">
        <v>8.9187000000000002E-2</v>
      </c>
      <c r="N107">
        <v>1.6851999999999999E-2</v>
      </c>
    </row>
    <row r="108" spans="1:14" x14ac:dyDescent="0.25">
      <c r="A108">
        <v>402</v>
      </c>
      <c r="B108">
        <v>0.44418200000000002</v>
      </c>
      <c r="C108">
        <v>9.0990000000000001E-2</v>
      </c>
      <c r="D108">
        <v>0.38097399999999998</v>
      </c>
      <c r="E108">
        <v>1.3165750000000001</v>
      </c>
      <c r="F108">
        <v>0.35972599999999999</v>
      </c>
      <c r="G108">
        <v>0.85629</v>
      </c>
      <c r="H108">
        <v>2.5519E-2</v>
      </c>
      <c r="I108">
        <v>7.2131000000000001E-2</v>
      </c>
      <c r="J108">
        <v>1.0193000000000001E-2</v>
      </c>
      <c r="K108">
        <v>0.177902</v>
      </c>
      <c r="L108">
        <v>-1.5483E-2</v>
      </c>
      <c r="M108">
        <v>8.8521000000000002E-2</v>
      </c>
      <c r="N108">
        <v>1.4777999999999999E-2</v>
      </c>
    </row>
    <row r="109" spans="1:14" x14ac:dyDescent="0.25">
      <c r="A109">
        <v>404</v>
      </c>
      <c r="B109">
        <v>0.35053800000000002</v>
      </c>
      <c r="C109">
        <v>0.104952</v>
      </c>
      <c r="D109">
        <v>0.35031499999999999</v>
      </c>
      <c r="E109">
        <v>1.256437</v>
      </c>
      <c r="F109">
        <v>0.36743399999999998</v>
      </c>
      <c r="G109">
        <v>0.88327100000000003</v>
      </c>
      <c r="H109">
        <v>2.3560000000000001E-2</v>
      </c>
      <c r="I109">
        <v>7.6305999999999999E-2</v>
      </c>
      <c r="J109">
        <v>5.9789999999999999E-3</v>
      </c>
      <c r="K109">
        <v>0.167907</v>
      </c>
      <c r="L109">
        <v>-1.7186E-2</v>
      </c>
      <c r="M109">
        <v>7.2397000000000003E-2</v>
      </c>
      <c r="N109">
        <v>1.3499000000000001E-2</v>
      </c>
    </row>
    <row r="110" spans="1:14" x14ac:dyDescent="0.25">
      <c r="A110">
        <v>406</v>
      </c>
      <c r="B110">
        <v>0.28465299999999999</v>
      </c>
      <c r="C110">
        <v>0.103822</v>
      </c>
      <c r="D110">
        <v>0.32370900000000002</v>
      </c>
      <c r="E110">
        <v>1.203276</v>
      </c>
      <c r="F110">
        <v>0.38059999999999999</v>
      </c>
      <c r="G110">
        <v>0.90617099999999995</v>
      </c>
      <c r="H110">
        <v>1.9304000000000002E-2</v>
      </c>
      <c r="I110">
        <v>8.3945000000000006E-2</v>
      </c>
      <c r="J110">
        <v>3.3440000000000002E-3</v>
      </c>
      <c r="K110">
        <v>0.15293300000000001</v>
      </c>
      <c r="L110">
        <v>-4.0150000000000003E-3</v>
      </c>
      <c r="M110">
        <v>6.1587000000000003E-2</v>
      </c>
      <c r="N110">
        <v>1.5767E-2</v>
      </c>
    </row>
    <row r="111" spans="1:14" x14ac:dyDescent="0.25">
      <c r="A111">
        <v>408</v>
      </c>
      <c r="B111">
        <v>0.22080900000000001</v>
      </c>
      <c r="C111">
        <v>9.0290999999999996E-2</v>
      </c>
      <c r="D111">
        <v>0.29930800000000002</v>
      </c>
      <c r="E111">
        <v>1.134452</v>
      </c>
      <c r="F111">
        <v>0.40243200000000001</v>
      </c>
      <c r="G111">
        <v>0.94100899999999998</v>
      </c>
      <c r="H111">
        <v>1.6757999999999999E-2</v>
      </c>
      <c r="I111">
        <v>8.5841000000000001E-2</v>
      </c>
      <c r="J111">
        <v>5.9220000000000002E-3</v>
      </c>
      <c r="K111">
        <v>0.141738</v>
      </c>
      <c r="L111">
        <v>-4.5329999999999997E-3</v>
      </c>
      <c r="M111">
        <v>5.6236000000000001E-2</v>
      </c>
      <c r="N111">
        <v>2.1905000000000001E-2</v>
      </c>
    </row>
    <row r="112" spans="1:14" x14ac:dyDescent="0.25">
      <c r="A112">
        <v>410</v>
      </c>
      <c r="B112">
        <v>0.16470599999999999</v>
      </c>
      <c r="C112">
        <v>8.8993000000000003E-2</v>
      </c>
      <c r="D112">
        <v>0.28379599999999999</v>
      </c>
      <c r="E112">
        <v>1.0464690000000001</v>
      </c>
      <c r="F112">
        <v>0.42406899999999997</v>
      </c>
      <c r="G112">
        <v>0.97580500000000003</v>
      </c>
      <c r="H112">
        <v>2.1221E-2</v>
      </c>
      <c r="I112">
        <v>8.1392999999999993E-2</v>
      </c>
      <c r="J112">
        <v>2.9970000000000001E-3</v>
      </c>
      <c r="K112">
        <v>0.12865699999999999</v>
      </c>
      <c r="L112">
        <v>-1.239E-2</v>
      </c>
      <c r="M112">
        <v>4.3749999999999997E-2</v>
      </c>
      <c r="N112">
        <v>2.5211000000000001E-2</v>
      </c>
    </row>
    <row r="113" spans="1:14" x14ac:dyDescent="0.25">
      <c r="A113">
        <v>412</v>
      </c>
      <c r="B113">
        <v>0.126272</v>
      </c>
      <c r="C113">
        <v>8.8987999999999998E-2</v>
      </c>
      <c r="D113">
        <v>0.26199600000000001</v>
      </c>
      <c r="E113">
        <v>0.95227899999999999</v>
      </c>
      <c r="F113">
        <v>0.45000099999999998</v>
      </c>
      <c r="G113">
        <v>1.007897</v>
      </c>
      <c r="H113">
        <v>1.1898000000000001E-2</v>
      </c>
      <c r="I113">
        <v>8.7295999999999999E-2</v>
      </c>
      <c r="J113">
        <v>8.7100000000000007E-3</v>
      </c>
      <c r="K113">
        <v>0.11712400000000001</v>
      </c>
      <c r="L113">
        <v>-1.7031999999999999E-2</v>
      </c>
      <c r="M113">
        <v>3.6778999999999999E-2</v>
      </c>
      <c r="N113">
        <v>2.5160999999999999E-2</v>
      </c>
    </row>
    <row r="114" spans="1:14" x14ac:dyDescent="0.25">
      <c r="A114">
        <v>414</v>
      </c>
      <c r="B114">
        <v>9.8383999999999999E-2</v>
      </c>
      <c r="C114">
        <v>0.101664</v>
      </c>
      <c r="D114">
        <v>0.225324</v>
      </c>
      <c r="E114">
        <v>0.84336800000000001</v>
      </c>
      <c r="F114">
        <v>0.48069899999999999</v>
      </c>
      <c r="G114">
        <v>1.0429280000000001</v>
      </c>
      <c r="H114">
        <v>4.64E-3</v>
      </c>
      <c r="I114">
        <v>9.2156000000000002E-2</v>
      </c>
      <c r="J114">
        <v>1.2083999999999999E-2</v>
      </c>
      <c r="K114">
        <v>0.116475</v>
      </c>
      <c r="L114">
        <v>-2.0844000000000001E-2</v>
      </c>
      <c r="M114">
        <v>2.8815E-2</v>
      </c>
      <c r="N114">
        <v>2.1850999999999999E-2</v>
      </c>
    </row>
    <row r="115" spans="1:14" x14ac:dyDescent="0.25">
      <c r="A115">
        <v>416</v>
      </c>
      <c r="B115">
        <v>7.4958999999999998E-2</v>
      </c>
      <c r="C115">
        <v>0.103018</v>
      </c>
      <c r="D115">
        <v>0.19078700000000001</v>
      </c>
      <c r="E115">
        <v>0.71535599999999999</v>
      </c>
      <c r="F115">
        <v>0.50127999999999995</v>
      </c>
      <c r="G115">
        <v>1.07741</v>
      </c>
      <c r="H115">
        <v>8.9230000000000004E-3</v>
      </c>
      <c r="I115">
        <v>9.6549999999999997E-2</v>
      </c>
      <c r="J115">
        <v>5.6969999999999998E-3</v>
      </c>
      <c r="K115">
        <v>0.118395</v>
      </c>
      <c r="L115">
        <v>-1.9893000000000001E-2</v>
      </c>
      <c r="M115">
        <v>2.2845000000000001E-2</v>
      </c>
      <c r="N115">
        <v>2.3902E-2</v>
      </c>
    </row>
    <row r="116" spans="1:14" x14ac:dyDescent="0.25">
      <c r="A116">
        <v>418</v>
      </c>
      <c r="B116">
        <v>5.4694E-2</v>
      </c>
      <c r="C116">
        <v>8.6313000000000001E-2</v>
      </c>
      <c r="D116">
        <v>0.15945699999999999</v>
      </c>
      <c r="E116">
        <v>0.57107600000000003</v>
      </c>
      <c r="F116">
        <v>0.522038</v>
      </c>
      <c r="G116">
        <v>1.1137060000000001</v>
      </c>
      <c r="H116">
        <v>1.089E-2</v>
      </c>
      <c r="I116">
        <v>9.3954999999999997E-2</v>
      </c>
      <c r="J116">
        <v>4.6579999999999998E-3</v>
      </c>
      <c r="K116">
        <v>0.107691</v>
      </c>
      <c r="L116">
        <v>-1.5989E-2</v>
      </c>
      <c r="M116">
        <v>2.1388999999999998E-2</v>
      </c>
      <c r="N116">
        <v>2.3778000000000001E-2</v>
      </c>
    </row>
    <row r="117" spans="1:14" x14ac:dyDescent="0.25">
      <c r="A117">
        <v>420</v>
      </c>
      <c r="B117">
        <v>4.2354999999999997E-2</v>
      </c>
      <c r="C117">
        <v>8.1185999999999994E-2</v>
      </c>
      <c r="D117">
        <v>0.131439</v>
      </c>
      <c r="E117">
        <v>0.45505800000000002</v>
      </c>
      <c r="F117">
        <v>0.547705</v>
      </c>
      <c r="G117">
        <v>1.13568</v>
      </c>
      <c r="H117">
        <v>5.5420000000000001E-3</v>
      </c>
      <c r="I117">
        <v>8.4586999999999996E-2</v>
      </c>
      <c r="J117">
        <v>8.0599999999999995E-3</v>
      </c>
      <c r="K117">
        <v>9.2020000000000005E-2</v>
      </c>
      <c r="L117">
        <v>-1.2697999999999999E-2</v>
      </c>
      <c r="M117">
        <v>1.4873000000000001E-2</v>
      </c>
      <c r="N117">
        <v>1.6629000000000001E-2</v>
      </c>
    </row>
    <row r="118" spans="1:14" x14ac:dyDescent="0.25">
      <c r="A118">
        <v>422</v>
      </c>
      <c r="B118">
        <v>2.8457E-2</v>
      </c>
      <c r="C118">
        <v>7.6702999999999993E-2</v>
      </c>
      <c r="D118">
        <v>0.107918</v>
      </c>
      <c r="E118">
        <v>0.366728</v>
      </c>
      <c r="F118">
        <v>0.56983700000000004</v>
      </c>
      <c r="G118">
        <v>1.14568</v>
      </c>
      <c r="H118">
        <v>2.189E-3</v>
      </c>
      <c r="I118">
        <v>8.9847999999999997E-2</v>
      </c>
      <c r="J118">
        <v>6.77E-3</v>
      </c>
      <c r="K118">
        <v>8.6276000000000005E-2</v>
      </c>
      <c r="L118">
        <v>-9.6740000000000003E-3</v>
      </c>
      <c r="M118">
        <v>1.0789E-2</v>
      </c>
      <c r="N118">
        <v>1.1003000000000001E-2</v>
      </c>
    </row>
    <row r="119" spans="1:14" x14ac:dyDescent="0.25">
      <c r="A119">
        <v>424</v>
      </c>
      <c r="B119">
        <v>1.3067E-2</v>
      </c>
      <c r="C119">
        <v>8.2251000000000005E-2</v>
      </c>
      <c r="D119">
        <v>9.2931E-2</v>
      </c>
      <c r="E119">
        <v>0.285333</v>
      </c>
      <c r="F119">
        <v>0.59426599999999996</v>
      </c>
      <c r="G119">
        <v>1.1644209999999999</v>
      </c>
      <c r="H119">
        <v>3.8700000000000002E-3</v>
      </c>
      <c r="I119">
        <v>9.9912000000000001E-2</v>
      </c>
      <c r="J119">
        <v>7.9290000000000003E-3</v>
      </c>
      <c r="K119">
        <v>8.0367999999999995E-2</v>
      </c>
      <c r="L119">
        <v>-7.7590000000000003E-3</v>
      </c>
      <c r="M119">
        <v>9.4710000000000003E-3</v>
      </c>
      <c r="N119">
        <v>1.9103999999999999E-2</v>
      </c>
    </row>
    <row r="120" spans="1:14" x14ac:dyDescent="0.25">
      <c r="A120">
        <v>426</v>
      </c>
      <c r="B120">
        <v>1.3179999999999999E-3</v>
      </c>
      <c r="C120">
        <v>8.7180999999999995E-2</v>
      </c>
      <c r="D120">
        <v>7.1987999999999996E-2</v>
      </c>
      <c r="E120">
        <v>0.212613</v>
      </c>
      <c r="F120">
        <v>0.62656100000000003</v>
      </c>
      <c r="G120">
        <v>1.1927019999999999</v>
      </c>
      <c r="H120">
        <v>2.0820000000000001E-3</v>
      </c>
      <c r="I120">
        <v>9.8038E-2</v>
      </c>
      <c r="J120">
        <v>1.9091E-2</v>
      </c>
      <c r="K120">
        <v>7.2755E-2</v>
      </c>
      <c r="L120">
        <v>-1.6435999999999999E-2</v>
      </c>
      <c r="M120">
        <v>9.2610000000000001E-3</v>
      </c>
      <c r="N120">
        <v>2.4251999999999999E-2</v>
      </c>
    </row>
    <row r="121" spans="1:14" x14ac:dyDescent="0.25">
      <c r="A121">
        <v>428</v>
      </c>
      <c r="B121">
        <v>-4.3059999999999999E-3</v>
      </c>
      <c r="C121">
        <v>9.4686000000000006E-2</v>
      </c>
      <c r="D121">
        <v>5.1397999999999999E-2</v>
      </c>
      <c r="E121">
        <v>0.15218100000000001</v>
      </c>
      <c r="F121">
        <v>0.66519600000000001</v>
      </c>
      <c r="G121">
        <v>1.2156340000000001</v>
      </c>
      <c r="H121">
        <v>-4.653E-3</v>
      </c>
      <c r="I121">
        <v>9.1340000000000005E-2</v>
      </c>
      <c r="J121">
        <v>1.6997000000000002E-2</v>
      </c>
      <c r="K121">
        <v>6.2948000000000004E-2</v>
      </c>
      <c r="L121">
        <v>-2.2495000000000001E-2</v>
      </c>
      <c r="M121">
        <v>1.2024999999999999E-2</v>
      </c>
      <c r="N121">
        <v>2.8121E-2</v>
      </c>
    </row>
    <row r="122" spans="1:14" x14ac:dyDescent="0.25">
      <c r="A122">
        <v>430</v>
      </c>
      <c r="B122">
        <v>2.614E-3</v>
      </c>
      <c r="C122">
        <v>9.6979999999999997E-2</v>
      </c>
      <c r="D122">
        <v>4.4450000000000003E-2</v>
      </c>
      <c r="E122">
        <v>0.111678</v>
      </c>
      <c r="F122">
        <v>0.69945599999999997</v>
      </c>
      <c r="G122">
        <v>1.235948</v>
      </c>
      <c r="H122">
        <v>-5.8570000000000002E-3</v>
      </c>
      <c r="I122">
        <v>8.2164000000000001E-2</v>
      </c>
      <c r="J122">
        <v>1.0382000000000001E-2</v>
      </c>
      <c r="K122">
        <v>5.7250000000000002E-2</v>
      </c>
      <c r="L122">
        <v>-1.5949999999999999E-2</v>
      </c>
      <c r="M122">
        <v>5.365E-3</v>
      </c>
      <c r="N122">
        <v>3.1607000000000003E-2</v>
      </c>
    </row>
    <row r="123" spans="1:14" x14ac:dyDescent="0.25">
      <c r="A123">
        <v>432</v>
      </c>
      <c r="B123">
        <v>3.3969999999999998E-3</v>
      </c>
      <c r="C123">
        <v>8.9080999999999994E-2</v>
      </c>
      <c r="D123">
        <v>3.5837000000000001E-2</v>
      </c>
      <c r="E123">
        <v>9.4201999999999994E-2</v>
      </c>
      <c r="F123">
        <v>0.73314599999999996</v>
      </c>
      <c r="G123">
        <v>1.2594129999999999</v>
      </c>
      <c r="H123">
        <v>2.9399999999999999E-4</v>
      </c>
      <c r="I123">
        <v>7.8559000000000004E-2</v>
      </c>
      <c r="J123">
        <v>1.2416E-2</v>
      </c>
      <c r="K123">
        <v>6.0859000000000003E-2</v>
      </c>
      <c r="L123">
        <v>-1.2031999999999999E-2</v>
      </c>
      <c r="M123">
        <v>4.4669999999999996E-3</v>
      </c>
      <c r="N123">
        <v>2.2190000000000001E-2</v>
      </c>
    </row>
    <row r="124" spans="1:14" x14ac:dyDescent="0.25">
      <c r="A124">
        <v>434</v>
      </c>
      <c r="B124">
        <v>-3.4E-5</v>
      </c>
      <c r="C124">
        <v>9.0707999999999997E-2</v>
      </c>
      <c r="D124">
        <v>4.9111000000000002E-2</v>
      </c>
      <c r="E124">
        <v>8.0779000000000004E-2</v>
      </c>
      <c r="F124">
        <v>0.75574300000000005</v>
      </c>
      <c r="G124">
        <v>1.272311</v>
      </c>
      <c r="H124">
        <v>5.3359999999999996E-3</v>
      </c>
      <c r="I124">
        <v>8.5008E-2</v>
      </c>
      <c r="J124">
        <v>2.291E-2</v>
      </c>
      <c r="K124">
        <v>5.9077999999999999E-2</v>
      </c>
      <c r="L124">
        <v>-1.3773000000000001E-2</v>
      </c>
      <c r="M124">
        <v>3.8509999999999998E-3</v>
      </c>
      <c r="N124">
        <v>1.5854E-2</v>
      </c>
    </row>
    <row r="125" spans="1:14" x14ac:dyDescent="0.25">
      <c r="A125">
        <v>436</v>
      </c>
      <c r="B125">
        <v>7.0609999999999996E-3</v>
      </c>
      <c r="C125">
        <v>7.9936999999999994E-2</v>
      </c>
      <c r="D125">
        <v>4.2668999999999999E-2</v>
      </c>
      <c r="E125">
        <v>6.0808000000000001E-2</v>
      </c>
      <c r="F125">
        <v>0.774729</v>
      </c>
      <c r="G125">
        <v>1.294422</v>
      </c>
      <c r="H125">
        <v>2.065E-3</v>
      </c>
      <c r="I125">
        <v>8.7668999999999997E-2</v>
      </c>
      <c r="J125">
        <v>2.341E-2</v>
      </c>
      <c r="K125">
        <v>5.7951999999999997E-2</v>
      </c>
      <c r="L125">
        <v>-1.7135000000000001E-2</v>
      </c>
      <c r="M125">
        <v>-5.6559999999999996E-3</v>
      </c>
      <c r="N125">
        <v>2.5576999999999999E-2</v>
      </c>
    </row>
    <row r="126" spans="1:14" x14ac:dyDescent="0.25">
      <c r="A126">
        <v>438</v>
      </c>
      <c r="B126">
        <v>2.4420000000000002E-3</v>
      </c>
      <c r="C126">
        <v>6.3872999999999999E-2</v>
      </c>
      <c r="D126">
        <v>1.5754000000000001E-2</v>
      </c>
      <c r="E126">
        <v>5.3095000000000003E-2</v>
      </c>
      <c r="F126">
        <v>0.81125599999999998</v>
      </c>
      <c r="G126">
        <v>1.314287</v>
      </c>
      <c r="H126">
        <v>-3.5199999999999999E-4</v>
      </c>
      <c r="I126">
        <v>8.6548E-2</v>
      </c>
      <c r="J126">
        <v>1.1783E-2</v>
      </c>
      <c r="K126">
        <v>6.1432E-2</v>
      </c>
      <c r="L126">
        <v>-2.8551E-2</v>
      </c>
      <c r="M126">
        <v>-4.5760000000000002E-3</v>
      </c>
      <c r="N126">
        <v>2.8976999999999999E-2</v>
      </c>
    </row>
    <row r="127" spans="1:14" x14ac:dyDescent="0.25">
      <c r="A127">
        <v>440</v>
      </c>
      <c r="B127">
        <v>-6.2579999999999997E-3</v>
      </c>
      <c r="C127">
        <v>7.5340000000000004E-2</v>
      </c>
      <c r="D127">
        <v>1.3277000000000001E-2</v>
      </c>
      <c r="E127">
        <v>3.8653E-2</v>
      </c>
      <c r="F127">
        <v>0.83849300000000004</v>
      </c>
      <c r="G127">
        <v>1.3111600000000001</v>
      </c>
      <c r="H127">
        <v>5.2690000000000002E-3</v>
      </c>
      <c r="I127">
        <v>7.3978000000000002E-2</v>
      </c>
      <c r="J127">
        <v>1.0305999999999999E-2</v>
      </c>
      <c r="K127">
        <v>5.1108000000000001E-2</v>
      </c>
      <c r="L127">
        <v>-2.4433E-2</v>
      </c>
      <c r="M127">
        <v>3.8440000000000002E-3</v>
      </c>
      <c r="N127">
        <v>2.4649999999999998E-2</v>
      </c>
    </row>
    <row r="128" spans="1:14" x14ac:dyDescent="0.25">
      <c r="A128">
        <v>442</v>
      </c>
      <c r="B128">
        <v>-1.065E-2</v>
      </c>
      <c r="C128">
        <v>0.104287</v>
      </c>
      <c r="D128">
        <v>1.8779000000000001E-2</v>
      </c>
      <c r="E128">
        <v>1.9868E-2</v>
      </c>
      <c r="F128">
        <v>0.86641199999999996</v>
      </c>
      <c r="G128">
        <v>1.3104039999999999</v>
      </c>
      <c r="H128">
        <v>6.0029999999999997E-3</v>
      </c>
      <c r="I128">
        <v>7.0537000000000002E-2</v>
      </c>
      <c r="J128">
        <v>1.6226999999999998E-2</v>
      </c>
      <c r="K128">
        <v>3.7921999999999997E-2</v>
      </c>
      <c r="L128">
        <v>-1.1018999999999999E-2</v>
      </c>
      <c r="M128">
        <v>6.5040000000000002E-3</v>
      </c>
      <c r="N128">
        <v>2.0504000000000001E-2</v>
      </c>
    </row>
    <row r="129" spans="1:14" x14ac:dyDescent="0.25">
      <c r="A129">
        <v>444</v>
      </c>
      <c r="B129">
        <v>-7.8969999999999995E-3</v>
      </c>
      <c r="C129">
        <v>0.11036</v>
      </c>
      <c r="D129">
        <v>2.2277000000000002E-2</v>
      </c>
      <c r="E129">
        <v>2.5642000000000002E-2</v>
      </c>
      <c r="F129">
        <v>0.90984600000000004</v>
      </c>
      <c r="G129">
        <v>1.307021</v>
      </c>
      <c r="H129">
        <v>-1.4239999999999999E-3</v>
      </c>
      <c r="I129">
        <v>7.6201000000000005E-2</v>
      </c>
      <c r="J129">
        <v>2.2141999999999998E-2</v>
      </c>
      <c r="K129">
        <v>4.5469999999999997E-2</v>
      </c>
      <c r="L129">
        <v>-1.7136999999999999E-2</v>
      </c>
      <c r="M129">
        <v>1.5629999999999999E-3</v>
      </c>
      <c r="N129">
        <v>1.9911999999999999E-2</v>
      </c>
    </row>
    <row r="130" spans="1:14" x14ac:dyDescent="0.25">
      <c r="A130">
        <v>446</v>
      </c>
      <c r="B130">
        <v>-4.5180000000000003E-3</v>
      </c>
      <c r="C130">
        <v>8.9090000000000003E-2</v>
      </c>
      <c r="D130">
        <v>2.7452000000000001E-2</v>
      </c>
      <c r="E130">
        <v>3.184E-2</v>
      </c>
      <c r="F130">
        <v>0.92862999999999996</v>
      </c>
      <c r="G130">
        <v>1.3070759999999999</v>
      </c>
      <c r="H130">
        <v>6.1939999999999999E-3</v>
      </c>
      <c r="I130">
        <v>7.9561999999999994E-2</v>
      </c>
      <c r="J130">
        <v>2.2577E-2</v>
      </c>
      <c r="K130">
        <v>5.1182999999999999E-2</v>
      </c>
      <c r="L130">
        <v>-2.4097E-2</v>
      </c>
      <c r="M130">
        <v>2.0630000000000002E-3</v>
      </c>
      <c r="N130">
        <v>1.7454000000000001E-2</v>
      </c>
    </row>
    <row r="131" spans="1:14" x14ac:dyDescent="0.25">
      <c r="A131">
        <v>448</v>
      </c>
      <c r="B131">
        <v>-9.8879999999999992E-3</v>
      </c>
      <c r="C131">
        <v>8.0795000000000006E-2</v>
      </c>
      <c r="D131">
        <v>2.2832000000000002E-2</v>
      </c>
      <c r="E131">
        <v>2.8586E-2</v>
      </c>
      <c r="F131">
        <v>0.95989800000000003</v>
      </c>
      <c r="G131">
        <v>1.30314</v>
      </c>
      <c r="H131">
        <v>1.1901999999999999E-2</v>
      </c>
      <c r="I131">
        <v>7.9714999999999994E-2</v>
      </c>
      <c r="J131">
        <v>1.4171E-2</v>
      </c>
      <c r="K131">
        <v>4.1645000000000001E-2</v>
      </c>
      <c r="L131">
        <v>-2.1246000000000001E-2</v>
      </c>
      <c r="M131">
        <v>1.008E-3</v>
      </c>
      <c r="N131">
        <v>1.1521999999999999E-2</v>
      </c>
    </row>
    <row r="132" spans="1:14" x14ac:dyDescent="0.25">
      <c r="A132">
        <v>450</v>
      </c>
      <c r="B132">
        <v>-1.213E-2</v>
      </c>
      <c r="C132">
        <v>8.7446999999999997E-2</v>
      </c>
      <c r="D132">
        <v>1.039E-2</v>
      </c>
      <c r="E132">
        <v>3.6693999999999997E-2</v>
      </c>
      <c r="F132">
        <v>1.013191</v>
      </c>
      <c r="G132">
        <v>1.2847409999999999</v>
      </c>
      <c r="H132">
        <v>8.3649999999999992E-3</v>
      </c>
      <c r="I132">
        <v>7.1742E-2</v>
      </c>
      <c r="J132">
        <v>1.6546000000000002E-2</v>
      </c>
      <c r="K132">
        <v>3.8406999999999997E-2</v>
      </c>
      <c r="L132">
        <v>-2.1055000000000001E-2</v>
      </c>
      <c r="M132">
        <v>3.2269999999999998E-3</v>
      </c>
      <c r="N132">
        <v>1.6112999999999999E-2</v>
      </c>
    </row>
    <row r="133" spans="1:14" x14ac:dyDescent="0.25">
      <c r="A133">
        <v>452</v>
      </c>
      <c r="B133">
        <v>-4.156E-3</v>
      </c>
      <c r="C133">
        <v>8.3618999999999999E-2</v>
      </c>
      <c r="D133">
        <v>6.117E-3</v>
      </c>
      <c r="E133">
        <v>3.8718000000000002E-2</v>
      </c>
      <c r="F133">
        <v>1.0585389999999999</v>
      </c>
      <c r="G133">
        <v>1.2719130000000001</v>
      </c>
      <c r="H133">
        <v>1.0710000000000001E-2</v>
      </c>
      <c r="I133">
        <v>7.3138999999999996E-2</v>
      </c>
      <c r="J133">
        <v>2.4095999999999999E-2</v>
      </c>
      <c r="K133">
        <v>3.3264000000000002E-2</v>
      </c>
      <c r="L133">
        <v>-2.9753000000000002E-2</v>
      </c>
      <c r="M133">
        <v>4.9020000000000001E-3</v>
      </c>
      <c r="N133">
        <v>1.7794000000000001E-2</v>
      </c>
    </row>
    <row r="134" spans="1:14" x14ac:dyDescent="0.25">
      <c r="A134">
        <v>454</v>
      </c>
      <c r="B134">
        <v>-5.9630000000000004E-3</v>
      </c>
      <c r="C134">
        <v>6.9681999999999994E-2</v>
      </c>
      <c r="D134">
        <v>3.9189999999999997E-3</v>
      </c>
      <c r="E134">
        <v>3.4549000000000003E-2</v>
      </c>
      <c r="F134">
        <v>1.1150910000000001</v>
      </c>
      <c r="G134">
        <v>1.2636210000000001</v>
      </c>
      <c r="H134">
        <v>9.7109999999999991E-3</v>
      </c>
      <c r="I134">
        <v>7.4480000000000005E-2</v>
      </c>
      <c r="J134">
        <v>2.3245999999999999E-2</v>
      </c>
      <c r="K134">
        <v>2.7563000000000001E-2</v>
      </c>
      <c r="L134">
        <v>-2.8039999999999999E-2</v>
      </c>
      <c r="M134">
        <v>-5.953E-3</v>
      </c>
      <c r="N134">
        <v>1.5161000000000001E-2</v>
      </c>
    </row>
    <row r="135" spans="1:14" x14ac:dyDescent="0.25">
      <c r="A135">
        <v>456</v>
      </c>
      <c r="B135">
        <v>-9.6849999999999992E-3</v>
      </c>
      <c r="C135">
        <v>6.4680000000000001E-2</v>
      </c>
      <c r="D135">
        <v>7.2570000000000004E-3</v>
      </c>
      <c r="E135">
        <v>2.5038000000000001E-2</v>
      </c>
      <c r="F135">
        <v>1.1631560000000001</v>
      </c>
      <c r="G135">
        <v>1.2610239999999999</v>
      </c>
      <c r="H135">
        <v>4.5250000000000004E-3</v>
      </c>
      <c r="I135">
        <v>7.0503999999999997E-2</v>
      </c>
      <c r="J135">
        <v>1.457E-2</v>
      </c>
      <c r="K135">
        <v>3.4157E-2</v>
      </c>
      <c r="L135">
        <v>-1.8558999999999999E-2</v>
      </c>
      <c r="M135">
        <v>-5.0670000000000003E-3</v>
      </c>
      <c r="N135">
        <v>1.9466000000000001E-2</v>
      </c>
    </row>
    <row r="136" spans="1:14" x14ac:dyDescent="0.25">
      <c r="A136">
        <v>458</v>
      </c>
      <c r="B136">
        <v>-9.6100000000000005E-4</v>
      </c>
      <c r="C136">
        <v>4.7962999999999999E-2</v>
      </c>
      <c r="D136">
        <v>5.2339999999999999E-3</v>
      </c>
      <c r="E136">
        <v>3.1827000000000001E-2</v>
      </c>
      <c r="F136">
        <v>1.2043280000000001</v>
      </c>
      <c r="G136">
        <v>1.252685</v>
      </c>
      <c r="H136">
        <v>-9.8900000000000008E-4</v>
      </c>
      <c r="I136">
        <v>7.2665999999999994E-2</v>
      </c>
      <c r="J136">
        <v>1.6437E-2</v>
      </c>
      <c r="K136">
        <v>3.5888999999999997E-2</v>
      </c>
      <c r="L136">
        <v>-2.198E-2</v>
      </c>
      <c r="M136">
        <v>-1.6639999999999999E-3</v>
      </c>
      <c r="N136">
        <v>1.8896E-2</v>
      </c>
    </row>
    <row r="137" spans="1:14" x14ac:dyDescent="0.25">
      <c r="A137">
        <v>460</v>
      </c>
      <c r="B137">
        <v>-4.9779999999999998E-3</v>
      </c>
      <c r="C137">
        <v>4.2631000000000002E-2</v>
      </c>
      <c r="D137">
        <v>-1.531E-3</v>
      </c>
      <c r="E137">
        <v>4.4831000000000003E-2</v>
      </c>
      <c r="F137">
        <v>1.236121</v>
      </c>
      <c r="G137">
        <v>1.242834</v>
      </c>
      <c r="H137">
        <v>-8.8199999999999997E-4</v>
      </c>
      <c r="I137">
        <v>5.6085000000000003E-2</v>
      </c>
      <c r="J137">
        <v>2.3899E-2</v>
      </c>
      <c r="K137">
        <v>3.5681999999999998E-2</v>
      </c>
      <c r="L137">
        <v>-2.4539999999999999E-2</v>
      </c>
      <c r="M137">
        <v>-9.9939999999999994E-3</v>
      </c>
      <c r="N137">
        <v>1.0305E-2</v>
      </c>
    </row>
    <row r="138" spans="1:14" x14ac:dyDescent="0.25">
      <c r="A138">
        <v>462</v>
      </c>
      <c r="B138">
        <v>7.9719999999999999E-2</v>
      </c>
      <c r="C138">
        <v>2.0083E-2</v>
      </c>
      <c r="D138">
        <v>1.75E-4</v>
      </c>
      <c r="E138">
        <v>-0.104614</v>
      </c>
      <c r="F138">
        <v>1.2685219999999999</v>
      </c>
      <c r="G138">
        <v>1.134304</v>
      </c>
      <c r="H138">
        <v>0.101897</v>
      </c>
      <c r="I138">
        <v>-9.8122000000000001E-2</v>
      </c>
      <c r="J138">
        <v>3.7390000000000001E-3</v>
      </c>
      <c r="K138">
        <v>5.2942000000000003E-2</v>
      </c>
      <c r="L138">
        <v>-2.013E-3</v>
      </c>
      <c r="M138">
        <v>-3.7712000000000002E-2</v>
      </c>
      <c r="N138">
        <v>-2.5430000000000001E-2</v>
      </c>
    </row>
    <row r="139" spans="1:14" x14ac:dyDescent="0.25">
      <c r="A139">
        <v>464</v>
      </c>
      <c r="B139">
        <v>0.14454</v>
      </c>
      <c r="C139">
        <v>4.3520000000000003E-2</v>
      </c>
      <c r="D139">
        <v>2.8457E-2</v>
      </c>
      <c r="E139">
        <v>-0.19271099999999999</v>
      </c>
      <c r="F139">
        <v>1.284476</v>
      </c>
      <c r="G139">
        <v>1.0817479999999999</v>
      </c>
      <c r="H139">
        <v>0.164467</v>
      </c>
      <c r="I139">
        <v>-0.182062</v>
      </c>
      <c r="J139">
        <v>-2.8709999999999999E-3</v>
      </c>
      <c r="K139">
        <v>5.1135E-2</v>
      </c>
      <c r="L139">
        <v>2.1121999999999998E-2</v>
      </c>
      <c r="M139">
        <v>-4.7528000000000001E-2</v>
      </c>
      <c r="N139">
        <v>-6.1265E-2</v>
      </c>
    </row>
    <row r="140" spans="1:14" x14ac:dyDescent="0.25">
      <c r="A140">
        <v>466</v>
      </c>
      <c r="B140">
        <v>6.2186999999999999E-2</v>
      </c>
      <c r="C140">
        <v>8.6710999999999996E-2</v>
      </c>
      <c r="D140">
        <v>2.6342000000000001E-2</v>
      </c>
      <c r="E140">
        <v>-6.6503000000000007E-2</v>
      </c>
      <c r="F140">
        <v>1.2599590000000001</v>
      </c>
      <c r="G140">
        <v>1.184696</v>
      </c>
      <c r="H140">
        <v>6.7247000000000001E-2</v>
      </c>
      <c r="I140">
        <v>-5.5454999999999997E-2</v>
      </c>
      <c r="J140">
        <v>1.1346999999999999E-2</v>
      </c>
      <c r="K140">
        <v>4.2426999999999999E-2</v>
      </c>
      <c r="L140">
        <v>3.032E-3</v>
      </c>
      <c r="M140">
        <v>-3.2280999999999997E-2</v>
      </c>
      <c r="N140">
        <v>-3.1588999999999999E-2</v>
      </c>
    </row>
    <row r="141" spans="1:14" x14ac:dyDescent="0.25">
      <c r="A141">
        <v>468</v>
      </c>
      <c r="B141">
        <v>8.1499999999999997E-4</v>
      </c>
      <c r="C141">
        <v>7.1108000000000005E-2</v>
      </c>
      <c r="D141">
        <v>-7.0000000000000001E-3</v>
      </c>
      <c r="E141">
        <v>1.1698E-2</v>
      </c>
      <c r="F141">
        <v>1.2423230000000001</v>
      </c>
      <c r="G141">
        <v>1.241959</v>
      </c>
      <c r="H141">
        <v>2.8519999999999999E-3</v>
      </c>
      <c r="I141">
        <v>4.0178999999999999E-2</v>
      </c>
      <c r="J141">
        <v>1.8225999999999999E-2</v>
      </c>
      <c r="K141">
        <v>4.6384000000000002E-2</v>
      </c>
      <c r="L141">
        <v>-1.5757E-2</v>
      </c>
      <c r="M141">
        <v>-1.7485000000000001E-2</v>
      </c>
      <c r="N141">
        <v>2.7820000000000002E-3</v>
      </c>
    </row>
    <row r="142" spans="1:14" x14ac:dyDescent="0.25">
      <c r="A142">
        <v>470</v>
      </c>
      <c r="B142">
        <v>-3.0829999999999998E-3</v>
      </c>
      <c r="C142">
        <v>0.10295700000000001</v>
      </c>
      <c r="D142">
        <v>-2.0300000000000001E-3</v>
      </c>
      <c r="E142">
        <v>-5.3169999999999997E-3</v>
      </c>
      <c r="F142">
        <v>1.242127</v>
      </c>
      <c r="G142">
        <v>1.236686</v>
      </c>
      <c r="H142">
        <v>1.194E-3</v>
      </c>
      <c r="I142">
        <v>3.4320000000000003E-2</v>
      </c>
      <c r="J142">
        <v>1.6553999999999999E-2</v>
      </c>
      <c r="K142">
        <v>5.3254999999999997E-2</v>
      </c>
      <c r="L142">
        <v>-2.0251999999999999E-2</v>
      </c>
      <c r="M142">
        <v>-9.3539999999999995E-3</v>
      </c>
      <c r="N142">
        <v>-5.4250000000000001E-3</v>
      </c>
    </row>
    <row r="143" spans="1:14" x14ac:dyDescent="0.25">
      <c r="A143">
        <v>472</v>
      </c>
      <c r="B143">
        <v>-1.3439999999999999E-3</v>
      </c>
      <c r="C143">
        <v>0.13344300000000001</v>
      </c>
      <c r="D143">
        <v>9.6450000000000008E-3</v>
      </c>
      <c r="E143">
        <v>8.9429999999999996E-3</v>
      </c>
      <c r="F143">
        <v>1.2500789999999999</v>
      </c>
      <c r="G143">
        <v>1.23031</v>
      </c>
      <c r="H143">
        <v>9.810000000000001E-4</v>
      </c>
      <c r="I143">
        <v>2.1189E-2</v>
      </c>
      <c r="J143">
        <v>2.5860999999999999E-2</v>
      </c>
      <c r="K143">
        <v>4.1839000000000001E-2</v>
      </c>
      <c r="L143">
        <v>-3.3574E-2</v>
      </c>
      <c r="M143">
        <v>2.0200000000000001E-3</v>
      </c>
      <c r="N143">
        <v>1.2078999999999999E-2</v>
      </c>
    </row>
    <row r="144" spans="1:14" x14ac:dyDescent="0.25">
      <c r="A144">
        <v>474</v>
      </c>
      <c r="B144">
        <v>-2.2959999999999999E-3</v>
      </c>
      <c r="C144">
        <v>9.4195000000000001E-2</v>
      </c>
      <c r="D144">
        <v>-2.4849999999999998E-3</v>
      </c>
      <c r="E144">
        <v>2.3177E-2</v>
      </c>
      <c r="F144">
        <v>1.266626</v>
      </c>
      <c r="G144">
        <v>1.1998850000000001</v>
      </c>
      <c r="H144">
        <v>5.6369999999999996E-3</v>
      </c>
      <c r="I144">
        <v>2.6821999999999999E-2</v>
      </c>
      <c r="J144">
        <v>2.4902000000000001E-2</v>
      </c>
      <c r="K144">
        <v>2.5204000000000001E-2</v>
      </c>
      <c r="L144">
        <v>-2.9940000000000001E-2</v>
      </c>
      <c r="M144">
        <v>2.9970000000000001E-3</v>
      </c>
      <c r="N144">
        <v>3.1822999999999997E-2</v>
      </c>
    </row>
    <row r="145" spans="1:14" x14ac:dyDescent="0.25">
      <c r="A145">
        <v>476</v>
      </c>
      <c r="B145">
        <v>-1.2586999999999999E-2</v>
      </c>
      <c r="C145">
        <v>5.6364999999999998E-2</v>
      </c>
      <c r="D145">
        <v>-1.3806000000000001E-2</v>
      </c>
      <c r="E145">
        <v>4.3200000000000001E-3</v>
      </c>
      <c r="F145">
        <v>1.2867729999999999</v>
      </c>
      <c r="G145">
        <v>1.1703600000000001</v>
      </c>
      <c r="H145">
        <v>4.5279999999999999E-3</v>
      </c>
      <c r="I145">
        <v>1.6990000000000002E-2</v>
      </c>
      <c r="J145">
        <v>1.9629000000000001E-2</v>
      </c>
      <c r="K145">
        <v>4.1633999999999997E-2</v>
      </c>
      <c r="L145">
        <v>-1.2338E-2</v>
      </c>
      <c r="M145">
        <v>-7.3969999999999999E-3</v>
      </c>
      <c r="N145">
        <v>2.0258000000000002E-2</v>
      </c>
    </row>
    <row r="146" spans="1:14" x14ac:dyDescent="0.25">
      <c r="A146">
        <v>478</v>
      </c>
      <c r="B146">
        <v>-3.4380000000000001E-3</v>
      </c>
      <c r="C146">
        <v>7.3040999999999995E-2</v>
      </c>
      <c r="D146">
        <v>4.4819999999999999E-3</v>
      </c>
      <c r="E146">
        <v>8.1300000000000003E-4</v>
      </c>
      <c r="F146">
        <v>1.3297190000000001</v>
      </c>
      <c r="G146">
        <v>1.1744479999999999</v>
      </c>
      <c r="H146">
        <v>1.1206000000000001E-2</v>
      </c>
      <c r="I146">
        <v>5.8500000000000002E-3</v>
      </c>
      <c r="J146">
        <v>1.1362000000000001E-2</v>
      </c>
      <c r="K146">
        <v>4.7455999999999998E-2</v>
      </c>
      <c r="L146">
        <v>-6.1900000000000002E-3</v>
      </c>
      <c r="M146">
        <v>-1.2323000000000001E-2</v>
      </c>
      <c r="N146">
        <v>1.6382000000000001E-2</v>
      </c>
    </row>
    <row r="147" spans="1:14" x14ac:dyDescent="0.25">
      <c r="A147">
        <v>480</v>
      </c>
      <c r="B147">
        <v>7.8840000000000004E-3</v>
      </c>
      <c r="C147">
        <v>7.2050000000000003E-2</v>
      </c>
      <c r="D147">
        <v>4.3550000000000004E-3</v>
      </c>
      <c r="E147">
        <v>2.4343E-2</v>
      </c>
      <c r="F147">
        <v>1.3699110000000001</v>
      </c>
      <c r="G147">
        <v>1.168444</v>
      </c>
      <c r="H147">
        <v>1.8644999999999998E-2</v>
      </c>
      <c r="I147">
        <v>1.5251000000000001E-2</v>
      </c>
      <c r="J147">
        <v>8.3700000000000007E-3</v>
      </c>
      <c r="K147">
        <v>3.6746000000000001E-2</v>
      </c>
      <c r="L147">
        <v>-2.0962000000000001E-2</v>
      </c>
      <c r="M147">
        <v>-1.908E-2</v>
      </c>
      <c r="N147">
        <v>1.5502999999999999E-2</v>
      </c>
    </row>
    <row r="148" spans="1:14" x14ac:dyDescent="0.25">
      <c r="A148">
        <v>482</v>
      </c>
      <c r="B148">
        <v>1.0041E-2</v>
      </c>
      <c r="C148">
        <v>-7.6463000000000003E-2</v>
      </c>
      <c r="D148">
        <v>-9.5643000000000006E-2</v>
      </c>
      <c r="E148">
        <v>4.2068000000000001E-2</v>
      </c>
      <c r="F148">
        <v>1.4427779999999999</v>
      </c>
      <c r="G148">
        <v>1.1345050000000001</v>
      </c>
      <c r="H148">
        <v>4.3319999999999999E-3</v>
      </c>
      <c r="I148">
        <v>2.9151E-2</v>
      </c>
      <c r="J148">
        <v>6.8320000000000004E-3</v>
      </c>
      <c r="K148">
        <v>3.1265000000000001E-2</v>
      </c>
      <c r="L148">
        <v>-2.4198000000000001E-2</v>
      </c>
      <c r="M148">
        <v>-1.3310000000000001E-2</v>
      </c>
      <c r="N148">
        <v>-8.1130000000000004E-3</v>
      </c>
    </row>
    <row r="149" spans="1:14" x14ac:dyDescent="0.25">
      <c r="A149">
        <v>484</v>
      </c>
      <c r="B149">
        <v>1.1047E-2</v>
      </c>
      <c r="C149">
        <v>-0.110621</v>
      </c>
      <c r="D149">
        <v>-8.7916999999999995E-2</v>
      </c>
      <c r="E149">
        <v>8.0336000000000005E-2</v>
      </c>
      <c r="F149">
        <v>1.4860629999999999</v>
      </c>
      <c r="G149">
        <v>1.1512910000000001</v>
      </c>
      <c r="H149">
        <v>-1.1549E-2</v>
      </c>
      <c r="I149">
        <v>1.1681E-2</v>
      </c>
      <c r="J149">
        <v>2.3002000000000002E-2</v>
      </c>
      <c r="K149">
        <v>3.5712000000000001E-2</v>
      </c>
      <c r="L149">
        <v>-1.7343999999999998E-2</v>
      </c>
      <c r="M149">
        <v>-9.5500000000000001E-4</v>
      </c>
      <c r="N149">
        <v>6.0039999999999998E-3</v>
      </c>
    </row>
    <row r="150" spans="1:14" x14ac:dyDescent="0.25">
      <c r="A150">
        <v>486</v>
      </c>
      <c r="B150">
        <v>6.5690000000000002E-3</v>
      </c>
      <c r="C150">
        <v>-4.4046000000000002E-2</v>
      </c>
      <c r="D150">
        <v>-3.0062999999999999E-2</v>
      </c>
      <c r="E150">
        <v>0.127108</v>
      </c>
      <c r="F150">
        <v>1.473325</v>
      </c>
      <c r="G150">
        <v>1.168474</v>
      </c>
      <c r="H150">
        <v>4.3530000000000001E-3</v>
      </c>
      <c r="I150">
        <v>-1.2830000000000001E-3</v>
      </c>
      <c r="J150">
        <v>4.4438999999999999E-2</v>
      </c>
      <c r="K150">
        <v>2.8358999999999999E-2</v>
      </c>
      <c r="L150">
        <v>-1.8277999999999999E-2</v>
      </c>
      <c r="M150">
        <v>-1.2600000000000001E-3</v>
      </c>
      <c r="N150">
        <v>6.2057000000000001E-2</v>
      </c>
    </row>
    <row r="151" spans="1:14" x14ac:dyDescent="0.25">
      <c r="A151">
        <v>488</v>
      </c>
      <c r="B151">
        <v>1.7179999999999999E-3</v>
      </c>
      <c r="C151">
        <v>1.0043E-2</v>
      </c>
      <c r="D151">
        <v>-1.6764000000000001E-2</v>
      </c>
      <c r="E151">
        <v>9.7751000000000005E-2</v>
      </c>
      <c r="F151">
        <v>1.4834590000000001</v>
      </c>
      <c r="G151">
        <v>1.168795</v>
      </c>
      <c r="H151">
        <v>1.9222E-2</v>
      </c>
      <c r="I151">
        <v>8.6399999999999997E-4</v>
      </c>
      <c r="J151">
        <v>3.8207999999999999E-2</v>
      </c>
      <c r="K151">
        <v>1.9890999999999999E-2</v>
      </c>
      <c r="L151">
        <v>-1.6681999999999999E-2</v>
      </c>
      <c r="M151">
        <v>-7.2880000000000002E-3</v>
      </c>
      <c r="N151">
        <v>6.8773000000000001E-2</v>
      </c>
    </row>
    <row r="152" spans="1:14" x14ac:dyDescent="0.25">
      <c r="A152">
        <v>490</v>
      </c>
      <c r="B152">
        <v>-1.0663000000000001E-2</v>
      </c>
      <c r="C152">
        <v>8.8757000000000003E-2</v>
      </c>
      <c r="D152">
        <v>-4.627E-3</v>
      </c>
      <c r="E152">
        <v>-1.7409999999999999E-3</v>
      </c>
      <c r="F152">
        <v>1.526678</v>
      </c>
      <c r="G152">
        <v>1.1939139999999999</v>
      </c>
      <c r="H152">
        <v>1.3074000000000001E-2</v>
      </c>
      <c r="I152">
        <v>9.5809999999999992E-3</v>
      </c>
      <c r="J152">
        <v>1.7262E-2</v>
      </c>
      <c r="K152">
        <v>2.7784E-2</v>
      </c>
      <c r="L152">
        <v>-1.0281E-2</v>
      </c>
      <c r="M152">
        <v>-9.59E-4</v>
      </c>
      <c r="N152">
        <v>5.117E-3</v>
      </c>
    </row>
    <row r="153" spans="1:14" x14ac:dyDescent="0.25">
      <c r="A153">
        <v>492</v>
      </c>
      <c r="B153">
        <v>-2.0559999999999998E-2</v>
      </c>
      <c r="C153">
        <v>0.118814</v>
      </c>
      <c r="D153">
        <v>-7.6179999999999998E-3</v>
      </c>
      <c r="E153">
        <v>-2.1915E-2</v>
      </c>
      <c r="F153">
        <v>1.5255380000000001</v>
      </c>
      <c r="G153">
        <v>1.1956359999999999</v>
      </c>
      <c r="H153">
        <v>1.6766E-2</v>
      </c>
      <c r="I153">
        <v>1.1792E-2</v>
      </c>
      <c r="J153">
        <v>7.5799999999999999E-3</v>
      </c>
      <c r="K153">
        <v>2.2825000000000002E-2</v>
      </c>
      <c r="L153">
        <v>-1.928E-3</v>
      </c>
      <c r="M153">
        <v>4.4819999999999999E-3</v>
      </c>
      <c r="N153">
        <v>1.9980000000000002E-3</v>
      </c>
    </row>
    <row r="154" spans="1:14" x14ac:dyDescent="0.25">
      <c r="A154">
        <v>494</v>
      </c>
      <c r="B154">
        <v>-7.1190000000000003E-3</v>
      </c>
      <c r="C154">
        <v>0.11096399999999999</v>
      </c>
      <c r="D154">
        <v>2.019E-3</v>
      </c>
      <c r="E154">
        <v>-3.2917000000000002E-2</v>
      </c>
      <c r="F154">
        <v>1.494095</v>
      </c>
      <c r="G154">
        <v>1.2078329999999999</v>
      </c>
      <c r="H154">
        <v>2.0392E-2</v>
      </c>
      <c r="I154">
        <v>-3.2750000000000001E-3</v>
      </c>
      <c r="J154">
        <v>9.7799999999999992E-4</v>
      </c>
      <c r="K154">
        <v>1.9993E-2</v>
      </c>
      <c r="L154">
        <v>-5.1699999999999999E-4</v>
      </c>
      <c r="M154">
        <v>-4.86E-4</v>
      </c>
      <c r="N154">
        <v>2.1919000000000001E-2</v>
      </c>
    </row>
    <row r="155" spans="1:14" x14ac:dyDescent="0.25">
      <c r="A155">
        <v>496</v>
      </c>
      <c r="B155">
        <v>-3.3399999999999999E-4</v>
      </c>
      <c r="C155">
        <v>8.0325999999999995E-2</v>
      </c>
      <c r="D155">
        <v>6.9699999999999996E-3</v>
      </c>
      <c r="E155">
        <v>-1.8013999999999999E-2</v>
      </c>
      <c r="F155">
        <v>1.4296089999999999</v>
      </c>
      <c r="G155">
        <v>1.2203489999999999</v>
      </c>
      <c r="H155">
        <v>1.4714E-2</v>
      </c>
      <c r="I155">
        <v>-1.0596E-2</v>
      </c>
      <c r="J155">
        <v>8.7449999999999993E-3</v>
      </c>
      <c r="K155">
        <v>2.5035000000000002E-2</v>
      </c>
      <c r="L155">
        <v>-1.1869999999999999E-3</v>
      </c>
      <c r="M155">
        <v>6.7749999999999998E-3</v>
      </c>
      <c r="N155">
        <v>2.0462000000000001E-2</v>
      </c>
    </row>
    <row r="156" spans="1:14" x14ac:dyDescent="0.25">
      <c r="A156">
        <v>498</v>
      </c>
      <c r="B156">
        <v>1.3470000000000001E-3</v>
      </c>
      <c r="C156">
        <v>6.9268999999999997E-2</v>
      </c>
      <c r="D156">
        <v>-8.5310000000000004E-3</v>
      </c>
      <c r="E156">
        <v>-1.1681E-2</v>
      </c>
      <c r="F156">
        <v>1.3532900000000001</v>
      </c>
      <c r="G156">
        <v>1.209881</v>
      </c>
      <c r="H156">
        <v>1.0992E-2</v>
      </c>
      <c r="I156">
        <v>-5.7540000000000004E-3</v>
      </c>
      <c r="J156">
        <v>9.1420000000000008E-3</v>
      </c>
      <c r="K156">
        <v>2.2707999999999999E-2</v>
      </c>
      <c r="L156">
        <v>4.1580000000000002E-3</v>
      </c>
      <c r="M156">
        <v>6.7419999999999997E-3</v>
      </c>
      <c r="N156">
        <v>1.3694E-2</v>
      </c>
    </row>
    <row r="157" spans="1:14" x14ac:dyDescent="0.25">
      <c r="A157">
        <v>500</v>
      </c>
      <c r="B157">
        <v>-1.392E-3</v>
      </c>
      <c r="C157">
        <v>6.9149000000000002E-2</v>
      </c>
      <c r="D157">
        <v>3.28E-4</v>
      </c>
      <c r="E157">
        <v>-2.0590000000000001E-3</v>
      </c>
      <c r="F157">
        <v>1.2794909999999999</v>
      </c>
      <c r="G157">
        <v>1.21899</v>
      </c>
      <c r="H157">
        <v>4.777E-3</v>
      </c>
      <c r="I157">
        <v>-9.1920000000000005E-3</v>
      </c>
      <c r="J157">
        <v>2.5539999999999998E-3</v>
      </c>
      <c r="K157">
        <v>2.1722000000000002E-2</v>
      </c>
      <c r="L157">
        <v>-3.127E-3</v>
      </c>
      <c r="M157">
        <v>-6.8999999999999997E-5</v>
      </c>
      <c r="N157">
        <v>2.7525000000000001E-2</v>
      </c>
    </row>
    <row r="158" spans="1:14" x14ac:dyDescent="0.25">
      <c r="A158">
        <v>502</v>
      </c>
      <c r="B158">
        <v>-1.3697000000000001E-2</v>
      </c>
      <c r="C158">
        <v>6.5364000000000005E-2</v>
      </c>
      <c r="D158">
        <v>5.3639999999999998E-3</v>
      </c>
      <c r="E158">
        <v>-1.0300000000000001E-3</v>
      </c>
      <c r="F158">
        <v>1.2125790000000001</v>
      </c>
      <c r="G158">
        <v>1.2100439999999999</v>
      </c>
      <c r="H158">
        <v>8.4950000000000008E-3</v>
      </c>
      <c r="I158">
        <v>-9.6939999999999995E-3</v>
      </c>
      <c r="J158">
        <v>5.7540000000000004E-3</v>
      </c>
      <c r="K158">
        <v>2.3439000000000002E-2</v>
      </c>
      <c r="L158">
        <v>-4.17E-4</v>
      </c>
      <c r="M158">
        <v>7.4510000000000002E-3</v>
      </c>
      <c r="N158">
        <v>2.1995000000000001E-2</v>
      </c>
    </row>
    <row r="159" spans="1:14" x14ac:dyDescent="0.25">
      <c r="A159">
        <v>504</v>
      </c>
      <c r="B159">
        <v>-5.6629999999999996E-3</v>
      </c>
      <c r="C159">
        <v>8.5796999999999998E-2</v>
      </c>
      <c r="D159">
        <v>-7.1190000000000003E-3</v>
      </c>
      <c r="E159">
        <v>-1.2520999999999999E-2</v>
      </c>
      <c r="F159">
        <v>1.135049</v>
      </c>
      <c r="G159">
        <v>1.1622939999999999</v>
      </c>
      <c r="H159">
        <v>1.6752E-2</v>
      </c>
      <c r="I159">
        <v>-3.8579999999999999E-3</v>
      </c>
      <c r="J159">
        <v>5.5160000000000001E-3</v>
      </c>
      <c r="K159">
        <v>9.5849999999999998E-3</v>
      </c>
      <c r="L159">
        <v>7.404E-3</v>
      </c>
      <c r="M159">
        <v>5.1800000000000001E-4</v>
      </c>
      <c r="N159">
        <v>1.2732E-2</v>
      </c>
    </row>
    <row r="160" spans="1:14" x14ac:dyDescent="0.25">
      <c r="A160">
        <v>506</v>
      </c>
      <c r="B160">
        <v>-2.9020000000000001E-3</v>
      </c>
      <c r="C160">
        <v>4.8558999999999998E-2</v>
      </c>
      <c r="D160">
        <v>-1.3913999999999999E-2</v>
      </c>
      <c r="E160">
        <v>7.6309999999999998E-3</v>
      </c>
      <c r="F160">
        <v>1.07189</v>
      </c>
      <c r="G160">
        <v>1.1057220000000001</v>
      </c>
      <c r="H160">
        <v>9.6959999999999998E-3</v>
      </c>
      <c r="I160">
        <v>-9.5449999999999997E-3</v>
      </c>
      <c r="J160">
        <v>1.1957000000000001E-2</v>
      </c>
      <c r="K160">
        <v>5.5100000000000001E-3</v>
      </c>
      <c r="L160">
        <v>-1.1361E-2</v>
      </c>
      <c r="M160">
        <v>-4.3150000000000003E-3</v>
      </c>
      <c r="N160">
        <v>2.9024999999999999E-2</v>
      </c>
    </row>
    <row r="161" spans="1:14" x14ac:dyDescent="0.25">
      <c r="A161">
        <v>508</v>
      </c>
      <c r="B161">
        <v>-1.1074000000000001E-2</v>
      </c>
      <c r="C161">
        <v>2.5176E-2</v>
      </c>
      <c r="D161">
        <v>-1.1556E-2</v>
      </c>
      <c r="E161">
        <v>-7.9850000000000008E-3</v>
      </c>
      <c r="F161">
        <v>1.0436970000000001</v>
      </c>
      <c r="G161">
        <v>1.060073</v>
      </c>
      <c r="H161">
        <v>6.6839999999999998E-3</v>
      </c>
      <c r="I161">
        <v>-1.6534E-2</v>
      </c>
      <c r="J161">
        <v>2.2599999999999999E-3</v>
      </c>
      <c r="K161">
        <v>1.5321E-2</v>
      </c>
      <c r="L161">
        <v>-5.0410000000000003E-3</v>
      </c>
      <c r="M161">
        <v>4.1529999999999996E-3</v>
      </c>
      <c r="N161">
        <v>2.6446000000000001E-2</v>
      </c>
    </row>
    <row r="162" spans="1:14" x14ac:dyDescent="0.25">
      <c r="A162">
        <v>510</v>
      </c>
      <c r="B162">
        <v>1.2979999999999999E-3</v>
      </c>
      <c r="C162">
        <v>6.1615999999999997E-2</v>
      </c>
      <c r="D162">
        <v>-3.5430000000000001E-3</v>
      </c>
      <c r="E162">
        <v>-1.4966E-2</v>
      </c>
      <c r="F162">
        <v>0.99629800000000002</v>
      </c>
      <c r="G162">
        <v>1.0072779999999999</v>
      </c>
      <c r="H162">
        <v>4.3670000000000002E-3</v>
      </c>
      <c r="I162">
        <v>-1.0604000000000001E-2</v>
      </c>
      <c r="J162">
        <v>-4.5310000000000003E-3</v>
      </c>
      <c r="K162">
        <v>2.4507999999999999E-2</v>
      </c>
      <c r="L162">
        <v>7.8059999999999996E-3</v>
      </c>
      <c r="M162">
        <v>6.3299999999999999E-4</v>
      </c>
      <c r="N162">
        <v>3.1338999999999999E-2</v>
      </c>
    </row>
    <row r="163" spans="1:14" x14ac:dyDescent="0.25">
      <c r="A163">
        <v>512</v>
      </c>
      <c r="B163">
        <v>5.9550000000000002E-3</v>
      </c>
      <c r="C163">
        <v>5.1924999999999999E-2</v>
      </c>
      <c r="D163">
        <v>-5.6290000000000003E-3</v>
      </c>
      <c r="E163">
        <v>-1.5413E-2</v>
      </c>
      <c r="F163">
        <v>0.98288900000000001</v>
      </c>
      <c r="G163">
        <v>0.95025499999999996</v>
      </c>
      <c r="H163">
        <v>1.6687E-2</v>
      </c>
      <c r="I163">
        <v>4.3400000000000001E-3</v>
      </c>
      <c r="J163">
        <v>1.0018000000000001E-2</v>
      </c>
      <c r="K163">
        <v>3.3947999999999999E-2</v>
      </c>
      <c r="L163">
        <v>3.0800000000000001E-4</v>
      </c>
      <c r="M163">
        <v>-6.2139999999999999E-3</v>
      </c>
      <c r="N163">
        <v>3.2499E-2</v>
      </c>
    </row>
    <row r="164" spans="1:14" x14ac:dyDescent="0.25">
      <c r="A164">
        <v>514</v>
      </c>
      <c r="B164">
        <v>-3.872E-3</v>
      </c>
      <c r="C164">
        <v>6.7702999999999999E-2</v>
      </c>
      <c r="D164">
        <v>3.833E-3</v>
      </c>
      <c r="E164">
        <v>-2.8785000000000002E-2</v>
      </c>
      <c r="F164">
        <v>0.99833000000000005</v>
      </c>
      <c r="G164">
        <v>0.91334199999999999</v>
      </c>
      <c r="H164">
        <v>2.9454000000000001E-2</v>
      </c>
      <c r="I164">
        <v>-2.4069999999999999E-3</v>
      </c>
      <c r="J164">
        <v>6.9020000000000001E-3</v>
      </c>
      <c r="K164">
        <v>3.6505000000000003E-2</v>
      </c>
      <c r="L164">
        <v>2.8969999999999998E-3</v>
      </c>
      <c r="M164">
        <v>-7.5299999999999998E-4</v>
      </c>
      <c r="N164">
        <v>2.5925E-2</v>
      </c>
    </row>
    <row r="165" spans="1:14" x14ac:dyDescent="0.25">
      <c r="A165">
        <v>516</v>
      </c>
      <c r="B165">
        <v>-1.1674E-2</v>
      </c>
      <c r="C165">
        <v>8.5580000000000003E-2</v>
      </c>
      <c r="D165">
        <v>4.627E-3</v>
      </c>
      <c r="E165">
        <v>-5.7470000000000004E-3</v>
      </c>
      <c r="F165">
        <v>0.98948499999999995</v>
      </c>
      <c r="G165">
        <v>0.88303200000000004</v>
      </c>
      <c r="H165">
        <v>2.1423000000000001E-2</v>
      </c>
      <c r="I165">
        <v>-1.1892E-2</v>
      </c>
      <c r="J165">
        <v>4.0130000000000001E-3</v>
      </c>
      <c r="K165">
        <v>3.2757000000000001E-2</v>
      </c>
      <c r="L165">
        <v>7.3359999999999996E-3</v>
      </c>
      <c r="M165">
        <v>5.5009999999999998E-3</v>
      </c>
      <c r="N165">
        <v>4.3395999999999997E-2</v>
      </c>
    </row>
    <row r="166" spans="1:14" x14ac:dyDescent="0.25">
      <c r="A166">
        <v>518</v>
      </c>
      <c r="B166">
        <v>6.0130000000000001E-3</v>
      </c>
      <c r="C166">
        <v>5.0124000000000002E-2</v>
      </c>
      <c r="D166">
        <v>-5.9979999999999999E-3</v>
      </c>
      <c r="E166">
        <v>-5.5459999999999997E-3</v>
      </c>
      <c r="F166">
        <v>0.99782199999999999</v>
      </c>
      <c r="G166">
        <v>0.83353600000000005</v>
      </c>
      <c r="H166">
        <v>1.2052999999999999E-2</v>
      </c>
      <c r="I166">
        <v>-1.942E-2</v>
      </c>
      <c r="J166">
        <v>-4.019E-3</v>
      </c>
      <c r="K166">
        <v>3.5152000000000003E-2</v>
      </c>
      <c r="L166">
        <v>7.7140000000000004E-3</v>
      </c>
      <c r="M166">
        <v>-7.319E-3</v>
      </c>
      <c r="N166">
        <v>3.2339E-2</v>
      </c>
    </row>
    <row r="167" spans="1:14" x14ac:dyDescent="0.25">
      <c r="A167">
        <v>520</v>
      </c>
      <c r="B167">
        <v>1.3506000000000001E-2</v>
      </c>
      <c r="C167">
        <v>7.5251999999999999E-2</v>
      </c>
      <c r="D167">
        <v>4.9290000000000002E-3</v>
      </c>
      <c r="E167">
        <v>-1.2793000000000001E-2</v>
      </c>
      <c r="F167">
        <v>1.0246109999999999</v>
      </c>
      <c r="G167">
        <v>0.79054899999999995</v>
      </c>
      <c r="H167">
        <v>1.4168999999999999E-2</v>
      </c>
      <c r="I167">
        <v>-1.5611999999999999E-2</v>
      </c>
      <c r="J167">
        <v>-2.5741E-2</v>
      </c>
      <c r="K167">
        <v>2.4906999999999999E-2</v>
      </c>
      <c r="L167">
        <v>7.2610000000000001E-3</v>
      </c>
      <c r="M167">
        <v>-1.9904999999999999E-2</v>
      </c>
      <c r="N167">
        <v>3.2015000000000002E-2</v>
      </c>
    </row>
    <row r="168" spans="1:14" x14ac:dyDescent="0.25">
      <c r="A168">
        <v>522</v>
      </c>
      <c r="B168">
        <v>9.9649999999999999E-3</v>
      </c>
      <c r="C168">
        <v>5.4427000000000003E-2</v>
      </c>
      <c r="D168">
        <v>-2.4542000000000001E-2</v>
      </c>
      <c r="E168">
        <v>2.0979999999999999E-2</v>
      </c>
      <c r="F168">
        <v>1.0545009999999999</v>
      </c>
      <c r="G168">
        <v>0.77883999999999998</v>
      </c>
      <c r="H168">
        <v>1.5924000000000001E-2</v>
      </c>
      <c r="I168">
        <v>-1.6330000000000001E-2</v>
      </c>
      <c r="J168">
        <v>-2.2804999999999999E-2</v>
      </c>
      <c r="K168">
        <v>1.5772999999999999E-2</v>
      </c>
      <c r="L168">
        <v>3.3170000000000001E-3</v>
      </c>
      <c r="M168">
        <v>3.6299999999999999E-4</v>
      </c>
      <c r="N168">
        <v>3.1654000000000002E-2</v>
      </c>
    </row>
    <row r="169" spans="1:14" x14ac:dyDescent="0.25">
      <c r="A169">
        <v>524</v>
      </c>
      <c r="B169">
        <v>1.8984999999999998E-2</v>
      </c>
      <c r="C169">
        <v>6.3848000000000002E-2</v>
      </c>
      <c r="D169">
        <v>-1.3802E-2</v>
      </c>
      <c r="E169">
        <v>-3.761E-3</v>
      </c>
      <c r="F169">
        <v>1.0852710000000001</v>
      </c>
      <c r="G169">
        <v>0.79182799999999998</v>
      </c>
      <c r="H169">
        <v>2.3585999999999999E-2</v>
      </c>
      <c r="I169">
        <v>-1.112E-2</v>
      </c>
      <c r="J169">
        <v>-3.7711000000000001E-2</v>
      </c>
      <c r="K169">
        <v>1.2947999999999999E-2</v>
      </c>
      <c r="L169">
        <v>-2.3630000000000002E-2</v>
      </c>
      <c r="M169">
        <v>1.2879E-2</v>
      </c>
      <c r="N169">
        <v>2.2683999999999999E-2</v>
      </c>
    </row>
    <row r="170" spans="1:14" x14ac:dyDescent="0.25">
      <c r="A170">
        <v>526</v>
      </c>
      <c r="B170">
        <v>1.8946999999999999E-2</v>
      </c>
      <c r="C170">
        <v>0.11360000000000001</v>
      </c>
      <c r="D170">
        <v>1.3287999999999999E-2</v>
      </c>
      <c r="E170">
        <v>2.575E-3</v>
      </c>
      <c r="F170">
        <v>1.074716</v>
      </c>
      <c r="G170">
        <v>0.76955600000000002</v>
      </c>
      <c r="H170">
        <v>2.4784E-2</v>
      </c>
      <c r="I170">
        <v>1.4040000000000001E-3</v>
      </c>
      <c r="J170">
        <v>-5.3247999999999997E-2</v>
      </c>
      <c r="K170">
        <v>1.124E-2</v>
      </c>
      <c r="L170">
        <v>-1.5287E-2</v>
      </c>
      <c r="M170">
        <v>-7.1180000000000002E-3</v>
      </c>
      <c r="N170">
        <v>3.9829000000000003E-2</v>
      </c>
    </row>
    <row r="171" spans="1:14" x14ac:dyDescent="0.25">
      <c r="A171">
        <v>528</v>
      </c>
      <c r="B171">
        <v>1.4489E-2</v>
      </c>
      <c r="C171">
        <v>6.4451999999999995E-2</v>
      </c>
      <c r="D171">
        <v>-1.952E-3</v>
      </c>
      <c r="E171">
        <v>-4.4219999999999997E-3</v>
      </c>
      <c r="F171">
        <v>1.026967</v>
      </c>
      <c r="G171">
        <v>0.75254100000000002</v>
      </c>
      <c r="H171">
        <v>2.324E-2</v>
      </c>
      <c r="I171">
        <v>-2.4253E-2</v>
      </c>
      <c r="J171">
        <v>-2.9874000000000001E-2</v>
      </c>
      <c r="K171">
        <v>4.4900000000000001E-3</v>
      </c>
      <c r="L171">
        <v>1.9924999999999998E-2</v>
      </c>
      <c r="M171">
        <v>-5.7400000000000003E-3</v>
      </c>
      <c r="N171">
        <v>2.1791000000000001E-2</v>
      </c>
    </row>
    <row r="172" spans="1:14" x14ac:dyDescent="0.25">
      <c r="A172">
        <v>530</v>
      </c>
      <c r="B172">
        <v>1.2165E-2</v>
      </c>
      <c r="C172">
        <v>8.1305000000000002E-2</v>
      </c>
      <c r="D172">
        <v>-3.8219999999999999E-3</v>
      </c>
      <c r="E172">
        <v>-2.8038E-2</v>
      </c>
      <c r="F172">
        <v>0.95938100000000004</v>
      </c>
      <c r="G172">
        <v>0.75338899999999998</v>
      </c>
      <c r="H172">
        <v>4.0552999999999999E-2</v>
      </c>
      <c r="I172">
        <v>-2.2464000000000001E-2</v>
      </c>
      <c r="J172">
        <v>-2.1725000000000001E-2</v>
      </c>
      <c r="K172">
        <v>-1.3292E-2</v>
      </c>
      <c r="L172">
        <v>1.0871E-2</v>
      </c>
      <c r="M172">
        <v>-1.1299999999999999E-2</v>
      </c>
      <c r="N172">
        <v>2.4250000000000001E-2</v>
      </c>
    </row>
    <row r="173" spans="1:14" x14ac:dyDescent="0.25">
      <c r="A173">
        <v>532</v>
      </c>
      <c r="B173">
        <v>-4.0460000000000001E-3</v>
      </c>
      <c r="C173">
        <v>3.6977000000000003E-2</v>
      </c>
      <c r="D173">
        <v>-3.0398000000000001E-2</v>
      </c>
      <c r="E173">
        <v>3.6059999999999998E-3</v>
      </c>
      <c r="F173">
        <v>0.88248099999999996</v>
      </c>
      <c r="G173">
        <v>0.74147200000000002</v>
      </c>
      <c r="H173">
        <v>2.5513000000000001E-2</v>
      </c>
      <c r="I173">
        <v>1.1559999999999999E-3</v>
      </c>
      <c r="J173">
        <v>-1.7358999999999999E-2</v>
      </c>
      <c r="K173">
        <v>9.0799999999999995E-4</v>
      </c>
      <c r="L173">
        <v>1.2849999999999999E-3</v>
      </c>
      <c r="M173">
        <v>-2.1271000000000002E-2</v>
      </c>
      <c r="N173">
        <v>2.1849E-2</v>
      </c>
    </row>
    <row r="174" spans="1:14" x14ac:dyDescent="0.25">
      <c r="A174">
        <v>534</v>
      </c>
      <c r="B174">
        <v>-1.1533E-2</v>
      </c>
      <c r="C174">
        <v>5.5023000000000002E-2</v>
      </c>
      <c r="D174">
        <v>-2.0674999999999999E-2</v>
      </c>
      <c r="E174">
        <v>1.6157000000000001E-2</v>
      </c>
      <c r="F174">
        <v>0.79492300000000005</v>
      </c>
      <c r="G174">
        <v>0.73560099999999995</v>
      </c>
      <c r="H174">
        <v>1.2168999999999999E-2</v>
      </c>
      <c r="I174">
        <v>2.6519999999999998E-3</v>
      </c>
      <c r="J174">
        <v>-2.0143999999999999E-2</v>
      </c>
      <c r="K174">
        <v>2.2540999999999999E-2</v>
      </c>
      <c r="L174">
        <v>1.4033E-2</v>
      </c>
      <c r="M174">
        <v>-6.0600000000000003E-3</v>
      </c>
      <c r="N174">
        <v>8.8090000000000009E-3</v>
      </c>
    </row>
    <row r="175" spans="1:14" x14ac:dyDescent="0.25">
      <c r="A175">
        <v>536</v>
      </c>
      <c r="B175">
        <v>-1.0347E-2</v>
      </c>
      <c r="C175">
        <v>6.5961000000000006E-2</v>
      </c>
      <c r="D175">
        <v>-2.7309999999999999E-3</v>
      </c>
      <c r="E175">
        <v>2.7046000000000001E-2</v>
      </c>
      <c r="F175">
        <v>0.68954300000000002</v>
      </c>
      <c r="G175">
        <v>0.705376</v>
      </c>
      <c r="H175">
        <v>1.9113999999999999E-2</v>
      </c>
      <c r="I175">
        <v>-9.0430000000000007E-3</v>
      </c>
      <c r="J175">
        <v>-2.5935E-2</v>
      </c>
      <c r="K175">
        <v>6.9750000000000003E-3</v>
      </c>
      <c r="L175">
        <v>6.1450000000000003E-3</v>
      </c>
      <c r="M175">
        <v>-4.326E-3</v>
      </c>
      <c r="N175">
        <v>2.2925999999999998E-2</v>
      </c>
    </row>
    <row r="176" spans="1:14" x14ac:dyDescent="0.25">
      <c r="A176">
        <v>538</v>
      </c>
      <c r="B176">
        <v>-5.156E-3</v>
      </c>
      <c r="C176">
        <v>7.8561000000000006E-2</v>
      </c>
      <c r="D176">
        <v>1.2102999999999999E-2</v>
      </c>
      <c r="E176">
        <v>7.8299999999999995E-4</v>
      </c>
      <c r="F176">
        <v>0.58016000000000001</v>
      </c>
      <c r="G176">
        <v>0.66984299999999997</v>
      </c>
      <c r="H176">
        <v>1.9210999999999999E-2</v>
      </c>
      <c r="I176">
        <v>-2.9687000000000002E-2</v>
      </c>
      <c r="J176">
        <v>-8.8450000000000004E-3</v>
      </c>
      <c r="K176">
        <v>-3.418E-3</v>
      </c>
      <c r="L176">
        <v>-1.4238000000000001E-2</v>
      </c>
      <c r="M176">
        <v>-1.9639E-2</v>
      </c>
      <c r="N176">
        <v>6.1460000000000004E-3</v>
      </c>
    </row>
    <row r="177" spans="1:14" x14ac:dyDescent="0.25">
      <c r="A177">
        <v>540</v>
      </c>
      <c r="B177">
        <v>1.6711E-2</v>
      </c>
      <c r="C177">
        <v>8.8800000000000004E-2</v>
      </c>
      <c r="D177">
        <v>2.3838000000000002E-2</v>
      </c>
      <c r="E177">
        <v>8.1980000000000004E-3</v>
      </c>
      <c r="F177">
        <v>0.47096300000000002</v>
      </c>
      <c r="G177">
        <v>0.63917000000000002</v>
      </c>
      <c r="H177">
        <v>2.2523999999999999E-2</v>
      </c>
      <c r="I177">
        <v>-2.8426E-2</v>
      </c>
      <c r="J177">
        <v>-2.846E-3</v>
      </c>
      <c r="K177">
        <v>1.0758999999999999E-2</v>
      </c>
      <c r="L177">
        <v>-4.888E-3</v>
      </c>
      <c r="M177">
        <v>-8.3000000000000001E-3</v>
      </c>
      <c r="N177">
        <v>-2.3739999999999998E-3</v>
      </c>
    </row>
    <row r="178" spans="1:14" x14ac:dyDescent="0.25">
      <c r="A178">
        <v>542</v>
      </c>
      <c r="B178">
        <v>1.6843E-2</v>
      </c>
      <c r="C178">
        <v>7.3427000000000006E-2</v>
      </c>
      <c r="D178">
        <v>2.2246999999999999E-2</v>
      </c>
      <c r="E178">
        <v>2.6210000000000001E-3</v>
      </c>
      <c r="F178">
        <v>0.36022900000000002</v>
      </c>
      <c r="G178">
        <v>0.59168900000000002</v>
      </c>
      <c r="H178">
        <v>2.6960000000000001E-2</v>
      </c>
      <c r="I178">
        <v>-2.0396999999999998E-2</v>
      </c>
      <c r="J178">
        <v>-3.0103999999999999E-2</v>
      </c>
      <c r="K178">
        <v>2.6559999999999999E-3</v>
      </c>
      <c r="L178">
        <v>8.9160000000000003E-3</v>
      </c>
      <c r="M178">
        <v>-4.3470000000000002E-3</v>
      </c>
      <c r="N178">
        <v>1.2338E-2</v>
      </c>
    </row>
    <row r="179" spans="1:14" x14ac:dyDescent="0.25">
      <c r="A179">
        <v>544</v>
      </c>
      <c r="B179">
        <v>-2.202E-3</v>
      </c>
      <c r="C179">
        <v>9.1397000000000006E-2</v>
      </c>
      <c r="D179">
        <v>1.34E-2</v>
      </c>
      <c r="E179">
        <v>-6.2680000000000001E-3</v>
      </c>
      <c r="F179">
        <v>0.258969</v>
      </c>
      <c r="G179">
        <v>0.51134299999999999</v>
      </c>
      <c r="H179">
        <v>1.2442E-2</v>
      </c>
      <c r="I179">
        <v>-2.0782999999999999E-2</v>
      </c>
      <c r="J179">
        <v>-1.8367999999999999E-2</v>
      </c>
      <c r="K179">
        <v>5.2969999999999996E-3</v>
      </c>
      <c r="L179">
        <v>1.1455999999999999E-2</v>
      </c>
      <c r="M179">
        <v>-1.4968E-2</v>
      </c>
      <c r="N179">
        <v>2.7909E-2</v>
      </c>
    </row>
    <row r="180" spans="1:14" x14ac:dyDescent="0.25">
      <c r="A180">
        <v>546</v>
      </c>
      <c r="B180">
        <v>2.9250000000000001E-3</v>
      </c>
      <c r="C180">
        <v>8.0877000000000004E-2</v>
      </c>
      <c r="D180">
        <v>5.7369999999999999E-3</v>
      </c>
      <c r="E180">
        <v>1.3115999999999999E-2</v>
      </c>
      <c r="F180">
        <v>0.18571299999999999</v>
      </c>
      <c r="G180">
        <v>0.45383899999999999</v>
      </c>
      <c r="H180">
        <v>2.8089999999999999E-3</v>
      </c>
      <c r="I180">
        <v>-2.3081000000000001E-2</v>
      </c>
      <c r="J180">
        <v>-1.6100000000000001E-3</v>
      </c>
      <c r="K180">
        <v>1.2843E-2</v>
      </c>
      <c r="L180">
        <v>-8.7299999999999997E-4</v>
      </c>
      <c r="M180">
        <v>-2.0049999999999998E-2</v>
      </c>
      <c r="N180">
        <v>9.5219999999999992E-3</v>
      </c>
    </row>
    <row r="181" spans="1:14" x14ac:dyDescent="0.25">
      <c r="A181">
        <v>548</v>
      </c>
      <c r="B181">
        <v>-1.3799999999999999E-4</v>
      </c>
      <c r="C181">
        <v>8.1323000000000006E-2</v>
      </c>
      <c r="D181">
        <v>5.5729999999999998E-3</v>
      </c>
      <c r="E181">
        <v>1.6385E-2</v>
      </c>
      <c r="F181">
        <v>0.133857</v>
      </c>
      <c r="G181">
        <v>0.39935399999999999</v>
      </c>
      <c r="H181">
        <v>1.1723000000000001E-2</v>
      </c>
      <c r="I181">
        <v>-2.8003E-2</v>
      </c>
      <c r="J181">
        <v>-2.7310999999999998E-2</v>
      </c>
      <c r="K181">
        <v>4.2519999999999997E-3</v>
      </c>
      <c r="L181">
        <v>-1.8959999999999999E-3</v>
      </c>
      <c r="M181">
        <v>-1.4413E-2</v>
      </c>
      <c r="N181">
        <v>1.3014E-2</v>
      </c>
    </row>
    <row r="182" spans="1:14" x14ac:dyDescent="0.25">
      <c r="A182">
        <v>550</v>
      </c>
      <c r="B182">
        <v>-7.3689999999999997E-3</v>
      </c>
      <c r="C182">
        <v>7.5314000000000006E-2</v>
      </c>
      <c r="D182">
        <v>6.1320000000000003E-3</v>
      </c>
      <c r="E182">
        <v>8.9580000000000007E-3</v>
      </c>
      <c r="F182">
        <v>9.3495999999999996E-2</v>
      </c>
      <c r="G182">
        <v>0.35249599999999998</v>
      </c>
      <c r="H182">
        <v>1.4525E-2</v>
      </c>
      <c r="I182">
        <v>-2.7740000000000001E-2</v>
      </c>
      <c r="J182">
        <v>-2.7244999999999998E-2</v>
      </c>
      <c r="K182">
        <v>3.7469999999999999E-3</v>
      </c>
      <c r="L182">
        <v>9.7669999999999996E-3</v>
      </c>
      <c r="M182">
        <v>-1.1989E-2</v>
      </c>
      <c r="N182">
        <v>2.7765999999999999E-2</v>
      </c>
    </row>
    <row r="183" spans="1:14" x14ac:dyDescent="0.25">
      <c r="A183">
        <v>552</v>
      </c>
      <c r="B183">
        <v>7.6030000000000004E-3</v>
      </c>
      <c r="C183">
        <v>8.4747000000000003E-2</v>
      </c>
      <c r="D183">
        <v>2.8089999999999999E-3</v>
      </c>
      <c r="E183">
        <v>1.1998E-2</v>
      </c>
      <c r="F183">
        <v>7.2909000000000002E-2</v>
      </c>
      <c r="G183">
        <v>0.31734800000000002</v>
      </c>
      <c r="H183">
        <v>1.2808999999999999E-2</v>
      </c>
      <c r="I183">
        <v>-3.2342999999999997E-2</v>
      </c>
      <c r="J183">
        <v>-2.7496E-2</v>
      </c>
      <c r="K183">
        <v>6.7699999999999998E-4</v>
      </c>
      <c r="L183">
        <v>4.9329999999999999E-3</v>
      </c>
      <c r="M183">
        <v>-1.2369E-2</v>
      </c>
      <c r="N183">
        <v>1.078E-2</v>
      </c>
    </row>
    <row r="184" spans="1:14" x14ac:dyDescent="0.25">
      <c r="A184">
        <v>554</v>
      </c>
      <c r="B184">
        <v>-4.1229999999999999E-3</v>
      </c>
      <c r="C184">
        <v>8.9463000000000001E-2</v>
      </c>
      <c r="D184">
        <v>2.2690000000000002E-3</v>
      </c>
      <c r="E184">
        <v>1.1646E-2</v>
      </c>
      <c r="F184">
        <v>4.5706999999999998E-2</v>
      </c>
      <c r="G184">
        <v>0.24687700000000001</v>
      </c>
      <c r="H184">
        <v>1.8717999999999999E-2</v>
      </c>
      <c r="I184">
        <v>-3.6343E-2</v>
      </c>
      <c r="J184">
        <v>-2.1069999999999998E-2</v>
      </c>
      <c r="K184">
        <v>8.8459999999999997E-3</v>
      </c>
      <c r="L184">
        <v>-4.607E-3</v>
      </c>
      <c r="M184">
        <v>-6.29E-4</v>
      </c>
      <c r="N184">
        <v>4.2835999999999999E-2</v>
      </c>
    </row>
    <row r="185" spans="1:14" x14ac:dyDescent="0.25">
      <c r="A185">
        <v>556</v>
      </c>
      <c r="B185">
        <v>2.9700000000000001E-4</v>
      </c>
      <c r="C185">
        <v>4.2054000000000001E-2</v>
      </c>
      <c r="D185">
        <v>-9.0299999999999998E-3</v>
      </c>
      <c r="E185">
        <v>1.4909E-2</v>
      </c>
      <c r="F185">
        <v>3.1986000000000001E-2</v>
      </c>
      <c r="G185">
        <v>0.18639700000000001</v>
      </c>
      <c r="H185">
        <v>2.1229000000000001E-2</v>
      </c>
      <c r="I185">
        <v>-3.6261000000000002E-2</v>
      </c>
      <c r="J185">
        <v>-5.2329999999999998E-3</v>
      </c>
      <c r="K185">
        <v>2.0327999999999999E-2</v>
      </c>
      <c r="L185">
        <v>-8.6859999999999993E-3</v>
      </c>
      <c r="M185">
        <v>-4.065E-3</v>
      </c>
      <c r="N185">
        <v>3.8522000000000001E-2</v>
      </c>
    </row>
    <row r="186" spans="1:14" x14ac:dyDescent="0.25">
      <c r="A186">
        <v>558</v>
      </c>
      <c r="B186">
        <v>2.34E-4</v>
      </c>
      <c r="C186">
        <v>4.1175999999999997E-2</v>
      </c>
      <c r="D186">
        <v>-2.4419E-2</v>
      </c>
      <c r="E186">
        <v>2.0577999999999999E-2</v>
      </c>
      <c r="F186">
        <v>2.0767999999999998E-2</v>
      </c>
      <c r="G186">
        <v>0.15314900000000001</v>
      </c>
      <c r="H186">
        <v>-2.3499999999999999E-4</v>
      </c>
      <c r="I186">
        <v>-4.2275E-2</v>
      </c>
      <c r="J186">
        <v>-2.8837999999999999E-2</v>
      </c>
      <c r="K186">
        <v>3.4229999999999998E-3</v>
      </c>
      <c r="L186">
        <v>-1.6045E-2</v>
      </c>
      <c r="M186">
        <v>-9.2589999999999999E-3</v>
      </c>
      <c r="N186">
        <v>1.5469E-2</v>
      </c>
    </row>
    <row r="187" spans="1:14" x14ac:dyDescent="0.25">
      <c r="A187">
        <v>560</v>
      </c>
      <c r="B187">
        <v>-2.0320999999999999E-2</v>
      </c>
      <c r="C187">
        <v>5.7479000000000002E-2</v>
      </c>
      <c r="D187">
        <v>-2.2959E-2</v>
      </c>
      <c r="E187">
        <v>1.7729999999999999E-2</v>
      </c>
      <c r="F187">
        <v>1.6552000000000001E-2</v>
      </c>
      <c r="G187">
        <v>0.119389</v>
      </c>
      <c r="H187">
        <v>-6.9030000000000003E-3</v>
      </c>
      <c r="I187">
        <v>-4.0955999999999999E-2</v>
      </c>
      <c r="J187">
        <v>-3.5547000000000002E-2</v>
      </c>
      <c r="K187">
        <v>5.9030000000000003E-3</v>
      </c>
      <c r="L187">
        <v>-6.5669999999999999E-3</v>
      </c>
      <c r="M187">
        <v>-5.5510000000000004E-3</v>
      </c>
      <c r="N187">
        <v>2.3796999999999999E-2</v>
      </c>
    </row>
    <row r="188" spans="1:14" x14ac:dyDescent="0.25">
      <c r="A188">
        <v>562</v>
      </c>
      <c r="B188">
        <v>-1.5966999999999999E-2</v>
      </c>
      <c r="C188">
        <v>6.9683999999999996E-2</v>
      </c>
      <c r="D188">
        <v>-6.8919999999999997E-3</v>
      </c>
      <c r="E188">
        <v>8.1599999999999999E-4</v>
      </c>
      <c r="F188">
        <v>1.8360000000000001E-2</v>
      </c>
      <c r="G188">
        <v>7.7234999999999998E-2</v>
      </c>
      <c r="H188">
        <v>-9.5809999999999992E-3</v>
      </c>
      <c r="I188">
        <v>-2.4079E-2</v>
      </c>
      <c r="J188">
        <v>-1.745E-2</v>
      </c>
      <c r="K188">
        <v>1.6825E-2</v>
      </c>
      <c r="L188">
        <v>-5.9870000000000001E-3</v>
      </c>
      <c r="M188">
        <v>-7.8890000000000002E-3</v>
      </c>
      <c r="N188">
        <v>6.8370000000000002E-3</v>
      </c>
    </row>
    <row r="189" spans="1:14" x14ac:dyDescent="0.25">
      <c r="A189">
        <v>564</v>
      </c>
      <c r="B189">
        <v>-3.0119999999999999E-3</v>
      </c>
      <c r="C189">
        <v>9.5501000000000003E-2</v>
      </c>
      <c r="D189">
        <v>-1.1198E-2</v>
      </c>
      <c r="E189">
        <v>5.6690000000000004E-3</v>
      </c>
      <c r="F189">
        <v>6.0600000000000003E-3</v>
      </c>
      <c r="G189">
        <v>4.3699000000000002E-2</v>
      </c>
      <c r="H189">
        <v>-3.0599999999999998E-3</v>
      </c>
      <c r="I189">
        <v>-2.1399000000000001E-2</v>
      </c>
      <c r="J189">
        <v>-1.9963000000000002E-2</v>
      </c>
      <c r="K189">
        <v>-6.3039999999999997E-3</v>
      </c>
      <c r="L189">
        <v>-1.0222E-2</v>
      </c>
      <c r="M189">
        <v>9.613E-3</v>
      </c>
      <c r="N189">
        <v>1.0897E-2</v>
      </c>
    </row>
    <row r="190" spans="1:14" x14ac:dyDescent="0.25">
      <c r="A190">
        <v>566</v>
      </c>
      <c r="B190">
        <v>-2.8019999999999998E-3</v>
      </c>
      <c r="C190">
        <v>5.0047000000000001E-2</v>
      </c>
      <c r="D190">
        <v>-8.8509999999999995E-3</v>
      </c>
      <c r="E190">
        <v>1.2043999999999999E-2</v>
      </c>
      <c r="F190">
        <v>9.1909999999999995E-3</v>
      </c>
      <c r="G190">
        <v>2.666E-2</v>
      </c>
      <c r="H190">
        <v>6.1580000000000003E-3</v>
      </c>
      <c r="I190">
        <v>-3.4508999999999998E-2</v>
      </c>
      <c r="J190">
        <v>-1.5878E-2</v>
      </c>
      <c r="K190">
        <v>-5.1599999999999997E-4</v>
      </c>
      <c r="L190">
        <v>6.5750000000000001E-3</v>
      </c>
      <c r="M190">
        <v>5.7759999999999999E-3</v>
      </c>
      <c r="N190">
        <v>5.1720000000000004E-3</v>
      </c>
    </row>
    <row r="191" spans="1:14" x14ac:dyDescent="0.25">
      <c r="A191">
        <v>568</v>
      </c>
      <c r="B191">
        <v>-1.699E-3</v>
      </c>
      <c r="C191">
        <v>7.6309000000000002E-2</v>
      </c>
      <c r="D191">
        <v>1.6801E-2</v>
      </c>
      <c r="E191">
        <v>1.7700000000000001E-3</v>
      </c>
      <c r="F191">
        <v>1.1819E-2</v>
      </c>
      <c r="G191">
        <v>1.3827000000000001E-2</v>
      </c>
      <c r="H191">
        <v>9.2339999999999992E-3</v>
      </c>
      <c r="I191">
        <v>-2.1277999999999998E-2</v>
      </c>
      <c r="J191">
        <v>-2.283E-2</v>
      </c>
      <c r="K191">
        <v>1.7828E-2</v>
      </c>
      <c r="L191">
        <v>9.9319999999999999E-3</v>
      </c>
      <c r="M191">
        <v>-5.215E-3</v>
      </c>
      <c r="N191">
        <v>2.4537E-2</v>
      </c>
    </row>
    <row r="192" spans="1:14" x14ac:dyDescent="0.25">
      <c r="A192">
        <v>570</v>
      </c>
      <c r="B192">
        <v>1.274E-3</v>
      </c>
      <c r="C192">
        <v>5.5814999999999997E-2</v>
      </c>
      <c r="D192">
        <v>2.3536000000000001E-2</v>
      </c>
      <c r="E192">
        <v>-3.9581999999999999E-2</v>
      </c>
      <c r="F192">
        <v>1.6563999999999999E-2</v>
      </c>
      <c r="G192">
        <v>1.6164999999999999E-2</v>
      </c>
      <c r="H192">
        <v>1.7079E-2</v>
      </c>
      <c r="I192">
        <v>-7.698E-3</v>
      </c>
      <c r="J192">
        <v>-2.3030999999999999E-2</v>
      </c>
      <c r="K192">
        <v>1.1010000000000001E-2</v>
      </c>
      <c r="L192">
        <v>5.4279999999999997E-3</v>
      </c>
      <c r="M192">
        <v>-1.0567999999999999E-2</v>
      </c>
      <c r="N192">
        <v>1.8770999999999999E-2</v>
      </c>
    </row>
    <row r="193" spans="1:14" x14ac:dyDescent="0.25">
      <c r="A193">
        <v>572</v>
      </c>
      <c r="B193">
        <v>7.058E-3</v>
      </c>
      <c r="C193">
        <v>6.8389999999999996E-3</v>
      </c>
      <c r="D193">
        <v>5.7029999999999997E-3</v>
      </c>
      <c r="E193">
        <v>3.47E-3</v>
      </c>
      <c r="F193">
        <v>1.6653999999999999E-2</v>
      </c>
      <c r="G193">
        <v>-1.0579999999999999E-3</v>
      </c>
      <c r="H193">
        <v>1.3762E-2</v>
      </c>
      <c r="I193">
        <v>-4.7959999999999999E-3</v>
      </c>
      <c r="J193">
        <v>-1.3193E-2</v>
      </c>
      <c r="K193">
        <v>1.8770999999999999E-2</v>
      </c>
      <c r="L193">
        <v>4.6319999999999998E-3</v>
      </c>
      <c r="M193">
        <v>-6.2509999999999996E-3</v>
      </c>
      <c r="N193">
        <v>4.0109999999999998E-3</v>
      </c>
    </row>
    <row r="194" spans="1:14" x14ac:dyDescent="0.25">
      <c r="A194">
        <v>574</v>
      </c>
      <c r="B194">
        <v>1.5935000000000001E-2</v>
      </c>
      <c r="C194">
        <v>2.9957999999999999E-2</v>
      </c>
      <c r="D194">
        <v>6.8139999999999997E-3</v>
      </c>
      <c r="E194">
        <v>-9.3039999999999998E-3</v>
      </c>
      <c r="F194">
        <v>4.0730000000000002E-3</v>
      </c>
      <c r="G194">
        <v>6.1339999999999997E-3</v>
      </c>
      <c r="H194">
        <v>1.4177E-2</v>
      </c>
      <c r="I194">
        <v>-1.0435E-2</v>
      </c>
      <c r="J194">
        <v>-1.8206E-2</v>
      </c>
      <c r="K194">
        <v>1.8321E-2</v>
      </c>
      <c r="L194">
        <v>5.3899999999999998E-4</v>
      </c>
      <c r="M194">
        <v>-6.1600000000000001E-4</v>
      </c>
      <c r="N194">
        <v>1.0964E-2</v>
      </c>
    </row>
    <row r="195" spans="1:14" x14ac:dyDescent="0.25">
      <c r="A195">
        <v>576</v>
      </c>
      <c r="B195">
        <v>3.9199999999999999E-3</v>
      </c>
      <c r="C195">
        <v>2.6988999999999999E-2</v>
      </c>
      <c r="D195">
        <v>3.8000000000000002E-4</v>
      </c>
      <c r="E195">
        <v>-2.9531000000000002E-2</v>
      </c>
      <c r="F195">
        <v>8.1089999999999999E-3</v>
      </c>
      <c r="G195">
        <v>7.4590000000000004E-3</v>
      </c>
      <c r="H195">
        <v>7.3439999999999998E-3</v>
      </c>
      <c r="I195">
        <v>-1.0664999999999999E-2</v>
      </c>
      <c r="J195">
        <v>-1.6191000000000001E-2</v>
      </c>
      <c r="K195">
        <v>9.4450000000000003E-3</v>
      </c>
      <c r="L195">
        <v>2.8279999999999998E-3</v>
      </c>
      <c r="M195">
        <v>3.4099999999999998E-3</v>
      </c>
      <c r="N195">
        <v>1.7719999999999999E-3</v>
      </c>
    </row>
    <row r="196" spans="1:14" x14ac:dyDescent="0.25">
      <c r="A196">
        <v>578</v>
      </c>
      <c r="B196">
        <v>3.5140000000000002E-3</v>
      </c>
      <c r="C196">
        <v>6.7574999999999996E-2</v>
      </c>
      <c r="D196">
        <v>1.2319999999999999E-2</v>
      </c>
      <c r="E196">
        <v>-5.5819000000000001E-2</v>
      </c>
      <c r="F196">
        <v>6.0660000000000002E-3</v>
      </c>
      <c r="G196">
        <v>9.7809999999999998E-3</v>
      </c>
      <c r="H196">
        <v>1.8450000000000001E-3</v>
      </c>
      <c r="I196">
        <v>-1.1899E-2</v>
      </c>
      <c r="J196">
        <v>-1.8109E-2</v>
      </c>
      <c r="K196">
        <v>4.6540000000000002E-3</v>
      </c>
      <c r="L196">
        <v>7.6660000000000001E-3</v>
      </c>
      <c r="M196">
        <v>-1.691E-3</v>
      </c>
      <c r="N196">
        <v>2.6009999999999998E-2</v>
      </c>
    </row>
    <row r="197" spans="1:14" x14ac:dyDescent="0.25">
      <c r="A197">
        <v>580</v>
      </c>
      <c r="B197">
        <v>7.1890000000000001E-3</v>
      </c>
      <c r="C197">
        <v>3.5027000000000003E-2</v>
      </c>
      <c r="D197">
        <v>1.9780000000000002E-3</v>
      </c>
      <c r="E197">
        <v>-6.0340999999999999E-2</v>
      </c>
      <c r="F197">
        <v>1.0852000000000001E-2</v>
      </c>
      <c r="G197">
        <v>1.4625000000000001E-2</v>
      </c>
      <c r="H197">
        <v>-8.8199999999999997E-4</v>
      </c>
      <c r="I197">
        <v>-1.7082E-2</v>
      </c>
      <c r="J197">
        <v>-1.5278999999999999E-2</v>
      </c>
      <c r="K197">
        <v>-1.077E-3</v>
      </c>
      <c r="L197">
        <v>7.0239999999999999E-3</v>
      </c>
      <c r="M197">
        <v>-8.5470000000000008E-3</v>
      </c>
      <c r="N197">
        <v>2.5128000000000001E-2</v>
      </c>
    </row>
    <row r="198" spans="1:14" x14ac:dyDescent="0.25">
      <c r="A198">
        <v>582</v>
      </c>
      <c r="B198">
        <v>9.2829999999999996E-3</v>
      </c>
      <c r="C198">
        <v>0.13079099999999999</v>
      </c>
      <c r="D198">
        <v>3.2756E-2</v>
      </c>
      <c r="E198">
        <v>-5.0534999999999997E-2</v>
      </c>
      <c r="F198">
        <v>-1.2194E-2</v>
      </c>
      <c r="G198">
        <v>-3.9069999999999999E-3</v>
      </c>
      <c r="H198">
        <v>1.5510000000000001E-3</v>
      </c>
      <c r="I198">
        <v>-1.3029999999999999E-3</v>
      </c>
      <c r="J198">
        <v>-3.3649999999999999E-3</v>
      </c>
      <c r="K198">
        <v>-2.3470000000000001E-3</v>
      </c>
      <c r="L198">
        <v>-1.9070000000000001E-3</v>
      </c>
      <c r="M198">
        <v>-6.3810000000000004E-3</v>
      </c>
      <c r="N198">
        <v>4.8654999999999997E-2</v>
      </c>
    </row>
    <row r="199" spans="1:14" x14ac:dyDescent="0.25">
      <c r="A199">
        <v>584</v>
      </c>
      <c r="B199">
        <v>4.3249999999999999E-3</v>
      </c>
      <c r="C199">
        <v>0.12554299999999999</v>
      </c>
      <c r="D199">
        <v>1.9345000000000001E-2</v>
      </c>
      <c r="E199">
        <v>-1.0645999999999999E-2</v>
      </c>
      <c r="F199">
        <v>-2.7102999999999999E-2</v>
      </c>
      <c r="G199">
        <v>-2.7500000000000002E-4</v>
      </c>
      <c r="H199">
        <v>8.5179999999999995E-3</v>
      </c>
      <c r="I199">
        <v>-5.0229999999999997E-3</v>
      </c>
      <c r="J199">
        <v>-1.1083000000000001E-2</v>
      </c>
      <c r="K199">
        <v>2.666E-3</v>
      </c>
      <c r="L199">
        <v>-3.7629999999999999E-3</v>
      </c>
      <c r="M199">
        <v>-7.4859999999999996E-3</v>
      </c>
      <c r="N199">
        <v>4.0883999999999997E-2</v>
      </c>
    </row>
    <row r="200" spans="1:14" x14ac:dyDescent="0.25">
      <c r="A200">
        <v>586</v>
      </c>
      <c r="B200">
        <v>-7.1269999999999997E-3</v>
      </c>
      <c r="C200">
        <v>0.117518</v>
      </c>
      <c r="D200">
        <v>-2.6270999999999999E-2</v>
      </c>
      <c r="E200">
        <v>5.9658999999999997E-2</v>
      </c>
      <c r="F200">
        <v>-1.9077E-2</v>
      </c>
      <c r="G200">
        <v>-9.0699999999999999E-3</v>
      </c>
      <c r="H200">
        <v>-1.9650000000000002E-3</v>
      </c>
      <c r="I200">
        <v>-1.2481000000000001E-2</v>
      </c>
      <c r="J200">
        <v>-5.581E-3</v>
      </c>
      <c r="K200">
        <v>1.0326E-2</v>
      </c>
      <c r="L200">
        <v>-3.9360000000000003E-3</v>
      </c>
      <c r="M200">
        <v>-1.4237E-2</v>
      </c>
      <c r="N200">
        <v>2.3885E-2</v>
      </c>
    </row>
    <row r="201" spans="1:14" x14ac:dyDescent="0.25">
      <c r="A201">
        <v>588</v>
      </c>
      <c r="B201">
        <v>-4.9329999999999999E-3</v>
      </c>
      <c r="C201">
        <v>8.1620999999999999E-2</v>
      </c>
      <c r="D201">
        <v>-7.5100000000000002E-3</v>
      </c>
      <c r="E201">
        <v>-3.669E-3</v>
      </c>
      <c r="F201">
        <v>-1.2218E-2</v>
      </c>
      <c r="G201">
        <v>-8.6660000000000001E-3</v>
      </c>
      <c r="H201">
        <v>-7.1720000000000004E-3</v>
      </c>
      <c r="I201">
        <v>-8.8350000000000008E-3</v>
      </c>
      <c r="J201">
        <v>-8.0389999999999993E-3</v>
      </c>
      <c r="K201">
        <v>1.0005999999999999E-2</v>
      </c>
      <c r="L201">
        <v>-4.4929999999999996E-3</v>
      </c>
      <c r="M201">
        <v>-7.0980000000000001E-3</v>
      </c>
      <c r="N201">
        <v>2.0889999999999999E-2</v>
      </c>
    </row>
    <row r="202" spans="1:14" x14ac:dyDescent="0.25">
      <c r="A202">
        <v>590</v>
      </c>
      <c r="B202">
        <v>-3.578E-3</v>
      </c>
      <c r="C202">
        <v>0.116758</v>
      </c>
      <c r="D202">
        <v>-1.3623E-2</v>
      </c>
      <c r="E202">
        <v>-2.7257E-2</v>
      </c>
      <c r="F202">
        <v>-1.2437E-2</v>
      </c>
      <c r="G202">
        <v>-8.2299999999999995E-4</v>
      </c>
      <c r="H202">
        <v>-3.1350000000000002E-3</v>
      </c>
      <c r="I202">
        <v>-1.418E-3</v>
      </c>
      <c r="J202">
        <v>-9.1799999999999998E-4</v>
      </c>
      <c r="K202">
        <v>5.1850000000000004E-3</v>
      </c>
      <c r="L202">
        <v>6.5700000000000003E-4</v>
      </c>
      <c r="M202">
        <v>-4.2770000000000004E-3</v>
      </c>
      <c r="N202">
        <v>3.4096000000000001E-2</v>
      </c>
    </row>
    <row r="203" spans="1:14" x14ac:dyDescent="0.25">
      <c r="A203">
        <v>592</v>
      </c>
      <c r="B203">
        <v>1.477E-3</v>
      </c>
      <c r="C203">
        <v>7.9363000000000003E-2</v>
      </c>
      <c r="D203">
        <v>-1.0546E-2</v>
      </c>
      <c r="E203">
        <v>-4.2788E-2</v>
      </c>
      <c r="F203">
        <v>-1.0840000000000001E-2</v>
      </c>
      <c r="G203">
        <v>-1.2440000000000001E-3</v>
      </c>
      <c r="H203">
        <v>1.3971000000000001E-2</v>
      </c>
      <c r="I203">
        <v>-3.774E-3</v>
      </c>
      <c r="J203">
        <v>-8.0649999999999993E-3</v>
      </c>
      <c r="K203">
        <v>-1.346E-3</v>
      </c>
      <c r="L203">
        <v>1.1165E-2</v>
      </c>
      <c r="M203">
        <v>2.0720000000000001E-3</v>
      </c>
      <c r="N203">
        <v>3.3210000000000003E-2</v>
      </c>
    </row>
    <row r="204" spans="1:14" x14ac:dyDescent="0.25">
      <c r="A204">
        <v>594</v>
      </c>
      <c r="B204">
        <v>2.3509999999999998E-3</v>
      </c>
      <c r="C204">
        <v>8.7860000000000004E-3</v>
      </c>
      <c r="D204">
        <v>-1.9005999999999999E-2</v>
      </c>
      <c r="E204">
        <v>-5.4180000000000001E-3</v>
      </c>
      <c r="F204">
        <v>-4.2820000000000002E-3</v>
      </c>
      <c r="G204">
        <v>-1.6060999999999999E-2</v>
      </c>
      <c r="H204">
        <v>9.5379999999999996E-3</v>
      </c>
      <c r="I204">
        <v>-1.2237E-2</v>
      </c>
      <c r="J204">
        <v>-1.6059E-2</v>
      </c>
      <c r="K204">
        <v>5.5329999999999997E-3</v>
      </c>
      <c r="L204">
        <v>1.3757999999999999E-2</v>
      </c>
      <c r="M204">
        <v>8.8140000000000007E-3</v>
      </c>
      <c r="N204">
        <v>-4.5459999999999997E-3</v>
      </c>
    </row>
    <row r="205" spans="1:14" x14ac:dyDescent="0.25">
      <c r="A205">
        <v>596</v>
      </c>
      <c r="B205">
        <v>5.653E-3</v>
      </c>
      <c r="C205">
        <v>6.1402999999999999E-2</v>
      </c>
      <c r="D205">
        <v>1.1586000000000001E-2</v>
      </c>
      <c r="E205">
        <v>-3.5817000000000002E-2</v>
      </c>
      <c r="F205">
        <v>-1.6017E-2</v>
      </c>
      <c r="G205">
        <v>3.5019999999999999E-3</v>
      </c>
      <c r="H205">
        <v>-4.5999999999999999E-3</v>
      </c>
      <c r="I205">
        <v>-1.3493E-2</v>
      </c>
      <c r="J205">
        <v>-8.0029999999999997E-3</v>
      </c>
      <c r="K205">
        <v>9.8659999999999998E-3</v>
      </c>
      <c r="L205">
        <v>5.5319999999999996E-3</v>
      </c>
      <c r="M205">
        <v>5.3119999999999999E-3</v>
      </c>
      <c r="N205">
        <v>2.7227000000000001E-2</v>
      </c>
    </row>
    <row r="206" spans="1:14" x14ac:dyDescent="0.25">
      <c r="A206">
        <v>598</v>
      </c>
      <c r="B206">
        <v>-5.6270000000000001E-3</v>
      </c>
      <c r="C206">
        <v>4.0717000000000003E-2</v>
      </c>
      <c r="D206">
        <v>-1.0515999999999999E-2</v>
      </c>
      <c r="E206">
        <v>1.2499E-2</v>
      </c>
      <c r="F206">
        <v>-1.2668E-2</v>
      </c>
      <c r="G206">
        <v>3.1419999999999998E-3</v>
      </c>
      <c r="H206">
        <v>-4.5669999999999999E-3</v>
      </c>
      <c r="I206">
        <v>-1.5640999999999999E-2</v>
      </c>
      <c r="J206">
        <v>6.0499999999999996E-4</v>
      </c>
      <c r="K206">
        <v>3.7239999999999999E-3</v>
      </c>
      <c r="L206">
        <v>-5.215E-3</v>
      </c>
      <c r="M206">
        <v>3.0370000000000002E-3</v>
      </c>
      <c r="N206">
        <v>2.5097999999999999E-2</v>
      </c>
    </row>
    <row r="207" spans="1:14" x14ac:dyDescent="0.25">
      <c r="A207">
        <v>600</v>
      </c>
      <c r="B207">
        <v>-1.2869999999999999E-3</v>
      </c>
      <c r="C207">
        <v>0.13233600000000001</v>
      </c>
      <c r="D207">
        <v>1.8675000000000001E-2</v>
      </c>
      <c r="E207">
        <v>1.5323E-2</v>
      </c>
      <c r="F207">
        <v>-2.2835000000000001E-2</v>
      </c>
      <c r="G207">
        <v>-9.1750000000000009E-3</v>
      </c>
      <c r="H207">
        <v>2.5019999999999999E-3</v>
      </c>
      <c r="I207">
        <v>-1.9710000000000001E-3</v>
      </c>
      <c r="J207">
        <v>1.83E-3</v>
      </c>
      <c r="K207">
        <v>8.5710000000000005E-3</v>
      </c>
      <c r="L207">
        <v>-9.2029999999999994E-3</v>
      </c>
      <c r="M207">
        <v>-8.0990000000000003E-3</v>
      </c>
      <c r="N207">
        <v>4.2013000000000002E-2</v>
      </c>
    </row>
    <row r="208" spans="1:14" x14ac:dyDescent="0.25">
      <c r="A208">
        <v>602</v>
      </c>
      <c r="B208">
        <v>-1.3569999999999999E-3</v>
      </c>
      <c r="C208">
        <v>4.6566999999999997E-2</v>
      </c>
      <c r="D208">
        <v>6.8360000000000001E-3</v>
      </c>
      <c r="E208">
        <v>1.6081999999999999E-2</v>
      </c>
      <c r="F208">
        <v>-1.2237E-2</v>
      </c>
      <c r="G208">
        <v>-2.7160000000000001E-3</v>
      </c>
      <c r="H208">
        <v>-2.1580000000000002E-3</v>
      </c>
      <c r="I208">
        <v>-9.1970000000000003E-3</v>
      </c>
      <c r="J208">
        <v>3.1979999999999999E-3</v>
      </c>
      <c r="K208">
        <v>1.2434000000000001E-2</v>
      </c>
      <c r="L208">
        <v>-1.292E-3</v>
      </c>
      <c r="M208">
        <v>-2.6450000000000002E-3</v>
      </c>
      <c r="N208">
        <v>2.4493999999999998E-2</v>
      </c>
    </row>
    <row r="209" spans="1:14" x14ac:dyDescent="0.25">
      <c r="A209">
        <v>604</v>
      </c>
      <c r="B209">
        <v>5.5440000000000003E-3</v>
      </c>
      <c r="C209">
        <v>0.151396</v>
      </c>
      <c r="D209">
        <v>-8.9219999999999994E-3</v>
      </c>
      <c r="E209">
        <v>3.4474999999999999E-2</v>
      </c>
      <c r="F209">
        <v>-2.4382000000000001E-2</v>
      </c>
      <c r="G209">
        <v>-1.0954E-2</v>
      </c>
      <c r="H209">
        <v>-1.9350000000000001E-3</v>
      </c>
      <c r="I209">
        <v>-4.8349999999999999E-3</v>
      </c>
      <c r="J209">
        <v>1.1701E-2</v>
      </c>
      <c r="K209">
        <v>1.1265000000000001E-2</v>
      </c>
      <c r="L209">
        <v>-1.1583E-2</v>
      </c>
      <c r="M209">
        <v>-4.2729999999999999E-3</v>
      </c>
      <c r="N209">
        <v>4.1887000000000001E-2</v>
      </c>
    </row>
    <row r="210" spans="1:14" x14ac:dyDescent="0.25">
      <c r="A210">
        <v>606</v>
      </c>
      <c r="B210">
        <v>-1.274E-3</v>
      </c>
      <c r="C210">
        <v>5.4972E-2</v>
      </c>
      <c r="D210">
        <v>-2.8781999999999999E-2</v>
      </c>
      <c r="E210">
        <v>1.1162999999999999E-2</v>
      </c>
      <c r="F210">
        <v>-1.4945E-2</v>
      </c>
      <c r="G210">
        <v>-1.0259000000000001E-2</v>
      </c>
      <c r="H210">
        <v>4.3359999999999996E-3</v>
      </c>
      <c r="I210">
        <v>-8.4019999999999997E-3</v>
      </c>
      <c r="J210">
        <v>1.598E-3</v>
      </c>
      <c r="K210">
        <v>1.5904999999999999E-2</v>
      </c>
      <c r="L210">
        <v>-7.1929999999999997E-3</v>
      </c>
      <c r="M210">
        <v>-1.0751999999999999E-2</v>
      </c>
      <c r="N210">
        <v>7.6119999999999998E-3</v>
      </c>
    </row>
    <row r="211" spans="1:14" x14ac:dyDescent="0.25">
      <c r="A211">
        <v>608</v>
      </c>
      <c r="B211">
        <v>-8.5330000000000007E-3</v>
      </c>
      <c r="C211">
        <v>6.9241999999999998E-2</v>
      </c>
      <c r="D211">
        <v>-2.2411E-2</v>
      </c>
      <c r="E211">
        <v>3.8087999999999997E-2</v>
      </c>
      <c r="F211">
        <v>-2.7550000000000001E-3</v>
      </c>
      <c r="G211">
        <v>-2.2846999999999999E-2</v>
      </c>
      <c r="H211">
        <v>-1.6609999999999999E-3</v>
      </c>
      <c r="I211">
        <v>-1.4237E-2</v>
      </c>
      <c r="J211">
        <v>2.2629999999999998E-3</v>
      </c>
      <c r="K211">
        <v>1.4496E-2</v>
      </c>
      <c r="L211">
        <v>3.5599999999999998E-4</v>
      </c>
      <c r="M211">
        <v>-1.369E-3</v>
      </c>
      <c r="N211">
        <v>9.0060000000000001E-3</v>
      </c>
    </row>
    <row r="212" spans="1:14" x14ac:dyDescent="0.25">
      <c r="A212">
        <v>610</v>
      </c>
      <c r="B212">
        <v>-4.5120000000000004E-3</v>
      </c>
      <c r="C212">
        <v>2.9212999999999999E-2</v>
      </c>
      <c r="D212">
        <v>4.7720000000000002E-3</v>
      </c>
      <c r="E212">
        <v>-1.5939999999999999E-2</v>
      </c>
      <c r="F212">
        <v>2.0869999999999999E-3</v>
      </c>
      <c r="G212">
        <v>-3.7320000000000001E-3</v>
      </c>
      <c r="H212">
        <v>9.5440000000000004E-3</v>
      </c>
      <c r="I212">
        <v>-1.0611000000000001E-2</v>
      </c>
      <c r="J212">
        <v>-6.0899999999999995E-4</v>
      </c>
      <c r="K212">
        <v>3.4529999999999999E-3</v>
      </c>
      <c r="L212">
        <v>-1.4170000000000001E-3</v>
      </c>
      <c r="M212">
        <v>-2.1159999999999998E-3</v>
      </c>
      <c r="N212">
        <v>1.8324E-2</v>
      </c>
    </row>
    <row r="213" spans="1:14" x14ac:dyDescent="0.25">
      <c r="A213">
        <v>612</v>
      </c>
      <c r="B213">
        <v>-8.1010000000000006E-3</v>
      </c>
      <c r="C213">
        <v>9.9889999999999996E-3</v>
      </c>
      <c r="D213">
        <v>-3.1110000000000001E-3</v>
      </c>
      <c r="E213">
        <v>8.7460000000000003E-3</v>
      </c>
      <c r="F213">
        <v>-1.4100000000000001E-4</v>
      </c>
      <c r="G213">
        <v>-8.4329999999999995E-3</v>
      </c>
      <c r="H213">
        <v>2.3319999999999999E-3</v>
      </c>
      <c r="I213">
        <v>-7.1299999999999998E-4</v>
      </c>
      <c r="J213">
        <v>1.4975E-2</v>
      </c>
      <c r="K213">
        <v>9.3480000000000004E-3</v>
      </c>
      <c r="L213">
        <v>-5.0000000000000002E-5</v>
      </c>
      <c r="M213">
        <v>-5.169E-3</v>
      </c>
      <c r="N213">
        <v>-3.0760000000000002E-3</v>
      </c>
    </row>
    <row r="214" spans="1:14" x14ac:dyDescent="0.25">
      <c r="A214">
        <v>614</v>
      </c>
      <c r="B214">
        <v>1.0149999999999999E-2</v>
      </c>
      <c r="C214">
        <v>9.7908999999999996E-2</v>
      </c>
      <c r="D214">
        <v>1.1320999999999999E-2</v>
      </c>
      <c r="E214">
        <v>-2.7227999999999999E-2</v>
      </c>
      <c r="F214">
        <v>-1.5247999999999999E-2</v>
      </c>
      <c r="G214">
        <v>-1.921E-3</v>
      </c>
      <c r="H214">
        <v>-1.057E-2</v>
      </c>
      <c r="I214">
        <v>8.8559999999999993E-3</v>
      </c>
      <c r="J214">
        <v>1.8721999999999999E-2</v>
      </c>
      <c r="K214">
        <v>1.8485000000000001E-2</v>
      </c>
      <c r="L214">
        <v>-5.5950000000000001E-3</v>
      </c>
      <c r="M214">
        <v>-1.2296E-2</v>
      </c>
      <c r="N214">
        <v>4.7267000000000003E-2</v>
      </c>
    </row>
    <row r="215" spans="1:14" x14ac:dyDescent="0.25">
      <c r="A215">
        <v>616</v>
      </c>
      <c r="B215">
        <v>3.1259999999999999E-3</v>
      </c>
      <c r="C215">
        <v>4.9678E-2</v>
      </c>
      <c r="D215">
        <v>-3.0502999999999999E-2</v>
      </c>
      <c r="E215">
        <v>4.4070000000000003E-3</v>
      </c>
      <c r="F215">
        <v>-1.883E-2</v>
      </c>
      <c r="G215">
        <v>3.3059999999999999E-3</v>
      </c>
      <c r="H215">
        <v>-9.2689999999999995E-3</v>
      </c>
      <c r="I215">
        <v>2.0920000000000001E-3</v>
      </c>
      <c r="J215">
        <v>1.0196999999999999E-2</v>
      </c>
      <c r="K215">
        <v>1.0607E-2</v>
      </c>
      <c r="L215">
        <v>2.4620000000000002E-3</v>
      </c>
      <c r="M215">
        <v>-6.4429999999999999E-3</v>
      </c>
      <c r="N215">
        <v>2.4253E-2</v>
      </c>
    </row>
    <row r="216" spans="1:14" x14ac:dyDescent="0.25">
      <c r="A216">
        <v>618</v>
      </c>
      <c r="B216">
        <v>5.4460000000000003E-3</v>
      </c>
      <c r="C216">
        <v>0.13311799999999999</v>
      </c>
      <c r="D216">
        <v>-1.7996999999999999E-2</v>
      </c>
      <c r="E216">
        <v>1.0558E-2</v>
      </c>
      <c r="F216">
        <v>-4.2433999999999999E-2</v>
      </c>
      <c r="G216">
        <v>-7.7730000000000004E-3</v>
      </c>
      <c r="H216">
        <v>1.5100000000000001E-4</v>
      </c>
      <c r="I216">
        <v>2.0370000000000002E-3</v>
      </c>
      <c r="J216">
        <v>5.9329999999999999E-3</v>
      </c>
      <c r="K216">
        <v>4.9399999999999997E-4</v>
      </c>
      <c r="L216">
        <v>3.8440000000000002E-3</v>
      </c>
      <c r="M216">
        <v>-4.4450000000000002E-3</v>
      </c>
      <c r="N216">
        <v>2.7008000000000001E-2</v>
      </c>
    </row>
    <row r="217" spans="1:14" x14ac:dyDescent="0.25">
      <c r="A217">
        <v>620</v>
      </c>
      <c r="B217">
        <v>4.0000000000000001E-3</v>
      </c>
      <c r="C217">
        <v>2.6662999999999999E-2</v>
      </c>
      <c r="D217">
        <v>-3.8110000000000002E-3</v>
      </c>
      <c r="E217">
        <v>1.1833E-2</v>
      </c>
      <c r="F217">
        <v>-1.8259999999999998E-2</v>
      </c>
      <c r="G217">
        <v>1.895E-3</v>
      </c>
      <c r="H217">
        <v>-7.0699999999999995E-4</v>
      </c>
      <c r="I217">
        <v>-1.2644000000000001E-2</v>
      </c>
      <c r="J217">
        <v>-1.1068E-2</v>
      </c>
      <c r="K217">
        <v>7.4460000000000004E-3</v>
      </c>
      <c r="L217">
        <v>1.3205E-2</v>
      </c>
      <c r="M217">
        <v>-2.477E-3</v>
      </c>
      <c r="N217">
        <v>4.2839999999999996E-3</v>
      </c>
    </row>
    <row r="218" spans="1:14" x14ac:dyDescent="0.25">
      <c r="A218">
        <v>622</v>
      </c>
      <c r="B218">
        <v>-1.1174999999999999E-2</v>
      </c>
      <c r="C218">
        <v>9.9158999999999997E-2</v>
      </c>
      <c r="D218">
        <v>-3.032E-3</v>
      </c>
      <c r="E218">
        <v>2.9946E-2</v>
      </c>
      <c r="F218">
        <v>-1.0387E-2</v>
      </c>
      <c r="G218">
        <v>-2.8739999999999998E-3</v>
      </c>
      <c r="H218">
        <v>-7.2370000000000004E-3</v>
      </c>
      <c r="I218">
        <v>-2.1700000000000001E-3</v>
      </c>
      <c r="J218">
        <v>-1.3067E-2</v>
      </c>
      <c r="K218">
        <v>1.2919E-2</v>
      </c>
      <c r="L218">
        <v>1.6705999999999999E-2</v>
      </c>
      <c r="M218">
        <v>9.3880000000000005E-3</v>
      </c>
      <c r="N218">
        <v>3.1001000000000001E-2</v>
      </c>
    </row>
    <row r="219" spans="1:14" x14ac:dyDescent="0.25">
      <c r="A219">
        <v>624</v>
      </c>
      <c r="B219">
        <v>-1.8436000000000001E-2</v>
      </c>
      <c r="C219">
        <v>9.2791999999999999E-2</v>
      </c>
      <c r="D219">
        <v>-1.688E-3</v>
      </c>
      <c r="E219">
        <v>-2.7119999999999998E-2</v>
      </c>
      <c r="F219">
        <v>-2.8470000000000001E-3</v>
      </c>
      <c r="G219">
        <v>-7.0689999999999998E-3</v>
      </c>
      <c r="H219">
        <v>-5.9769999999999997E-3</v>
      </c>
      <c r="I219">
        <v>4.8960000000000002E-3</v>
      </c>
      <c r="J219">
        <v>-1.3329000000000001E-2</v>
      </c>
      <c r="K219">
        <v>7.5040000000000003E-3</v>
      </c>
      <c r="L219">
        <v>-3.0829999999999998E-3</v>
      </c>
      <c r="M219">
        <v>-2.0730000000000002E-3</v>
      </c>
      <c r="N219">
        <v>4.2055000000000002E-2</v>
      </c>
    </row>
    <row r="220" spans="1:14" x14ac:dyDescent="0.25">
      <c r="A220">
        <v>626</v>
      </c>
      <c r="B220">
        <v>-2.9139999999999999E-2</v>
      </c>
      <c r="C220">
        <v>5.4080000000000003E-2</v>
      </c>
      <c r="D220">
        <v>-6.195E-3</v>
      </c>
      <c r="E220">
        <v>3.1530000000000002E-2</v>
      </c>
      <c r="F220">
        <v>3.8909999999999999E-3</v>
      </c>
      <c r="G220">
        <v>-1.1032999999999999E-2</v>
      </c>
      <c r="H220">
        <v>-2.0264000000000001E-2</v>
      </c>
      <c r="I220">
        <v>7.3020000000000003E-3</v>
      </c>
      <c r="J220">
        <v>2.8019999999999998E-3</v>
      </c>
      <c r="K220">
        <v>3.8920000000000001E-3</v>
      </c>
      <c r="L220">
        <v>-2.9262E-2</v>
      </c>
      <c r="M220">
        <v>-2.8722999999999999E-2</v>
      </c>
      <c r="N220">
        <v>2.5500000000000002E-4</v>
      </c>
    </row>
    <row r="221" spans="1:14" x14ac:dyDescent="0.25">
      <c r="A221">
        <v>628</v>
      </c>
      <c r="B221">
        <v>5.2090000000000001E-3</v>
      </c>
      <c r="C221">
        <v>0.13084100000000001</v>
      </c>
      <c r="D221">
        <v>1.2553999999999999E-2</v>
      </c>
      <c r="E221">
        <v>4.0538999999999999E-2</v>
      </c>
      <c r="F221">
        <v>-3.3536000000000003E-2</v>
      </c>
      <c r="G221">
        <v>-2.0149999999999999E-3</v>
      </c>
      <c r="H221">
        <v>-4.0980000000000001E-3</v>
      </c>
      <c r="I221">
        <v>4.2092999999999998E-2</v>
      </c>
      <c r="J221">
        <v>4.7049000000000001E-2</v>
      </c>
      <c r="K221">
        <v>8.1899999999999994E-3</v>
      </c>
      <c r="L221">
        <v>-1.7308E-2</v>
      </c>
      <c r="M221">
        <v>-1.3023E-2</v>
      </c>
      <c r="N221">
        <v>3.6984999999999997E-2</v>
      </c>
    </row>
    <row r="222" spans="1:14" x14ac:dyDescent="0.25">
      <c r="A222">
        <v>630</v>
      </c>
      <c r="B222">
        <v>1.3428000000000001E-2</v>
      </c>
      <c r="C222">
        <v>-2.6409999999999999E-2</v>
      </c>
      <c r="D222">
        <v>-7.79E-3</v>
      </c>
      <c r="E222">
        <v>2.3067000000000001E-2</v>
      </c>
      <c r="F222">
        <v>-1.7745E-2</v>
      </c>
      <c r="G222">
        <v>-1.0185E-2</v>
      </c>
      <c r="H222">
        <v>3.424E-3</v>
      </c>
      <c r="I222">
        <v>2.0235E-2</v>
      </c>
      <c r="J222">
        <v>3.6124000000000003E-2</v>
      </c>
      <c r="K222">
        <v>1.2333999999999999E-2</v>
      </c>
      <c r="L222">
        <v>1.1044E-2</v>
      </c>
      <c r="M222">
        <v>1.3181999999999999E-2</v>
      </c>
      <c r="N222">
        <v>2.376E-2</v>
      </c>
    </row>
    <row r="223" spans="1:14" x14ac:dyDescent="0.25">
      <c r="A223">
        <v>632</v>
      </c>
      <c r="B223">
        <v>3.0079999999999998E-3</v>
      </c>
      <c r="C223">
        <v>0.13772300000000001</v>
      </c>
      <c r="D223">
        <v>1.0684000000000001E-2</v>
      </c>
      <c r="E223">
        <v>1.8719E-2</v>
      </c>
      <c r="F223">
        <v>-1.2428E-2</v>
      </c>
      <c r="G223">
        <v>-2.1728000000000001E-2</v>
      </c>
      <c r="H223">
        <v>-1.2671E-2</v>
      </c>
      <c r="I223">
        <v>1.6503E-2</v>
      </c>
      <c r="J223">
        <v>3.6301E-2</v>
      </c>
      <c r="K223">
        <v>3.3495999999999998E-2</v>
      </c>
      <c r="L223">
        <v>9.5700000000000004E-3</v>
      </c>
      <c r="M223">
        <v>2.3657999999999998E-2</v>
      </c>
      <c r="N223">
        <v>7.4848999999999999E-2</v>
      </c>
    </row>
    <row r="224" spans="1:14" x14ac:dyDescent="0.25">
      <c r="A224">
        <v>634</v>
      </c>
      <c r="B224">
        <v>-5.5620000000000001E-3</v>
      </c>
      <c r="C224">
        <v>3.1355000000000001E-2</v>
      </c>
      <c r="D224">
        <v>2.5474E-2</v>
      </c>
      <c r="E224">
        <v>-7.6333999999999999E-2</v>
      </c>
      <c r="F224">
        <v>1.465E-2</v>
      </c>
      <c r="G224">
        <v>7.7889999999999999E-3</v>
      </c>
      <c r="H224">
        <v>-7.1970000000000003E-3</v>
      </c>
      <c r="I224">
        <v>3.4893E-2</v>
      </c>
      <c r="J224">
        <v>1.7534999999999999E-2</v>
      </c>
      <c r="K224">
        <v>1.0366E-2</v>
      </c>
      <c r="L224">
        <v>2.1329999999999998E-2</v>
      </c>
      <c r="M224">
        <v>2.2151000000000001E-2</v>
      </c>
      <c r="N224">
        <v>7.5578999999999993E-2</v>
      </c>
    </row>
    <row r="225" spans="1:14" x14ac:dyDescent="0.25">
      <c r="A225">
        <v>636</v>
      </c>
      <c r="B225">
        <v>-1.9098E-2</v>
      </c>
      <c r="C225">
        <v>1.5800000000000002E-2</v>
      </c>
      <c r="D225">
        <v>-3.5226E-2</v>
      </c>
      <c r="E225">
        <v>-9.9469999999999992E-3</v>
      </c>
      <c r="F225">
        <v>1.0685999999999999E-2</v>
      </c>
      <c r="G225">
        <v>-6.9109999999999996E-3</v>
      </c>
      <c r="H225">
        <v>-1.9805E-2</v>
      </c>
      <c r="I225">
        <v>9.2259999999999998E-3</v>
      </c>
      <c r="J225">
        <v>-6.9629999999999996E-3</v>
      </c>
      <c r="K225">
        <v>-2.4529999999999999E-3</v>
      </c>
      <c r="L225">
        <v>1.1795E-2</v>
      </c>
      <c r="M225">
        <v>-1.7099999999999999E-3</v>
      </c>
      <c r="N225">
        <v>-6.5319999999999996E-3</v>
      </c>
    </row>
    <row r="226" spans="1:14" x14ac:dyDescent="0.25">
      <c r="A226">
        <v>638</v>
      </c>
      <c r="B226">
        <v>-9.4780000000000003E-3</v>
      </c>
      <c r="C226">
        <v>0.15465400000000001</v>
      </c>
      <c r="D226">
        <v>-6.6379999999999998E-3</v>
      </c>
      <c r="E226">
        <v>-4.8861000000000002E-2</v>
      </c>
      <c r="F226">
        <v>-4.6371000000000002E-2</v>
      </c>
      <c r="G226">
        <v>1.297E-3</v>
      </c>
      <c r="H226">
        <v>-2.2343999999999999E-2</v>
      </c>
      <c r="I226">
        <v>1.9000000000000001E-5</v>
      </c>
      <c r="J226">
        <v>-5.6999999999999998E-4</v>
      </c>
      <c r="K226">
        <v>-3.0430000000000001E-3</v>
      </c>
      <c r="L226">
        <v>-6.3340000000000002E-3</v>
      </c>
      <c r="M226">
        <v>-3.1465E-2</v>
      </c>
      <c r="N226">
        <v>1.4506E-2</v>
      </c>
    </row>
    <row r="227" spans="1:14" x14ac:dyDescent="0.25">
      <c r="A227">
        <v>640</v>
      </c>
      <c r="B227">
        <v>-1.6653000000000001E-2</v>
      </c>
      <c r="C227">
        <v>-1.145E-2</v>
      </c>
      <c r="D227">
        <v>-6.966E-3</v>
      </c>
      <c r="E227">
        <v>-2.4656000000000001E-2</v>
      </c>
      <c r="F227">
        <v>-3.3877999999999998E-2</v>
      </c>
      <c r="G227">
        <v>8.6630000000000006E-3</v>
      </c>
      <c r="H227">
        <v>7.5830000000000003E-3</v>
      </c>
      <c r="I227">
        <v>8.9650000000000007E-3</v>
      </c>
      <c r="J227">
        <v>-1.2711999999999999E-2</v>
      </c>
      <c r="K227">
        <v>2.7399999999999999E-4</v>
      </c>
      <c r="L227">
        <v>-3.447E-3</v>
      </c>
      <c r="M227">
        <v>-1.9595000000000001E-2</v>
      </c>
      <c r="N227">
        <v>-1.3653999999999999E-2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N227"/>
  <sheetViews>
    <sheetView topLeftCell="A2" workbookViewId="0"/>
  </sheetViews>
  <sheetFormatPr defaultRowHeight="15" x14ac:dyDescent="0.25"/>
  <sheetData>
    <row r="1" spans="1:14" x14ac:dyDescent="0.25">
      <c r="A1" t="s">
        <v>5</v>
      </c>
      <c r="B1">
        <v>1</v>
      </c>
      <c r="C1">
        <v>2</v>
      </c>
      <c r="D1">
        <v>3</v>
      </c>
      <c r="E1">
        <v>4</v>
      </c>
      <c r="F1">
        <v>5</v>
      </c>
      <c r="G1">
        <v>6</v>
      </c>
      <c r="H1">
        <v>7</v>
      </c>
      <c r="I1">
        <v>8</v>
      </c>
      <c r="J1">
        <v>9</v>
      </c>
      <c r="K1">
        <v>10</v>
      </c>
      <c r="L1">
        <v>11</v>
      </c>
      <c r="M1">
        <v>12</v>
      </c>
      <c r="N1">
        <v>13</v>
      </c>
    </row>
    <row r="2" spans="1:14" x14ac:dyDescent="0.25">
      <c r="A2">
        <v>190</v>
      </c>
      <c r="B2">
        <v>51.147224426269531</v>
      </c>
      <c r="C2">
        <v>100</v>
      </c>
      <c r="D2">
        <v>60.024539947509766</v>
      </c>
      <c r="E2">
        <v>76.740341186523438</v>
      </c>
      <c r="F2">
        <v>81.868721008300781</v>
      </c>
      <c r="G2">
        <v>68.4962158203125</v>
      </c>
      <c r="H2">
        <v>90.394149780273438</v>
      </c>
      <c r="I2">
        <v>54.164005279541016</v>
      </c>
      <c r="J2">
        <v>85.706321716308594</v>
      </c>
      <c r="K2">
        <v>97.231666564941406</v>
      </c>
      <c r="L2">
        <v>52.531784057617188</v>
      </c>
      <c r="M2">
        <v>94.029273986816406</v>
      </c>
      <c r="N2">
        <v>100</v>
      </c>
    </row>
    <row r="3" spans="1:14" x14ac:dyDescent="0.25">
      <c r="A3">
        <v>192</v>
      </c>
      <c r="B3">
        <v>51.914592742919922</v>
      </c>
      <c r="C3">
        <v>89.734306335449219</v>
      </c>
      <c r="D3">
        <v>65.150405883789063</v>
      </c>
      <c r="E3">
        <v>77.255760192871094</v>
      </c>
      <c r="F3">
        <v>85.572586059570313</v>
      </c>
      <c r="G3">
        <v>68.585983276367188</v>
      </c>
      <c r="H3">
        <v>93.320083618164063</v>
      </c>
      <c r="I3">
        <v>53.949668884277344</v>
      </c>
      <c r="J3">
        <v>82.322235107421875</v>
      </c>
      <c r="K3">
        <v>97.702461242675781</v>
      </c>
      <c r="L3">
        <v>52.958042144775391</v>
      </c>
      <c r="M3">
        <v>97.191650390625</v>
      </c>
      <c r="N3">
        <v>91.421432495117188</v>
      </c>
    </row>
    <row r="4" spans="1:14" x14ac:dyDescent="0.25">
      <c r="A4">
        <v>194</v>
      </c>
      <c r="B4">
        <v>52.879619598388672</v>
      </c>
      <c r="C4">
        <v>79.348594665527344</v>
      </c>
      <c r="D4">
        <v>68.896530151367188</v>
      </c>
      <c r="E4">
        <v>76.80072021484375</v>
      </c>
      <c r="F4">
        <v>86.207466125488281</v>
      </c>
      <c r="G4">
        <v>67.259529113769531</v>
      </c>
      <c r="H4">
        <v>94.866859436035156</v>
      </c>
      <c r="I4">
        <v>52.864204406738281</v>
      </c>
      <c r="J4">
        <v>83.28570556640625</v>
      </c>
      <c r="K4">
        <v>99.214935302734375</v>
      </c>
      <c r="L4">
        <v>52.071174621582031</v>
      </c>
      <c r="M4">
        <v>98.87939453125</v>
      </c>
      <c r="N4">
        <v>80.550758361816406</v>
      </c>
    </row>
    <row r="5" spans="1:14" x14ac:dyDescent="0.25">
      <c r="A5">
        <v>196</v>
      </c>
      <c r="B5">
        <v>54.41485595703125</v>
      </c>
      <c r="C5">
        <v>70.028099060058594</v>
      </c>
      <c r="D5">
        <v>72.470664978027344</v>
      </c>
      <c r="E5">
        <v>76.42767333984375</v>
      </c>
      <c r="F5">
        <v>85.407417297363281</v>
      </c>
      <c r="G5">
        <v>65.660972595214844</v>
      </c>
      <c r="H5">
        <v>95.8671875</v>
      </c>
      <c r="I5">
        <v>51.233280181884766</v>
      </c>
      <c r="J5">
        <v>85.857162475585938</v>
      </c>
      <c r="K5">
        <v>99.824020385742188</v>
      </c>
      <c r="L5">
        <v>50.556400299072266</v>
      </c>
      <c r="M5">
        <v>99.864234924316406</v>
      </c>
      <c r="N5">
        <v>69.759574890136719</v>
      </c>
    </row>
    <row r="6" spans="1:14" x14ac:dyDescent="0.25">
      <c r="A6">
        <v>198</v>
      </c>
      <c r="B6">
        <v>56.209144592285156</v>
      </c>
      <c r="C6">
        <v>62.513442993164063</v>
      </c>
      <c r="D6">
        <v>76.143646240234375</v>
      </c>
      <c r="E6">
        <v>76.766021728515625</v>
      </c>
      <c r="F6">
        <v>83.912506103515625</v>
      </c>
      <c r="G6">
        <v>63.728919982910156</v>
      </c>
      <c r="H6">
        <v>96.437400817871094</v>
      </c>
      <c r="I6">
        <v>49.16363525390625</v>
      </c>
      <c r="J6">
        <v>88.922981262207031</v>
      </c>
      <c r="K6">
        <v>100</v>
      </c>
      <c r="L6">
        <v>48.53857421875</v>
      </c>
      <c r="M6">
        <v>100</v>
      </c>
      <c r="N6">
        <v>59.900325775146484</v>
      </c>
    </row>
    <row r="7" spans="1:14" x14ac:dyDescent="0.25">
      <c r="A7">
        <v>200</v>
      </c>
      <c r="B7">
        <v>58.149112701416016</v>
      </c>
      <c r="C7">
        <v>56.459903717041016</v>
      </c>
      <c r="D7">
        <v>79.448135375976563</v>
      </c>
      <c r="E7">
        <v>77.823455810546875</v>
      </c>
      <c r="F7">
        <v>81.435371398925781</v>
      </c>
      <c r="G7">
        <v>61.444927215576172</v>
      </c>
      <c r="H7">
        <v>97.178993225097656</v>
      </c>
      <c r="I7">
        <v>46.565719604492188</v>
      </c>
      <c r="J7">
        <v>91.148361206054688</v>
      </c>
      <c r="K7">
        <v>99.652313232421875</v>
      </c>
      <c r="L7">
        <v>45.942245483398438</v>
      </c>
      <c r="M7">
        <v>99.600433349609375</v>
      </c>
      <c r="N7">
        <v>50.77691650390625</v>
      </c>
    </row>
    <row r="8" spans="1:14" x14ac:dyDescent="0.25">
      <c r="A8">
        <v>202</v>
      </c>
      <c r="B8">
        <v>60.186489105224609</v>
      </c>
      <c r="C8">
        <v>51.186012268066406</v>
      </c>
      <c r="D8">
        <v>83.236541748046875</v>
      </c>
      <c r="E8">
        <v>80.170188903808594</v>
      </c>
      <c r="F8">
        <v>78.415359497070313</v>
      </c>
      <c r="G8">
        <v>59.020839691162109</v>
      </c>
      <c r="H8">
        <v>98.390640258789063</v>
      </c>
      <c r="I8">
        <v>43.290908813476563</v>
      </c>
      <c r="J8">
        <v>93.065414428710938</v>
      </c>
      <c r="K8">
        <v>98.9683837890625</v>
      </c>
      <c r="L8">
        <v>42.592998504638672</v>
      </c>
      <c r="M8">
        <v>98.891098022460938</v>
      </c>
      <c r="N8">
        <v>41.583873748779297</v>
      </c>
    </row>
    <row r="9" spans="1:14" x14ac:dyDescent="0.25">
      <c r="A9">
        <v>204</v>
      </c>
      <c r="B9">
        <v>61.865200042724609</v>
      </c>
      <c r="C9">
        <v>46.515048980712891</v>
      </c>
      <c r="D9">
        <v>86.973892211914063</v>
      </c>
      <c r="E9">
        <v>83.92852783203125</v>
      </c>
      <c r="F9">
        <v>75.8935546875</v>
      </c>
      <c r="G9">
        <v>57.003910064697266</v>
      </c>
      <c r="H9">
        <v>99.509269714355469</v>
      </c>
      <c r="I9">
        <v>39.948677062988281</v>
      </c>
      <c r="J9">
        <v>95.316642761230469</v>
      </c>
      <c r="K9">
        <v>98.498405456542969</v>
      </c>
      <c r="L9">
        <v>39.09637451171875</v>
      </c>
      <c r="M9">
        <v>98.044090270996094</v>
      </c>
      <c r="N9">
        <v>33.072803497314453</v>
      </c>
    </row>
    <row r="10" spans="1:14" x14ac:dyDescent="0.25">
      <c r="A10">
        <v>206</v>
      </c>
      <c r="B10">
        <v>62.730113983154297</v>
      </c>
      <c r="C10">
        <v>42.437423706054688</v>
      </c>
      <c r="D10">
        <v>89.587852478027344</v>
      </c>
      <c r="E10">
        <v>88.408676147460938</v>
      </c>
      <c r="F10">
        <v>73.554824829101563</v>
      </c>
      <c r="G10">
        <v>55.977565765380859</v>
      </c>
      <c r="H10">
        <v>100</v>
      </c>
      <c r="I10">
        <v>37.099700927734375</v>
      </c>
      <c r="J10">
        <v>97.875717163085938</v>
      </c>
      <c r="K10">
        <v>98.147186279296875</v>
      </c>
      <c r="L10">
        <v>36.137229919433594</v>
      </c>
      <c r="M10">
        <v>97.0032958984375</v>
      </c>
      <c r="N10">
        <v>25.406515121459961</v>
      </c>
    </row>
    <row r="11" spans="1:14" x14ac:dyDescent="0.25">
      <c r="A11">
        <v>208</v>
      </c>
      <c r="B11">
        <v>62.431877136230469</v>
      </c>
      <c r="C11">
        <v>38.568698883056641</v>
      </c>
      <c r="D11">
        <v>91.480072021484375</v>
      </c>
      <c r="E11">
        <v>92.944725036621094</v>
      </c>
      <c r="F11">
        <v>71.28985595703125</v>
      </c>
      <c r="G11">
        <v>56.172382354736328</v>
      </c>
      <c r="H11">
        <v>98.860023498535156</v>
      </c>
      <c r="I11">
        <v>34.9962158203125</v>
      </c>
      <c r="J11">
        <v>99.769630432128906</v>
      </c>
      <c r="K11">
        <v>97.258232116699219</v>
      </c>
      <c r="L11">
        <v>33.921806335449219</v>
      </c>
      <c r="M11">
        <v>95.450347900390625</v>
      </c>
      <c r="N11">
        <v>18.375341415405273</v>
      </c>
    </row>
    <row r="12" spans="1:14" x14ac:dyDescent="0.25">
      <c r="A12">
        <v>210</v>
      </c>
      <c r="B12">
        <v>60.813739776611328</v>
      </c>
      <c r="C12">
        <v>34.753643035888672</v>
      </c>
      <c r="D12">
        <v>91.148979187011719</v>
      </c>
      <c r="E12">
        <v>96.748298645019531</v>
      </c>
      <c r="F12">
        <v>69.282669067382813</v>
      </c>
      <c r="G12">
        <v>57.518207550048828</v>
      </c>
      <c r="H12">
        <v>96.200698852539063</v>
      </c>
      <c r="I12">
        <v>33.717365264892578</v>
      </c>
      <c r="J12">
        <v>99.999992370605469</v>
      </c>
      <c r="K12">
        <v>95.807289123535156</v>
      </c>
      <c r="L12">
        <v>32.528396606445313</v>
      </c>
      <c r="M12">
        <v>93.404472351074219</v>
      </c>
      <c r="N12">
        <v>12.764898300170898</v>
      </c>
    </row>
    <row r="13" spans="1:14" x14ac:dyDescent="0.25">
      <c r="A13">
        <v>212</v>
      </c>
      <c r="B13">
        <v>57.899517059326172</v>
      </c>
      <c r="C13">
        <v>30.967535018920898</v>
      </c>
      <c r="D13">
        <v>88.798126220703125</v>
      </c>
      <c r="E13">
        <v>99.261642456054688</v>
      </c>
      <c r="F13">
        <v>66.866722106933594</v>
      </c>
      <c r="G13">
        <v>60.209396362304688</v>
      </c>
      <c r="H13">
        <v>92.840461730957031</v>
      </c>
      <c r="I13">
        <v>32.946029663085938</v>
      </c>
      <c r="J13">
        <v>99.462799072265625</v>
      </c>
      <c r="K13">
        <v>93.949874877929688</v>
      </c>
      <c r="L13">
        <v>31.609642028808594</v>
      </c>
      <c r="M13">
        <v>91.321556091308594</v>
      </c>
      <c r="N13">
        <v>8.6845178604125977</v>
      </c>
    </row>
    <row r="14" spans="1:14" x14ac:dyDescent="0.25">
      <c r="A14">
        <v>214</v>
      </c>
      <c r="B14">
        <v>53.935047149658203</v>
      </c>
      <c r="C14">
        <v>27.508005142211914</v>
      </c>
      <c r="D14">
        <v>85.403083801269531</v>
      </c>
      <c r="E14">
        <v>100</v>
      </c>
      <c r="F14">
        <v>64.085845947265625</v>
      </c>
      <c r="G14">
        <v>64.501976013183594</v>
      </c>
      <c r="H14">
        <v>89.54364013671875</v>
      </c>
      <c r="I14">
        <v>32.36846923828125</v>
      </c>
      <c r="J14">
        <v>97.926139831542969</v>
      </c>
      <c r="K14">
        <v>91.768722534179688</v>
      </c>
      <c r="L14">
        <v>30.864564895629883</v>
      </c>
      <c r="M14">
        <v>89.394485473632813</v>
      </c>
      <c r="N14">
        <v>5.9766960144042969</v>
      </c>
    </row>
    <row r="15" spans="1:14" x14ac:dyDescent="0.25">
      <c r="A15">
        <v>216</v>
      </c>
      <c r="B15">
        <v>49.235240936279297</v>
      </c>
      <c r="C15">
        <v>24.197362899780273</v>
      </c>
      <c r="D15">
        <v>81.486503601074219</v>
      </c>
      <c r="E15">
        <v>98.783065795898438</v>
      </c>
      <c r="F15">
        <v>61.471183776855469</v>
      </c>
      <c r="G15">
        <v>71.001113891601563</v>
      </c>
      <c r="H15">
        <v>86.480445861816406</v>
      </c>
      <c r="I15">
        <v>31.760971069335938</v>
      </c>
      <c r="J15">
        <v>94.762535095214844</v>
      </c>
      <c r="K15">
        <v>89.120590209960938</v>
      </c>
      <c r="L15">
        <v>30.075672149658203</v>
      </c>
      <c r="M15">
        <v>87.477798461914063</v>
      </c>
      <c r="N15">
        <v>4.2338089942932129</v>
      </c>
    </row>
    <row r="16" spans="1:14" x14ac:dyDescent="0.25">
      <c r="A16">
        <v>218</v>
      </c>
      <c r="B16">
        <v>44.469818115234375</v>
      </c>
      <c r="C16">
        <v>20.97303581237793</v>
      </c>
      <c r="D16">
        <v>76.627845764160156</v>
      </c>
      <c r="E16">
        <v>95.331756591796875</v>
      </c>
      <c r="F16">
        <v>60.385330200195313</v>
      </c>
      <c r="G16">
        <v>79.408920288085938</v>
      </c>
      <c r="H16">
        <v>83.208969116210938</v>
      </c>
      <c r="I16">
        <v>30.98682975769043</v>
      </c>
      <c r="J16">
        <v>90.137451171875</v>
      </c>
      <c r="K16">
        <v>85.748291015625</v>
      </c>
      <c r="L16">
        <v>29.124544143676758</v>
      </c>
      <c r="M16">
        <v>85.07098388671875</v>
      </c>
      <c r="N16">
        <v>3.1886086463928223</v>
      </c>
    </row>
    <row r="17" spans="1:14" x14ac:dyDescent="0.25">
      <c r="A17">
        <v>220</v>
      </c>
      <c r="B17">
        <v>40.764991760253906</v>
      </c>
      <c r="C17">
        <v>18.063694000244141</v>
      </c>
      <c r="D17">
        <v>72.259666442871094</v>
      </c>
      <c r="E17">
        <v>89.327255249023438</v>
      </c>
      <c r="F17">
        <v>62.239654541015625</v>
      </c>
      <c r="G17">
        <v>88.733871459960938</v>
      </c>
      <c r="H17">
        <v>79.066162109375</v>
      </c>
      <c r="I17">
        <v>30.010280609130859</v>
      </c>
      <c r="J17">
        <v>85.135696411132813</v>
      </c>
      <c r="K17">
        <v>81.723762512207031</v>
      </c>
      <c r="L17">
        <v>28.004611968994141</v>
      </c>
      <c r="M17">
        <v>81.552314758300781</v>
      </c>
      <c r="N17">
        <v>2.5860898494720459</v>
      </c>
    </row>
    <row r="18" spans="1:14" x14ac:dyDescent="0.25">
      <c r="A18">
        <v>222</v>
      </c>
      <c r="B18">
        <v>39.193565368652344</v>
      </c>
      <c r="C18">
        <v>15.772623062133789</v>
      </c>
      <c r="D18">
        <v>70.919914245605469</v>
      </c>
      <c r="E18">
        <v>81.023849487304688</v>
      </c>
      <c r="F18">
        <v>66.977226257324219</v>
      </c>
      <c r="G18">
        <v>96.296112060546875</v>
      </c>
      <c r="H18">
        <v>73.863471984863281</v>
      </c>
      <c r="I18">
        <v>28.954708099365234</v>
      </c>
      <c r="J18">
        <v>80.506759643554688</v>
      </c>
      <c r="K18">
        <v>76.905647277832031</v>
      </c>
      <c r="L18">
        <v>26.875757217407227</v>
      </c>
      <c r="M18">
        <v>77.001152038574219</v>
      </c>
      <c r="N18">
        <v>2.2741076946258545</v>
      </c>
    </row>
    <row r="19" spans="1:14" x14ac:dyDescent="0.25">
      <c r="A19">
        <v>224</v>
      </c>
      <c r="B19">
        <v>39.993412017822266</v>
      </c>
      <c r="C19">
        <v>14.064847946166992</v>
      </c>
      <c r="D19">
        <v>70.947151184082031</v>
      </c>
      <c r="E19">
        <v>71.08056640625</v>
      </c>
      <c r="F19">
        <v>74.039154052734375</v>
      </c>
      <c r="G19">
        <v>100</v>
      </c>
      <c r="H19">
        <v>67.778587341308594</v>
      </c>
      <c r="I19">
        <v>27.87205696105957</v>
      </c>
      <c r="J19">
        <v>75.618690490722656</v>
      </c>
      <c r="K19">
        <v>71.357810974121094</v>
      </c>
      <c r="L19">
        <v>25.812459945678711</v>
      </c>
      <c r="M19">
        <v>71.440994262695313</v>
      </c>
      <c r="N19">
        <v>2.1181759834289551</v>
      </c>
    </row>
    <row r="20" spans="1:14" x14ac:dyDescent="0.25">
      <c r="A20">
        <v>226</v>
      </c>
      <c r="B20">
        <v>43.224372863769531</v>
      </c>
      <c r="C20">
        <v>12.848609924316406</v>
      </c>
      <c r="D20">
        <v>72.138740539550781</v>
      </c>
      <c r="E20">
        <v>61.553375244140625</v>
      </c>
      <c r="F20">
        <v>82.116256713867188</v>
      </c>
      <c r="G20">
        <v>97.800285339355469</v>
      </c>
      <c r="H20">
        <v>61.435512542724609</v>
      </c>
      <c r="I20">
        <v>26.810188293457031</v>
      </c>
      <c r="J20">
        <v>71.046127319335938</v>
      </c>
      <c r="K20">
        <v>65.578315734863281</v>
      </c>
      <c r="L20">
        <v>24.908525466918945</v>
      </c>
      <c r="M20">
        <v>65.43695068359375</v>
      </c>
      <c r="N20">
        <v>2.0463161468505859</v>
      </c>
    </row>
    <row r="21" spans="1:14" x14ac:dyDescent="0.25">
      <c r="A21">
        <v>228</v>
      </c>
      <c r="B21">
        <v>48.777080535888672</v>
      </c>
      <c r="C21">
        <v>11.767313957214355</v>
      </c>
      <c r="D21">
        <v>74.377998352050781</v>
      </c>
      <c r="E21">
        <v>54.125541687011719</v>
      </c>
      <c r="F21">
        <v>90.123687744140625</v>
      </c>
      <c r="G21">
        <v>89.241737365722656</v>
      </c>
      <c r="H21">
        <v>55.121910095214844</v>
      </c>
      <c r="I21">
        <v>25.891267776489258</v>
      </c>
      <c r="J21">
        <v>66.003562927246094</v>
      </c>
      <c r="K21">
        <v>60.135082244873047</v>
      </c>
      <c r="L21">
        <v>24.278602600097656</v>
      </c>
      <c r="M21">
        <v>59.354000091552734</v>
      </c>
      <c r="N21">
        <v>2.0105953216552734</v>
      </c>
    </row>
    <row r="22" spans="1:14" x14ac:dyDescent="0.25">
      <c r="A22">
        <v>230</v>
      </c>
      <c r="B22">
        <v>55.945850372314453</v>
      </c>
      <c r="C22">
        <v>10.927786827087402</v>
      </c>
      <c r="D22">
        <v>77.164779663085938</v>
      </c>
      <c r="E22">
        <v>49.884075164794922</v>
      </c>
      <c r="F22">
        <v>96.445838928222656</v>
      </c>
      <c r="G22">
        <v>77.416343688964844</v>
      </c>
      <c r="H22">
        <v>49.276252746582031</v>
      </c>
      <c r="I22">
        <v>25.344776153564453</v>
      </c>
      <c r="J22">
        <v>60.251853942871094</v>
      </c>
      <c r="K22">
        <v>55.504207611083984</v>
      </c>
      <c r="L22">
        <v>24.034311294555664</v>
      </c>
      <c r="M22">
        <v>53.856410980224609</v>
      </c>
      <c r="N22">
        <v>2</v>
      </c>
    </row>
    <row r="23" spans="1:14" x14ac:dyDescent="0.25">
      <c r="A23">
        <v>232</v>
      </c>
      <c r="B23">
        <v>64.365486145019531</v>
      </c>
      <c r="C23">
        <v>10.341829299926758</v>
      </c>
      <c r="D23">
        <v>80.668769836425781</v>
      </c>
      <c r="E23">
        <v>48.081798553466797</v>
      </c>
      <c r="F23">
        <v>100.00000762939453</v>
      </c>
      <c r="G23">
        <v>65.51318359375</v>
      </c>
      <c r="H23">
        <v>43.4290771484375</v>
      </c>
      <c r="I23">
        <v>25.254352569580078</v>
      </c>
      <c r="J23">
        <v>54.003753662109375</v>
      </c>
      <c r="K23">
        <v>51.397102355957031</v>
      </c>
      <c r="L23">
        <v>24.248275756835938</v>
      </c>
      <c r="M23">
        <v>48.825004577636719</v>
      </c>
      <c r="N23">
        <v>2.0070235729217529</v>
      </c>
    </row>
    <row r="24" spans="1:14" x14ac:dyDescent="0.25">
      <c r="A24">
        <v>234</v>
      </c>
      <c r="B24">
        <v>73.684730529785156</v>
      </c>
      <c r="C24">
        <v>9.8054838180541992</v>
      </c>
      <c r="D24">
        <v>84.940193176269531</v>
      </c>
      <c r="E24">
        <v>48.019054412841797</v>
      </c>
      <c r="F24">
        <v>99.806037902832031</v>
      </c>
      <c r="G24">
        <v>55.280071258544922</v>
      </c>
      <c r="H24">
        <v>37.084255218505859</v>
      </c>
      <c r="I24">
        <v>25.741758346557617</v>
      </c>
      <c r="J24">
        <v>47.595542907714844</v>
      </c>
      <c r="K24">
        <v>47.146720886230469</v>
      </c>
      <c r="L24">
        <v>25.020360946655273</v>
      </c>
      <c r="M24">
        <v>44.170108795166016</v>
      </c>
      <c r="N24">
        <v>2.0188179016113281</v>
      </c>
    </row>
    <row r="25" spans="1:14" x14ac:dyDescent="0.25">
      <c r="A25">
        <v>236</v>
      </c>
      <c r="B25">
        <v>82.599327087402344</v>
      </c>
      <c r="C25">
        <v>9.2821340560913086</v>
      </c>
      <c r="D25">
        <v>90.327423095703125</v>
      </c>
      <c r="E25">
        <v>49.0919189453125</v>
      </c>
      <c r="F25">
        <v>96.122673034667969</v>
      </c>
      <c r="G25">
        <v>47.635585784912109</v>
      </c>
      <c r="H25">
        <v>30.799930572509766</v>
      </c>
      <c r="I25">
        <v>26.817569732666016</v>
      </c>
      <c r="J25">
        <v>41.832935333251953</v>
      </c>
      <c r="K25">
        <v>42.575309753417969</v>
      </c>
      <c r="L25">
        <v>26.341651916503906</v>
      </c>
      <c r="M25">
        <v>39.910789489746094</v>
      </c>
      <c r="N25">
        <v>2.0368413925170898</v>
      </c>
    </row>
    <row r="26" spans="1:14" x14ac:dyDescent="0.25">
      <c r="A26">
        <v>238</v>
      </c>
      <c r="B26">
        <v>90.781494140625</v>
      </c>
      <c r="C26">
        <v>8.9129581451416016</v>
      </c>
      <c r="D26">
        <v>95.198959350585938</v>
      </c>
      <c r="E26">
        <v>50.93524169921875</v>
      </c>
      <c r="F26">
        <v>90.204086303710938</v>
      </c>
      <c r="G26">
        <v>41.983291625976563</v>
      </c>
      <c r="H26">
        <v>25.081060409545898</v>
      </c>
      <c r="I26">
        <v>28.549182891845703</v>
      </c>
      <c r="J26">
        <v>37.20758056640625</v>
      </c>
      <c r="K26">
        <v>37.582221984863281</v>
      </c>
      <c r="L26">
        <v>28.37896728515625</v>
      </c>
      <c r="M26">
        <v>35.751029968261719</v>
      </c>
      <c r="N26">
        <v>2.0648050308227539</v>
      </c>
    </row>
    <row r="27" spans="1:14" x14ac:dyDescent="0.25">
      <c r="A27">
        <v>240</v>
      </c>
      <c r="B27">
        <v>96.868125915527344</v>
      </c>
      <c r="C27">
        <v>8.7129039764404297</v>
      </c>
      <c r="D27">
        <v>98.116279602050781</v>
      </c>
      <c r="E27">
        <v>53.13616943359375</v>
      </c>
      <c r="F27">
        <v>83.984939575195313</v>
      </c>
      <c r="G27">
        <v>38.206863403320313</v>
      </c>
      <c r="H27">
        <v>21.001379013061523</v>
      </c>
      <c r="I27">
        <v>30.855724334716797</v>
      </c>
      <c r="J27">
        <v>34.155704498291016</v>
      </c>
      <c r="K27">
        <v>32.808620452880859</v>
      </c>
      <c r="L27">
        <v>31.020999908447266</v>
      </c>
      <c r="M27">
        <v>31.920854568481445</v>
      </c>
      <c r="N27">
        <v>2.0910141468048096</v>
      </c>
    </row>
    <row r="28" spans="1:14" x14ac:dyDescent="0.25">
      <c r="A28">
        <v>242</v>
      </c>
      <c r="B28">
        <v>99.999992370605469</v>
      </c>
      <c r="C28">
        <v>8.3235101699829102</v>
      </c>
      <c r="D28">
        <v>100</v>
      </c>
      <c r="E28">
        <v>55.291027069091797</v>
      </c>
      <c r="F28">
        <v>77.621597290039063</v>
      </c>
      <c r="G28">
        <v>35.692768096923828</v>
      </c>
      <c r="H28">
        <v>18.744604110717773</v>
      </c>
      <c r="I28">
        <v>33.820491790771484</v>
      </c>
      <c r="J28">
        <v>32.442481994628906</v>
      </c>
      <c r="K28">
        <v>28.587545394897461</v>
      </c>
      <c r="L28">
        <v>34.361564636230469</v>
      </c>
      <c r="M28">
        <v>28.433889389038086</v>
      </c>
      <c r="N28">
        <v>2.1242880821228027</v>
      </c>
    </row>
    <row r="29" spans="1:14" x14ac:dyDescent="0.25">
      <c r="A29">
        <v>244</v>
      </c>
      <c r="B29">
        <v>99.085899353027344</v>
      </c>
      <c r="C29">
        <v>7.9573931694030762</v>
      </c>
      <c r="D29">
        <v>99.547142028808594</v>
      </c>
      <c r="E29">
        <v>56.615615844726563</v>
      </c>
      <c r="F29">
        <v>71.195549011230469</v>
      </c>
      <c r="G29">
        <v>34.271625518798828</v>
      </c>
      <c r="H29">
        <v>18.115453720092773</v>
      </c>
      <c r="I29">
        <v>37.243244171142578</v>
      </c>
      <c r="J29">
        <v>31.391443252563477</v>
      </c>
      <c r="K29">
        <v>25.615516662597656</v>
      </c>
      <c r="L29">
        <v>38.150665283203125</v>
      </c>
      <c r="M29">
        <v>25.764743804931641</v>
      </c>
      <c r="N29">
        <v>2.1460344791412354</v>
      </c>
    </row>
    <row r="30" spans="1:14" x14ac:dyDescent="0.25">
      <c r="A30">
        <v>246</v>
      </c>
      <c r="B30">
        <v>94.199806213378906</v>
      </c>
      <c r="C30">
        <v>7.6797161102294922</v>
      </c>
      <c r="D30">
        <v>95.042778015136719</v>
      </c>
      <c r="E30">
        <v>56.316944122314453</v>
      </c>
      <c r="F30">
        <v>63.648468017578125</v>
      </c>
      <c r="G30">
        <v>33.553718566894531</v>
      </c>
      <c r="H30">
        <v>18.33213996887207</v>
      </c>
      <c r="I30">
        <v>41.241611480712891</v>
      </c>
      <c r="J30">
        <v>31.142202377319336</v>
      </c>
      <c r="K30">
        <v>23.879838943481445</v>
      </c>
      <c r="L30">
        <v>42.489936828613281</v>
      </c>
      <c r="M30">
        <v>23.860185623168945</v>
      </c>
      <c r="N30">
        <v>2.1581757068634033</v>
      </c>
    </row>
    <row r="31" spans="1:14" x14ac:dyDescent="0.25">
      <c r="A31">
        <v>248</v>
      </c>
      <c r="B31">
        <v>87.17010498046875</v>
      </c>
      <c r="C31">
        <v>7.4771571159362793</v>
      </c>
      <c r="D31">
        <v>87.061317443847656</v>
      </c>
      <c r="E31">
        <v>54.209014892578125</v>
      </c>
      <c r="F31">
        <v>55.299911499023438</v>
      </c>
      <c r="G31">
        <v>33.227664947509766</v>
      </c>
      <c r="H31">
        <v>18.981075286865234</v>
      </c>
      <c r="I31">
        <v>45.498077392578125</v>
      </c>
      <c r="J31">
        <v>31.143421173095703</v>
      </c>
      <c r="K31">
        <v>23.204858779907227</v>
      </c>
      <c r="L31">
        <v>47.058032989501953</v>
      </c>
      <c r="M31">
        <v>22.741676330566406</v>
      </c>
      <c r="N31">
        <v>2.1745362281799316</v>
      </c>
    </row>
    <row r="32" spans="1:14" x14ac:dyDescent="0.25">
      <c r="A32">
        <v>250</v>
      </c>
      <c r="B32">
        <v>79.926483154296875</v>
      </c>
      <c r="C32">
        <v>7.3091754913330078</v>
      </c>
      <c r="D32">
        <v>76.481773376464844</v>
      </c>
      <c r="E32">
        <v>50.606418609619141</v>
      </c>
      <c r="F32">
        <v>46.469234466552734</v>
      </c>
      <c r="G32">
        <v>33.226428985595703</v>
      </c>
      <c r="H32">
        <v>19.960384368896484</v>
      </c>
      <c r="I32">
        <v>50.174705505371094</v>
      </c>
      <c r="J32">
        <v>31.164939880371094</v>
      </c>
      <c r="K32">
        <v>23.225648880004883</v>
      </c>
      <c r="L32">
        <v>52.013545989990234</v>
      </c>
      <c r="M32">
        <v>21.981056213378906</v>
      </c>
      <c r="N32">
        <v>2.1868937015533447</v>
      </c>
    </row>
    <row r="33" spans="1:14" x14ac:dyDescent="0.25">
      <c r="A33">
        <v>252</v>
      </c>
      <c r="B33">
        <v>74.391304016113281</v>
      </c>
      <c r="C33">
        <v>7.0902862548828125</v>
      </c>
      <c r="D33">
        <v>65.85186767578125</v>
      </c>
      <c r="E33">
        <v>46.442974090576172</v>
      </c>
      <c r="F33">
        <v>38.766708374023438</v>
      </c>
      <c r="G33">
        <v>33.6287841796875</v>
      </c>
      <c r="H33">
        <v>20.974390029907227</v>
      </c>
      <c r="I33">
        <v>54.941329956054688</v>
      </c>
      <c r="J33">
        <v>31.645490646362305</v>
      </c>
      <c r="K33">
        <v>23.510608673095703</v>
      </c>
      <c r="L33">
        <v>57.027557373046875</v>
      </c>
      <c r="M33">
        <v>21.558774948120117</v>
      </c>
      <c r="N33">
        <v>2.1881239414215088</v>
      </c>
    </row>
    <row r="34" spans="1:14" x14ac:dyDescent="0.25">
      <c r="A34">
        <v>254</v>
      </c>
      <c r="B34">
        <v>70.594200134277344</v>
      </c>
      <c r="C34">
        <v>7.0159463882446289</v>
      </c>
      <c r="D34">
        <v>56.719287872314453</v>
      </c>
      <c r="E34">
        <v>42.2818603515625</v>
      </c>
      <c r="F34">
        <v>32.267189025878906</v>
      </c>
      <c r="G34">
        <v>34.212154388427734</v>
      </c>
      <c r="H34">
        <v>21.831501007080078</v>
      </c>
      <c r="I34">
        <v>60.015174865722656</v>
      </c>
      <c r="J34">
        <v>32.846424102783203</v>
      </c>
      <c r="K34">
        <v>23.856014251708984</v>
      </c>
      <c r="L34">
        <v>62.276668548583984</v>
      </c>
      <c r="M34">
        <v>21.533344268798828</v>
      </c>
      <c r="N34">
        <v>2.1840126514434814</v>
      </c>
    </row>
    <row r="35" spans="1:14" x14ac:dyDescent="0.25">
      <c r="A35">
        <v>256</v>
      </c>
      <c r="B35">
        <v>68.145980834960938</v>
      </c>
      <c r="C35">
        <v>6.9741969108581543</v>
      </c>
      <c r="D35">
        <v>50.425312042236328</v>
      </c>
      <c r="E35">
        <v>38.641349792480469</v>
      </c>
      <c r="F35">
        <v>27.346918106079102</v>
      </c>
      <c r="G35">
        <v>34.767337799072266</v>
      </c>
      <c r="H35">
        <v>22.676996231079102</v>
      </c>
      <c r="I35">
        <v>65.149581909179688</v>
      </c>
      <c r="J35">
        <v>34.149345397949219</v>
      </c>
      <c r="K35">
        <v>24.337192535400391</v>
      </c>
      <c r="L35">
        <v>67.57147216796875</v>
      </c>
      <c r="M35">
        <v>21.892133712768555</v>
      </c>
      <c r="N35">
        <v>2.1836066246032715</v>
      </c>
    </row>
    <row r="36" spans="1:14" x14ac:dyDescent="0.25">
      <c r="A36">
        <v>258</v>
      </c>
      <c r="B36">
        <v>66.237640380859375</v>
      </c>
      <c r="C36">
        <v>6.8441801071166992</v>
      </c>
      <c r="D36">
        <v>46.979415893554688</v>
      </c>
      <c r="E36">
        <v>35.662174224853516</v>
      </c>
      <c r="F36">
        <v>24.010398864746094</v>
      </c>
      <c r="G36">
        <v>35.271720886230469</v>
      </c>
      <c r="H36">
        <v>23.669929504394531</v>
      </c>
      <c r="I36">
        <v>70.139739990234375</v>
      </c>
      <c r="J36">
        <v>35.668956756591797</v>
      </c>
      <c r="K36">
        <v>24.892753601074219</v>
      </c>
      <c r="L36">
        <v>72.654548645019531</v>
      </c>
      <c r="M36">
        <v>22.434337615966797</v>
      </c>
      <c r="N36">
        <v>2.1812648773193359</v>
      </c>
    </row>
    <row r="37" spans="1:14" x14ac:dyDescent="0.25">
      <c r="A37">
        <v>260</v>
      </c>
      <c r="B37">
        <v>63.94769287109375</v>
      </c>
      <c r="C37">
        <v>6.7417426109313965</v>
      </c>
      <c r="D37">
        <v>45.371059417724609</v>
      </c>
      <c r="E37">
        <v>32.768951416015625</v>
      </c>
      <c r="F37">
        <v>21.838642120361328</v>
      </c>
      <c r="G37">
        <v>35.600444793701172</v>
      </c>
      <c r="H37">
        <v>24.619977951049805</v>
      </c>
      <c r="I37">
        <v>75.176078796386719</v>
      </c>
      <c r="J37">
        <v>37.481254577636719</v>
      </c>
      <c r="K37">
        <v>25.785102844238281</v>
      </c>
      <c r="L37">
        <v>77.709991455078125</v>
      </c>
      <c r="M37">
        <v>23.170217514038086</v>
      </c>
      <c r="N37">
        <v>2.180661678314209</v>
      </c>
    </row>
    <row r="38" spans="1:14" x14ac:dyDescent="0.25">
      <c r="A38">
        <v>262</v>
      </c>
      <c r="B38">
        <v>60.771083831787109</v>
      </c>
      <c r="C38">
        <v>6.679844856262207</v>
      </c>
      <c r="D38">
        <v>44.341358184814453</v>
      </c>
      <c r="E38">
        <v>29.627992630004883</v>
      </c>
      <c r="F38">
        <v>20.449901580810547</v>
      </c>
      <c r="G38">
        <v>35.704456329345703</v>
      </c>
      <c r="H38">
        <v>25.549068450927734</v>
      </c>
      <c r="I38">
        <v>80.034400939941406</v>
      </c>
      <c r="J38">
        <v>39.019271850585938</v>
      </c>
      <c r="K38">
        <v>26.789627075195313</v>
      </c>
      <c r="L38">
        <v>82.522804260253906</v>
      </c>
      <c r="M38">
        <v>24.096231460571289</v>
      </c>
      <c r="N38">
        <v>2.1792032718658447</v>
      </c>
    </row>
    <row r="39" spans="1:14" x14ac:dyDescent="0.25">
      <c r="A39">
        <v>264</v>
      </c>
      <c r="B39">
        <v>56.467079162597656</v>
      </c>
      <c r="C39">
        <v>6.5522475242614746</v>
      </c>
      <c r="D39">
        <v>43.7281494140625</v>
      </c>
      <c r="E39">
        <v>26.191368103027344</v>
      </c>
      <c r="F39">
        <v>19.669044494628906</v>
      </c>
      <c r="G39">
        <v>35.407810211181641</v>
      </c>
      <c r="H39">
        <v>26.554302215576172</v>
      </c>
      <c r="I39">
        <v>84.621856689453125</v>
      </c>
      <c r="J39">
        <v>40.868789672851563</v>
      </c>
      <c r="K39">
        <v>27.775093078613281</v>
      </c>
      <c r="L39">
        <v>87.012611389160156</v>
      </c>
      <c r="M39">
        <v>25.239612579345703</v>
      </c>
      <c r="N39">
        <v>2.1834554672241211</v>
      </c>
    </row>
    <row r="40" spans="1:14" x14ac:dyDescent="0.25">
      <c r="A40">
        <v>266</v>
      </c>
      <c r="B40">
        <v>51.338409423828125</v>
      </c>
      <c r="C40">
        <v>6.3859939575195313</v>
      </c>
      <c r="D40">
        <v>43.845733642578125</v>
      </c>
      <c r="E40">
        <v>22.756008148193359</v>
      </c>
      <c r="F40">
        <v>19.22407341003418</v>
      </c>
      <c r="G40">
        <v>34.622234344482422</v>
      </c>
      <c r="H40">
        <v>27.790517807006836</v>
      </c>
      <c r="I40">
        <v>88.722236633300781</v>
      </c>
      <c r="J40">
        <v>42.722572326660156</v>
      </c>
      <c r="K40">
        <v>28.960758209228516</v>
      </c>
      <c r="L40">
        <v>90.965606689453125</v>
      </c>
      <c r="M40">
        <v>26.463478088378906</v>
      </c>
      <c r="N40">
        <v>2.1867249011993408</v>
      </c>
    </row>
    <row r="41" spans="1:14" x14ac:dyDescent="0.25">
      <c r="A41">
        <v>268</v>
      </c>
      <c r="B41">
        <v>45.655143737792969</v>
      </c>
      <c r="C41">
        <v>6.3166131973266602</v>
      </c>
      <c r="D41">
        <v>44.105979919433594</v>
      </c>
      <c r="E41">
        <v>19.873527526855469</v>
      </c>
      <c r="F41">
        <v>18.783349990844727</v>
      </c>
      <c r="G41">
        <v>33.538112640380859</v>
      </c>
      <c r="H41">
        <v>29.250576019287109</v>
      </c>
      <c r="I41">
        <v>92.483711242675781</v>
      </c>
      <c r="J41">
        <v>44.729228973388672</v>
      </c>
      <c r="K41">
        <v>30.224231719970703</v>
      </c>
      <c r="L41">
        <v>94.438179016113281</v>
      </c>
      <c r="M41">
        <v>27.720867156982422</v>
      </c>
      <c r="N41">
        <v>2.1788668632507324</v>
      </c>
    </row>
    <row r="42" spans="1:14" x14ac:dyDescent="0.25">
      <c r="A42">
        <v>270</v>
      </c>
      <c r="B42">
        <v>40.180019378662109</v>
      </c>
      <c r="C42">
        <v>6.0699892044067383</v>
      </c>
      <c r="D42">
        <v>43.558948516845703</v>
      </c>
      <c r="E42">
        <v>18.080690383911133</v>
      </c>
      <c r="F42">
        <v>18.413181304931641</v>
      </c>
      <c r="G42">
        <v>32.395236968994141</v>
      </c>
      <c r="H42">
        <v>30.922046661376953</v>
      </c>
      <c r="I42">
        <v>95.61865234375</v>
      </c>
      <c r="J42">
        <v>46.511478424072266</v>
      </c>
      <c r="K42">
        <v>31.290050506591797</v>
      </c>
      <c r="L42">
        <v>97.165351867675781</v>
      </c>
      <c r="M42">
        <v>29.083024978637695</v>
      </c>
      <c r="N42">
        <v>2.1879711151123047</v>
      </c>
    </row>
    <row r="43" spans="1:14" x14ac:dyDescent="0.25">
      <c r="A43">
        <v>272</v>
      </c>
      <c r="B43">
        <v>35.523960113525391</v>
      </c>
      <c r="C43">
        <v>5.8752059936523438</v>
      </c>
      <c r="D43">
        <v>42.701583862304688</v>
      </c>
      <c r="E43">
        <v>17.188783645629883</v>
      </c>
      <c r="F43">
        <v>18.165098190307617</v>
      </c>
      <c r="G43">
        <v>31.667413711547852</v>
      </c>
      <c r="H43">
        <v>32.688758850097656</v>
      </c>
      <c r="I43">
        <v>97.987922668457031</v>
      </c>
      <c r="J43">
        <v>48.246292114257813</v>
      </c>
      <c r="K43">
        <v>32.472843170166016</v>
      </c>
      <c r="L43">
        <v>99.05780029296875</v>
      </c>
      <c r="M43">
        <v>30.467973709106445</v>
      </c>
      <c r="N43">
        <v>2.1890990734100342</v>
      </c>
    </row>
    <row r="44" spans="1:14" x14ac:dyDescent="0.25">
      <c r="A44">
        <v>274</v>
      </c>
      <c r="B44">
        <v>32.053863525390625</v>
      </c>
      <c r="C44">
        <v>5.6290311813354492</v>
      </c>
      <c r="D44">
        <v>42.2510986328125</v>
      </c>
      <c r="E44">
        <v>16.824844360351563</v>
      </c>
      <c r="F44">
        <v>17.999265670776367</v>
      </c>
      <c r="G44">
        <v>31.48582649230957</v>
      </c>
      <c r="H44">
        <v>34.3167724609375</v>
      </c>
      <c r="I44">
        <v>99.473175048828125</v>
      </c>
      <c r="J44">
        <v>49.475513458251953</v>
      </c>
      <c r="K44">
        <v>33.637065887451172</v>
      </c>
      <c r="L44">
        <v>100</v>
      </c>
      <c r="M44">
        <v>31.695770263671875</v>
      </c>
      <c r="N44">
        <v>2.1848070621490479</v>
      </c>
    </row>
    <row r="45" spans="1:14" x14ac:dyDescent="0.25">
      <c r="A45">
        <v>276</v>
      </c>
      <c r="B45">
        <v>29.879817962646484</v>
      </c>
      <c r="C45">
        <v>5.4258151054382324</v>
      </c>
      <c r="D45">
        <v>42.007919311523438</v>
      </c>
      <c r="E45">
        <v>16.684749603271484</v>
      </c>
      <c r="F45">
        <v>17.523715972900391</v>
      </c>
      <c r="G45">
        <v>31.55517578125</v>
      </c>
      <c r="H45">
        <v>35.993728637695313</v>
      </c>
      <c r="I45">
        <v>99.999992370605469</v>
      </c>
      <c r="J45">
        <v>50.647483825683594</v>
      </c>
      <c r="K45">
        <v>34.506175994873047</v>
      </c>
      <c r="L45">
        <v>99.881492614746094</v>
      </c>
      <c r="M45">
        <v>32.582099914550781</v>
      </c>
      <c r="N45">
        <v>2.1805059909820557</v>
      </c>
    </row>
    <row r="46" spans="1:14" x14ac:dyDescent="0.25">
      <c r="A46">
        <v>278</v>
      </c>
      <c r="B46">
        <v>28.772052764892578</v>
      </c>
      <c r="C46">
        <v>5.2582135200500488</v>
      </c>
      <c r="D46">
        <v>40.885852813720703</v>
      </c>
      <c r="E46">
        <v>16.547147750854492</v>
      </c>
      <c r="F46">
        <v>17.175634384155273</v>
      </c>
      <c r="G46">
        <v>31.918615341186523</v>
      </c>
      <c r="H46">
        <v>37.495658874511719</v>
      </c>
      <c r="I46">
        <v>99.503463745117188</v>
      </c>
      <c r="J46">
        <v>51.672264099121094</v>
      </c>
      <c r="K46">
        <v>35.017837524414063</v>
      </c>
      <c r="L46">
        <v>98.713821411132813</v>
      </c>
      <c r="M46">
        <v>33.200740814208984</v>
      </c>
      <c r="N46">
        <v>2.1722924709320068</v>
      </c>
    </row>
    <row r="47" spans="1:14" x14ac:dyDescent="0.25">
      <c r="A47">
        <v>280</v>
      </c>
      <c r="B47">
        <v>28.340429306030273</v>
      </c>
      <c r="C47">
        <v>5.3005156517028809</v>
      </c>
      <c r="D47">
        <v>39.480617523193359</v>
      </c>
      <c r="E47">
        <v>16.367446899414063</v>
      </c>
      <c r="F47">
        <v>17.171175003051758</v>
      </c>
      <c r="G47">
        <v>32.295177459716797</v>
      </c>
      <c r="H47">
        <v>38.600921630859375</v>
      </c>
      <c r="I47">
        <v>98.032730102539063</v>
      </c>
      <c r="J47">
        <v>51.029705047607422</v>
      </c>
      <c r="K47">
        <v>35.357044219970703</v>
      </c>
      <c r="L47">
        <v>96.549057006835938</v>
      </c>
      <c r="M47">
        <v>33.353584289550781</v>
      </c>
      <c r="N47">
        <v>2.1720197200775146</v>
      </c>
    </row>
    <row r="48" spans="1:14" x14ac:dyDescent="0.25">
      <c r="A48">
        <v>282</v>
      </c>
      <c r="B48">
        <v>28.286367416381836</v>
      </c>
      <c r="C48">
        <v>5.5134778022766113</v>
      </c>
      <c r="D48">
        <v>38.232955932617188</v>
      </c>
      <c r="E48">
        <v>16.128786087036133</v>
      </c>
      <c r="F48">
        <v>17.294065475463867</v>
      </c>
      <c r="G48">
        <v>32.591621398925781</v>
      </c>
      <c r="H48">
        <v>39.176586151123047</v>
      </c>
      <c r="I48">
        <v>95.651832580566406</v>
      </c>
      <c r="J48">
        <v>49.900775909423828</v>
      </c>
      <c r="K48">
        <v>35.226329803466797</v>
      </c>
      <c r="L48">
        <v>93.426254272460938</v>
      </c>
      <c r="M48">
        <v>32.946392059326172</v>
      </c>
      <c r="N48">
        <v>2.1756062507629395</v>
      </c>
    </row>
    <row r="49" spans="1:14" x14ac:dyDescent="0.25">
      <c r="A49">
        <v>284</v>
      </c>
      <c r="B49">
        <v>28.311105728149414</v>
      </c>
      <c r="C49">
        <v>5.6517372131347656</v>
      </c>
      <c r="D49">
        <v>36.925106048583984</v>
      </c>
      <c r="E49">
        <v>15.858226776123047</v>
      </c>
      <c r="F49">
        <v>17.433588027954102</v>
      </c>
      <c r="G49">
        <v>32.809581756591797</v>
      </c>
      <c r="H49">
        <v>39.210174560546875</v>
      </c>
      <c r="I49">
        <v>92.373428344726563</v>
      </c>
      <c r="J49">
        <v>49.076580047607422</v>
      </c>
      <c r="K49">
        <v>34.560222625732422</v>
      </c>
      <c r="L49">
        <v>89.423294067382813</v>
      </c>
      <c r="M49">
        <v>32.053184509277344</v>
      </c>
      <c r="N49">
        <v>2.1826832294464111</v>
      </c>
    </row>
    <row r="50" spans="1:14" x14ac:dyDescent="0.25">
      <c r="A50">
        <v>286</v>
      </c>
      <c r="B50">
        <v>28.205278396606445</v>
      </c>
      <c r="C50">
        <v>5.8304157257080078</v>
      </c>
      <c r="D50">
        <v>35.573650360107422</v>
      </c>
      <c r="E50">
        <v>15.654297828674316</v>
      </c>
      <c r="F50">
        <v>17.795547485351563</v>
      </c>
      <c r="G50">
        <v>32.987686157226563</v>
      </c>
      <c r="H50">
        <v>38.658279418945313</v>
      </c>
      <c r="I50">
        <v>88.252113342285156</v>
      </c>
      <c r="J50">
        <v>48.138893127441406</v>
      </c>
      <c r="K50">
        <v>33.566829681396484</v>
      </c>
      <c r="L50">
        <v>84.664344787597656</v>
      </c>
      <c r="M50">
        <v>30.666316986083984</v>
      </c>
      <c r="N50">
        <v>2.1915504932403564</v>
      </c>
    </row>
    <row r="51" spans="1:14" x14ac:dyDescent="0.25">
      <c r="A51">
        <v>288</v>
      </c>
      <c r="B51">
        <v>27.852521896362305</v>
      </c>
      <c r="C51">
        <v>5.9462800025939941</v>
      </c>
      <c r="D51">
        <v>34.409996032714844</v>
      </c>
      <c r="E51">
        <v>15.551616668701172</v>
      </c>
      <c r="F51">
        <v>18.532371520996094</v>
      </c>
      <c r="G51">
        <v>33.142589569091797</v>
      </c>
      <c r="H51">
        <v>37.662158966064453</v>
      </c>
      <c r="I51">
        <v>83.416946411132813</v>
      </c>
      <c r="J51">
        <v>46.245048522949219</v>
      </c>
      <c r="K51">
        <v>32.086181640625</v>
      </c>
      <c r="L51">
        <v>79.251838684082031</v>
      </c>
      <c r="M51">
        <v>28.975881576538086</v>
      </c>
      <c r="N51">
        <v>2.1986184120178223</v>
      </c>
    </row>
    <row r="52" spans="1:14" x14ac:dyDescent="0.25">
      <c r="A52">
        <v>290</v>
      </c>
      <c r="B52">
        <v>27.199579238891602</v>
      </c>
      <c r="C52">
        <v>5.9652533531188965</v>
      </c>
      <c r="D52">
        <v>33.691184997558594</v>
      </c>
      <c r="E52">
        <v>15.610878944396973</v>
      </c>
      <c r="F52">
        <v>19.607006072998047</v>
      </c>
      <c r="G52">
        <v>33.176494598388672</v>
      </c>
      <c r="H52">
        <v>36.242778778076172</v>
      </c>
      <c r="I52">
        <v>77.971595764160156</v>
      </c>
      <c r="J52">
        <v>44.210170745849609</v>
      </c>
      <c r="K52">
        <v>30.36065673828125</v>
      </c>
      <c r="L52">
        <v>73.302139282226563</v>
      </c>
      <c r="M52">
        <v>27.101863861083984</v>
      </c>
      <c r="N52">
        <v>2.2021679878234863</v>
      </c>
    </row>
    <row r="53" spans="1:14" x14ac:dyDescent="0.25">
      <c r="A53">
        <v>292</v>
      </c>
      <c r="B53">
        <v>26.159137725830078</v>
      </c>
      <c r="C53">
        <v>5.8907580375671387</v>
      </c>
      <c r="D53">
        <v>33.146240234375</v>
      </c>
      <c r="E53">
        <v>15.868099212646484</v>
      </c>
      <c r="F53">
        <v>20.897481918334961</v>
      </c>
      <c r="G53">
        <v>33.016471862792969</v>
      </c>
      <c r="H53">
        <v>34.415866851806641</v>
      </c>
      <c r="I53">
        <v>72.061119079589844</v>
      </c>
      <c r="J53">
        <v>42.207847595214844</v>
      </c>
      <c r="K53">
        <v>28.61890983581543</v>
      </c>
      <c r="L53">
        <v>66.963798522949219</v>
      </c>
      <c r="M53">
        <v>25.087114334106445</v>
      </c>
      <c r="N53">
        <v>2.2130286693572998</v>
      </c>
    </row>
    <row r="54" spans="1:14" x14ac:dyDescent="0.25">
      <c r="A54">
        <v>294</v>
      </c>
      <c r="B54">
        <v>24.763402938842773</v>
      </c>
      <c r="C54">
        <v>5.8013672828674316</v>
      </c>
      <c r="D54">
        <v>32.376022338867188</v>
      </c>
      <c r="E54">
        <v>16.236724853515625</v>
      </c>
      <c r="F54">
        <v>22.429895401000977</v>
      </c>
      <c r="G54">
        <v>32.698410034179688</v>
      </c>
      <c r="H54">
        <v>32.453804016113281</v>
      </c>
      <c r="I54">
        <v>65.793121337890625</v>
      </c>
      <c r="J54">
        <v>39.399188995361328</v>
      </c>
      <c r="K54">
        <v>26.873800277709961</v>
      </c>
      <c r="L54">
        <v>60.387386322021484</v>
      </c>
      <c r="M54">
        <v>23.12904167175293</v>
      </c>
      <c r="N54">
        <v>2.2129974365234375</v>
      </c>
    </row>
    <row r="55" spans="1:14" x14ac:dyDescent="0.25">
      <c r="A55">
        <v>296</v>
      </c>
      <c r="B55">
        <v>23.089195251464844</v>
      </c>
      <c r="C55">
        <v>5.738311767578125</v>
      </c>
      <c r="D55">
        <v>32.472846984863281</v>
      </c>
      <c r="E55">
        <v>16.660745620727539</v>
      </c>
      <c r="F55">
        <v>24.311151504516602</v>
      </c>
      <c r="G55">
        <v>32.084514617919922</v>
      </c>
      <c r="H55">
        <v>30.408622741699219</v>
      </c>
      <c r="I55">
        <v>59.364280700683594</v>
      </c>
      <c r="J55">
        <v>36.651779174804688</v>
      </c>
      <c r="K55">
        <v>25.270437240600586</v>
      </c>
      <c r="L55">
        <v>53.736747741699219</v>
      </c>
      <c r="M55">
        <v>21.457792282104492</v>
      </c>
      <c r="N55">
        <v>2.2034263610839844</v>
      </c>
    </row>
    <row r="56" spans="1:14" x14ac:dyDescent="0.25">
      <c r="A56">
        <v>298</v>
      </c>
      <c r="B56">
        <v>21.129951477050781</v>
      </c>
      <c r="C56">
        <v>5.7224826812744141</v>
      </c>
      <c r="D56">
        <v>32.510463714599609</v>
      </c>
      <c r="E56">
        <v>17.239055633544922</v>
      </c>
      <c r="F56">
        <v>26.445352554321289</v>
      </c>
      <c r="G56">
        <v>31.223138809204102</v>
      </c>
      <c r="H56">
        <v>28.275369644165039</v>
      </c>
      <c r="I56">
        <v>52.700260162353516</v>
      </c>
      <c r="J56">
        <v>34.029293060302734</v>
      </c>
      <c r="K56">
        <v>23.721807479858398</v>
      </c>
      <c r="L56">
        <v>46.966091156005859</v>
      </c>
      <c r="M56">
        <v>19.872467041015625</v>
      </c>
      <c r="N56">
        <v>2.2138023376464844</v>
      </c>
    </row>
    <row r="57" spans="1:14" x14ac:dyDescent="0.25">
      <c r="A57">
        <v>300</v>
      </c>
      <c r="B57">
        <v>19.110858917236328</v>
      </c>
      <c r="C57">
        <v>5.7410244941711426</v>
      </c>
      <c r="D57">
        <v>31.998468399047852</v>
      </c>
      <c r="E57">
        <v>17.838420867919922</v>
      </c>
      <c r="F57">
        <v>28.679740905761719</v>
      </c>
      <c r="G57">
        <v>30.107719421386719</v>
      </c>
      <c r="H57">
        <v>26.398223876953125</v>
      </c>
      <c r="I57">
        <v>46.263179779052734</v>
      </c>
      <c r="J57">
        <v>31.588644027709961</v>
      </c>
      <c r="K57">
        <v>22.41779899597168</v>
      </c>
      <c r="L57">
        <v>40.597061157226563</v>
      </c>
      <c r="M57">
        <v>18.504150390625</v>
      </c>
      <c r="N57">
        <v>2.2276639938354492</v>
      </c>
    </row>
    <row r="58" spans="1:14" x14ac:dyDescent="0.25">
      <c r="A58">
        <v>302</v>
      </c>
      <c r="B58">
        <v>17.161832809448242</v>
      </c>
      <c r="C58">
        <v>5.8445334434509277</v>
      </c>
      <c r="D58">
        <v>31.879142761230469</v>
      </c>
      <c r="E58">
        <v>18.35798454284668</v>
      </c>
      <c r="F58">
        <v>31.035005569458008</v>
      </c>
      <c r="G58">
        <v>28.706092834472656</v>
      </c>
      <c r="H58">
        <v>24.780288696289063</v>
      </c>
      <c r="I58">
        <v>40.11279296875</v>
      </c>
      <c r="J58">
        <v>29.542263031005859</v>
      </c>
      <c r="K58">
        <v>21.288400650024414</v>
      </c>
      <c r="L58">
        <v>34.578884124755859</v>
      </c>
      <c r="M58">
        <v>17.496702194213867</v>
      </c>
      <c r="N58">
        <v>2.232682466506958</v>
      </c>
    </row>
    <row r="59" spans="1:14" x14ac:dyDescent="0.25">
      <c r="A59">
        <v>304</v>
      </c>
      <c r="B59">
        <v>15.319568634033203</v>
      </c>
      <c r="C59">
        <v>5.8576145172119141</v>
      </c>
      <c r="D59">
        <v>31.589500427246094</v>
      </c>
      <c r="E59">
        <v>18.828659057617188</v>
      </c>
      <c r="F59">
        <v>33.522602081298828</v>
      </c>
      <c r="G59">
        <v>27.244903564453125</v>
      </c>
      <c r="H59">
        <v>23.345224380493164</v>
      </c>
      <c r="I59">
        <v>34.315505981445313</v>
      </c>
      <c r="J59">
        <v>27.250972747802734</v>
      </c>
      <c r="K59">
        <v>20.456888198852539</v>
      </c>
      <c r="L59">
        <v>29.016437530517578</v>
      </c>
      <c r="M59">
        <v>16.704326629638672</v>
      </c>
      <c r="N59">
        <v>2.2352981567382813</v>
      </c>
    </row>
    <row r="60" spans="1:14" x14ac:dyDescent="0.25">
      <c r="A60">
        <v>306</v>
      </c>
      <c r="B60">
        <v>13.745458602905273</v>
      </c>
      <c r="C60">
        <v>5.8896002769470215</v>
      </c>
      <c r="D60">
        <v>30.522462844848633</v>
      </c>
      <c r="E60">
        <v>19.199939727783203</v>
      </c>
      <c r="F60">
        <v>36.130577087402344</v>
      </c>
      <c r="G60">
        <v>25.693532943725586</v>
      </c>
      <c r="H60">
        <v>22.154260635375977</v>
      </c>
      <c r="I60">
        <v>28.845478057861328</v>
      </c>
      <c r="J60">
        <v>24.952844619750977</v>
      </c>
      <c r="K60">
        <v>19.873813629150391</v>
      </c>
      <c r="L60">
        <v>23.88599967956543</v>
      </c>
      <c r="M60">
        <v>16.092533111572266</v>
      </c>
      <c r="N60">
        <v>2.235299825668335</v>
      </c>
    </row>
    <row r="61" spans="1:14" x14ac:dyDescent="0.25">
      <c r="A61">
        <v>308</v>
      </c>
      <c r="B61">
        <v>12.563267707824707</v>
      </c>
      <c r="C61">
        <v>5.899571418762207</v>
      </c>
      <c r="D61">
        <v>29.751754760742188</v>
      </c>
      <c r="E61">
        <v>19.398014068603516</v>
      </c>
      <c r="F61">
        <v>38.384109497070313</v>
      </c>
      <c r="G61">
        <v>24.13994026184082</v>
      </c>
      <c r="H61">
        <v>21.415132522583008</v>
      </c>
      <c r="I61">
        <v>24.051870346069336</v>
      </c>
      <c r="J61">
        <v>22.835880279541016</v>
      </c>
      <c r="K61">
        <v>19.463459014892578</v>
      </c>
      <c r="L61">
        <v>19.505626678466797</v>
      </c>
      <c r="M61">
        <v>15.705676078796387</v>
      </c>
      <c r="N61">
        <v>2.2397503852844238</v>
      </c>
    </row>
    <row r="62" spans="1:14" x14ac:dyDescent="0.25">
      <c r="A62">
        <v>310</v>
      </c>
      <c r="B62">
        <v>11.787467956542969</v>
      </c>
      <c r="C62">
        <v>6.0048942565917969</v>
      </c>
      <c r="D62">
        <v>29.432785034179688</v>
      </c>
      <c r="E62">
        <v>19.484186172485352</v>
      </c>
      <c r="F62">
        <v>40.331272125244141</v>
      </c>
      <c r="G62">
        <v>22.580060958862305</v>
      </c>
      <c r="H62">
        <v>20.897167205810547</v>
      </c>
      <c r="I62">
        <v>19.892852783203125</v>
      </c>
      <c r="J62">
        <v>20.357538223266602</v>
      </c>
      <c r="K62">
        <v>19.045696258544922</v>
      </c>
      <c r="L62">
        <v>15.737251281738281</v>
      </c>
      <c r="M62">
        <v>15.372465133666992</v>
      </c>
      <c r="N62">
        <v>2.2494876384735107</v>
      </c>
    </row>
    <row r="63" spans="1:14" x14ac:dyDescent="0.25">
      <c r="A63">
        <v>312</v>
      </c>
      <c r="B63">
        <v>11.434780120849609</v>
      </c>
      <c r="C63">
        <v>6.1440181732177734</v>
      </c>
      <c r="D63">
        <v>28.808431625366211</v>
      </c>
      <c r="E63">
        <v>19.429788589477539</v>
      </c>
      <c r="F63">
        <v>41.970989227294922</v>
      </c>
      <c r="G63">
        <v>20.997684478759766</v>
      </c>
      <c r="H63">
        <v>20.304479598999023</v>
      </c>
      <c r="I63">
        <v>16.245519638061523</v>
      </c>
      <c r="J63">
        <v>17.890499114990234</v>
      </c>
      <c r="K63">
        <v>18.761030197143555</v>
      </c>
      <c r="L63">
        <v>12.481522560119629</v>
      </c>
      <c r="M63">
        <v>15.285213470458984</v>
      </c>
      <c r="N63">
        <v>2.2641897201538086</v>
      </c>
    </row>
    <row r="64" spans="1:14" x14ac:dyDescent="0.25">
      <c r="A64">
        <v>314</v>
      </c>
      <c r="B64">
        <v>11.443497657775879</v>
      </c>
      <c r="C64">
        <v>6.1723747253417969</v>
      </c>
      <c r="D64">
        <v>26.948604583740234</v>
      </c>
      <c r="E64">
        <v>19.12030029296875</v>
      </c>
      <c r="F64">
        <v>42.959529876708984</v>
      </c>
      <c r="G64">
        <v>19.433496475219727</v>
      </c>
      <c r="H64">
        <v>19.950647354125977</v>
      </c>
      <c r="I64">
        <v>13.263455390930176</v>
      </c>
      <c r="J64">
        <v>16.241767883300781</v>
      </c>
      <c r="K64">
        <v>18.8035888671875</v>
      </c>
      <c r="L64">
        <v>9.9079465866088867</v>
      </c>
      <c r="M64">
        <v>15.184329032897949</v>
      </c>
      <c r="N64">
        <v>2.2596442699432373</v>
      </c>
    </row>
    <row r="65" spans="1:14" x14ac:dyDescent="0.25">
      <c r="A65">
        <v>316</v>
      </c>
      <c r="B65">
        <v>11.794060707092285</v>
      </c>
      <c r="C65">
        <v>6.1076602935791016</v>
      </c>
      <c r="D65">
        <v>24.903484344482422</v>
      </c>
      <c r="E65">
        <v>18.667499542236328</v>
      </c>
      <c r="F65">
        <v>43.419563293457031</v>
      </c>
      <c r="G65">
        <v>17.732181549072266</v>
      </c>
      <c r="H65">
        <v>19.733747482299805</v>
      </c>
      <c r="I65">
        <v>10.813292503356934</v>
      </c>
      <c r="J65">
        <v>15.700716972351074</v>
      </c>
      <c r="K65">
        <v>18.808191299438477</v>
      </c>
      <c r="L65">
        <v>7.8379354476928711</v>
      </c>
      <c r="M65">
        <v>14.938140869140625</v>
      </c>
      <c r="N65">
        <v>2.2487034797668457</v>
      </c>
    </row>
    <row r="66" spans="1:14" x14ac:dyDescent="0.25">
      <c r="A66">
        <v>318</v>
      </c>
      <c r="B66">
        <v>12.428475379943848</v>
      </c>
      <c r="C66">
        <v>6.1025452613830566</v>
      </c>
      <c r="D66">
        <v>23.907497406005859</v>
      </c>
      <c r="E66">
        <v>18.125499725341797</v>
      </c>
      <c r="F66">
        <v>43.414176940917969</v>
      </c>
      <c r="G66">
        <v>16.052642822265625</v>
      </c>
      <c r="H66">
        <v>19.484371185302734</v>
      </c>
      <c r="I66">
        <v>8.9083471298217773</v>
      </c>
      <c r="J66">
        <v>14.97214412689209</v>
      </c>
      <c r="K66">
        <v>18.647026062011719</v>
      </c>
      <c r="L66">
        <v>6.2668619155883789</v>
      </c>
      <c r="M66">
        <v>14.748333930969238</v>
      </c>
      <c r="N66">
        <v>2.2398674488067627</v>
      </c>
    </row>
    <row r="67" spans="1:14" x14ac:dyDescent="0.25">
      <c r="A67">
        <v>320</v>
      </c>
      <c r="B67">
        <v>13.270581245422363</v>
      </c>
      <c r="C67">
        <v>6.2001099586486816</v>
      </c>
      <c r="D67">
        <v>22.587181091308594</v>
      </c>
      <c r="E67">
        <v>17.413330078125</v>
      </c>
      <c r="F67">
        <v>42.700981140136719</v>
      </c>
      <c r="G67">
        <v>14.399018287658691</v>
      </c>
      <c r="H67">
        <v>19.281585693359375</v>
      </c>
      <c r="I67">
        <v>7.3913211822509766</v>
      </c>
      <c r="J67">
        <v>13.028017044067383</v>
      </c>
      <c r="K67">
        <v>18.388763427734375</v>
      </c>
      <c r="L67">
        <v>5.016913890838623</v>
      </c>
      <c r="M67">
        <v>14.550808906555176</v>
      </c>
      <c r="N67">
        <v>2.239199161529541</v>
      </c>
    </row>
    <row r="68" spans="1:14" x14ac:dyDescent="0.25">
      <c r="A68">
        <v>322</v>
      </c>
      <c r="B68">
        <v>14.233791351318359</v>
      </c>
      <c r="C68">
        <v>6.2877554893493652</v>
      </c>
      <c r="D68">
        <v>21.278495788574219</v>
      </c>
      <c r="E68">
        <v>16.681951522827148</v>
      </c>
      <c r="F68">
        <v>41.366901397705078</v>
      </c>
      <c r="G68">
        <v>12.765641212463379</v>
      </c>
      <c r="H68">
        <v>19.012538909912109</v>
      </c>
      <c r="I68">
        <v>6.3024849891662598</v>
      </c>
      <c r="J68">
        <v>11.553342819213867</v>
      </c>
      <c r="K68">
        <v>18.357038497924805</v>
      </c>
      <c r="L68">
        <v>4.1270284652709961</v>
      </c>
      <c r="M68">
        <v>14.416236877441406</v>
      </c>
      <c r="N68">
        <v>2.2384994029998779</v>
      </c>
    </row>
    <row r="69" spans="1:14" x14ac:dyDescent="0.25">
      <c r="A69">
        <v>324</v>
      </c>
      <c r="B69">
        <v>15.349346160888672</v>
      </c>
      <c r="C69">
        <v>6.3660006523132324</v>
      </c>
      <c r="D69">
        <v>20.559682846069336</v>
      </c>
      <c r="E69">
        <v>15.943657875061035</v>
      </c>
      <c r="F69">
        <v>39.587162017822266</v>
      </c>
      <c r="G69">
        <v>11.211997032165527</v>
      </c>
      <c r="H69">
        <v>18.714675903320313</v>
      </c>
      <c r="I69">
        <v>5.4438619613647461</v>
      </c>
      <c r="J69">
        <v>10.068449020385742</v>
      </c>
      <c r="K69">
        <v>18.289022445678711</v>
      </c>
      <c r="L69">
        <v>3.4808735847473145</v>
      </c>
      <c r="M69">
        <v>14.264132499694824</v>
      </c>
      <c r="N69">
        <v>2.2377200126647949</v>
      </c>
    </row>
    <row r="70" spans="1:14" x14ac:dyDescent="0.25">
      <c r="A70">
        <v>326</v>
      </c>
      <c r="B70">
        <v>16.624540328979492</v>
      </c>
      <c r="C70">
        <v>6.4116206169128418</v>
      </c>
      <c r="D70">
        <v>20.230125427246094</v>
      </c>
      <c r="E70">
        <v>15.26246166229248</v>
      </c>
      <c r="F70">
        <v>37.428382873535156</v>
      </c>
      <c r="G70">
        <v>10.018879890441895</v>
      </c>
      <c r="H70">
        <v>18.432086944580078</v>
      </c>
      <c r="I70">
        <v>4.8650102615356445</v>
      </c>
      <c r="J70">
        <v>8.8612203598022461</v>
      </c>
      <c r="K70">
        <v>18.130435943603516</v>
      </c>
      <c r="L70">
        <v>3.0223970413208008</v>
      </c>
      <c r="M70">
        <v>13.949994087219238</v>
      </c>
      <c r="N70">
        <v>2.2379186153411865</v>
      </c>
    </row>
    <row r="71" spans="1:14" x14ac:dyDescent="0.25">
      <c r="A71">
        <v>328</v>
      </c>
      <c r="B71">
        <v>17.981010437011719</v>
      </c>
      <c r="C71">
        <v>6.4403228759765625</v>
      </c>
      <c r="D71">
        <v>19.569967269897461</v>
      </c>
      <c r="E71">
        <v>14.439271926879883</v>
      </c>
      <c r="F71">
        <v>34.681835174560547</v>
      </c>
      <c r="G71">
        <v>8.9419097900390625</v>
      </c>
      <c r="H71">
        <v>18.059091567993164</v>
      </c>
      <c r="I71">
        <v>4.4629788398742676</v>
      </c>
      <c r="J71">
        <v>8.0632810592651367</v>
      </c>
      <c r="K71">
        <v>17.972795486450195</v>
      </c>
      <c r="L71">
        <v>2.6769640445709229</v>
      </c>
      <c r="M71">
        <v>13.540640830993652</v>
      </c>
      <c r="N71">
        <v>2.2493393421173096</v>
      </c>
    </row>
    <row r="72" spans="1:14" x14ac:dyDescent="0.25">
      <c r="A72">
        <v>330</v>
      </c>
      <c r="B72">
        <v>19.281280517578125</v>
      </c>
      <c r="C72">
        <v>6.4993696212768555</v>
      </c>
      <c r="D72">
        <v>19.101858139038086</v>
      </c>
      <c r="E72">
        <v>13.588985443115234</v>
      </c>
      <c r="F72">
        <v>31.900510787963867</v>
      </c>
      <c r="G72">
        <v>7.9853954315185547</v>
      </c>
      <c r="H72">
        <v>17.513322830200195</v>
      </c>
      <c r="I72">
        <v>4.1496071815490723</v>
      </c>
      <c r="J72">
        <v>7.1092190742492676</v>
      </c>
      <c r="K72">
        <v>17.610809326171875</v>
      </c>
      <c r="L72">
        <v>2.458946704864502</v>
      </c>
      <c r="M72">
        <v>13.111608505249023</v>
      </c>
      <c r="N72">
        <v>2.2557077407836914</v>
      </c>
    </row>
    <row r="73" spans="1:14" x14ac:dyDescent="0.25">
      <c r="A73">
        <v>332</v>
      </c>
      <c r="B73">
        <v>20.654903411865234</v>
      </c>
      <c r="C73">
        <v>6.4433126449584961</v>
      </c>
      <c r="D73">
        <v>19.150897979736328</v>
      </c>
      <c r="E73">
        <v>12.81798267364502</v>
      </c>
      <c r="F73">
        <v>28.915464401245117</v>
      </c>
      <c r="G73">
        <v>7.2952914237976074</v>
      </c>
      <c r="H73">
        <v>17.031526565551758</v>
      </c>
      <c r="I73">
        <v>3.8975455760955811</v>
      </c>
      <c r="J73">
        <v>6.7197580337524414</v>
      </c>
      <c r="K73">
        <v>17.46632194519043</v>
      </c>
      <c r="L73">
        <v>2.3236968517303467</v>
      </c>
      <c r="M73">
        <v>12.798469543457031</v>
      </c>
      <c r="N73">
        <v>2.2587921619415283</v>
      </c>
    </row>
    <row r="74" spans="1:14" x14ac:dyDescent="0.25">
      <c r="A74">
        <v>334</v>
      </c>
      <c r="B74">
        <v>22.120161056518555</v>
      </c>
      <c r="C74">
        <v>6.2978296279907227</v>
      </c>
      <c r="D74">
        <v>19.186702728271484</v>
      </c>
      <c r="E74">
        <v>12.063713073730469</v>
      </c>
      <c r="F74">
        <v>25.427349090576172</v>
      </c>
      <c r="G74">
        <v>6.7612872123718262</v>
      </c>
      <c r="H74">
        <v>16.566753387451172</v>
      </c>
      <c r="I74">
        <v>3.7614214420318604</v>
      </c>
      <c r="J74">
        <v>6.5203237533569336</v>
      </c>
      <c r="K74">
        <v>17.511623382568359</v>
      </c>
      <c r="L74">
        <v>2.1958327293395996</v>
      </c>
      <c r="M74">
        <v>12.621049880981445</v>
      </c>
      <c r="N74">
        <v>2.2609705924987793</v>
      </c>
    </row>
    <row r="75" spans="1:14" x14ac:dyDescent="0.25">
      <c r="A75">
        <v>336</v>
      </c>
      <c r="B75">
        <v>23.596042633056641</v>
      </c>
      <c r="C75">
        <v>6.2193427085876465</v>
      </c>
      <c r="D75">
        <v>19.602149963378906</v>
      </c>
      <c r="E75">
        <v>11.40253734588623</v>
      </c>
      <c r="F75">
        <v>22.322734832763672</v>
      </c>
      <c r="G75">
        <v>6.4391827583312988</v>
      </c>
      <c r="H75">
        <v>15.950507164001465</v>
      </c>
      <c r="I75">
        <v>3.7014164924621582</v>
      </c>
      <c r="J75">
        <v>6.688018798828125</v>
      </c>
      <c r="K75">
        <v>17.362043380737305</v>
      </c>
      <c r="L75">
        <v>2.116408109664917</v>
      </c>
      <c r="M75">
        <v>12.421182632446289</v>
      </c>
      <c r="N75">
        <v>2.2426166534423828</v>
      </c>
    </row>
    <row r="76" spans="1:14" x14ac:dyDescent="0.25">
      <c r="A76">
        <v>338</v>
      </c>
      <c r="B76">
        <v>25.010244369506836</v>
      </c>
      <c r="C76">
        <v>6.308560848236084</v>
      </c>
      <c r="D76">
        <v>19.821714401245117</v>
      </c>
      <c r="E76">
        <v>10.756269454956055</v>
      </c>
      <c r="F76">
        <v>19.25897216796875</v>
      </c>
      <c r="G76">
        <v>6.2272562980651855</v>
      </c>
      <c r="H76">
        <v>15.354159355163574</v>
      </c>
      <c r="I76">
        <v>3.5970320701599121</v>
      </c>
      <c r="J76">
        <v>6.7697687149047852</v>
      </c>
      <c r="K76">
        <v>17.071338653564453</v>
      </c>
      <c r="L76">
        <v>2.0837113857269287</v>
      </c>
      <c r="M76">
        <v>12.316103935241699</v>
      </c>
      <c r="N76">
        <v>2.2370827198028564</v>
      </c>
    </row>
    <row r="77" spans="1:14" x14ac:dyDescent="0.25">
      <c r="A77">
        <v>340</v>
      </c>
      <c r="B77">
        <v>26.295038223266602</v>
      </c>
      <c r="C77">
        <v>6.3217973709106445</v>
      </c>
      <c r="D77">
        <v>20.333917617797852</v>
      </c>
      <c r="E77">
        <v>10.294950485229492</v>
      </c>
      <c r="F77">
        <v>16.560182571411133</v>
      </c>
      <c r="G77">
        <v>6.0598821640014648</v>
      </c>
      <c r="H77">
        <v>14.816835403442383</v>
      </c>
      <c r="I77">
        <v>3.5111398696899414</v>
      </c>
      <c r="J77">
        <v>6.7050728797912598</v>
      </c>
      <c r="K77">
        <v>16.858737945556641</v>
      </c>
      <c r="L77">
        <v>2.0734219551086426</v>
      </c>
      <c r="M77">
        <v>12.222838401794434</v>
      </c>
      <c r="N77">
        <v>2.2403848171234131</v>
      </c>
    </row>
    <row r="78" spans="1:14" x14ac:dyDescent="0.25">
      <c r="A78">
        <v>342</v>
      </c>
      <c r="B78">
        <v>27.506160736083984</v>
      </c>
      <c r="C78">
        <v>6.2562708854675293</v>
      </c>
      <c r="D78">
        <v>21.435297012329102</v>
      </c>
      <c r="E78">
        <v>9.9614048004150391</v>
      </c>
      <c r="F78">
        <v>14.224230766296387</v>
      </c>
      <c r="G78">
        <v>6.0037097930908203</v>
      </c>
      <c r="H78">
        <v>14.233116149902344</v>
      </c>
      <c r="I78">
        <v>3.4823429584503174</v>
      </c>
      <c r="J78">
        <v>6.3543205261230469</v>
      </c>
      <c r="K78">
        <v>16.738956451416016</v>
      </c>
      <c r="L78">
        <v>2.0825824737548828</v>
      </c>
      <c r="M78">
        <v>12.167112350463867</v>
      </c>
      <c r="N78">
        <v>2.2389011383056641</v>
      </c>
    </row>
    <row r="79" spans="1:14" x14ac:dyDescent="0.25">
      <c r="A79">
        <v>344</v>
      </c>
      <c r="B79">
        <v>28.609058380126953</v>
      </c>
      <c r="C79">
        <v>6.2574629783630371</v>
      </c>
      <c r="D79">
        <v>22.251144409179688</v>
      </c>
      <c r="E79">
        <v>9.7769985198974609</v>
      </c>
      <c r="F79">
        <v>12.267200469970703</v>
      </c>
      <c r="G79">
        <v>6.0299544334411621</v>
      </c>
      <c r="H79">
        <v>13.693864822387695</v>
      </c>
      <c r="I79">
        <v>3.4174683094024658</v>
      </c>
      <c r="J79">
        <v>5.8431820869445801</v>
      </c>
      <c r="K79">
        <v>16.849664688110352</v>
      </c>
      <c r="L79">
        <v>2.1020543575286865</v>
      </c>
      <c r="M79">
        <v>12.106109619140625</v>
      </c>
      <c r="N79">
        <v>2.2438957691192627</v>
      </c>
    </row>
    <row r="80" spans="1:14" x14ac:dyDescent="0.25">
      <c r="A80">
        <v>346</v>
      </c>
      <c r="B80">
        <v>29.589078903198242</v>
      </c>
      <c r="C80">
        <v>6.1875295639038086</v>
      </c>
      <c r="D80">
        <v>23.499296188354492</v>
      </c>
      <c r="E80">
        <v>9.747309684753418</v>
      </c>
      <c r="F80">
        <v>10.518706321716309</v>
      </c>
      <c r="G80">
        <v>6.0590577125549316</v>
      </c>
      <c r="H80">
        <v>13.26279354095459</v>
      </c>
      <c r="I80">
        <v>3.3806784152984619</v>
      </c>
      <c r="J80">
        <v>6.1096806526184082</v>
      </c>
      <c r="K80">
        <v>16.942485809326172</v>
      </c>
      <c r="L80">
        <v>2.0880517959594727</v>
      </c>
      <c r="M80">
        <v>12.004717826843262</v>
      </c>
      <c r="N80">
        <v>2.2442722320556641</v>
      </c>
    </row>
    <row r="81" spans="1:14" x14ac:dyDescent="0.25">
      <c r="A81">
        <v>348</v>
      </c>
      <c r="B81">
        <v>30.425601959228516</v>
      </c>
      <c r="C81">
        <v>6.0926265716552734</v>
      </c>
      <c r="D81">
        <v>24.610498428344727</v>
      </c>
      <c r="E81">
        <v>9.768712043762207</v>
      </c>
      <c r="F81">
        <v>9.0744028091430664</v>
      </c>
      <c r="G81">
        <v>6.0237455368041992</v>
      </c>
      <c r="H81">
        <v>12.780817031860352</v>
      </c>
      <c r="I81">
        <v>3.3742659091949463</v>
      </c>
      <c r="J81">
        <v>6.535888671875</v>
      </c>
      <c r="K81">
        <v>17.072254180908203</v>
      </c>
      <c r="L81">
        <v>2.0825071334838867</v>
      </c>
      <c r="M81">
        <v>12.038569450378418</v>
      </c>
      <c r="N81">
        <v>2.2424211502075195</v>
      </c>
    </row>
    <row r="82" spans="1:14" x14ac:dyDescent="0.25">
      <c r="A82">
        <v>350</v>
      </c>
      <c r="B82">
        <v>31.162521362304688</v>
      </c>
      <c r="C82">
        <v>5.9736518859863281</v>
      </c>
      <c r="D82">
        <v>25.578411102294922</v>
      </c>
      <c r="E82">
        <v>9.9870567321777344</v>
      </c>
      <c r="F82">
        <v>8.0053920745849609</v>
      </c>
      <c r="G82">
        <v>6.1484551429748535</v>
      </c>
      <c r="H82">
        <v>12.353536605834961</v>
      </c>
      <c r="I82">
        <v>3.3405942916870117</v>
      </c>
      <c r="J82">
        <v>6.6290073394775391</v>
      </c>
      <c r="K82">
        <v>17.106718063354492</v>
      </c>
      <c r="L82">
        <v>2.0716750621795654</v>
      </c>
      <c r="M82">
        <v>12.015253067016602</v>
      </c>
      <c r="N82">
        <v>2.2406337261199951</v>
      </c>
    </row>
    <row r="83" spans="1:14" x14ac:dyDescent="0.25">
      <c r="A83">
        <v>352</v>
      </c>
      <c r="B83">
        <v>31.672840118408203</v>
      </c>
      <c r="C83">
        <v>5.8825674057006836</v>
      </c>
      <c r="D83">
        <v>26.234737396240234</v>
      </c>
      <c r="E83">
        <v>10.295770645141602</v>
      </c>
      <c r="F83">
        <v>7.0885953903198242</v>
      </c>
      <c r="G83">
        <v>6.3433237075805664</v>
      </c>
      <c r="H83">
        <v>11.891866683959961</v>
      </c>
      <c r="I83">
        <v>3.3087360858917236</v>
      </c>
      <c r="J83">
        <v>7.3694238662719727</v>
      </c>
      <c r="K83">
        <v>17.219058990478516</v>
      </c>
      <c r="L83">
        <v>2.0841693878173828</v>
      </c>
      <c r="M83">
        <v>11.93657112121582</v>
      </c>
      <c r="N83">
        <v>2.251516580581665</v>
      </c>
    </row>
    <row r="84" spans="1:14" x14ac:dyDescent="0.25">
      <c r="A84">
        <v>354</v>
      </c>
      <c r="B84">
        <v>32.014762878417969</v>
      </c>
      <c r="C84">
        <v>5.9168515205383301</v>
      </c>
      <c r="D84">
        <v>27.41984748840332</v>
      </c>
      <c r="E84">
        <v>10.633512496948242</v>
      </c>
      <c r="F84">
        <v>6.4077358245849609</v>
      </c>
      <c r="G84">
        <v>6.4451656341552734</v>
      </c>
      <c r="H84">
        <v>11.502747535705566</v>
      </c>
      <c r="I84">
        <v>3.3132641315460205</v>
      </c>
      <c r="J84">
        <v>7.1794643402099609</v>
      </c>
      <c r="K84">
        <v>17.247747421264648</v>
      </c>
      <c r="L84">
        <v>2.1286890506744385</v>
      </c>
      <c r="M84">
        <v>11.822808265686035</v>
      </c>
      <c r="N84">
        <v>2.2618613243103027</v>
      </c>
    </row>
    <row r="85" spans="1:14" x14ac:dyDescent="0.25">
      <c r="A85">
        <v>356</v>
      </c>
      <c r="B85">
        <v>32.218204498291016</v>
      </c>
      <c r="C85">
        <v>5.9303994178771973</v>
      </c>
      <c r="D85">
        <v>28.703872680664063</v>
      </c>
      <c r="E85">
        <v>11.13609504699707</v>
      </c>
      <c r="F85">
        <v>6.2404093742370605</v>
      </c>
      <c r="G85">
        <v>6.5533356666564941</v>
      </c>
      <c r="H85">
        <v>10.930267333984375</v>
      </c>
      <c r="I85">
        <v>3.2857820987701416</v>
      </c>
      <c r="J85">
        <v>6.738368034362793</v>
      </c>
      <c r="K85">
        <v>17.143436431884766</v>
      </c>
      <c r="L85">
        <v>2.1351902484893799</v>
      </c>
      <c r="M85">
        <v>11.794363975524902</v>
      </c>
      <c r="N85">
        <v>2.2657859325408936</v>
      </c>
    </row>
    <row r="86" spans="1:14" x14ac:dyDescent="0.25">
      <c r="A86">
        <v>358</v>
      </c>
      <c r="B86">
        <v>32.0792236328125</v>
      </c>
      <c r="C86">
        <v>5.6155524253845215</v>
      </c>
      <c r="D86">
        <v>29.195108413696289</v>
      </c>
      <c r="E86">
        <v>11.573774337768555</v>
      </c>
      <c r="F86">
        <v>6.1301155090332031</v>
      </c>
      <c r="G86">
        <v>6.7338590621948242</v>
      </c>
      <c r="H86">
        <v>10.292899131774902</v>
      </c>
      <c r="I86">
        <v>3.2456979751586914</v>
      </c>
      <c r="J86">
        <v>6.8486762046813965</v>
      </c>
      <c r="K86">
        <v>17.12907600402832</v>
      </c>
      <c r="L86">
        <v>2.1428580284118652</v>
      </c>
      <c r="M86">
        <v>11.695019721984863</v>
      </c>
      <c r="N86">
        <v>2.2639584541320801</v>
      </c>
    </row>
    <row r="87" spans="1:14" x14ac:dyDescent="0.25">
      <c r="A87">
        <v>360</v>
      </c>
      <c r="B87">
        <v>31.688751220703125</v>
      </c>
      <c r="C87">
        <v>5.6383452415466309</v>
      </c>
      <c r="D87">
        <v>30.10673713684082</v>
      </c>
      <c r="E87">
        <v>12.05439281463623</v>
      </c>
      <c r="F87">
        <v>5.9732990264892578</v>
      </c>
      <c r="G87">
        <v>6.852226734161377</v>
      </c>
      <c r="H87">
        <v>9.8635263442993164</v>
      </c>
      <c r="I87">
        <v>3.2667155265808105</v>
      </c>
      <c r="J87">
        <v>7.0895938873291016</v>
      </c>
      <c r="K87">
        <v>16.710136413574219</v>
      </c>
      <c r="L87">
        <v>2.1112337112426758</v>
      </c>
      <c r="M87">
        <v>11.495086669921875</v>
      </c>
      <c r="N87">
        <v>2.2679276466369629</v>
      </c>
    </row>
    <row r="88" spans="1:14" x14ac:dyDescent="0.25">
      <c r="A88">
        <v>362</v>
      </c>
      <c r="B88">
        <v>31.130336761474609</v>
      </c>
      <c r="C88">
        <v>5.7504253387451172</v>
      </c>
      <c r="D88">
        <v>31.987323760986328</v>
      </c>
      <c r="E88">
        <v>12.63590145111084</v>
      </c>
      <c r="F88">
        <v>5.9012961387634277</v>
      </c>
      <c r="G88">
        <v>7.1348972320556641</v>
      </c>
      <c r="H88">
        <v>9.2296543121337891</v>
      </c>
      <c r="I88">
        <v>3.2308559417724609</v>
      </c>
      <c r="J88">
        <v>7.0083856582641602</v>
      </c>
      <c r="K88">
        <v>16.398740768432617</v>
      </c>
      <c r="L88">
        <v>2.1147429943084717</v>
      </c>
      <c r="M88">
        <v>11.326908111572266</v>
      </c>
      <c r="N88">
        <v>2.2533454895019531</v>
      </c>
    </row>
    <row r="89" spans="1:14" x14ac:dyDescent="0.25">
      <c r="A89">
        <v>364</v>
      </c>
      <c r="B89">
        <v>30.291194915771484</v>
      </c>
      <c r="C89">
        <v>5.6741151809692383</v>
      </c>
      <c r="D89">
        <v>32.652427673339844</v>
      </c>
      <c r="E89">
        <v>13.266568183898926</v>
      </c>
      <c r="F89">
        <v>5.9532995223999023</v>
      </c>
      <c r="G89">
        <v>7.3831467628479004</v>
      </c>
      <c r="H89">
        <v>8.732386589050293</v>
      </c>
      <c r="I89">
        <v>3.1708462238311768</v>
      </c>
      <c r="J89">
        <v>6.6476178169250488</v>
      </c>
      <c r="K89">
        <v>16.240968704223633</v>
      </c>
      <c r="L89">
        <v>2.1434569358825684</v>
      </c>
      <c r="M89">
        <v>11.054780960083008</v>
      </c>
      <c r="N89">
        <v>2.2546451091766357</v>
      </c>
    </row>
    <row r="90" spans="1:14" x14ac:dyDescent="0.25">
      <c r="A90">
        <v>366</v>
      </c>
      <c r="B90">
        <v>29.361166000366211</v>
      </c>
      <c r="C90">
        <v>5.7232260704040527</v>
      </c>
      <c r="D90">
        <v>32.847541809082031</v>
      </c>
      <c r="E90">
        <v>13.837767601013184</v>
      </c>
      <c r="F90">
        <v>6.199580192565918</v>
      </c>
      <c r="G90">
        <v>7.4385743141174316</v>
      </c>
      <c r="H90">
        <v>8.2386817932128906</v>
      </c>
      <c r="I90">
        <v>3.1510770320892334</v>
      </c>
      <c r="J90">
        <v>7.3287525177001953</v>
      </c>
      <c r="K90">
        <v>16.102716445922852</v>
      </c>
      <c r="L90">
        <v>2.1279804706573486</v>
      </c>
      <c r="M90">
        <v>10.781344413757324</v>
      </c>
      <c r="N90">
        <v>2.2502672672271729</v>
      </c>
    </row>
    <row r="91" spans="1:14" x14ac:dyDescent="0.25">
      <c r="A91">
        <v>368</v>
      </c>
      <c r="B91">
        <v>28.295017242431641</v>
      </c>
      <c r="C91">
        <v>5.9130668640136719</v>
      </c>
      <c r="D91">
        <v>34.374469757080078</v>
      </c>
      <c r="E91">
        <v>14.374734878540039</v>
      </c>
      <c r="F91">
        <v>6.2359018325805664</v>
      </c>
      <c r="G91">
        <v>7.6812000274658203</v>
      </c>
      <c r="H91">
        <v>7.7108163833618164</v>
      </c>
      <c r="I91">
        <v>3.1898226737976074</v>
      </c>
      <c r="J91">
        <v>7.9279341697692871</v>
      </c>
      <c r="K91">
        <v>15.984012603759766</v>
      </c>
      <c r="L91">
        <v>2.1071159839630127</v>
      </c>
      <c r="M91">
        <v>10.492209434509277</v>
      </c>
      <c r="N91">
        <v>2.234849214553833</v>
      </c>
    </row>
    <row r="92" spans="1:14" x14ac:dyDescent="0.25">
      <c r="A92">
        <v>370</v>
      </c>
      <c r="B92">
        <v>27.007562637329102</v>
      </c>
      <c r="C92">
        <v>5.8481450080871582</v>
      </c>
      <c r="D92">
        <v>36.093654632568359</v>
      </c>
      <c r="E92">
        <v>14.979766845703125</v>
      </c>
      <c r="F92">
        <v>6.2680244445800781</v>
      </c>
      <c r="G92">
        <v>7.9794526100158691</v>
      </c>
      <c r="H92">
        <v>7.2679667472839355</v>
      </c>
      <c r="I92">
        <v>3.1943268775939941</v>
      </c>
      <c r="J92">
        <v>8.0335721969604492</v>
      </c>
      <c r="K92">
        <v>15.830516815185547</v>
      </c>
      <c r="L92">
        <v>2.0701322555541992</v>
      </c>
      <c r="M92">
        <v>10.115151405334473</v>
      </c>
      <c r="N92">
        <v>2.2403507232666016</v>
      </c>
    </row>
    <row r="93" spans="1:14" x14ac:dyDescent="0.25">
      <c r="A93">
        <v>372</v>
      </c>
      <c r="B93">
        <v>25.548101425170898</v>
      </c>
      <c r="C93">
        <v>5.7501311302185059</v>
      </c>
      <c r="D93">
        <v>37.45758056640625</v>
      </c>
      <c r="E93">
        <v>15.390582084655762</v>
      </c>
      <c r="F93">
        <v>6.4941153526306152</v>
      </c>
      <c r="G93">
        <v>8.0799646377563477</v>
      </c>
      <c r="H93">
        <v>6.7109570503234863</v>
      </c>
      <c r="I93">
        <v>3.1674666404724121</v>
      </c>
      <c r="J93">
        <v>7.8070693016052246</v>
      </c>
      <c r="K93">
        <v>15.27730655670166</v>
      </c>
      <c r="L93">
        <v>2.0772228240966797</v>
      </c>
      <c r="M93">
        <v>9.7756481170654297</v>
      </c>
      <c r="N93">
        <v>2.2455527782440186</v>
      </c>
    </row>
    <row r="94" spans="1:14" x14ac:dyDescent="0.25">
      <c r="A94">
        <v>374</v>
      </c>
      <c r="B94">
        <v>24.027853012084961</v>
      </c>
      <c r="C94">
        <v>5.7506842613220215</v>
      </c>
      <c r="D94">
        <v>38.300941467285156</v>
      </c>
      <c r="E94">
        <v>15.755679130554199</v>
      </c>
      <c r="F94">
        <v>6.7224369049072266</v>
      </c>
      <c r="G94">
        <v>8.3616113662719727</v>
      </c>
      <c r="H94">
        <v>6.4065756797790527</v>
      </c>
      <c r="I94">
        <v>3.2134125232696533</v>
      </c>
      <c r="J94">
        <v>7.0409364700317383</v>
      </c>
      <c r="K94">
        <v>14.904093742370605</v>
      </c>
      <c r="L94">
        <v>2.0915391445159912</v>
      </c>
      <c r="M94">
        <v>9.2240715026855469</v>
      </c>
      <c r="N94">
        <v>2.2540597915649414</v>
      </c>
    </row>
    <row r="95" spans="1:14" x14ac:dyDescent="0.25">
      <c r="A95">
        <v>376</v>
      </c>
      <c r="B95">
        <v>22.444005966186523</v>
      </c>
      <c r="C95">
        <v>5.5731639862060547</v>
      </c>
      <c r="D95">
        <v>38.908439636230469</v>
      </c>
      <c r="E95">
        <v>16.322423934936523</v>
      </c>
      <c r="F95">
        <v>6.9136300086975098</v>
      </c>
      <c r="G95">
        <v>8.6465024948120117</v>
      </c>
      <c r="H95">
        <v>6.0938949584960938</v>
      </c>
      <c r="I95">
        <v>3.2506628036499023</v>
      </c>
      <c r="J95">
        <v>6.9501862525939941</v>
      </c>
      <c r="K95">
        <v>14.786467552185059</v>
      </c>
      <c r="L95">
        <v>2.0640263557434082</v>
      </c>
      <c r="M95">
        <v>8.7307920455932617</v>
      </c>
      <c r="N95">
        <v>2.2525644302368164</v>
      </c>
    </row>
    <row r="96" spans="1:14" x14ac:dyDescent="0.25">
      <c r="A96">
        <v>378</v>
      </c>
      <c r="B96">
        <v>20.788705825805664</v>
      </c>
      <c r="C96">
        <v>5.4655599594116211</v>
      </c>
      <c r="D96">
        <v>39.058971405029297</v>
      </c>
      <c r="E96">
        <v>16.701322555541992</v>
      </c>
      <c r="F96">
        <v>6.9793219566345215</v>
      </c>
      <c r="G96">
        <v>8.9493551254272461</v>
      </c>
      <c r="H96">
        <v>5.6861686706542969</v>
      </c>
      <c r="I96">
        <v>3.2068102359771729</v>
      </c>
      <c r="J96">
        <v>6.8389987945556641</v>
      </c>
      <c r="K96">
        <v>14.213968276977539</v>
      </c>
      <c r="L96">
        <v>2.0384767055511475</v>
      </c>
      <c r="M96">
        <v>8.4076747894287109</v>
      </c>
      <c r="N96">
        <v>2.2389960289001465</v>
      </c>
    </row>
    <row r="97" spans="1:14" x14ac:dyDescent="0.25">
      <c r="A97">
        <v>380</v>
      </c>
      <c r="B97">
        <v>19.234477996826172</v>
      </c>
      <c r="C97">
        <v>5.4477090835571289</v>
      </c>
      <c r="D97">
        <v>40.280445098876953</v>
      </c>
      <c r="E97">
        <v>17.057741165161133</v>
      </c>
      <c r="F97">
        <v>7.265388011932373</v>
      </c>
      <c r="G97">
        <v>9.3668670654296875</v>
      </c>
      <c r="H97">
        <v>5.1782174110412598</v>
      </c>
      <c r="I97">
        <v>3.2023484706878662</v>
      </c>
      <c r="J97">
        <v>6.8567290306091309</v>
      </c>
      <c r="K97">
        <v>13.574724197387695</v>
      </c>
      <c r="L97">
        <v>2.0607740879058838</v>
      </c>
      <c r="M97">
        <v>8.1870145797729492</v>
      </c>
      <c r="N97">
        <v>2.2462048530578613</v>
      </c>
    </row>
    <row r="98" spans="1:14" x14ac:dyDescent="0.25">
      <c r="A98">
        <v>382</v>
      </c>
      <c r="B98">
        <v>17.613918304443359</v>
      </c>
      <c r="C98">
        <v>5.4140815734863281</v>
      </c>
      <c r="D98">
        <v>41.550189971923828</v>
      </c>
      <c r="E98">
        <v>17.383712768554688</v>
      </c>
      <c r="F98">
        <v>7.782717227935791</v>
      </c>
      <c r="G98">
        <v>9.7407426834106445</v>
      </c>
      <c r="H98">
        <v>4.6773896217346191</v>
      </c>
      <c r="I98">
        <v>3.1998898983001709</v>
      </c>
      <c r="J98">
        <v>7.3555512428283691</v>
      </c>
      <c r="K98">
        <v>13.053140640258789</v>
      </c>
      <c r="L98">
        <v>2.0832033157348633</v>
      </c>
      <c r="M98">
        <v>7.7228851318359375</v>
      </c>
      <c r="N98">
        <v>2.2640089988708496</v>
      </c>
    </row>
    <row r="99" spans="1:14" x14ac:dyDescent="0.25">
      <c r="A99">
        <v>384</v>
      </c>
      <c r="B99">
        <v>15.988002777099609</v>
      </c>
      <c r="C99">
        <v>5.4421448707580566</v>
      </c>
      <c r="D99">
        <v>41.290920257568359</v>
      </c>
      <c r="E99">
        <v>17.623416900634766</v>
      </c>
      <c r="F99">
        <v>8.0092830657958984</v>
      </c>
      <c r="G99">
        <v>10.13020133972168</v>
      </c>
      <c r="H99">
        <v>4.3818130493164063</v>
      </c>
      <c r="I99">
        <v>3.1863908767700195</v>
      </c>
      <c r="J99">
        <v>6.9068074226379395</v>
      </c>
      <c r="K99">
        <v>12.517848014831543</v>
      </c>
      <c r="L99">
        <v>2.0789854526519775</v>
      </c>
      <c r="M99">
        <v>7.0474839210510254</v>
      </c>
      <c r="N99">
        <v>2.2451865673065186</v>
      </c>
    </row>
    <row r="100" spans="1:14" x14ac:dyDescent="0.25">
      <c r="A100">
        <v>386</v>
      </c>
      <c r="B100">
        <v>14.427251815795898</v>
      </c>
      <c r="C100">
        <v>5.4735779762268066</v>
      </c>
      <c r="D100">
        <v>41.294540405273438</v>
      </c>
      <c r="E100">
        <v>17.81243896484375</v>
      </c>
      <c r="F100">
        <v>8.2586708068847656</v>
      </c>
      <c r="G100">
        <v>10.572162628173828</v>
      </c>
      <c r="H100">
        <v>4.2224669456481934</v>
      </c>
      <c r="I100">
        <v>3.1960024833679199</v>
      </c>
      <c r="J100">
        <v>6.0512104034423828</v>
      </c>
      <c r="K100">
        <v>11.938136100769043</v>
      </c>
      <c r="L100">
        <v>2.0677018165588379</v>
      </c>
      <c r="M100">
        <v>6.7018036842346191</v>
      </c>
      <c r="N100">
        <v>2.2327194213867188</v>
      </c>
    </row>
    <row r="101" spans="1:14" x14ac:dyDescent="0.25">
      <c r="A101">
        <v>388</v>
      </c>
      <c r="B101">
        <v>13.048355102539063</v>
      </c>
      <c r="C101">
        <v>5.5465521812438965</v>
      </c>
      <c r="D101">
        <v>40.713027954101563</v>
      </c>
      <c r="E101">
        <v>17.88801383972168</v>
      </c>
      <c r="F101">
        <v>8.6020307540893555</v>
      </c>
      <c r="G101">
        <v>10.878830909729004</v>
      </c>
      <c r="H101">
        <v>3.9612462520599365</v>
      </c>
      <c r="I101">
        <v>3.1828453540802002</v>
      </c>
      <c r="J101">
        <v>6.1848659515380859</v>
      </c>
      <c r="K101">
        <v>11.373307228088379</v>
      </c>
      <c r="L101">
        <v>2.0672721862792969</v>
      </c>
      <c r="M101">
        <v>6.4331507682800293</v>
      </c>
      <c r="N101">
        <v>2.2387735843658447</v>
      </c>
    </row>
    <row r="102" spans="1:14" x14ac:dyDescent="0.25">
      <c r="A102">
        <v>390</v>
      </c>
      <c r="B102">
        <v>11.570459365844727</v>
      </c>
      <c r="C102">
        <v>5.4913592338562012</v>
      </c>
      <c r="D102">
        <v>39.842636108398438</v>
      </c>
      <c r="E102">
        <v>17.744390487670898</v>
      </c>
      <c r="F102">
        <v>9.0169191360473633</v>
      </c>
      <c r="G102">
        <v>11.217620849609375</v>
      </c>
      <c r="H102">
        <v>3.6402175426483154</v>
      </c>
      <c r="I102">
        <v>3.166365385055542</v>
      </c>
      <c r="J102">
        <v>6.7351198196411133</v>
      </c>
      <c r="K102">
        <v>10.69218921661377</v>
      </c>
      <c r="L102">
        <v>2.0852513313293457</v>
      </c>
      <c r="M102">
        <v>6.0609593391418457</v>
      </c>
      <c r="N102">
        <v>2.2359340190887451</v>
      </c>
    </row>
    <row r="103" spans="1:14" x14ac:dyDescent="0.25">
      <c r="A103">
        <v>392</v>
      </c>
      <c r="B103">
        <v>10.246091842651367</v>
      </c>
      <c r="C103">
        <v>5.0732455253601074</v>
      </c>
      <c r="D103">
        <v>39.482986450195313</v>
      </c>
      <c r="E103">
        <v>17.446859359741211</v>
      </c>
      <c r="F103">
        <v>9.1858348846435547</v>
      </c>
      <c r="G103">
        <v>11.561050415039063</v>
      </c>
      <c r="H103">
        <v>3.4732258319854736</v>
      </c>
      <c r="I103">
        <v>3.1759533882141113</v>
      </c>
      <c r="J103">
        <v>6.3677201271057129</v>
      </c>
      <c r="K103">
        <v>10.142210006713867</v>
      </c>
      <c r="L103">
        <v>2.0798509120941162</v>
      </c>
      <c r="M103">
        <v>5.6356630325317383</v>
      </c>
      <c r="N103">
        <v>2.2367491722106934</v>
      </c>
    </row>
    <row r="104" spans="1:14" x14ac:dyDescent="0.25">
      <c r="A104">
        <v>394</v>
      </c>
      <c r="B104">
        <v>9.1353769302368164</v>
      </c>
      <c r="C104">
        <v>5.1619281768798828</v>
      </c>
      <c r="D104">
        <v>38.747806549072266</v>
      </c>
      <c r="E104">
        <v>17.105384826660156</v>
      </c>
      <c r="F104">
        <v>9.3038387298583984</v>
      </c>
      <c r="G104">
        <v>11.900199890136719</v>
      </c>
      <c r="H104">
        <v>3.3145167827606201</v>
      </c>
      <c r="I104">
        <v>3.2083384990692139</v>
      </c>
      <c r="J104">
        <v>5.5029191970825195</v>
      </c>
      <c r="K104">
        <v>9.7845001220703125</v>
      </c>
      <c r="L104">
        <v>2.0530281066894531</v>
      </c>
      <c r="M104">
        <v>5.124049186706543</v>
      </c>
      <c r="N104">
        <v>2.235255241394043</v>
      </c>
    </row>
    <row r="105" spans="1:14" x14ac:dyDescent="0.25">
      <c r="A105">
        <v>396</v>
      </c>
      <c r="B105">
        <v>7.936272144317627</v>
      </c>
      <c r="C105">
        <v>5.4867105484008789</v>
      </c>
      <c r="D105">
        <v>37.828655242919922</v>
      </c>
      <c r="E105">
        <v>16.704645156860352</v>
      </c>
      <c r="F105">
        <v>9.9521493911743164</v>
      </c>
      <c r="G105">
        <v>12.30626392364502</v>
      </c>
      <c r="H105">
        <v>3.2048008441925049</v>
      </c>
      <c r="I105">
        <v>3.2266883850097656</v>
      </c>
      <c r="J105">
        <v>6.2809624671936035</v>
      </c>
      <c r="K105">
        <v>9.2223796844482422</v>
      </c>
      <c r="L105">
        <v>2.0594789981842041</v>
      </c>
      <c r="M105">
        <v>4.8548064231872559</v>
      </c>
      <c r="N105">
        <v>2.2375330924987793</v>
      </c>
    </row>
    <row r="106" spans="1:14" x14ac:dyDescent="0.25">
      <c r="A106">
        <v>398</v>
      </c>
      <c r="B106">
        <v>6.8836817741394043</v>
      </c>
      <c r="C106">
        <v>5.3651266098022461</v>
      </c>
      <c r="D106">
        <v>36.667160034179688</v>
      </c>
      <c r="E106">
        <v>16.295398712158203</v>
      </c>
      <c r="F106">
        <v>10.480771064758301</v>
      </c>
      <c r="G106">
        <v>12.736577987670898</v>
      </c>
      <c r="H106">
        <v>3.0701389312744141</v>
      </c>
      <c r="I106">
        <v>3.2235841751098633</v>
      </c>
      <c r="J106">
        <v>6.6131043434143066</v>
      </c>
      <c r="K106">
        <v>8.6328763961791992</v>
      </c>
      <c r="L106">
        <v>2.0811429023742676</v>
      </c>
      <c r="M106">
        <v>4.5224967002868652</v>
      </c>
      <c r="N106">
        <v>2.2431709766387939</v>
      </c>
    </row>
    <row r="107" spans="1:14" x14ac:dyDescent="0.25">
      <c r="A107">
        <v>400</v>
      </c>
      <c r="B107">
        <v>6.0307469367980957</v>
      </c>
      <c r="C107">
        <v>5.3388781547546387</v>
      </c>
      <c r="D107">
        <v>36.152587890625</v>
      </c>
      <c r="E107">
        <v>15.872893333435059</v>
      </c>
      <c r="F107">
        <v>11.076033592224121</v>
      </c>
      <c r="G107">
        <v>13.206751823425293</v>
      </c>
      <c r="H107">
        <v>2.907656192779541</v>
      </c>
      <c r="I107">
        <v>3.2022774219512939</v>
      </c>
      <c r="J107">
        <v>6.1664586067199707</v>
      </c>
      <c r="K107">
        <v>8.3471651077270508</v>
      </c>
      <c r="L107">
        <v>2.0840282440185547</v>
      </c>
      <c r="M107">
        <v>4.2401127815246582</v>
      </c>
      <c r="N107">
        <v>2.2384653091430664</v>
      </c>
    </row>
    <row r="108" spans="1:14" x14ac:dyDescent="0.25">
      <c r="A108">
        <v>402</v>
      </c>
      <c r="B108">
        <v>5.2542800903320313</v>
      </c>
      <c r="C108">
        <v>5.483893871307373</v>
      </c>
      <c r="D108">
        <v>35.200695037841797</v>
      </c>
      <c r="E108">
        <v>15.448097229003906</v>
      </c>
      <c r="F108">
        <v>11.634310722351074</v>
      </c>
      <c r="G108">
        <v>13.688359260559082</v>
      </c>
      <c r="H108">
        <v>2.7819139957427979</v>
      </c>
      <c r="I108">
        <v>3.2065205574035645</v>
      </c>
      <c r="J108">
        <v>6.2932791709899902</v>
      </c>
      <c r="K108">
        <v>8.2401456832885742</v>
      </c>
      <c r="L108">
        <v>2.0567348003387451</v>
      </c>
      <c r="M108">
        <v>4.2292003631591797</v>
      </c>
      <c r="N108">
        <v>2.2353916168212891</v>
      </c>
    </row>
    <row r="109" spans="1:14" x14ac:dyDescent="0.25">
      <c r="A109">
        <v>404</v>
      </c>
      <c r="B109">
        <v>4.6104397773742676</v>
      </c>
      <c r="C109">
        <v>5.7251615524291992</v>
      </c>
      <c r="D109">
        <v>33.065017700195313</v>
      </c>
      <c r="E109">
        <v>14.912253379821777</v>
      </c>
      <c r="F109">
        <v>11.817176818847656</v>
      </c>
      <c r="G109">
        <v>14.047079086303711</v>
      </c>
      <c r="H109">
        <v>2.749910831451416</v>
      </c>
      <c r="I109">
        <v>3.226337194442749</v>
      </c>
      <c r="J109">
        <v>6.0081024169921875</v>
      </c>
      <c r="K109">
        <v>7.9139313697814941</v>
      </c>
      <c r="L109">
        <v>2.0513942241668701</v>
      </c>
      <c r="M109">
        <v>3.9650039672851563</v>
      </c>
      <c r="N109">
        <v>2.2334959506988525</v>
      </c>
    </row>
    <row r="110" spans="1:14" x14ac:dyDescent="0.25">
      <c r="A110">
        <v>406</v>
      </c>
      <c r="B110">
        <v>4.1574535369873047</v>
      </c>
      <c r="C110">
        <v>5.705634593963623</v>
      </c>
      <c r="D110">
        <v>31.211669921875</v>
      </c>
      <c r="E110">
        <v>14.438576698303223</v>
      </c>
      <c r="F110">
        <v>12.129528999328613</v>
      </c>
      <c r="G110">
        <v>14.351540565490723</v>
      </c>
      <c r="H110">
        <v>2.6803827285766602</v>
      </c>
      <c r="I110">
        <v>3.2625954151153564</v>
      </c>
      <c r="J110">
        <v>5.8297824859619141</v>
      </c>
      <c r="K110">
        <v>7.4252133369445801</v>
      </c>
      <c r="L110">
        <v>2.0926995277404785</v>
      </c>
      <c r="M110">
        <v>3.7878792285919189</v>
      </c>
      <c r="N110">
        <v>2.2368574142456055</v>
      </c>
    </row>
    <row r="111" spans="1:14" x14ac:dyDescent="0.25">
      <c r="A111">
        <v>408</v>
      </c>
      <c r="B111">
        <v>3.7185003757476807</v>
      </c>
      <c r="C111">
        <v>5.4718151092529297</v>
      </c>
      <c r="D111">
        <v>29.511919021606445</v>
      </c>
      <c r="E111">
        <v>13.825338363647461</v>
      </c>
      <c r="F111">
        <v>12.647475242614746</v>
      </c>
      <c r="G111">
        <v>14.81472110748291</v>
      </c>
      <c r="H111">
        <v>2.6387898921966553</v>
      </c>
      <c r="I111">
        <v>3.271594762802124</v>
      </c>
      <c r="J111">
        <v>6.0042452812194824</v>
      </c>
      <c r="K111">
        <v>7.0598335266113281</v>
      </c>
      <c r="L111">
        <v>2.0910749435424805</v>
      </c>
      <c r="M111">
        <v>3.7002017498016357</v>
      </c>
      <c r="N111">
        <v>2.2459542751312256</v>
      </c>
    </row>
    <row r="112" spans="1:14" x14ac:dyDescent="0.25">
      <c r="A112">
        <v>410</v>
      </c>
      <c r="B112">
        <v>3.3327696323394775</v>
      </c>
      <c r="C112">
        <v>5.4493851661682129</v>
      </c>
      <c r="D112">
        <v>28.431367874145508</v>
      </c>
      <c r="E112">
        <v>13.041388511657715</v>
      </c>
      <c r="F112">
        <v>13.160795211791992</v>
      </c>
      <c r="G112">
        <v>15.277342796325684</v>
      </c>
      <c r="H112">
        <v>2.7116997241973877</v>
      </c>
      <c r="I112">
        <v>3.2504825592041016</v>
      </c>
      <c r="J112">
        <v>5.806300163269043</v>
      </c>
      <c r="K112">
        <v>6.6328988075256348</v>
      </c>
      <c r="L112">
        <v>2.0664348602294922</v>
      </c>
      <c r="M112">
        <v>3.4956150054931641</v>
      </c>
      <c r="N112">
        <v>2.2508540153503418</v>
      </c>
    </row>
    <row r="113" spans="1:14" x14ac:dyDescent="0.25">
      <c r="A113">
        <v>412</v>
      </c>
      <c r="B113">
        <v>3.0685203075408936</v>
      </c>
      <c r="C113">
        <v>5.4492988586425781</v>
      </c>
      <c r="D113">
        <v>26.912799835205078</v>
      </c>
      <c r="E113">
        <v>12.202133178710938</v>
      </c>
      <c r="F113">
        <v>13.776009559631348</v>
      </c>
      <c r="G113">
        <v>15.704014778137207</v>
      </c>
      <c r="H113">
        <v>2.5593945980072021</v>
      </c>
      <c r="I113">
        <v>3.278501033782959</v>
      </c>
      <c r="J113">
        <v>6.1929192543029785</v>
      </c>
      <c r="K113">
        <v>6.2564873695373535</v>
      </c>
      <c r="L113">
        <v>2.0518770217895508</v>
      </c>
      <c r="M113">
        <v>3.3813934326171875</v>
      </c>
      <c r="N113">
        <v>2.2507798671722412</v>
      </c>
    </row>
    <row r="114" spans="1:14" x14ac:dyDescent="0.25">
      <c r="A114">
        <v>414</v>
      </c>
      <c r="B114">
        <v>2.8767790794372559</v>
      </c>
      <c r="C114">
        <v>5.6683440208435059</v>
      </c>
      <c r="D114">
        <v>24.35826301574707</v>
      </c>
      <c r="E114">
        <v>11.231710433959961</v>
      </c>
      <c r="F114">
        <v>14.504294395446777</v>
      </c>
      <c r="G114">
        <v>16.169761657714844</v>
      </c>
      <c r="H114">
        <v>2.4408242702484131</v>
      </c>
      <c r="I114">
        <v>3.3015687465667725</v>
      </c>
      <c r="J114">
        <v>6.4212498664855957</v>
      </c>
      <c r="K114">
        <v>6.2353057861328125</v>
      </c>
      <c r="L114">
        <v>2.0399222373962402</v>
      </c>
      <c r="M114">
        <v>3.2509009838104248</v>
      </c>
      <c r="N114">
        <v>2.2458744049072266</v>
      </c>
    </row>
    <row r="115" spans="1:14" x14ac:dyDescent="0.25">
      <c r="A115">
        <v>416</v>
      </c>
      <c r="B115">
        <v>2.7157225608825684</v>
      </c>
      <c r="C115">
        <v>5.6917414665222168</v>
      </c>
      <c r="D115">
        <v>21.952445983886719</v>
      </c>
      <c r="E115">
        <v>10.091093063354492</v>
      </c>
      <c r="F115">
        <v>14.992561340332031</v>
      </c>
      <c r="G115">
        <v>16.628208160400391</v>
      </c>
      <c r="H115">
        <v>2.5107934474945068</v>
      </c>
      <c r="I115">
        <v>3.3224248886108398</v>
      </c>
      <c r="J115">
        <v>5.989018440246582</v>
      </c>
      <c r="K115">
        <v>6.2979702949523926</v>
      </c>
      <c r="L115">
        <v>2.0429046154022217</v>
      </c>
      <c r="M115">
        <v>3.153080940246582</v>
      </c>
      <c r="N115">
        <v>2.2489140033721924</v>
      </c>
    </row>
    <row r="116" spans="1:14" x14ac:dyDescent="0.25">
      <c r="A116">
        <v>418</v>
      </c>
      <c r="B116">
        <v>2.576392650604248</v>
      </c>
      <c r="C116">
        <v>5.4030742645263672</v>
      </c>
      <c r="D116">
        <v>19.770029067993164</v>
      </c>
      <c r="E116">
        <v>8.8055238723754883</v>
      </c>
      <c r="F116">
        <v>15.485027313232422</v>
      </c>
      <c r="G116">
        <v>17.110773086547852</v>
      </c>
      <c r="H116">
        <v>2.5429272651672363</v>
      </c>
      <c r="I116">
        <v>3.3101077079772949</v>
      </c>
      <c r="J116">
        <v>5.918705940246582</v>
      </c>
      <c r="K116">
        <v>5.948615550994873</v>
      </c>
      <c r="L116">
        <v>2.0551478862762451</v>
      </c>
      <c r="M116">
        <v>3.1292240619659424</v>
      </c>
      <c r="N116">
        <v>2.2487301826477051</v>
      </c>
    </row>
    <row r="117" spans="1:14" x14ac:dyDescent="0.25">
      <c r="A117">
        <v>420</v>
      </c>
      <c r="B117">
        <v>2.4915571212768555</v>
      </c>
      <c r="C117">
        <v>5.3144783973693848</v>
      </c>
      <c r="D117">
        <v>17.818321228027344</v>
      </c>
      <c r="E117">
        <v>7.7717761993408203</v>
      </c>
      <c r="F117">
        <v>16.093955993652344</v>
      </c>
      <c r="G117">
        <v>17.402923583984375</v>
      </c>
      <c r="H117">
        <v>2.4555597305297852</v>
      </c>
      <c r="I117">
        <v>3.2656426429748535</v>
      </c>
      <c r="J117">
        <v>6.1489310264587402</v>
      </c>
      <c r="K117">
        <v>5.4371490478515625</v>
      </c>
      <c r="L117">
        <v>2.0654687881469727</v>
      </c>
      <c r="M117">
        <v>3.0224575996398926</v>
      </c>
      <c r="N117">
        <v>2.2381348609924316</v>
      </c>
    </row>
    <row r="118" spans="1:14" x14ac:dyDescent="0.25">
      <c r="A118">
        <v>422</v>
      </c>
      <c r="B118">
        <v>2.3960025310516357</v>
      </c>
      <c r="C118">
        <v>5.2370109558105469</v>
      </c>
      <c r="D118">
        <v>16.179868698120117</v>
      </c>
      <c r="E118">
        <v>6.9847345352172852</v>
      </c>
      <c r="F118">
        <v>16.6190185546875</v>
      </c>
      <c r="G118">
        <v>17.535877227783203</v>
      </c>
      <c r="H118">
        <v>2.4007835388183594</v>
      </c>
      <c r="I118">
        <v>3.2906138896942139</v>
      </c>
      <c r="J118">
        <v>6.0616321563720703</v>
      </c>
      <c r="K118">
        <v>5.2496776580810547</v>
      </c>
      <c r="L118">
        <v>2.0749523639678955</v>
      </c>
      <c r="M118">
        <v>2.9555399417877197</v>
      </c>
      <c r="N118">
        <v>2.2297968864440918</v>
      </c>
    </row>
    <row r="119" spans="1:14" x14ac:dyDescent="0.25">
      <c r="A119">
        <v>424</v>
      </c>
      <c r="B119">
        <v>2.2901902198791504</v>
      </c>
      <c r="C119">
        <v>5.3328819274902344</v>
      </c>
      <c r="D119">
        <v>15.135889053344727</v>
      </c>
      <c r="E119">
        <v>6.2594857215881348</v>
      </c>
      <c r="F119">
        <v>17.198575973510742</v>
      </c>
      <c r="G119">
        <v>17.785043716430664</v>
      </c>
      <c r="H119">
        <v>2.4282450675964355</v>
      </c>
      <c r="I119">
        <v>3.3383824825286865</v>
      </c>
      <c r="J119">
        <v>6.1400661468505859</v>
      </c>
      <c r="K119">
        <v>5.0568537712097168</v>
      </c>
      <c r="L119">
        <v>2.0809578895568848</v>
      </c>
      <c r="M119">
        <v>2.9339442253112793</v>
      </c>
      <c r="N119">
        <v>2.2418031692504883</v>
      </c>
    </row>
    <row r="120" spans="1:14" x14ac:dyDescent="0.25">
      <c r="A120">
        <v>426</v>
      </c>
      <c r="B120">
        <v>2.2094111442565918</v>
      </c>
      <c r="C120">
        <v>5.4180736541748047</v>
      </c>
      <c r="D120">
        <v>13.677019119262695</v>
      </c>
      <c r="E120">
        <v>5.6115331649780273</v>
      </c>
      <c r="F120">
        <v>17.964748382568359</v>
      </c>
      <c r="G120">
        <v>18.161046981811523</v>
      </c>
      <c r="H120">
        <v>2.3990354537963867</v>
      </c>
      <c r="I120">
        <v>3.3294875621795654</v>
      </c>
      <c r="J120">
        <v>6.8954381942749023</v>
      </c>
      <c r="K120">
        <v>4.808382511138916</v>
      </c>
      <c r="L120">
        <v>2.053746223449707</v>
      </c>
      <c r="M120">
        <v>2.9305033683776855</v>
      </c>
      <c r="N120">
        <v>2.2494328022003174</v>
      </c>
    </row>
    <row r="121" spans="1:14" x14ac:dyDescent="0.25">
      <c r="A121">
        <v>428</v>
      </c>
      <c r="B121">
        <v>2.1707437038421631</v>
      </c>
      <c r="C121">
        <v>5.5477619171142578</v>
      </c>
      <c r="D121">
        <v>12.242738723754883</v>
      </c>
      <c r="E121">
        <v>5.0730695724487305</v>
      </c>
      <c r="F121">
        <v>18.881330490112305</v>
      </c>
      <c r="G121">
        <v>18.465932846069336</v>
      </c>
      <c r="H121">
        <v>2.2890090942382813</v>
      </c>
      <c r="I121">
        <v>3.2976956367492676</v>
      </c>
      <c r="J121">
        <v>6.7537298202514648</v>
      </c>
      <c r="K121">
        <v>4.4883036613464355</v>
      </c>
      <c r="L121">
        <v>2.0347447395324707</v>
      </c>
      <c r="M121">
        <v>2.9757921695709229</v>
      </c>
      <c r="N121">
        <v>2.2551670074462891</v>
      </c>
    </row>
    <row r="122" spans="1:14" x14ac:dyDescent="0.25">
      <c r="A122">
        <v>430</v>
      </c>
      <c r="B122">
        <v>2.2183215618133545</v>
      </c>
      <c r="C122">
        <v>5.5874028205871582</v>
      </c>
      <c r="D122">
        <v>11.758748054504395</v>
      </c>
      <c r="E122">
        <v>4.7121782302856445</v>
      </c>
      <c r="F122">
        <v>19.694120407104492</v>
      </c>
      <c r="G122">
        <v>18.736013412475586</v>
      </c>
      <c r="H122">
        <v>2.2693400382995605</v>
      </c>
      <c r="I122">
        <v>3.2541420459747314</v>
      </c>
      <c r="J122">
        <v>6.3060693740844727</v>
      </c>
      <c r="K122">
        <v>4.3023338317871094</v>
      </c>
      <c r="L122">
        <v>2.0552701950073242</v>
      </c>
      <c r="M122">
        <v>2.866666316986084</v>
      </c>
      <c r="N122">
        <v>2.2603332996368408</v>
      </c>
    </row>
    <row r="123" spans="1:14" x14ac:dyDescent="0.25">
      <c r="A123">
        <v>432</v>
      </c>
      <c r="B123">
        <v>2.2237050533294678</v>
      </c>
      <c r="C123">
        <v>5.4509062767028809</v>
      </c>
      <c r="D123">
        <v>11.158774375915527</v>
      </c>
      <c r="E123">
        <v>4.5564632415771484</v>
      </c>
      <c r="F123">
        <v>20.493387222290039</v>
      </c>
      <c r="G123">
        <v>19.04798698425293</v>
      </c>
      <c r="H123">
        <v>2.3698258399963379</v>
      </c>
      <c r="I123">
        <v>3.2370309829711914</v>
      </c>
      <c r="J123">
        <v>6.4437174797058105</v>
      </c>
      <c r="K123">
        <v>4.4201235771179199</v>
      </c>
      <c r="L123">
        <v>2.0675575733184814</v>
      </c>
      <c r="M123">
        <v>2.8519523143768311</v>
      </c>
      <c r="N123">
        <v>2.2463767528533936</v>
      </c>
    </row>
    <row r="124" spans="1:14" x14ac:dyDescent="0.25">
      <c r="A124">
        <v>434</v>
      </c>
      <c r="B124">
        <v>2.200115442276001</v>
      </c>
      <c r="C124">
        <v>5.4790210723876953</v>
      </c>
      <c r="D124">
        <v>12.083428382873535</v>
      </c>
      <c r="E124">
        <v>4.4368610382080078</v>
      </c>
      <c r="F124">
        <v>21.029481887817383</v>
      </c>
      <c r="G124">
        <v>19.21946907043457</v>
      </c>
      <c r="H124">
        <v>2.4521944522857666</v>
      </c>
      <c r="I124">
        <v>3.2676410675048828</v>
      </c>
      <c r="J124">
        <v>7.1538839340209961</v>
      </c>
      <c r="K124">
        <v>4.3619956970214844</v>
      </c>
      <c r="L124">
        <v>2.0620975494384766</v>
      </c>
      <c r="M124">
        <v>2.8418591022491455</v>
      </c>
      <c r="N124">
        <v>2.2369863986968994</v>
      </c>
    </row>
    <row r="125" spans="1:14" x14ac:dyDescent="0.25">
      <c r="A125">
        <v>436</v>
      </c>
      <c r="B125">
        <v>2.248896598815918</v>
      </c>
      <c r="C125">
        <v>5.2928953170776367</v>
      </c>
      <c r="D125">
        <v>11.634684562683105</v>
      </c>
      <c r="E125">
        <v>4.2589144706726074</v>
      </c>
      <c r="F125">
        <v>21.479909896850586</v>
      </c>
      <c r="G125">
        <v>19.51344108581543</v>
      </c>
      <c r="H125">
        <v>2.3987576961517334</v>
      </c>
      <c r="I125">
        <v>3.2802712917327881</v>
      </c>
      <c r="J125">
        <v>7.187720775604248</v>
      </c>
      <c r="K125">
        <v>4.3252453804016113</v>
      </c>
      <c r="L125">
        <v>2.0515539646148682</v>
      </c>
      <c r="M125">
        <v>2.6860842704772949</v>
      </c>
      <c r="N125">
        <v>2.2513964176177979</v>
      </c>
    </row>
    <row r="126" spans="1:14" x14ac:dyDescent="0.25">
      <c r="A126">
        <v>438</v>
      </c>
      <c r="B126">
        <v>2.2171390056610107</v>
      </c>
      <c r="C126">
        <v>5.0153045654296875</v>
      </c>
      <c r="D126">
        <v>9.7598114013671875</v>
      </c>
      <c r="E126">
        <v>4.1901898384094238</v>
      </c>
      <c r="F126">
        <v>22.346481323242188</v>
      </c>
      <c r="G126">
        <v>19.777551651000977</v>
      </c>
      <c r="H126">
        <v>2.3592724800109863</v>
      </c>
      <c r="I126">
        <v>3.2749505043029785</v>
      </c>
      <c r="J126">
        <v>6.4008798599243164</v>
      </c>
      <c r="K126">
        <v>4.4388246536254883</v>
      </c>
      <c r="L126">
        <v>2.0157525539398193</v>
      </c>
      <c r="M126">
        <v>2.7037804126739502</v>
      </c>
      <c r="N126">
        <v>2.2564356327056885</v>
      </c>
    </row>
    <row r="127" spans="1:14" x14ac:dyDescent="0.25">
      <c r="A127">
        <v>440</v>
      </c>
      <c r="B127">
        <v>2.157322883605957</v>
      </c>
      <c r="C127">
        <v>5.2134575843811035</v>
      </c>
      <c r="D127">
        <v>9.5872659683227539</v>
      </c>
      <c r="E127">
        <v>4.0615081787109375</v>
      </c>
      <c r="F127">
        <v>22.992656707763672</v>
      </c>
      <c r="G127">
        <v>19.735977172851563</v>
      </c>
      <c r="H127">
        <v>2.4510998725891113</v>
      </c>
      <c r="I127">
        <v>3.215287446975708</v>
      </c>
      <c r="J127">
        <v>6.3009262084960938</v>
      </c>
      <c r="K127">
        <v>4.101872444152832</v>
      </c>
      <c r="L127">
        <v>2.0286669731140137</v>
      </c>
      <c r="M127">
        <v>2.8417444229125977</v>
      </c>
      <c r="N127">
        <v>2.2500226497650146</v>
      </c>
    </row>
    <row r="128" spans="1:14" x14ac:dyDescent="0.25">
      <c r="A128">
        <v>442</v>
      </c>
      <c r="B128">
        <v>2.1271262168884277</v>
      </c>
      <c r="C128">
        <v>5.7136697769165039</v>
      </c>
      <c r="D128">
        <v>9.9705295562744141</v>
      </c>
      <c r="E128">
        <v>3.8941295146942139</v>
      </c>
      <c r="F128">
        <v>23.655012130737305</v>
      </c>
      <c r="G128">
        <v>19.725925445556641</v>
      </c>
      <c r="H128">
        <v>2.4630908966064453</v>
      </c>
      <c r="I128">
        <v>3.1989548206329346</v>
      </c>
      <c r="J128">
        <v>6.7016215324401855</v>
      </c>
      <c r="K128">
        <v>3.6715109348297119</v>
      </c>
      <c r="L128">
        <v>2.0707342624664307</v>
      </c>
      <c r="M128">
        <v>2.8853292465209961</v>
      </c>
      <c r="N128">
        <v>2.2438778877258301</v>
      </c>
    </row>
    <row r="129" spans="1:14" x14ac:dyDescent="0.25">
      <c r="A129">
        <v>444</v>
      </c>
      <c r="B129">
        <v>2.1460542678833008</v>
      </c>
      <c r="C129">
        <v>5.8186130523681641</v>
      </c>
      <c r="D129">
        <v>10.214197158813477</v>
      </c>
      <c r="E129">
        <v>3.9455771446228027</v>
      </c>
      <c r="F129">
        <v>24.685447692871094</v>
      </c>
      <c r="G129">
        <v>19.680948257446289</v>
      </c>
      <c r="H129">
        <v>2.3417596817016602</v>
      </c>
      <c r="I129">
        <v>3.2258388996124268</v>
      </c>
      <c r="J129">
        <v>7.1019105911254883</v>
      </c>
      <c r="K129">
        <v>3.917860746383667</v>
      </c>
      <c r="L129">
        <v>2.0515477657318115</v>
      </c>
      <c r="M129">
        <v>2.8043694496154785</v>
      </c>
      <c r="N129">
        <v>2.2430005073547363</v>
      </c>
    </row>
    <row r="130" spans="1:14" x14ac:dyDescent="0.25">
      <c r="A130">
        <v>446</v>
      </c>
      <c r="B130">
        <v>2.1692862510681152</v>
      </c>
      <c r="C130">
        <v>5.4510617256164551</v>
      </c>
      <c r="D130">
        <v>10.57468318939209</v>
      </c>
      <c r="E130">
        <v>4.0008029937744141</v>
      </c>
      <c r="F130">
        <v>25.131082534790039</v>
      </c>
      <c r="G130">
        <v>19.681678771972656</v>
      </c>
      <c r="H130">
        <v>2.4662110805511475</v>
      </c>
      <c r="I130">
        <v>3.2417917251586914</v>
      </c>
      <c r="J130">
        <v>7.1313486099243164</v>
      </c>
      <c r="K130">
        <v>4.1043205261230469</v>
      </c>
      <c r="L130">
        <v>2.0297205448150635</v>
      </c>
      <c r="M130">
        <v>2.8125622272491455</v>
      </c>
      <c r="N130">
        <v>2.2393577098846436</v>
      </c>
    </row>
    <row r="131" spans="1:14" x14ac:dyDescent="0.25">
      <c r="A131">
        <v>448</v>
      </c>
      <c r="B131">
        <v>2.1323652267456055</v>
      </c>
      <c r="C131">
        <v>5.3077216148376465</v>
      </c>
      <c r="D131">
        <v>10.25285816192627</v>
      </c>
      <c r="E131">
        <v>3.971808910369873</v>
      </c>
      <c r="F131">
        <v>25.872888565063477</v>
      </c>
      <c r="G131">
        <v>19.629348754882813</v>
      </c>
      <c r="H131">
        <v>2.559459924697876</v>
      </c>
      <c r="I131">
        <v>3.2425179481506348</v>
      </c>
      <c r="J131">
        <v>6.5624842643737793</v>
      </c>
      <c r="K131">
        <v>3.7930212020874023</v>
      </c>
      <c r="L131">
        <v>2.0386617183685303</v>
      </c>
      <c r="M131">
        <v>2.7952756881713867</v>
      </c>
      <c r="N131">
        <v>2.2305660247802734</v>
      </c>
    </row>
    <row r="132" spans="1:14" x14ac:dyDescent="0.25">
      <c r="A132">
        <v>450</v>
      </c>
      <c r="B132">
        <v>2.116950511932373</v>
      </c>
      <c r="C132">
        <v>5.4226698875427246</v>
      </c>
      <c r="D132">
        <v>9.3861598968505859</v>
      </c>
      <c r="E132">
        <v>4.0440530776977539</v>
      </c>
      <c r="F132">
        <v>27.13722038269043</v>
      </c>
      <c r="G132">
        <v>19.384729385375977</v>
      </c>
      <c r="H132">
        <v>2.5016777515411377</v>
      </c>
      <c r="I132">
        <v>3.204674243927002</v>
      </c>
      <c r="J132">
        <v>6.7232093811035156</v>
      </c>
      <c r="K132">
        <v>3.687340259552002</v>
      </c>
      <c r="L132">
        <v>2.0392606258392334</v>
      </c>
      <c r="M132">
        <v>2.831634521484375</v>
      </c>
      <c r="N132">
        <v>2.2373702526092529</v>
      </c>
    </row>
    <row r="133" spans="1:14" x14ac:dyDescent="0.25">
      <c r="A133">
        <v>452</v>
      </c>
      <c r="B133">
        <v>2.1717751026153564</v>
      </c>
      <c r="C133">
        <v>5.3565211296081543</v>
      </c>
      <c r="D133">
        <v>9.0885066986083984</v>
      </c>
      <c r="E133">
        <v>4.0620875358581543</v>
      </c>
      <c r="F133">
        <v>28.213064193725586</v>
      </c>
      <c r="G133">
        <v>19.214178085327148</v>
      </c>
      <c r="H133">
        <v>2.5399868488311768</v>
      </c>
      <c r="I133">
        <v>3.2113051414489746</v>
      </c>
      <c r="J133">
        <v>7.2341446876525879</v>
      </c>
      <c r="K133">
        <v>3.5194840431213379</v>
      </c>
      <c r="L133">
        <v>2.0119829177856445</v>
      </c>
      <c r="M133">
        <v>2.8590798377990723</v>
      </c>
      <c r="N133">
        <v>2.2398614883422852</v>
      </c>
    </row>
    <row r="134" spans="1:14" x14ac:dyDescent="0.25">
      <c r="A134">
        <v>454</v>
      </c>
      <c r="B134">
        <v>2.1593513488769531</v>
      </c>
      <c r="C134">
        <v>5.1156859397888184</v>
      </c>
      <c r="D134">
        <v>8.9353961944580078</v>
      </c>
      <c r="E134">
        <v>4.0249404907226563</v>
      </c>
      <c r="F134">
        <v>29.554712295532227</v>
      </c>
      <c r="G134">
        <v>19.103933334350586</v>
      </c>
      <c r="H134">
        <v>2.5236666202545166</v>
      </c>
      <c r="I134">
        <v>3.217670202255249</v>
      </c>
      <c r="J134">
        <v>7.1766219139099121</v>
      </c>
      <c r="K134">
        <v>3.333416223526001</v>
      </c>
      <c r="L134">
        <v>2.0173549652099609</v>
      </c>
      <c r="M134">
        <v>2.6812176704406738</v>
      </c>
      <c r="N134">
        <v>2.2359592914581299</v>
      </c>
    </row>
    <row r="135" spans="1:14" x14ac:dyDescent="0.25">
      <c r="A135">
        <v>456</v>
      </c>
      <c r="B135">
        <v>2.133760929107666</v>
      </c>
      <c r="C135">
        <v>5.0292501449584961</v>
      </c>
      <c r="D135">
        <v>9.1679182052612305</v>
      </c>
      <c r="E135">
        <v>3.9401953220367432</v>
      </c>
      <c r="F135">
        <v>30.695014953613281</v>
      </c>
      <c r="G135">
        <v>19.069404602050781</v>
      </c>
      <c r="H135">
        <v>2.4389455318450928</v>
      </c>
      <c r="I135">
        <v>3.1987981796264648</v>
      </c>
      <c r="J135">
        <v>6.5894861221313477</v>
      </c>
      <c r="K135">
        <v>3.5486295223236084</v>
      </c>
      <c r="L135">
        <v>2.0470883846282959</v>
      </c>
      <c r="M135">
        <v>2.6957352161407471</v>
      </c>
      <c r="N135">
        <v>2.2423396110534668</v>
      </c>
    </row>
    <row r="136" spans="1:14" x14ac:dyDescent="0.25">
      <c r="A136">
        <v>458</v>
      </c>
      <c r="B136">
        <v>2.193742036819458</v>
      </c>
      <c r="C136">
        <v>4.7403755187988281</v>
      </c>
      <c r="D136">
        <v>9.0269975662231445</v>
      </c>
      <c r="E136">
        <v>4.0006871223449707</v>
      </c>
      <c r="F136">
        <v>31.671785354614258</v>
      </c>
      <c r="G136">
        <v>18.958536148071289</v>
      </c>
      <c r="H136">
        <v>2.3488659858703613</v>
      </c>
      <c r="I136">
        <v>3.2090599536895752</v>
      </c>
      <c r="J136">
        <v>6.7158327102661133</v>
      </c>
      <c r="K136">
        <v>3.6051583290100098</v>
      </c>
      <c r="L136">
        <v>2.0363597869873047</v>
      </c>
      <c r="M136">
        <v>2.7514941692352295</v>
      </c>
      <c r="N136">
        <v>2.24149489402771</v>
      </c>
    </row>
    <row r="137" spans="1:14" x14ac:dyDescent="0.25">
      <c r="A137">
        <v>460</v>
      </c>
      <c r="B137">
        <v>2.1661233901977539</v>
      </c>
      <c r="C137">
        <v>4.6482372283935547</v>
      </c>
      <c r="D137">
        <v>8.5557537078857422</v>
      </c>
      <c r="E137">
        <v>4.1165556907653809</v>
      </c>
      <c r="F137">
        <v>32.426048278808594</v>
      </c>
      <c r="G137">
        <v>18.827564239501953</v>
      </c>
      <c r="H137">
        <v>2.350614070892334</v>
      </c>
      <c r="I137">
        <v>3.1303586959838867</v>
      </c>
      <c r="J137">
        <v>7.2208127975463867</v>
      </c>
      <c r="K137">
        <v>3.5984022617340088</v>
      </c>
      <c r="L137">
        <v>2.0283312797546387</v>
      </c>
      <c r="M137">
        <v>2.6150047779083252</v>
      </c>
      <c r="N137">
        <v>2.2287623882293701</v>
      </c>
    </row>
    <row r="138" spans="1:14" x14ac:dyDescent="0.25">
      <c r="A138">
        <v>462</v>
      </c>
      <c r="B138">
        <v>2.7484564781188965</v>
      </c>
      <c r="C138">
        <v>4.258601188659668</v>
      </c>
      <c r="D138">
        <v>8.6745929718017578</v>
      </c>
      <c r="E138">
        <v>2.7849652767181396</v>
      </c>
      <c r="F138">
        <v>33.194732666015625</v>
      </c>
      <c r="G138">
        <v>17.38463020324707</v>
      </c>
      <c r="H138">
        <v>4.0296635627746582</v>
      </c>
      <c r="I138">
        <v>2.3984191417694092</v>
      </c>
      <c r="J138">
        <v>5.8565139770507813</v>
      </c>
      <c r="K138">
        <v>4.1617302894592285</v>
      </c>
      <c r="L138">
        <v>2.09897780418396</v>
      </c>
      <c r="M138">
        <v>2.1608378887176514</v>
      </c>
      <c r="N138">
        <v>2.1758005619049072</v>
      </c>
    </row>
    <row r="139" spans="1:14" x14ac:dyDescent="0.25">
      <c r="A139">
        <v>464</v>
      </c>
      <c r="B139">
        <v>3.1941201686859131</v>
      </c>
      <c r="C139">
        <v>4.6635994911193848</v>
      </c>
      <c r="D139">
        <v>10.64469051361084</v>
      </c>
      <c r="E139">
        <v>2</v>
      </c>
      <c r="F139">
        <v>33.573230743408203</v>
      </c>
      <c r="G139">
        <v>16.685884475708008</v>
      </c>
      <c r="H139">
        <v>5.0518383979797363</v>
      </c>
      <c r="I139">
        <v>2</v>
      </c>
      <c r="J139">
        <v>5.4091916084289551</v>
      </c>
      <c r="K139">
        <v>4.1027536392211914</v>
      </c>
      <c r="L139">
        <v>2.1715312004089355</v>
      </c>
      <c r="M139">
        <v>2</v>
      </c>
      <c r="N139">
        <v>2.1226904392242432</v>
      </c>
    </row>
    <row r="140" spans="1:14" x14ac:dyDescent="0.25">
      <c r="A140">
        <v>466</v>
      </c>
      <c r="B140">
        <v>2.6279098987579346</v>
      </c>
      <c r="C140">
        <v>5.4099516868591309</v>
      </c>
      <c r="D140">
        <v>10.497361183166504</v>
      </c>
      <c r="E140">
        <v>3.1245431900024414</v>
      </c>
      <c r="F140">
        <v>32.991584777832031</v>
      </c>
      <c r="G140">
        <v>18.054603576660156</v>
      </c>
      <c r="H140">
        <v>3.4636034965515137</v>
      </c>
      <c r="I140">
        <v>2.6009368896484375</v>
      </c>
      <c r="J140">
        <v>6.3713741302490234</v>
      </c>
      <c r="K140">
        <v>3.8185439109802246</v>
      </c>
      <c r="L140">
        <v>2.1147994995117188</v>
      </c>
      <c r="M140">
        <v>2.249826192855835</v>
      </c>
      <c r="N140">
        <v>2.1666724681854248</v>
      </c>
    </row>
    <row r="141" spans="1:14" x14ac:dyDescent="0.25">
      <c r="A141">
        <v>468</v>
      </c>
      <c r="B141">
        <v>2.2059526443481445</v>
      </c>
      <c r="C141">
        <v>5.1403274536132813</v>
      </c>
      <c r="D141">
        <v>8.1747884750366211</v>
      </c>
      <c r="E141">
        <v>3.8213329315185547</v>
      </c>
      <c r="F141">
        <v>32.573184967041016</v>
      </c>
      <c r="G141">
        <v>18.81593132019043</v>
      </c>
      <c r="H141">
        <v>2.4116144180297852</v>
      </c>
      <c r="I141">
        <v>3.054861307144165</v>
      </c>
      <c r="J141">
        <v>6.8369007110595703</v>
      </c>
      <c r="K141">
        <v>3.9476916790008545</v>
      </c>
      <c r="L141">
        <v>2.0558755397796631</v>
      </c>
      <c r="M141">
        <v>2.4922628402709961</v>
      </c>
      <c r="N141">
        <v>2.2176127433776855</v>
      </c>
    </row>
    <row r="142" spans="1:14" x14ac:dyDescent="0.25">
      <c r="A142">
        <v>470</v>
      </c>
      <c r="B142">
        <v>2.1791524887084961</v>
      </c>
      <c r="C142">
        <v>5.6906871795654297</v>
      </c>
      <c r="D142">
        <v>8.5209941864013672</v>
      </c>
      <c r="E142">
        <v>3.6697251796722412</v>
      </c>
      <c r="F142">
        <v>32.568534851074219</v>
      </c>
      <c r="G142">
        <v>18.745824813842773</v>
      </c>
      <c r="H142">
        <v>2.384528636932373</v>
      </c>
      <c r="I142">
        <v>3.0270516872406006</v>
      </c>
      <c r="J142">
        <v>6.7237505912780762</v>
      </c>
      <c r="K142">
        <v>4.1719455718994141</v>
      </c>
      <c r="L142">
        <v>2.0417788028717041</v>
      </c>
      <c r="M142">
        <v>2.6254913806915283</v>
      </c>
      <c r="N142">
        <v>2.2054493427276611</v>
      </c>
    </row>
    <row r="143" spans="1:14" x14ac:dyDescent="0.25">
      <c r="A143">
        <v>472</v>
      </c>
      <c r="B143">
        <v>2.1911087036132813</v>
      </c>
      <c r="C143">
        <v>6.2174935340881348</v>
      </c>
      <c r="D143">
        <v>9.334263801574707</v>
      </c>
      <c r="E143">
        <v>3.7967851161956787</v>
      </c>
      <c r="F143">
        <v>32.757190704345703</v>
      </c>
      <c r="G143">
        <v>18.661054611206055</v>
      </c>
      <c r="H143">
        <v>2.3810489177703857</v>
      </c>
      <c r="I143">
        <v>2.9647257328033447</v>
      </c>
      <c r="J143">
        <v>7.3535885810852051</v>
      </c>
      <c r="K143">
        <v>3.7993528842926025</v>
      </c>
      <c r="L143">
        <v>2</v>
      </c>
      <c r="M143">
        <v>2.8118574619293213</v>
      </c>
      <c r="N143">
        <v>2.231391429901123</v>
      </c>
    </row>
    <row r="144" spans="1:14" x14ac:dyDescent="0.25">
      <c r="A144">
        <v>474</v>
      </c>
      <c r="B144">
        <v>2.1845633983612061</v>
      </c>
      <c r="C144">
        <v>5.5392775535583496</v>
      </c>
      <c r="D144">
        <v>8.4892997741699219</v>
      </c>
      <c r="E144">
        <v>3.9236135482788086</v>
      </c>
      <c r="F144">
        <v>33.149753570556641</v>
      </c>
      <c r="G144">
        <v>18.256546020507813</v>
      </c>
      <c r="H144">
        <v>2.4571115970611572</v>
      </c>
      <c r="I144">
        <v>2.9914627075195313</v>
      </c>
      <c r="J144">
        <v>7.2886896133422852</v>
      </c>
      <c r="K144">
        <v>3.2564237117767334</v>
      </c>
      <c r="L144">
        <v>2.0113964080810547</v>
      </c>
      <c r="M144">
        <v>2.8278660774230957</v>
      </c>
      <c r="N144">
        <v>2.2606534957885742</v>
      </c>
    </row>
    <row r="145" spans="1:14" x14ac:dyDescent="0.25">
      <c r="A145">
        <v>476</v>
      </c>
      <c r="B145">
        <v>2.1138086318969727</v>
      </c>
      <c r="C145">
        <v>4.8855643272399902</v>
      </c>
      <c r="D145">
        <v>7.7006893157958984</v>
      </c>
      <c r="E145">
        <v>3.7555930614471436</v>
      </c>
      <c r="F145">
        <v>33.627723693847656</v>
      </c>
      <c r="G145">
        <v>17.864004135131836</v>
      </c>
      <c r="H145">
        <v>2.4389944076538086</v>
      </c>
      <c r="I145">
        <v>2.9447953701019287</v>
      </c>
      <c r="J145">
        <v>6.9318466186523438</v>
      </c>
      <c r="K145">
        <v>3.7926621437072754</v>
      </c>
      <c r="L145">
        <v>2.0665979385375977</v>
      </c>
      <c r="M145">
        <v>2.657557487487793</v>
      </c>
      <c r="N145">
        <v>2.2435133457183838</v>
      </c>
    </row>
    <row r="146" spans="1:14" x14ac:dyDescent="0.25">
      <c r="A146">
        <v>478</v>
      </c>
      <c r="B146">
        <v>2.1767115592956543</v>
      </c>
      <c r="C146">
        <v>5.1737303733825684</v>
      </c>
      <c r="D146">
        <v>8.974614143371582</v>
      </c>
      <c r="E146">
        <v>3.7243449687957764</v>
      </c>
      <c r="F146">
        <v>34.646583557128906</v>
      </c>
      <c r="G146">
        <v>17.918354034423828</v>
      </c>
      <c r="H146">
        <v>2.5480897426605225</v>
      </c>
      <c r="I146">
        <v>2.8919196128845215</v>
      </c>
      <c r="J146">
        <v>6.3723893165588379</v>
      </c>
      <c r="K146">
        <v>3.9826793670654297</v>
      </c>
      <c r="L146">
        <v>2.0858783721923828</v>
      </c>
      <c r="M146">
        <v>2.5768435001373291</v>
      </c>
      <c r="N146">
        <v>2.2377688884735107</v>
      </c>
    </row>
    <row r="147" spans="1:14" x14ac:dyDescent="0.25">
      <c r="A147">
        <v>480</v>
      </c>
      <c r="B147">
        <v>2.2545549869537354</v>
      </c>
      <c r="C147">
        <v>5.1566057205200195</v>
      </c>
      <c r="D147">
        <v>8.9657678604125977</v>
      </c>
      <c r="E147">
        <v>3.9340028762817383</v>
      </c>
      <c r="F147">
        <v>35.600105285644531</v>
      </c>
      <c r="G147">
        <v>17.838529586791992</v>
      </c>
      <c r="H147">
        <v>2.6696169376373291</v>
      </c>
      <c r="I147">
        <v>2.9365410804748535</v>
      </c>
      <c r="J147">
        <v>6.1699099540710449</v>
      </c>
      <c r="K147">
        <v>3.6331288814544678</v>
      </c>
      <c r="L147">
        <v>2.0395522117614746</v>
      </c>
      <c r="M147">
        <v>2.4661283493041992</v>
      </c>
      <c r="N147">
        <v>2.2364661693572998</v>
      </c>
    </row>
    <row r="148" spans="1:14" x14ac:dyDescent="0.25">
      <c r="A148">
        <v>482</v>
      </c>
      <c r="B148">
        <v>2.2693850994110107</v>
      </c>
      <c r="C148">
        <v>2.5902597904205322</v>
      </c>
      <c r="D148">
        <v>1.9999998807907104</v>
      </c>
      <c r="E148">
        <v>4.0919365882873535</v>
      </c>
      <c r="F148">
        <v>37.328811645507813</v>
      </c>
      <c r="G148">
        <v>17.387302398681641</v>
      </c>
      <c r="H148">
        <v>2.4357924461364746</v>
      </c>
      <c r="I148">
        <v>3.0025172233581543</v>
      </c>
      <c r="J148">
        <v>6.0658283233642578</v>
      </c>
      <c r="K148">
        <v>3.4542412757873535</v>
      </c>
      <c r="L148">
        <v>2.0294039249420166</v>
      </c>
      <c r="M148">
        <v>2.560671329498291</v>
      </c>
      <c r="N148">
        <v>2.2014656066894531</v>
      </c>
    </row>
    <row r="149" spans="1:14" x14ac:dyDescent="0.25">
      <c r="A149">
        <v>484</v>
      </c>
      <c r="B149">
        <v>2.2763018608093262</v>
      </c>
      <c r="C149">
        <v>2</v>
      </c>
      <c r="D149">
        <v>2.5381858348846436</v>
      </c>
      <c r="E149">
        <v>4.4329137802124023</v>
      </c>
      <c r="F149">
        <v>38.355712890625</v>
      </c>
      <c r="G149">
        <v>17.610475540161133</v>
      </c>
      <c r="H149">
        <v>2.1763525009155273</v>
      </c>
      <c r="I149">
        <v>2.9195961952209473</v>
      </c>
      <c r="J149">
        <v>7.1601095199584961</v>
      </c>
      <c r="K149">
        <v>3.5993814468383789</v>
      </c>
      <c r="L149">
        <v>2.050898551940918</v>
      </c>
      <c r="M149">
        <v>2.7631113529205322</v>
      </c>
      <c r="N149">
        <v>2.2223877906799316</v>
      </c>
    </row>
    <row r="150" spans="1:14" x14ac:dyDescent="0.25">
      <c r="A150">
        <v>486</v>
      </c>
      <c r="B150">
        <v>2.2455136775970459</v>
      </c>
      <c r="C150">
        <v>3.1504344940185547</v>
      </c>
      <c r="D150">
        <v>6.5682415962219238</v>
      </c>
      <c r="E150">
        <v>4.849663257598877</v>
      </c>
      <c r="F150">
        <v>38.053512573242188</v>
      </c>
      <c r="G150">
        <v>17.83892822265625</v>
      </c>
      <c r="H150">
        <v>2.4361355304718018</v>
      </c>
      <c r="I150">
        <v>2.8580629825592041</v>
      </c>
      <c r="J150">
        <v>8.6108283996582031</v>
      </c>
      <c r="K150">
        <v>3.3593957424163818</v>
      </c>
      <c r="L150">
        <v>2.0479695796966553</v>
      </c>
      <c r="M150">
        <v>2.7581138610839844</v>
      </c>
      <c r="N150">
        <v>2.3054625988006592</v>
      </c>
    </row>
    <row r="151" spans="1:14" x14ac:dyDescent="0.25">
      <c r="A151">
        <v>488</v>
      </c>
      <c r="B151">
        <v>2.2121613025665283</v>
      </c>
      <c r="C151">
        <v>4.0851073265075684</v>
      </c>
      <c r="D151">
        <v>7.4946374893188477</v>
      </c>
      <c r="E151">
        <v>4.5880856513977051</v>
      </c>
      <c r="F151">
        <v>38.293933868408203</v>
      </c>
      <c r="G151">
        <v>17.843196868896484</v>
      </c>
      <c r="H151">
        <v>2.6790430545806885</v>
      </c>
      <c r="I151">
        <v>2.8682537078857422</v>
      </c>
      <c r="J151">
        <v>8.1891536712646484</v>
      </c>
      <c r="K151">
        <v>3.0830192565917969</v>
      </c>
      <c r="L151">
        <v>2.0529747009277344</v>
      </c>
      <c r="M151">
        <v>2.6593434810638428</v>
      </c>
      <c r="N151">
        <v>2.3154160976409912</v>
      </c>
    </row>
    <row r="152" spans="1:14" x14ac:dyDescent="0.25">
      <c r="A152">
        <v>490</v>
      </c>
      <c r="B152">
        <v>2.1270368099212646</v>
      </c>
      <c r="C152">
        <v>5.4453072547912598</v>
      </c>
      <c r="D152">
        <v>8.3400897979736328</v>
      </c>
      <c r="E152">
        <v>3.7015881538391113</v>
      </c>
      <c r="F152">
        <v>39.319267272949219</v>
      </c>
      <c r="G152">
        <v>18.177160263061523</v>
      </c>
      <c r="H152">
        <v>2.5786063671112061</v>
      </c>
      <c r="I152">
        <v>2.9096286296844482</v>
      </c>
      <c r="J152">
        <v>6.7716636657714844</v>
      </c>
      <c r="K152">
        <v>3.3406291007995605</v>
      </c>
      <c r="L152">
        <v>2.0730488300323486</v>
      </c>
      <c r="M152">
        <v>2.7630457878112793</v>
      </c>
      <c r="N152">
        <v>2.2210733890533447</v>
      </c>
    </row>
    <row r="153" spans="1:14" x14ac:dyDescent="0.25">
      <c r="A153">
        <v>492</v>
      </c>
      <c r="B153">
        <v>2.0589909553527832</v>
      </c>
      <c r="C153">
        <v>5.9647006988525391</v>
      </c>
      <c r="D153">
        <v>8.131739616394043</v>
      </c>
      <c r="E153">
        <v>3.5218329429626465</v>
      </c>
      <c r="F153">
        <v>39.292224884033203</v>
      </c>
      <c r="G153">
        <v>18.200054168701172</v>
      </c>
      <c r="H153">
        <v>2.6389205455780029</v>
      </c>
      <c r="I153">
        <v>2.9201231002807617</v>
      </c>
      <c r="J153">
        <v>6.116447925567627</v>
      </c>
      <c r="K153">
        <v>3.1787784099578857</v>
      </c>
      <c r="L153">
        <v>2.0992443561553955</v>
      </c>
      <c r="M153">
        <v>2.8521981239318848</v>
      </c>
      <c r="N153">
        <v>2.2164506912231445</v>
      </c>
    </row>
    <row r="154" spans="1:14" x14ac:dyDescent="0.25">
      <c r="A154">
        <v>494</v>
      </c>
      <c r="B154">
        <v>2.1514031887054443</v>
      </c>
      <c r="C154">
        <v>5.8290505409240723</v>
      </c>
      <c r="D154">
        <v>8.803044319152832</v>
      </c>
      <c r="E154">
        <v>3.4238026142120361</v>
      </c>
      <c r="F154">
        <v>38.5462646484375</v>
      </c>
      <c r="G154">
        <v>18.362216949462891</v>
      </c>
      <c r="H154">
        <v>2.6981568336486816</v>
      </c>
      <c r="I154">
        <v>2.8486080169677734</v>
      </c>
      <c r="J154">
        <v>5.6696672439575195</v>
      </c>
      <c r="K154">
        <v>3.086348295211792</v>
      </c>
      <c r="L154">
        <v>2.1036694049835205</v>
      </c>
      <c r="M154">
        <v>2.7707960605621338</v>
      </c>
      <c r="N154">
        <v>2.2459750175476074</v>
      </c>
    </row>
    <row r="155" spans="1:14" x14ac:dyDescent="0.25">
      <c r="A155">
        <v>496</v>
      </c>
      <c r="B155">
        <v>2.1980528831481934</v>
      </c>
      <c r="C155">
        <v>5.2996172904968262</v>
      </c>
      <c r="D155">
        <v>9.1479263305664063</v>
      </c>
      <c r="E155">
        <v>3.5565917491912842</v>
      </c>
      <c r="F155">
        <v>37.016387939453125</v>
      </c>
      <c r="G155">
        <v>18.528619766235352</v>
      </c>
      <c r="H155">
        <v>2.6053981781005859</v>
      </c>
      <c r="I155">
        <v>2.8138589859008789</v>
      </c>
      <c r="J155">
        <v>6.1952877044677734</v>
      </c>
      <c r="K155">
        <v>3.2509078979492188</v>
      </c>
      <c r="L155">
        <v>2.1015682220458984</v>
      </c>
      <c r="M155">
        <v>2.8897695541381836</v>
      </c>
      <c r="N155">
        <v>2.2438156604766846</v>
      </c>
    </row>
    <row r="156" spans="1:14" x14ac:dyDescent="0.25">
      <c r="A156">
        <v>498</v>
      </c>
      <c r="B156">
        <v>2.2096104621887207</v>
      </c>
      <c r="C156">
        <v>5.1085491180419922</v>
      </c>
      <c r="D156">
        <v>8.068140983581543</v>
      </c>
      <c r="E156">
        <v>3.6130204200744629</v>
      </c>
      <c r="F156">
        <v>35.205783843994141</v>
      </c>
      <c r="G156">
        <v>18.389446258544922</v>
      </c>
      <c r="H156">
        <v>2.5445935726165771</v>
      </c>
      <c r="I156">
        <v>2.8368415832519531</v>
      </c>
      <c r="J156">
        <v>6.2221541404724121</v>
      </c>
      <c r="K156">
        <v>3.174959659576416</v>
      </c>
      <c r="L156">
        <v>2.118330717086792</v>
      </c>
      <c r="M156">
        <v>2.8892288208007813</v>
      </c>
      <c r="N156">
        <v>2.2337851524353027</v>
      </c>
    </row>
    <row r="157" spans="1:14" x14ac:dyDescent="0.25">
      <c r="A157">
        <v>500</v>
      </c>
      <c r="B157">
        <v>2.1907787322998047</v>
      </c>
      <c r="C157">
        <v>5.1064753532409668</v>
      </c>
      <c r="D157">
        <v>8.6852502822875977</v>
      </c>
      <c r="E157">
        <v>3.6987547874450684</v>
      </c>
      <c r="F157">
        <v>33.454963684082031</v>
      </c>
      <c r="G157">
        <v>18.510551452636719</v>
      </c>
      <c r="H157">
        <v>2.4430623054504395</v>
      </c>
      <c r="I157">
        <v>2.8205230236053467</v>
      </c>
      <c r="J157">
        <v>5.7763204574584961</v>
      </c>
      <c r="K157">
        <v>3.1427788734436035</v>
      </c>
      <c r="L157">
        <v>2.0954842567443848</v>
      </c>
      <c r="M157">
        <v>2.7776286602020264</v>
      </c>
      <c r="N157">
        <v>2.2542836666107178</v>
      </c>
    </row>
    <row r="158" spans="1:14" x14ac:dyDescent="0.25">
      <c r="A158">
        <v>502</v>
      </c>
      <c r="B158">
        <v>2.1061768531799316</v>
      </c>
      <c r="C158">
        <v>5.041069507598877</v>
      </c>
      <c r="D158">
        <v>9.0360536575317383</v>
      </c>
      <c r="E158">
        <v>3.707923412322998</v>
      </c>
      <c r="F158">
        <v>31.867532730102539</v>
      </c>
      <c r="G158">
        <v>18.391613006591797</v>
      </c>
      <c r="H158">
        <v>2.5038013458251953</v>
      </c>
      <c r="I158">
        <v>2.8181402683258057</v>
      </c>
      <c r="J158">
        <v>5.9928760528564453</v>
      </c>
      <c r="K158">
        <v>3.1988179683685303</v>
      </c>
      <c r="L158">
        <v>2.1039831638336182</v>
      </c>
      <c r="M158">
        <v>2.900846004486084</v>
      </c>
      <c r="N158">
        <v>2.2460877895355225</v>
      </c>
    </row>
    <row r="159" spans="1:14" x14ac:dyDescent="0.25">
      <c r="A159">
        <v>504</v>
      </c>
      <c r="B159">
        <v>2.1614139080047607</v>
      </c>
      <c r="C159">
        <v>5.3941574096679688</v>
      </c>
      <c r="D159">
        <v>8.166499137878418</v>
      </c>
      <c r="E159">
        <v>3.6055357456207275</v>
      </c>
      <c r="F159">
        <v>30.028200149536133</v>
      </c>
      <c r="G159">
        <v>17.756763458251953</v>
      </c>
      <c r="H159">
        <v>2.6386919021606445</v>
      </c>
      <c r="I159">
        <v>2.8458406925201416</v>
      </c>
      <c r="J159">
        <v>5.9767694473266602</v>
      </c>
      <c r="K159">
        <v>2.7466542720794678</v>
      </c>
      <c r="L159">
        <v>2.1285104751586914</v>
      </c>
      <c r="M159">
        <v>2.7872469425201416</v>
      </c>
      <c r="N159">
        <v>2.2323591709136963</v>
      </c>
    </row>
    <row r="160" spans="1:14" x14ac:dyDescent="0.25">
      <c r="A160">
        <v>506</v>
      </c>
      <c r="B160">
        <v>2.1803967952728271</v>
      </c>
      <c r="C160">
        <v>4.7506747245788574</v>
      </c>
      <c r="D160">
        <v>7.6931657791137695</v>
      </c>
      <c r="E160">
        <v>3.7850949764251709</v>
      </c>
      <c r="F160">
        <v>28.529804229736328</v>
      </c>
      <c r="G160">
        <v>17.004623413085938</v>
      </c>
      <c r="H160">
        <v>2.5234215259552002</v>
      </c>
      <c r="I160">
        <v>2.81884765625</v>
      </c>
      <c r="J160">
        <v>6.4126553535461426</v>
      </c>
      <c r="K160">
        <v>2.6136553287506104</v>
      </c>
      <c r="L160">
        <v>2.0696618556976318</v>
      </c>
      <c r="M160">
        <v>2.7080569267272949</v>
      </c>
      <c r="N160">
        <v>2.2565066814422607</v>
      </c>
    </row>
    <row r="161" spans="1:14" x14ac:dyDescent="0.25">
      <c r="A161">
        <v>508</v>
      </c>
      <c r="B161">
        <v>2.1242110729217529</v>
      </c>
      <c r="C161">
        <v>4.3466100692749023</v>
      </c>
      <c r="D161">
        <v>7.857421875</v>
      </c>
      <c r="E161">
        <v>3.6459527015686035</v>
      </c>
      <c r="F161">
        <v>27.860950469970703</v>
      </c>
      <c r="G161">
        <v>16.397708892822266</v>
      </c>
      <c r="H161">
        <v>2.4742159843444824</v>
      </c>
      <c r="I161">
        <v>2.7856745719909668</v>
      </c>
      <c r="J161">
        <v>5.7564244270324707</v>
      </c>
      <c r="K161">
        <v>2.9338645935058594</v>
      </c>
      <c r="L161">
        <v>2.0894818305969238</v>
      </c>
      <c r="M161">
        <v>2.8468074798583984</v>
      </c>
      <c r="N161">
        <v>2.2526843547821045</v>
      </c>
    </row>
    <row r="162" spans="1:14" x14ac:dyDescent="0.25">
      <c r="A162">
        <v>510</v>
      </c>
      <c r="B162">
        <v>2.2092735767364502</v>
      </c>
      <c r="C162">
        <v>4.9763031005859375</v>
      </c>
      <c r="D162">
        <v>8.4155998229980469</v>
      </c>
      <c r="E162">
        <v>3.5837502479553223</v>
      </c>
      <c r="F162">
        <v>26.736448287963867</v>
      </c>
      <c r="G162">
        <v>15.695785522460938</v>
      </c>
      <c r="H162">
        <v>2.4363644123077393</v>
      </c>
      <c r="I162">
        <v>2.8138210773468018</v>
      </c>
      <c r="J162">
        <v>5.2968535423278809</v>
      </c>
      <c r="K162">
        <v>3.2337076663970947</v>
      </c>
      <c r="L162">
        <v>2.1297709941864014</v>
      </c>
      <c r="M162">
        <v>2.7891311645507813</v>
      </c>
      <c r="N162">
        <v>2.2599360942840576</v>
      </c>
    </row>
    <row r="163" spans="1:14" x14ac:dyDescent="0.25">
      <c r="A163">
        <v>512</v>
      </c>
      <c r="B163">
        <v>2.2412922382354736</v>
      </c>
      <c r="C163">
        <v>4.808840274810791</v>
      </c>
      <c r="D163">
        <v>8.2702913284301758</v>
      </c>
      <c r="E163">
        <v>3.5797674655914307</v>
      </c>
      <c r="F163">
        <v>26.418331146240234</v>
      </c>
      <c r="G163">
        <v>14.937648773193359</v>
      </c>
      <c r="H163">
        <v>2.6376299858093262</v>
      </c>
      <c r="I163">
        <v>2.8847522735595703</v>
      </c>
      <c r="J163">
        <v>6.2814359664916992</v>
      </c>
      <c r="K163">
        <v>3.5418083667755127</v>
      </c>
      <c r="L163">
        <v>2.1062567234039307</v>
      </c>
      <c r="M163">
        <v>2.6769411563873291</v>
      </c>
      <c r="N163">
        <v>2.261655330657959</v>
      </c>
    </row>
    <row r="164" spans="1:14" x14ac:dyDescent="0.25">
      <c r="A164">
        <v>514</v>
      </c>
      <c r="B164">
        <v>2.1737277507781982</v>
      </c>
      <c r="C164">
        <v>5.0814881324768066</v>
      </c>
      <c r="D164">
        <v>8.9294052124023438</v>
      </c>
      <c r="E164">
        <v>3.4606196880340576</v>
      </c>
      <c r="F164">
        <v>26.784656524658203</v>
      </c>
      <c r="G164">
        <v>14.446881294250488</v>
      </c>
      <c r="H164">
        <v>2.8461980819702148</v>
      </c>
      <c r="I164">
        <v>2.8527278900146484</v>
      </c>
      <c r="J164">
        <v>6.0705652236938477</v>
      </c>
      <c r="K164">
        <v>3.6252632141113281</v>
      </c>
      <c r="L164">
        <v>2.1143760681152344</v>
      </c>
      <c r="M164">
        <v>2.7664213180541992</v>
      </c>
      <c r="N164">
        <v>2.2519123554229736</v>
      </c>
    </row>
    <row r="165" spans="1:14" x14ac:dyDescent="0.25">
      <c r="A165">
        <v>516</v>
      </c>
      <c r="B165">
        <v>2.1200857162475586</v>
      </c>
      <c r="C165">
        <v>5.3904075622558594</v>
      </c>
      <c r="D165">
        <v>8.9847145080566406</v>
      </c>
      <c r="E165">
        <v>3.6658937931060791</v>
      </c>
      <c r="F165">
        <v>26.57481575012207</v>
      </c>
      <c r="G165">
        <v>14.043901443481445</v>
      </c>
      <c r="H165">
        <v>2.7149996757507324</v>
      </c>
      <c r="I165">
        <v>2.8077075481414795</v>
      </c>
      <c r="J165">
        <v>5.875056266784668</v>
      </c>
      <c r="K165">
        <v>3.502936840057373</v>
      </c>
      <c r="L165">
        <v>2.1282970905303955</v>
      </c>
      <c r="M165">
        <v>2.8688948154449463</v>
      </c>
      <c r="N165">
        <v>2.2778055667877197</v>
      </c>
    </row>
    <row r="166" spans="1:14" x14ac:dyDescent="0.25">
      <c r="A166">
        <v>518</v>
      </c>
      <c r="B166">
        <v>2.2416911125183105</v>
      </c>
      <c r="C166">
        <v>4.7777180671691895</v>
      </c>
      <c r="D166">
        <v>8.2445869445800781</v>
      </c>
      <c r="E166">
        <v>3.6676845550537109</v>
      </c>
      <c r="F166">
        <v>26.772603988647461</v>
      </c>
      <c r="G166">
        <v>13.385839462280273</v>
      </c>
      <c r="H166">
        <v>2.5619266033172607</v>
      </c>
      <c r="I166">
        <v>2.7719762325286865</v>
      </c>
      <c r="J166">
        <v>5.3315019607543945</v>
      </c>
      <c r="K166">
        <v>3.5811042785644531</v>
      </c>
      <c r="L166">
        <v>2.1294825077056885</v>
      </c>
      <c r="M166">
        <v>2.6588354110717773</v>
      </c>
      <c r="N166">
        <v>2.261418342590332</v>
      </c>
    </row>
    <row r="167" spans="1:14" x14ac:dyDescent="0.25">
      <c r="A167">
        <v>520</v>
      </c>
      <c r="B167">
        <v>2.2932083606719971</v>
      </c>
      <c r="C167">
        <v>5.2119369506835938</v>
      </c>
      <c r="D167">
        <v>9.0057516098022461</v>
      </c>
      <c r="E167">
        <v>3.6031122207641602</v>
      </c>
      <c r="F167">
        <v>27.408149719238281</v>
      </c>
      <c r="G167">
        <v>12.814315795898438</v>
      </c>
      <c r="H167">
        <v>2.5964946746826172</v>
      </c>
      <c r="I167">
        <v>2.790050745010376</v>
      </c>
      <c r="J167">
        <v>3.8614969253540039</v>
      </c>
      <c r="K167">
        <v>3.2467303276062012</v>
      </c>
      <c r="L167">
        <v>2.1280620098114014</v>
      </c>
      <c r="M167">
        <v>2.4526104927062988</v>
      </c>
      <c r="N167">
        <v>2.2609381675720215</v>
      </c>
    </row>
    <row r="168" spans="1:14" x14ac:dyDescent="0.25">
      <c r="A168">
        <v>522</v>
      </c>
      <c r="B168">
        <v>2.2688627243041992</v>
      </c>
      <c r="C168">
        <v>4.8520750999450684</v>
      </c>
      <c r="D168">
        <v>6.9528293609619141</v>
      </c>
      <c r="E168">
        <v>3.9040377140045166</v>
      </c>
      <c r="F168">
        <v>28.117265701293945</v>
      </c>
      <c r="G168">
        <v>12.65864086151123</v>
      </c>
      <c r="H168">
        <v>2.6251652240753174</v>
      </c>
      <c r="I168">
        <v>2.7866427898406982</v>
      </c>
      <c r="J168">
        <v>4.0601863861083984</v>
      </c>
      <c r="K168">
        <v>2.9486167430877686</v>
      </c>
      <c r="L168">
        <v>2.1156930923461914</v>
      </c>
      <c r="M168">
        <v>2.7847070693969727</v>
      </c>
      <c r="N168">
        <v>2.2604031562805176</v>
      </c>
    </row>
    <row r="169" spans="1:14" x14ac:dyDescent="0.25">
      <c r="A169">
        <v>524</v>
      </c>
      <c r="B169">
        <v>2.330878734588623</v>
      </c>
      <c r="C169">
        <v>5.0148730278015137</v>
      </c>
      <c r="D169">
        <v>7.7009677886962891</v>
      </c>
      <c r="E169">
        <v>3.6835894584655762</v>
      </c>
      <c r="F169">
        <v>28.847257614135742</v>
      </c>
      <c r="G169">
        <v>12.831319808959961</v>
      </c>
      <c r="H169">
        <v>2.7503354549407959</v>
      </c>
      <c r="I169">
        <v>2.8113718032836914</v>
      </c>
      <c r="J169">
        <v>3.0514442920684814</v>
      </c>
      <c r="K169">
        <v>2.8564150333404541</v>
      </c>
      <c r="L169">
        <v>2.0311851501464844</v>
      </c>
      <c r="M169">
        <v>2.9897851943969727</v>
      </c>
      <c r="N169">
        <v>2.2471089363098145</v>
      </c>
    </row>
    <row r="170" spans="1:14" x14ac:dyDescent="0.25">
      <c r="A170">
        <v>526</v>
      </c>
      <c r="B170">
        <v>2.3306174278259277</v>
      </c>
      <c r="C170">
        <v>5.8746013641357422</v>
      </c>
      <c r="D170">
        <v>9.5880317687988281</v>
      </c>
      <c r="E170">
        <v>3.7400445938110352</v>
      </c>
      <c r="F170">
        <v>28.59684944152832</v>
      </c>
      <c r="G170">
        <v>12.535207748413086</v>
      </c>
      <c r="H170">
        <v>2.769906759262085</v>
      </c>
      <c r="I170">
        <v>2.870816707611084</v>
      </c>
      <c r="J170">
        <v>2</v>
      </c>
      <c r="K170">
        <v>2.8006699085235596</v>
      </c>
      <c r="L170">
        <v>2.0573494434356689</v>
      </c>
      <c r="M170">
        <v>2.6621289253234863</v>
      </c>
      <c r="N170">
        <v>2.2725191116333008</v>
      </c>
    </row>
    <row r="171" spans="1:14" x14ac:dyDescent="0.25">
      <c r="A171">
        <v>528</v>
      </c>
      <c r="B171">
        <v>2.2999670505523682</v>
      </c>
      <c r="C171">
        <v>5.0253100395202637</v>
      </c>
      <c r="D171">
        <v>8.5264272689819336</v>
      </c>
      <c r="E171">
        <v>3.6776998043060303</v>
      </c>
      <c r="F171">
        <v>27.464044570922852</v>
      </c>
      <c r="G171">
        <v>12.308989524841309</v>
      </c>
      <c r="H171">
        <v>2.7446830272674561</v>
      </c>
      <c r="I171">
        <v>2.7490365505218506</v>
      </c>
      <c r="J171">
        <v>3.5818018913269043</v>
      </c>
      <c r="K171">
        <v>2.5803649425506592</v>
      </c>
      <c r="L171">
        <v>2.1677772998809814</v>
      </c>
      <c r="M171">
        <v>2.6847078800201416</v>
      </c>
      <c r="N171">
        <v>2.2457854747772217</v>
      </c>
    </row>
    <row r="172" spans="1:14" x14ac:dyDescent="0.25">
      <c r="A172">
        <v>530</v>
      </c>
      <c r="B172">
        <v>2.2839884757995605</v>
      </c>
      <c r="C172">
        <v>5.3165345191955566</v>
      </c>
      <c r="D172">
        <v>8.3961648941040039</v>
      </c>
      <c r="E172">
        <v>3.4672756195068359</v>
      </c>
      <c r="F172">
        <v>25.860622406005859</v>
      </c>
      <c r="G172">
        <v>12.320263862609863</v>
      </c>
      <c r="H172">
        <v>3.0275170803070068</v>
      </c>
      <c r="I172">
        <v>2.7575278282165527</v>
      </c>
      <c r="J172">
        <v>4.1332740783691406</v>
      </c>
      <c r="K172">
        <v>2</v>
      </c>
      <c r="L172">
        <v>2.13938307762146</v>
      </c>
      <c r="M172">
        <v>2.5936057567596436</v>
      </c>
      <c r="N172">
        <v>2.2494297027587891</v>
      </c>
    </row>
    <row r="173" spans="1:14" x14ac:dyDescent="0.25">
      <c r="A173">
        <v>532</v>
      </c>
      <c r="B173">
        <v>2.1725313663482666</v>
      </c>
      <c r="C173">
        <v>4.5505342483520508</v>
      </c>
      <c r="D173">
        <v>6.5449056625366211</v>
      </c>
      <c r="E173">
        <v>3.7492311000823975</v>
      </c>
      <c r="F173">
        <v>24.036235809326172</v>
      </c>
      <c r="G173">
        <v>12.161824226379395</v>
      </c>
      <c r="H173">
        <v>2.7818160057067871</v>
      </c>
      <c r="I173">
        <v>2.8696396350860596</v>
      </c>
      <c r="J173">
        <v>4.428736686706543</v>
      </c>
      <c r="K173">
        <v>2.463456392288208</v>
      </c>
      <c r="L173">
        <v>2.1093206405639648</v>
      </c>
      <c r="M173">
        <v>2.4302282333374023</v>
      </c>
      <c r="N173">
        <v>2.2458713054656982</v>
      </c>
    </row>
    <row r="174" spans="1:14" x14ac:dyDescent="0.25">
      <c r="A174">
        <v>534</v>
      </c>
      <c r="B174">
        <v>2.1210551261901855</v>
      </c>
      <c r="C174">
        <v>4.8623743057250977</v>
      </c>
      <c r="D174">
        <v>7.222200870513916</v>
      </c>
      <c r="E174">
        <v>3.8610634803771973</v>
      </c>
      <c r="F174">
        <v>21.958995819091797</v>
      </c>
      <c r="G174">
        <v>12.083766937255859</v>
      </c>
      <c r="H174">
        <v>2.5638217926025391</v>
      </c>
      <c r="I174">
        <v>2.8767404556274414</v>
      </c>
      <c r="J174">
        <v>4.2402658462524414</v>
      </c>
      <c r="K174">
        <v>3.1695091724395752</v>
      </c>
      <c r="L174">
        <v>2.1492993831634521</v>
      </c>
      <c r="M174">
        <v>2.67946457862854</v>
      </c>
      <c r="N174">
        <v>2.2265450954437256</v>
      </c>
    </row>
    <row r="175" spans="1:14" x14ac:dyDescent="0.25">
      <c r="A175">
        <v>536</v>
      </c>
      <c r="B175">
        <v>2.1292095184326172</v>
      </c>
      <c r="C175">
        <v>5.0513858795166016</v>
      </c>
      <c r="D175">
        <v>8.472163200378418</v>
      </c>
      <c r="E175">
        <v>3.9580872058868408</v>
      </c>
      <c r="F175">
        <v>19.458942413330078</v>
      </c>
      <c r="G175">
        <v>11.681918144226074</v>
      </c>
      <c r="H175">
        <v>2.6772787570953369</v>
      </c>
      <c r="I175">
        <v>2.821230411529541</v>
      </c>
      <c r="J175">
        <v>3.8483681678771973</v>
      </c>
      <c r="K175">
        <v>2.6614696979522705</v>
      </c>
      <c r="L175">
        <v>2.1245620250701904</v>
      </c>
      <c r="M175">
        <v>2.7078766822814941</v>
      </c>
      <c r="N175">
        <v>2.2474675178527832</v>
      </c>
    </row>
    <row r="176" spans="1:14" x14ac:dyDescent="0.25">
      <c r="A176">
        <v>538</v>
      </c>
      <c r="B176">
        <v>2.1648995876312256</v>
      </c>
      <c r="C176">
        <v>5.2691173553466797</v>
      </c>
      <c r="D176">
        <v>9.5054855346679688</v>
      </c>
      <c r="E176">
        <v>3.7240774631500244</v>
      </c>
      <c r="F176">
        <v>16.863922119140625</v>
      </c>
      <c r="G176">
        <v>11.209497451782227</v>
      </c>
      <c r="H176">
        <v>2.6788632869720459</v>
      </c>
      <c r="I176">
        <v>2.7232441902160645</v>
      </c>
      <c r="J176">
        <v>5.0049095153808594</v>
      </c>
      <c r="K176">
        <v>2.3222653865814209</v>
      </c>
      <c r="L176">
        <v>2.0606393814086914</v>
      </c>
      <c r="M176">
        <v>2.4569690227508545</v>
      </c>
      <c r="N176">
        <v>2.2225983142852783</v>
      </c>
    </row>
    <row r="177" spans="1:14" x14ac:dyDescent="0.25">
      <c r="A177">
        <v>540</v>
      </c>
      <c r="B177">
        <v>2.315244197845459</v>
      </c>
      <c r="C177">
        <v>5.4460501670837402</v>
      </c>
      <c r="D177">
        <v>10.322935104370117</v>
      </c>
      <c r="E177">
        <v>3.790147066116333</v>
      </c>
      <c r="F177">
        <v>14.2733154296875</v>
      </c>
      <c r="G177">
        <v>10.801692008972168</v>
      </c>
      <c r="H177">
        <v>2.7329862117767334</v>
      </c>
      <c r="I177">
        <v>2.7292294502258301</v>
      </c>
      <c r="J177">
        <v>5.4108834266662598</v>
      </c>
      <c r="K177">
        <v>2.7849709987640381</v>
      </c>
      <c r="L177">
        <v>2.0899615287780762</v>
      </c>
      <c r="M177">
        <v>2.6427614688873291</v>
      </c>
      <c r="N177">
        <v>2.2099711894989014</v>
      </c>
    </row>
    <row r="178" spans="1:14" x14ac:dyDescent="0.25">
      <c r="A178">
        <v>542</v>
      </c>
      <c r="B178">
        <v>2.3161516189575195</v>
      </c>
      <c r="C178">
        <v>5.1804003715515137</v>
      </c>
      <c r="D178">
        <v>10.21210765838623</v>
      </c>
      <c r="E178">
        <v>3.7404546737670898</v>
      </c>
      <c r="F178">
        <v>11.646244049072266</v>
      </c>
      <c r="G178">
        <v>10.170418739318848</v>
      </c>
      <c r="H178">
        <v>2.8054549694061279</v>
      </c>
      <c r="I178">
        <v>2.767338752746582</v>
      </c>
      <c r="J178">
        <v>3.5662369728088379</v>
      </c>
      <c r="K178">
        <v>2.5205070972442627</v>
      </c>
      <c r="L178">
        <v>2.1332521438598633</v>
      </c>
      <c r="M178">
        <v>2.7075326442718506</v>
      </c>
      <c r="N178">
        <v>2.2317752838134766</v>
      </c>
    </row>
    <row r="179" spans="1:14" x14ac:dyDescent="0.25">
      <c r="A179">
        <v>544</v>
      </c>
      <c r="B179">
        <v>2.1852095127105713</v>
      </c>
      <c r="C179">
        <v>5.4909272193908691</v>
      </c>
      <c r="D179">
        <v>9.5958337783813477</v>
      </c>
      <c r="E179">
        <v>3.6612515449523926</v>
      </c>
      <c r="F179">
        <v>9.2439355850219727</v>
      </c>
      <c r="G179">
        <v>9.1021976470947266</v>
      </c>
      <c r="H179">
        <v>2.5682816505432129</v>
      </c>
      <c r="I179">
        <v>2.7655067443847656</v>
      </c>
      <c r="J179">
        <v>4.3604540824890137</v>
      </c>
      <c r="K179">
        <v>2.606703519821167</v>
      </c>
      <c r="L179">
        <v>2.1412177085876465</v>
      </c>
      <c r="M179">
        <v>2.5335044860839844</v>
      </c>
      <c r="N179">
        <v>2.2548527717590332</v>
      </c>
    </row>
    <row r="180" spans="1:14" x14ac:dyDescent="0.25">
      <c r="A180">
        <v>546</v>
      </c>
      <c r="B180">
        <v>2.2204599380493164</v>
      </c>
      <c r="C180">
        <v>5.3091387748718262</v>
      </c>
      <c r="D180">
        <v>9.0620365142822266</v>
      </c>
      <c r="E180">
        <v>3.8339674472808838</v>
      </c>
      <c r="F180">
        <v>7.5059986114501953</v>
      </c>
      <c r="G180">
        <v>8.3376665115356445</v>
      </c>
      <c r="H180">
        <v>2.410912036895752</v>
      </c>
      <c r="I180">
        <v>2.7545993328094482</v>
      </c>
      <c r="J180">
        <v>5.4945278167724609</v>
      </c>
      <c r="K180">
        <v>2.8529882431030273</v>
      </c>
      <c r="L180">
        <v>2.1025528907775879</v>
      </c>
      <c r="M180">
        <v>2.4502346515655518</v>
      </c>
      <c r="N180">
        <v>2.2276017665863037</v>
      </c>
    </row>
    <row r="181" spans="1:14" x14ac:dyDescent="0.25">
      <c r="A181">
        <v>548</v>
      </c>
      <c r="B181">
        <v>2.1994004249572754</v>
      </c>
      <c r="C181">
        <v>5.3168454170227051</v>
      </c>
      <c r="D181">
        <v>9.0506124496459961</v>
      </c>
      <c r="E181">
        <v>3.8630950450897217</v>
      </c>
      <c r="F181">
        <v>6.2757582664489746</v>
      </c>
      <c r="G181">
        <v>7.613274097442627</v>
      </c>
      <c r="H181">
        <v>2.5565357208251953</v>
      </c>
      <c r="I181">
        <v>2.7312371730804443</v>
      </c>
      <c r="J181">
        <v>3.7552492618560791</v>
      </c>
      <c r="K181">
        <v>2.5725970268249512</v>
      </c>
      <c r="L181">
        <v>2.0993447303771973</v>
      </c>
      <c r="M181">
        <v>2.5425982475280762</v>
      </c>
      <c r="N181">
        <v>2.2327771186828613</v>
      </c>
    </row>
    <row r="182" spans="1:14" x14ac:dyDescent="0.25">
      <c r="A182">
        <v>550</v>
      </c>
      <c r="B182">
        <v>2.1496844291687012</v>
      </c>
      <c r="C182">
        <v>5.2130084037780762</v>
      </c>
      <c r="D182">
        <v>9.0895519256591797</v>
      </c>
      <c r="E182">
        <v>3.7969188690185547</v>
      </c>
      <c r="F182">
        <v>5.3182272911071777</v>
      </c>
      <c r="G182">
        <v>6.9902849197387695</v>
      </c>
      <c r="H182">
        <v>2.6023104190826416</v>
      </c>
      <c r="I182">
        <v>2.7324855327606201</v>
      </c>
      <c r="J182">
        <v>3.7597157955169678</v>
      </c>
      <c r="K182">
        <v>2.5561149120330811</v>
      </c>
      <c r="L182">
        <v>2.1359210014343262</v>
      </c>
      <c r="M182">
        <v>2.5823161602020264</v>
      </c>
      <c r="N182">
        <v>2.2546408176422119</v>
      </c>
    </row>
    <row r="183" spans="1:14" x14ac:dyDescent="0.25">
      <c r="A183">
        <v>552</v>
      </c>
      <c r="B183">
        <v>2.2526230812072754</v>
      </c>
      <c r="C183">
        <v>5.3760132789611816</v>
      </c>
      <c r="D183">
        <v>8.8580741882324219</v>
      </c>
      <c r="E183">
        <v>3.8240058422088623</v>
      </c>
      <c r="F183">
        <v>4.8298182487487793</v>
      </c>
      <c r="G183">
        <v>6.5229825973510742</v>
      </c>
      <c r="H183">
        <v>2.5742771625518799</v>
      </c>
      <c r="I183">
        <v>2.7106375694274902</v>
      </c>
      <c r="J183">
        <v>3.742729663848877</v>
      </c>
      <c r="K183">
        <v>2.4559171199798584</v>
      </c>
      <c r="L183">
        <v>2.1207611560821533</v>
      </c>
      <c r="M183">
        <v>2.5760898590087891</v>
      </c>
      <c r="N183">
        <v>2.2294661998748779</v>
      </c>
    </row>
    <row r="184" spans="1:14" x14ac:dyDescent="0.25">
      <c r="A184">
        <v>554</v>
      </c>
      <c r="B184">
        <v>2.1720020771026611</v>
      </c>
      <c r="C184">
        <v>5.4575071334838867</v>
      </c>
      <c r="D184">
        <v>8.8204584121704102</v>
      </c>
      <c r="E184">
        <v>3.8208694458007813</v>
      </c>
      <c r="F184">
        <v>4.1844735145568848</v>
      </c>
      <c r="G184">
        <v>5.5860519409179688</v>
      </c>
      <c r="H184">
        <v>2.6708095073699951</v>
      </c>
      <c r="I184">
        <v>2.6916515827178955</v>
      </c>
      <c r="J184">
        <v>4.1775999069213867</v>
      </c>
      <c r="K184">
        <v>2.7225348949432373</v>
      </c>
      <c r="L184">
        <v>2.0908429622650146</v>
      </c>
      <c r="M184">
        <v>2.7684528827667236</v>
      </c>
      <c r="N184">
        <v>2.2769756317138672</v>
      </c>
    </row>
    <row r="185" spans="1:14" x14ac:dyDescent="0.25">
      <c r="A185">
        <v>556</v>
      </c>
      <c r="B185">
        <v>2.2023911476135254</v>
      </c>
      <c r="C185">
        <v>4.6382665634155273</v>
      </c>
      <c r="D185">
        <v>8.0333805084228516</v>
      </c>
      <c r="E185">
        <v>3.8499436378479004</v>
      </c>
      <c r="F185">
        <v>3.8589541912078857</v>
      </c>
      <c r="G185">
        <v>4.781954288482666</v>
      </c>
      <c r="H185">
        <v>2.7118303775787354</v>
      </c>
      <c r="I185">
        <v>2.6920406818389893</v>
      </c>
      <c r="J185">
        <v>5.2493462562561035</v>
      </c>
      <c r="K185">
        <v>3.0972819328308105</v>
      </c>
      <c r="L185">
        <v>2.0780508518218994</v>
      </c>
      <c r="M185">
        <v>2.7121531963348389</v>
      </c>
      <c r="N185">
        <v>2.2705819606781006</v>
      </c>
    </row>
    <row r="186" spans="1:14" x14ac:dyDescent="0.25">
      <c r="A186">
        <v>558</v>
      </c>
      <c r="B186">
        <v>2.201958179473877</v>
      </c>
      <c r="C186">
        <v>4.6230945587158203</v>
      </c>
      <c r="D186">
        <v>6.9613971710205078</v>
      </c>
      <c r="E186">
        <v>3.9004557132720947</v>
      </c>
      <c r="F186">
        <v>3.5928165912628174</v>
      </c>
      <c r="G186">
        <v>4.3399133682250977</v>
      </c>
      <c r="H186">
        <v>2.3611836433410645</v>
      </c>
      <c r="I186">
        <v>2.6634955406188965</v>
      </c>
      <c r="J186">
        <v>3.651911735534668</v>
      </c>
      <c r="K186">
        <v>2.5455403327941895</v>
      </c>
      <c r="L186">
        <v>2.0549724102020264</v>
      </c>
      <c r="M186">
        <v>2.6270480155944824</v>
      </c>
      <c r="N186">
        <v>2.2364156246185303</v>
      </c>
    </row>
    <row r="187" spans="1:14" x14ac:dyDescent="0.25">
      <c r="A187">
        <v>560</v>
      </c>
      <c r="B187">
        <v>2.0606341361999512</v>
      </c>
      <c r="C187">
        <v>4.9048147201538086</v>
      </c>
      <c r="D187">
        <v>7.0630998611450195</v>
      </c>
      <c r="E187">
        <v>3.8750793933868408</v>
      </c>
      <c r="F187">
        <v>3.492795467376709</v>
      </c>
      <c r="G187">
        <v>3.8910653591156006</v>
      </c>
      <c r="H187">
        <v>2.2522518634796143</v>
      </c>
      <c r="I187">
        <v>2.6697561740875244</v>
      </c>
      <c r="J187">
        <v>3.1978898048400879</v>
      </c>
      <c r="K187">
        <v>2.6264820098876953</v>
      </c>
      <c r="L187">
        <v>2.0846960544586182</v>
      </c>
      <c r="M187">
        <v>2.6878046989440918</v>
      </c>
      <c r="N187">
        <v>2.2487583160400391</v>
      </c>
    </row>
    <row r="188" spans="1:14" x14ac:dyDescent="0.25">
      <c r="A188">
        <v>562</v>
      </c>
      <c r="B188">
        <v>2.0905697345733643</v>
      </c>
      <c r="C188">
        <v>5.115720272064209</v>
      </c>
      <c r="D188">
        <v>8.18231201171875</v>
      </c>
      <c r="E188">
        <v>3.7243716716766357</v>
      </c>
      <c r="F188">
        <v>3.5356888771057129</v>
      </c>
      <c r="G188">
        <v>3.3306167125701904</v>
      </c>
      <c r="H188">
        <v>2.2085027694702148</v>
      </c>
      <c r="I188">
        <v>2.7498624324798584</v>
      </c>
      <c r="J188">
        <v>4.4225783348083496</v>
      </c>
      <c r="K188">
        <v>2.9829516410827637</v>
      </c>
      <c r="L188">
        <v>2.0865151882171631</v>
      </c>
      <c r="M188">
        <v>2.6494958400726318</v>
      </c>
      <c r="N188">
        <v>2.2236225605010986</v>
      </c>
    </row>
    <row r="189" spans="1:14" x14ac:dyDescent="0.25">
      <c r="A189">
        <v>564</v>
      </c>
      <c r="B189">
        <v>2.179640531539917</v>
      </c>
      <c r="C189">
        <v>5.5618453025817871</v>
      </c>
      <c r="D189">
        <v>7.8823599815368652</v>
      </c>
      <c r="E189">
        <v>3.7676129341125488</v>
      </c>
      <c r="F189">
        <v>3.2438814640045166</v>
      </c>
      <c r="G189">
        <v>2.884746789932251</v>
      </c>
      <c r="H189">
        <v>2.3150331974029541</v>
      </c>
      <c r="I189">
        <v>2.7625827789306641</v>
      </c>
      <c r="J189">
        <v>4.2525148391723633</v>
      </c>
      <c r="K189">
        <v>2.2280726432800293</v>
      </c>
      <c r="L189">
        <v>2.0732338428497314</v>
      </c>
      <c r="M189">
        <v>2.9362709522247314</v>
      </c>
      <c r="N189">
        <v>2.2296397686004639</v>
      </c>
    </row>
    <row r="190" spans="1:14" x14ac:dyDescent="0.25">
      <c r="A190">
        <v>566</v>
      </c>
      <c r="B190">
        <v>2.1810843944549561</v>
      </c>
      <c r="C190">
        <v>4.7763876914978027</v>
      </c>
      <c r="D190">
        <v>8.0458498001098633</v>
      </c>
      <c r="E190">
        <v>3.8244156837463379</v>
      </c>
      <c r="F190">
        <v>3.3181619644165039</v>
      </c>
      <c r="G190">
        <v>2.6582086086273193</v>
      </c>
      <c r="H190">
        <v>2.4656229019165039</v>
      </c>
      <c r="I190">
        <v>2.7003564834594727</v>
      </c>
      <c r="J190">
        <v>4.528961181640625</v>
      </c>
      <c r="K190">
        <v>2.4169802665710449</v>
      </c>
      <c r="L190">
        <v>2.1259105205535889</v>
      </c>
      <c r="M190">
        <v>2.8734006881713867</v>
      </c>
      <c r="N190">
        <v>2.2211549282073975</v>
      </c>
    </row>
    <row r="191" spans="1:14" x14ac:dyDescent="0.25">
      <c r="A191">
        <v>568</v>
      </c>
      <c r="B191">
        <v>2.1886680126190186</v>
      </c>
      <c r="C191">
        <v>5.2302021980285645</v>
      </c>
      <c r="D191">
        <v>9.8327445983886719</v>
      </c>
      <c r="E191">
        <v>3.7328720092773438</v>
      </c>
      <c r="F191">
        <v>3.3805091381072998</v>
      </c>
      <c r="G191">
        <v>2.4875905513763428</v>
      </c>
      <c r="H191">
        <v>2.5158741474151611</v>
      </c>
      <c r="I191">
        <v>2.7631571292877197</v>
      </c>
      <c r="J191">
        <v>4.0584945678710938</v>
      </c>
      <c r="K191">
        <v>3.0156874656677246</v>
      </c>
      <c r="L191">
        <v>2.1364383697509766</v>
      </c>
      <c r="M191">
        <v>2.693310022354126</v>
      </c>
      <c r="N191">
        <v>2.2498550415039063</v>
      </c>
    </row>
    <row r="192" spans="1:14" x14ac:dyDescent="0.25">
      <c r="A192">
        <v>570</v>
      </c>
      <c r="B192">
        <v>2.2091085910797119</v>
      </c>
      <c r="C192">
        <v>4.8760604858398438</v>
      </c>
      <c r="D192">
        <v>10.301898002624512</v>
      </c>
      <c r="E192">
        <v>3.3644158840179443</v>
      </c>
      <c r="F192">
        <v>3.4930801391601563</v>
      </c>
      <c r="G192">
        <v>2.5186748504638672</v>
      </c>
      <c r="H192">
        <v>2.6440339088439941</v>
      </c>
      <c r="I192">
        <v>2.8276143074035645</v>
      </c>
      <c r="J192">
        <v>4.0448923110961914</v>
      </c>
      <c r="K192">
        <v>2.7931630611419678</v>
      </c>
      <c r="L192">
        <v>2.1223134994506836</v>
      </c>
      <c r="M192">
        <v>2.6055996417999268</v>
      </c>
      <c r="N192">
        <v>2.2413094043731689</v>
      </c>
    </row>
    <row r="193" spans="1:14" x14ac:dyDescent="0.25">
      <c r="A193">
        <v>572</v>
      </c>
      <c r="B193">
        <v>2.2488758563995361</v>
      </c>
      <c r="C193">
        <v>4.0297412872314453</v>
      </c>
      <c r="D193">
        <v>9.0596675872802734</v>
      </c>
      <c r="E193">
        <v>3.7480194568634033</v>
      </c>
      <c r="F193">
        <v>3.4952154159545898</v>
      </c>
      <c r="G193">
        <v>2.2896904945373535</v>
      </c>
      <c r="H193">
        <v>2.5898456573486328</v>
      </c>
      <c r="I193">
        <v>2.8413887023925781</v>
      </c>
      <c r="J193">
        <v>4.7106647491455078</v>
      </c>
      <c r="K193">
        <v>3.0464649200439453</v>
      </c>
      <c r="L193">
        <v>2.1198172569274902</v>
      </c>
      <c r="M193">
        <v>2.6763348579406738</v>
      </c>
      <c r="N193">
        <v>2.2194340229034424</v>
      </c>
    </row>
    <row r="194" spans="1:14" x14ac:dyDescent="0.25">
      <c r="A194">
        <v>574</v>
      </c>
      <c r="B194">
        <v>2.3099088668823242</v>
      </c>
      <c r="C194">
        <v>4.4292440414428711</v>
      </c>
      <c r="D194">
        <v>9.137059211730957</v>
      </c>
      <c r="E194">
        <v>3.6342000961303711</v>
      </c>
      <c r="F194">
        <v>3.1967415809631348</v>
      </c>
      <c r="G194">
        <v>2.385310173034668</v>
      </c>
      <c r="H194">
        <v>2.5966253280639648</v>
      </c>
      <c r="I194">
        <v>2.8146231174468994</v>
      </c>
      <c r="J194">
        <v>4.3714170455932617</v>
      </c>
      <c r="K194">
        <v>3.0317778587341309</v>
      </c>
      <c r="L194">
        <v>2.1069810390472412</v>
      </c>
      <c r="M194">
        <v>2.7686660289764404</v>
      </c>
      <c r="N194">
        <v>2.2297389507293701</v>
      </c>
    </row>
    <row r="195" spans="1:14" x14ac:dyDescent="0.25">
      <c r="A195">
        <v>576</v>
      </c>
      <c r="B195">
        <v>2.2273008823394775</v>
      </c>
      <c r="C195">
        <v>4.3779392242431641</v>
      </c>
      <c r="D195">
        <v>8.6888723373413086</v>
      </c>
      <c r="E195">
        <v>3.4539725780487061</v>
      </c>
      <c r="F195">
        <v>3.2924923896789551</v>
      </c>
      <c r="G195">
        <v>2.4029262065887451</v>
      </c>
      <c r="H195">
        <v>2.4849979877471924</v>
      </c>
      <c r="I195">
        <v>2.8135316371917725</v>
      </c>
      <c r="J195">
        <v>4.507779598236084</v>
      </c>
      <c r="K195">
        <v>2.7420849800109863</v>
      </c>
      <c r="L195">
        <v>2.1141595840454102</v>
      </c>
      <c r="M195">
        <v>2.8346331119537354</v>
      </c>
      <c r="N195">
        <v>2.2161157131195068</v>
      </c>
    </row>
    <row r="196" spans="1:14" x14ac:dyDescent="0.25">
      <c r="A196">
        <v>578</v>
      </c>
      <c r="B196">
        <v>2.2245094776153564</v>
      </c>
      <c r="C196">
        <v>5.0792765617370605</v>
      </c>
      <c r="D196">
        <v>9.5206022262573242</v>
      </c>
      <c r="E196">
        <v>3.2197401523590088</v>
      </c>
      <c r="F196">
        <v>3.2440237998962402</v>
      </c>
      <c r="G196">
        <v>2.4337978363037109</v>
      </c>
      <c r="H196">
        <v>2.3951637744903564</v>
      </c>
      <c r="I196">
        <v>2.8076744079589844</v>
      </c>
      <c r="J196">
        <v>4.3779816627502441</v>
      </c>
      <c r="K196">
        <v>2.5857174396514893</v>
      </c>
      <c r="L196">
        <v>2.1293320655822754</v>
      </c>
      <c r="M196">
        <v>2.7510519027709961</v>
      </c>
      <c r="N196">
        <v>2.2520382404327393</v>
      </c>
    </row>
    <row r="197" spans="1:14" x14ac:dyDescent="0.25">
      <c r="A197">
        <v>580</v>
      </c>
      <c r="B197">
        <v>2.2497766017913818</v>
      </c>
      <c r="C197">
        <v>4.5168380737304688</v>
      </c>
      <c r="D197">
        <v>8.8001880645751953</v>
      </c>
      <c r="E197">
        <v>3.179448127746582</v>
      </c>
      <c r="F197">
        <v>3.3575677871704102</v>
      </c>
      <c r="G197">
        <v>2.4982001781463623</v>
      </c>
      <c r="H197">
        <v>2.350614070892334</v>
      </c>
      <c r="I197">
        <v>2.7830734252929688</v>
      </c>
      <c r="J197">
        <v>4.5694975852966309</v>
      </c>
      <c r="K197">
        <v>2.3986704349517822</v>
      </c>
      <c r="L197">
        <v>2.1273186206817627</v>
      </c>
      <c r="M197">
        <v>2.6387143135070801</v>
      </c>
      <c r="N197">
        <v>2.2507309913635254</v>
      </c>
    </row>
    <row r="198" spans="1:14" x14ac:dyDescent="0.25">
      <c r="A198">
        <v>582</v>
      </c>
      <c r="B198">
        <v>2.2641737461090088</v>
      </c>
      <c r="C198">
        <v>6.1716666221618652</v>
      </c>
      <c r="D198">
        <v>10.944154739379883</v>
      </c>
      <c r="E198">
        <v>3.2668218612670898</v>
      </c>
      <c r="F198">
        <v>2.8108208179473877</v>
      </c>
      <c r="G198">
        <v>2.251812219619751</v>
      </c>
      <c r="H198">
        <v>2.3903608322143555</v>
      </c>
      <c r="I198">
        <v>2.8579680919647217</v>
      </c>
      <c r="J198">
        <v>5.375760555267334</v>
      </c>
      <c r="K198">
        <v>2.3572204113006592</v>
      </c>
      <c r="L198">
        <v>2.0993103981018066</v>
      </c>
      <c r="M198">
        <v>2.6742048263549805</v>
      </c>
      <c r="N198">
        <v>2.2855997085571289</v>
      </c>
    </row>
    <row r="199" spans="1:14" x14ac:dyDescent="0.25">
      <c r="A199">
        <v>584</v>
      </c>
      <c r="B199">
        <v>2.2300853729248047</v>
      </c>
      <c r="C199">
        <v>6.0809793472290039</v>
      </c>
      <c r="D199">
        <v>10.009957313537598</v>
      </c>
      <c r="E199">
        <v>3.6222424507141113</v>
      </c>
      <c r="F199">
        <v>2.4571170806884766</v>
      </c>
      <c r="G199">
        <v>2.3001008033752441</v>
      </c>
      <c r="H199">
        <v>2.5041770935058594</v>
      </c>
      <c r="I199">
        <v>2.8403110504150391</v>
      </c>
      <c r="J199">
        <v>4.8534560203552246</v>
      </c>
      <c r="K199">
        <v>2.5208334922790527</v>
      </c>
      <c r="L199">
        <v>2.0934896469116211</v>
      </c>
      <c r="M199">
        <v>2.6560990810394287</v>
      </c>
      <c r="N199">
        <v>2.2740826606750488</v>
      </c>
    </row>
    <row r="200" spans="1:14" x14ac:dyDescent="0.25">
      <c r="A200">
        <v>586</v>
      </c>
      <c r="B200">
        <v>2.151348352432251</v>
      </c>
      <c r="C200">
        <v>5.9423050880432129</v>
      </c>
      <c r="D200">
        <v>6.8323888778686523</v>
      </c>
      <c r="E200">
        <v>4.2486767768859863</v>
      </c>
      <c r="F200">
        <v>2.6475272178649902</v>
      </c>
      <c r="G200">
        <v>2.183168888092041</v>
      </c>
      <c r="H200">
        <v>2.3329215049743652</v>
      </c>
      <c r="I200">
        <v>2.8049118518829346</v>
      </c>
      <c r="J200">
        <v>5.2257962226867676</v>
      </c>
      <c r="K200">
        <v>2.7708389759063721</v>
      </c>
      <c r="L200">
        <v>2.092947244644165</v>
      </c>
      <c r="M200">
        <v>2.5454821586608887</v>
      </c>
      <c r="N200">
        <v>2.2488887310028076</v>
      </c>
    </row>
    <row r="201" spans="1:14" x14ac:dyDescent="0.25">
      <c r="A201">
        <v>588</v>
      </c>
      <c r="B201">
        <v>2.1664328575134277</v>
      </c>
      <c r="C201">
        <v>5.3219952583312988</v>
      </c>
      <c r="D201">
        <v>8.1392621994018555</v>
      </c>
      <c r="E201">
        <v>3.6844091415405273</v>
      </c>
      <c r="F201">
        <v>2.8102512359619141</v>
      </c>
      <c r="G201">
        <v>2.1885402202606201</v>
      </c>
      <c r="H201">
        <v>2.2478573322296143</v>
      </c>
      <c r="I201">
        <v>2.8222177028656006</v>
      </c>
      <c r="J201">
        <v>5.0594544410705566</v>
      </c>
      <c r="K201">
        <v>2.760394811630249</v>
      </c>
      <c r="L201">
        <v>2.0912003517150879</v>
      </c>
      <c r="M201">
        <v>2.662456750869751</v>
      </c>
      <c r="N201">
        <v>2.2444500923156738</v>
      </c>
    </row>
    <row r="202" spans="1:14" x14ac:dyDescent="0.25">
      <c r="A202">
        <v>590</v>
      </c>
      <c r="B202">
        <v>2.1757490634918213</v>
      </c>
      <c r="C202">
        <v>5.9291725158691406</v>
      </c>
      <c r="D202">
        <v>7.7134366035461426</v>
      </c>
      <c r="E202">
        <v>3.4742345809936523</v>
      </c>
      <c r="F202">
        <v>2.8050558567047119</v>
      </c>
      <c r="G202">
        <v>2.2928149700164795</v>
      </c>
      <c r="H202">
        <v>2.3138079643249512</v>
      </c>
      <c r="I202">
        <v>2.8574221134185791</v>
      </c>
      <c r="J202">
        <v>5.5413579940795898</v>
      </c>
      <c r="K202">
        <v>2.6030480861663818</v>
      </c>
      <c r="L202">
        <v>2.1073513031005859</v>
      </c>
      <c r="M202">
        <v>2.7086794376373291</v>
      </c>
      <c r="N202">
        <v>2.2640223503112793</v>
      </c>
    </row>
    <row r="203" spans="1:14" x14ac:dyDescent="0.25">
      <c r="A203">
        <v>592</v>
      </c>
      <c r="B203">
        <v>2.2105042934417725</v>
      </c>
      <c r="C203">
        <v>5.2829761505126953</v>
      </c>
      <c r="D203">
        <v>7.9277777671813965</v>
      </c>
      <c r="E203">
        <v>3.3358495235443115</v>
      </c>
      <c r="F203">
        <v>2.8429431915283203</v>
      </c>
      <c r="G203">
        <v>2.2872176170349121</v>
      </c>
      <c r="H203">
        <v>2.5932600498199463</v>
      </c>
      <c r="I203">
        <v>2.8462395668029785</v>
      </c>
      <c r="J203">
        <v>5.0576949119567871</v>
      </c>
      <c r="K203">
        <v>2.3898909091949463</v>
      </c>
      <c r="L203">
        <v>2.1403050422668457</v>
      </c>
      <c r="M203">
        <v>2.8127095699310303</v>
      </c>
      <c r="N203">
        <v>2.2627091407775879</v>
      </c>
    </row>
    <row r="204" spans="1:14" x14ac:dyDescent="0.25">
      <c r="A204">
        <v>594</v>
      </c>
      <c r="B204">
        <v>2.2165133953094482</v>
      </c>
      <c r="C204">
        <v>4.0633859634399414</v>
      </c>
      <c r="D204">
        <v>7.3384618759155273</v>
      </c>
      <c r="E204">
        <v>3.6688251495361328</v>
      </c>
      <c r="F204">
        <v>2.9985263347625732</v>
      </c>
      <c r="G204">
        <v>2.090221643447876</v>
      </c>
      <c r="H204">
        <v>2.5208404064178467</v>
      </c>
      <c r="I204">
        <v>2.80607008934021</v>
      </c>
      <c r="J204">
        <v>4.5167121887207031</v>
      </c>
      <c r="K204">
        <v>2.6144061088562012</v>
      </c>
      <c r="L204">
        <v>2.1484370231628418</v>
      </c>
      <c r="M204">
        <v>2.9231791496276855</v>
      </c>
      <c r="N204">
        <v>2.2067520618438721</v>
      </c>
    </row>
    <row r="205" spans="1:14" x14ac:dyDescent="0.25">
      <c r="A205">
        <v>596</v>
      </c>
      <c r="B205">
        <v>2.2392158508300781</v>
      </c>
      <c r="C205">
        <v>4.9726223945617676</v>
      </c>
      <c r="D205">
        <v>9.4694719314575195</v>
      </c>
      <c r="E205">
        <v>3.3979628086090088</v>
      </c>
      <c r="F205">
        <v>2.720123291015625</v>
      </c>
      <c r="G205">
        <v>2.3503170013427734</v>
      </c>
      <c r="H205">
        <v>2.289874792098999</v>
      </c>
      <c r="I205">
        <v>2.8001084327697754</v>
      </c>
      <c r="J205">
        <v>5.0618906021118164</v>
      </c>
      <c r="K205">
        <v>2.7558255195617676</v>
      </c>
      <c r="L205">
        <v>2.1226396560668945</v>
      </c>
      <c r="M205">
        <v>2.8657979965209961</v>
      </c>
      <c r="N205">
        <v>2.2538418769836426</v>
      </c>
    </row>
    <row r="206" spans="1:14" x14ac:dyDescent="0.25">
      <c r="A206">
        <v>598</v>
      </c>
      <c r="B206">
        <v>2.1616613864898682</v>
      </c>
      <c r="C206">
        <v>4.6151628494262695</v>
      </c>
      <c r="D206">
        <v>7.9298672676086426</v>
      </c>
      <c r="E206">
        <v>3.82846999168396</v>
      </c>
      <c r="F206">
        <v>2.7995755672454834</v>
      </c>
      <c r="G206">
        <v>2.3455307483673096</v>
      </c>
      <c r="H206">
        <v>2.2904140949249268</v>
      </c>
      <c r="I206">
        <v>2.7899131774902344</v>
      </c>
      <c r="J206">
        <v>5.6444249153137207</v>
      </c>
      <c r="K206">
        <v>2.5553643703460693</v>
      </c>
      <c r="L206">
        <v>2.0889360904693604</v>
      </c>
      <c r="M206">
        <v>2.8285214900970459</v>
      </c>
      <c r="N206">
        <v>2.2506866455078125</v>
      </c>
    </row>
    <row r="207" spans="1:14" x14ac:dyDescent="0.25">
      <c r="A207">
        <v>600</v>
      </c>
      <c r="B207">
        <v>2.1915006637573242</v>
      </c>
      <c r="C207">
        <v>6.1983642578125</v>
      </c>
      <c r="D207">
        <v>9.9632854461669922</v>
      </c>
      <c r="E207">
        <v>3.8536324501037598</v>
      </c>
      <c r="F207">
        <v>2.5583720207214355</v>
      </c>
      <c r="G207">
        <v>2.1817729473114014</v>
      </c>
      <c r="H207">
        <v>2.4058966636657715</v>
      </c>
      <c r="I207">
        <v>2.85479736328125</v>
      </c>
      <c r="J207">
        <v>5.7273249626159668</v>
      </c>
      <c r="K207">
        <v>2.713559627532959</v>
      </c>
      <c r="L207">
        <v>2.0764293670654297</v>
      </c>
      <c r="M207">
        <v>2.6460549831390381</v>
      </c>
      <c r="N207">
        <v>2.2757558822631836</v>
      </c>
    </row>
    <row r="208" spans="1:14" x14ac:dyDescent="0.25">
      <c r="A208">
        <v>602</v>
      </c>
      <c r="B208">
        <v>2.1910192966461182</v>
      </c>
      <c r="C208">
        <v>4.716252326965332</v>
      </c>
      <c r="D208">
        <v>9.1385917663574219</v>
      </c>
      <c r="E208">
        <v>3.8603951930999756</v>
      </c>
      <c r="F208">
        <v>2.8098006248474121</v>
      </c>
      <c r="G208">
        <v>2.2676470279693604</v>
      </c>
      <c r="H208">
        <v>2.3297686576843262</v>
      </c>
      <c r="I208">
        <v>2.8204994201660156</v>
      </c>
      <c r="J208">
        <v>5.8199024200439453</v>
      </c>
      <c r="K208">
        <v>2.8396391868591309</v>
      </c>
      <c r="L208">
        <v>2.1012389659881592</v>
      </c>
      <c r="M208">
        <v>2.7354202270507813</v>
      </c>
      <c r="N208">
        <v>2.2497913837432861</v>
      </c>
    </row>
    <row r="209" spans="1:14" x14ac:dyDescent="0.25">
      <c r="A209">
        <v>604</v>
      </c>
      <c r="B209">
        <v>2.2384665012359619</v>
      </c>
      <c r="C209">
        <v>6.5277266502380371</v>
      </c>
      <c r="D209">
        <v>8.0409040451049805</v>
      </c>
      <c r="E209">
        <v>4.0242815017700195</v>
      </c>
      <c r="F209">
        <v>2.5216705799102783</v>
      </c>
      <c r="G209">
        <v>2.1581206321716309</v>
      </c>
      <c r="H209">
        <v>2.333411693572998</v>
      </c>
      <c r="I209">
        <v>2.8412034511566162</v>
      </c>
      <c r="J209">
        <v>6.3953309059143066</v>
      </c>
      <c r="K209">
        <v>2.8014857769012451</v>
      </c>
      <c r="L209">
        <v>2.0689656734466553</v>
      </c>
      <c r="M209">
        <v>2.708745002746582</v>
      </c>
      <c r="N209">
        <v>2.2755692005157471</v>
      </c>
    </row>
    <row r="210" spans="1:14" x14ac:dyDescent="0.25">
      <c r="A210">
        <v>606</v>
      </c>
      <c r="B210">
        <v>2.1915900707244873</v>
      </c>
      <c r="C210">
        <v>4.8614931106567383</v>
      </c>
      <c r="D210">
        <v>6.6574749946594238</v>
      </c>
      <c r="E210">
        <v>3.8165657520294189</v>
      </c>
      <c r="F210">
        <v>2.7455556392669678</v>
      </c>
      <c r="G210">
        <v>2.167360782623291</v>
      </c>
      <c r="H210">
        <v>2.4358580112457275</v>
      </c>
      <c r="I210">
        <v>2.8242728710174561</v>
      </c>
      <c r="J210">
        <v>5.7116246223449707</v>
      </c>
      <c r="K210">
        <v>2.9529249668121338</v>
      </c>
      <c r="L210">
        <v>2.0827329158782959</v>
      </c>
      <c r="M210">
        <v>2.6025848388671875</v>
      </c>
      <c r="N210">
        <v>2.2247710227966309</v>
      </c>
    </row>
    <row r="211" spans="1:14" x14ac:dyDescent="0.25">
      <c r="A211">
        <v>608</v>
      </c>
      <c r="B211">
        <v>2.141681432723999</v>
      </c>
      <c r="C211">
        <v>5.1080827713012695</v>
      </c>
      <c r="D211">
        <v>7.1012725830078125</v>
      </c>
      <c r="E211">
        <v>4.0564742088317871</v>
      </c>
      <c r="F211">
        <v>3.0347530841827393</v>
      </c>
      <c r="G211">
        <v>2</v>
      </c>
      <c r="H211">
        <v>2.3378880023956299</v>
      </c>
      <c r="I211">
        <v>2.7965772151947021</v>
      </c>
      <c r="J211">
        <v>5.7566275596618652</v>
      </c>
      <c r="K211">
        <v>2.9069383144378662</v>
      </c>
      <c r="L211">
        <v>2.1064071655273438</v>
      </c>
      <c r="M211">
        <v>2.7563278675079346</v>
      </c>
      <c r="N211">
        <v>2.226837158203125</v>
      </c>
    </row>
    <row r="212" spans="1:14" x14ac:dyDescent="0.25">
      <c r="A212">
        <v>610</v>
      </c>
      <c r="B212">
        <v>2.1693274974822998</v>
      </c>
      <c r="C212">
        <v>4.4163703918457031</v>
      </c>
      <c r="D212">
        <v>8.9948148727416992</v>
      </c>
      <c r="E212">
        <v>3.5750715732574463</v>
      </c>
      <c r="F212">
        <v>3.1496255397796631</v>
      </c>
      <c r="G212">
        <v>2.2541389465332031</v>
      </c>
      <c r="H212">
        <v>2.5209383964538574</v>
      </c>
      <c r="I212">
        <v>2.8137879371643066</v>
      </c>
      <c r="J212">
        <v>5.5622692108154297</v>
      </c>
      <c r="K212">
        <v>2.5465195178985596</v>
      </c>
      <c r="L212">
        <v>2.1008470058441162</v>
      </c>
      <c r="M212">
        <v>2.7440881729125977</v>
      </c>
      <c r="N212">
        <v>2.2406470775604248</v>
      </c>
    </row>
    <row r="213" spans="1:14" x14ac:dyDescent="0.25">
      <c r="A213">
        <v>612</v>
      </c>
      <c r="B213">
        <v>2.1446516513824463</v>
      </c>
      <c r="C213">
        <v>4.0841741561889648</v>
      </c>
      <c r="D213">
        <v>8.4456930160522461</v>
      </c>
      <c r="E213">
        <v>3.795029878616333</v>
      </c>
      <c r="F213">
        <v>3.0967681407928467</v>
      </c>
      <c r="G213">
        <v>2.1916379928588867</v>
      </c>
      <c r="H213">
        <v>2.4031195640563965</v>
      </c>
      <c r="I213">
        <v>2.8607685565948486</v>
      </c>
      <c r="J213">
        <v>6.6168937683105469</v>
      </c>
      <c r="K213">
        <v>2.7389190196990967</v>
      </c>
      <c r="L213">
        <v>2.1051340103149414</v>
      </c>
      <c r="M213">
        <v>2.6940639019012451</v>
      </c>
      <c r="N213">
        <v>2.2089307308197021</v>
      </c>
    </row>
    <row r="214" spans="1:14" x14ac:dyDescent="0.25">
      <c r="A214">
        <v>614</v>
      </c>
      <c r="B214">
        <v>2.2701346874237061</v>
      </c>
      <c r="C214">
        <v>5.6034564971923828</v>
      </c>
      <c r="D214">
        <v>9.4510126113891602</v>
      </c>
      <c r="E214">
        <v>3.4744927883148193</v>
      </c>
      <c r="F214">
        <v>2.7383670806884766</v>
      </c>
      <c r="G214">
        <v>2.2782168388366699</v>
      </c>
      <c r="H214">
        <v>2.1923460960388184</v>
      </c>
      <c r="I214">
        <v>2.9061875343322754</v>
      </c>
      <c r="J214">
        <v>6.8704667091369629</v>
      </c>
      <c r="K214">
        <v>3.0371303558349609</v>
      </c>
      <c r="L214">
        <v>2.0877444744110107</v>
      </c>
      <c r="M214">
        <v>2.5772860050201416</v>
      </c>
      <c r="N214">
        <v>2.2835426330566406</v>
      </c>
    </row>
    <row r="215" spans="1:14" x14ac:dyDescent="0.25">
      <c r="A215">
        <v>616</v>
      </c>
      <c r="B215">
        <v>2.2218418121337891</v>
      </c>
      <c r="C215">
        <v>4.7700114250183105</v>
      </c>
      <c r="D215">
        <v>6.5375914573669434</v>
      </c>
      <c r="E215">
        <v>3.7563681602478027</v>
      </c>
      <c r="F215">
        <v>2.6533870697021484</v>
      </c>
      <c r="G215">
        <v>2.3477110862731934</v>
      </c>
      <c r="H215">
        <v>2.213599681854248</v>
      </c>
      <c r="I215">
        <v>2.8740823268890381</v>
      </c>
      <c r="J215">
        <v>6.2935495376586914</v>
      </c>
      <c r="K215">
        <v>2.7800099849700928</v>
      </c>
      <c r="L215">
        <v>2.1130118370056152</v>
      </c>
      <c r="M215">
        <v>2.6731889247894287</v>
      </c>
      <c r="N215">
        <v>2.249434232711792</v>
      </c>
    </row>
    <row r="216" spans="1:14" x14ac:dyDescent="0.25">
      <c r="A216">
        <v>618</v>
      </c>
      <c r="B216">
        <v>2.2377927303314209</v>
      </c>
      <c r="C216">
        <v>6.2118778228759766</v>
      </c>
      <c r="D216">
        <v>7.4087481498718262</v>
      </c>
      <c r="E216">
        <v>3.8111751079559326</v>
      </c>
      <c r="F216">
        <v>2.0934021472930908</v>
      </c>
      <c r="G216">
        <v>2.2004127502441406</v>
      </c>
      <c r="H216">
        <v>2.3674895763397217</v>
      </c>
      <c r="I216">
        <v>2.8738212585449219</v>
      </c>
      <c r="J216">
        <v>6.0049896240234375</v>
      </c>
      <c r="K216">
        <v>2.4499442577362061</v>
      </c>
      <c r="L216">
        <v>2.1173458099365234</v>
      </c>
      <c r="M216">
        <v>2.7059266567230225</v>
      </c>
      <c r="N216">
        <v>2.2535173892974854</v>
      </c>
    </row>
    <row r="217" spans="1:14" x14ac:dyDescent="0.25">
      <c r="A217">
        <v>620</v>
      </c>
      <c r="B217">
        <v>2.2278509140014648</v>
      </c>
      <c r="C217">
        <v>4.3723058700561523</v>
      </c>
      <c r="D217">
        <v>8.3969316482543945</v>
      </c>
      <c r="E217">
        <v>3.8225357532501221</v>
      </c>
      <c r="F217">
        <v>2.66690993309021</v>
      </c>
      <c r="G217">
        <v>2.328951358795166</v>
      </c>
      <c r="H217">
        <v>2.3534729480743408</v>
      </c>
      <c r="I217">
        <v>2.80413818359375</v>
      </c>
      <c r="J217">
        <v>4.8544712066650391</v>
      </c>
      <c r="K217">
        <v>2.676842212677002</v>
      </c>
      <c r="L217">
        <v>2.146702766418457</v>
      </c>
      <c r="M217">
        <v>2.7381730079650879</v>
      </c>
      <c r="N217">
        <v>2.2198388576507568</v>
      </c>
    </row>
    <row r="218" spans="1:14" x14ac:dyDescent="0.25">
      <c r="A218">
        <v>622</v>
      </c>
      <c r="B218">
        <v>2.1235165596008301</v>
      </c>
      <c r="C218">
        <v>5.6250567436218262</v>
      </c>
      <c r="D218">
        <v>8.4511957168579102</v>
      </c>
      <c r="E218">
        <v>3.9839267730712891</v>
      </c>
      <c r="F218">
        <v>2.8536903858184814</v>
      </c>
      <c r="G218">
        <v>2.2655463218688965</v>
      </c>
      <c r="H218">
        <v>2.246795654296875</v>
      </c>
      <c r="I218">
        <v>2.8538527488708496</v>
      </c>
      <c r="J218">
        <v>4.7191915512084961</v>
      </c>
      <c r="K218">
        <v>2.8554685115814209</v>
      </c>
      <c r="L218">
        <v>2.1576821804046631</v>
      </c>
      <c r="M218">
        <v>2.932584285736084</v>
      </c>
      <c r="N218">
        <v>2.2594351768493652</v>
      </c>
    </row>
    <row r="219" spans="1:14" x14ac:dyDescent="0.25">
      <c r="A219">
        <v>624</v>
      </c>
      <c r="B219">
        <v>2.073594331741333</v>
      </c>
      <c r="C219">
        <v>5.5150332450866699</v>
      </c>
      <c r="D219">
        <v>8.5448179244995117</v>
      </c>
      <c r="E219">
        <v>3.4754552841186523</v>
      </c>
      <c r="F219">
        <v>3.0325703620910645</v>
      </c>
      <c r="G219">
        <v>2.2097725868225098</v>
      </c>
      <c r="H219">
        <v>2.2673795223236084</v>
      </c>
      <c r="I219">
        <v>2.8873913288116455</v>
      </c>
      <c r="J219">
        <v>4.7014613151550293</v>
      </c>
      <c r="K219">
        <v>2.6787350177764893</v>
      </c>
      <c r="L219">
        <v>2.0956223011016846</v>
      </c>
      <c r="M219">
        <v>2.7447926998138428</v>
      </c>
      <c r="N219">
        <v>2.2758181095123291</v>
      </c>
    </row>
    <row r="220" spans="1:14" x14ac:dyDescent="0.25">
      <c r="A220">
        <v>626</v>
      </c>
      <c r="B220">
        <v>2</v>
      </c>
      <c r="C220">
        <v>4.8460788726806641</v>
      </c>
      <c r="D220">
        <v>8.2308645248413086</v>
      </c>
      <c r="E220">
        <v>3.9980406761169434</v>
      </c>
      <c r="F220">
        <v>3.1924238204956055</v>
      </c>
      <c r="G220">
        <v>2.1570701599121094</v>
      </c>
      <c r="H220">
        <v>2.0339798927307129</v>
      </c>
      <c r="I220">
        <v>2.8988113403320313</v>
      </c>
      <c r="J220">
        <v>5.7931036949157715</v>
      </c>
      <c r="K220">
        <v>2.5608475208282471</v>
      </c>
      <c r="L220">
        <v>2.0135228633880615</v>
      </c>
      <c r="M220">
        <v>2.3081250190734863</v>
      </c>
      <c r="N220">
        <v>2.2138674259185791</v>
      </c>
    </row>
    <row r="221" spans="1:14" x14ac:dyDescent="0.25">
      <c r="A221">
        <v>628</v>
      </c>
      <c r="B221">
        <v>2.2361631393432617</v>
      </c>
      <c r="C221">
        <v>6.1725306510925293</v>
      </c>
      <c r="D221">
        <v>9.5369024276733398</v>
      </c>
      <c r="E221">
        <v>4.078312873840332</v>
      </c>
      <c r="F221">
        <v>2.304499626159668</v>
      </c>
      <c r="G221">
        <v>2.2769670486450195</v>
      </c>
      <c r="H221">
        <v>2.2980759143829346</v>
      </c>
      <c r="I221">
        <v>3.063946008682251</v>
      </c>
      <c r="J221">
        <v>8.7874565124511719</v>
      </c>
      <c r="K221">
        <v>2.7011246681213379</v>
      </c>
      <c r="L221">
        <v>2.0510115623474121</v>
      </c>
      <c r="M221">
        <v>2.5653738975524902</v>
      </c>
      <c r="N221">
        <v>2.2683038711547852</v>
      </c>
    </row>
    <row r="222" spans="1:14" x14ac:dyDescent="0.25">
      <c r="A222">
        <v>630</v>
      </c>
      <c r="B222">
        <v>2.2926721572875977</v>
      </c>
      <c r="C222">
        <v>3.4551894664764404</v>
      </c>
      <c r="D222">
        <v>8.1197576522827148</v>
      </c>
      <c r="E222">
        <v>3.9226334095001221</v>
      </c>
      <c r="F222">
        <v>2.6791279315948486</v>
      </c>
      <c r="G222">
        <v>2.1683447360992432</v>
      </c>
      <c r="H222">
        <v>2.4209589958190918</v>
      </c>
      <c r="I222">
        <v>2.9601976871490479</v>
      </c>
      <c r="J222">
        <v>8.0481224060058594</v>
      </c>
      <c r="K222">
        <v>2.8363754749298096</v>
      </c>
      <c r="L222">
        <v>2.1399257183074951</v>
      </c>
      <c r="M222">
        <v>2.9947500228881836</v>
      </c>
      <c r="N222">
        <v>2.2487034797668457</v>
      </c>
    </row>
    <row r="223" spans="1:14" x14ac:dyDescent="0.25">
      <c r="A223">
        <v>632</v>
      </c>
      <c r="B223">
        <v>2.2210304737091064</v>
      </c>
      <c r="C223">
        <v>6.2914533615112305</v>
      </c>
      <c r="D223">
        <v>9.4066400527954102</v>
      </c>
      <c r="E223">
        <v>3.8838915824890137</v>
      </c>
      <c r="F223">
        <v>2.8052692413330078</v>
      </c>
      <c r="G223">
        <v>2.0148773193359375</v>
      </c>
      <c r="H223">
        <v>2.1580228805541992</v>
      </c>
      <c r="I223">
        <v>2.94248366355896</v>
      </c>
      <c r="J223">
        <v>8.0601005554199219</v>
      </c>
      <c r="K223">
        <v>3.5270559787750244</v>
      </c>
      <c r="L223">
        <v>2.1353030204772949</v>
      </c>
      <c r="M223">
        <v>3.1664021015167236</v>
      </c>
      <c r="N223">
        <v>2.3244211673736572</v>
      </c>
    </row>
    <row r="224" spans="1:14" x14ac:dyDescent="0.25">
      <c r="A224">
        <v>634</v>
      </c>
      <c r="B224">
        <v>2.1621081829071045</v>
      </c>
      <c r="C224">
        <v>4.4533848762512207</v>
      </c>
      <c r="D224">
        <v>10.436897277832031</v>
      </c>
      <c r="E224">
        <v>3.0369467735290527</v>
      </c>
      <c r="F224">
        <v>3.4476721286773682</v>
      </c>
      <c r="G224">
        <v>2.4073138236999512</v>
      </c>
      <c r="H224">
        <v>2.2474489212036133</v>
      </c>
      <c r="I224">
        <v>3.0297713279724121</v>
      </c>
      <c r="J224">
        <v>6.7901382446289063</v>
      </c>
      <c r="K224">
        <v>2.7721443176269531</v>
      </c>
      <c r="L224">
        <v>2.1721835136413574</v>
      </c>
      <c r="M224">
        <v>3.141709566116333</v>
      </c>
      <c r="N224">
        <v>2.3255031108856201</v>
      </c>
    </row>
    <row r="225" spans="1:14" x14ac:dyDescent="0.25">
      <c r="A225">
        <v>636</v>
      </c>
      <c r="B225">
        <v>2.0690429210662842</v>
      </c>
      <c r="C225">
        <v>4.1845898628234863</v>
      </c>
      <c r="D225">
        <v>6.2085919380187988</v>
      </c>
      <c r="E225">
        <v>3.6284706592559814</v>
      </c>
      <c r="F225">
        <v>3.3536295890808105</v>
      </c>
      <c r="G225">
        <v>2.2118732929229736</v>
      </c>
      <c r="H225">
        <v>2.0414783954620361</v>
      </c>
      <c r="I225">
        <v>2.9079437255859375</v>
      </c>
      <c r="J225">
        <v>5.1322712898254395</v>
      </c>
      <c r="K225">
        <v>2.3537607192993164</v>
      </c>
      <c r="L225">
        <v>2.1422808170318604</v>
      </c>
      <c r="M225">
        <v>2.7507405281066895</v>
      </c>
      <c r="N225">
        <v>2.2038085460662842</v>
      </c>
    </row>
    <row r="226" spans="1:14" x14ac:dyDescent="0.25">
      <c r="A226">
        <v>638</v>
      </c>
      <c r="B226">
        <v>2.1351842880249023</v>
      </c>
      <c r="C226">
        <v>6.5840258598327637</v>
      </c>
      <c r="D226">
        <v>8.2000055313110352</v>
      </c>
      <c r="E226">
        <v>3.2817378044128418</v>
      </c>
      <c r="F226">
        <v>2</v>
      </c>
      <c r="G226">
        <v>2.3210008144378662</v>
      </c>
      <c r="H226">
        <v>2</v>
      </c>
      <c r="I226">
        <v>2.8642427921295166</v>
      </c>
      <c r="J226">
        <v>5.564908504486084</v>
      </c>
      <c r="K226">
        <v>2.3345046043395996</v>
      </c>
      <c r="L226">
        <v>2.0854268074035645</v>
      </c>
      <c r="M226">
        <v>2.2631967067718506</v>
      </c>
      <c r="N226">
        <v>2.2349884510040283</v>
      </c>
    </row>
    <row r="227" spans="1:14" x14ac:dyDescent="0.25">
      <c r="A227">
        <v>640</v>
      </c>
      <c r="B227">
        <v>2.085853099822998</v>
      </c>
      <c r="C227">
        <v>3.7137024402618408</v>
      </c>
      <c r="D227">
        <v>8.1771574020385742</v>
      </c>
      <c r="E227">
        <v>3.4974100589752197</v>
      </c>
      <c r="F227">
        <v>2.2963860034942627</v>
      </c>
      <c r="G227">
        <v>2.4189338684082031</v>
      </c>
      <c r="H227">
        <v>2.4889025688171387</v>
      </c>
      <c r="I227">
        <v>2.9067049026489258</v>
      </c>
      <c r="J227">
        <v>4.7432160377502441</v>
      </c>
      <c r="K227">
        <v>2.4427640438079834</v>
      </c>
      <c r="L227">
        <v>2.0944807529449463</v>
      </c>
      <c r="M227">
        <v>2.4576897621154785</v>
      </c>
      <c r="N227">
        <v>2.1932532787322998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CZ227"/>
  <sheetViews>
    <sheetView workbookViewId="0"/>
  </sheetViews>
  <sheetFormatPr defaultColWidth="9.140625" defaultRowHeight="15" x14ac:dyDescent="0.25"/>
  <cols>
    <col min="102" max="16384" width="9.140625" style="24"/>
  </cols>
  <sheetData>
    <row r="1" spans="1:104" x14ac:dyDescent="0.25">
      <c r="B1">
        <v>1</v>
      </c>
      <c r="C1">
        <v>2</v>
      </c>
      <c r="D1">
        <v>3</v>
      </c>
      <c r="E1">
        <v>4</v>
      </c>
      <c r="F1">
        <v>5</v>
      </c>
      <c r="G1">
        <v>6</v>
      </c>
      <c r="H1">
        <v>7</v>
      </c>
      <c r="I1">
        <v>8</v>
      </c>
      <c r="J1">
        <v>9</v>
      </c>
      <c r="K1">
        <v>10</v>
      </c>
      <c r="L1">
        <v>11</v>
      </c>
      <c r="M1">
        <v>12</v>
      </c>
      <c r="N1">
        <v>13</v>
      </c>
    </row>
    <row r="2" spans="1:104" x14ac:dyDescent="0.25">
      <c r="A2">
        <v>190</v>
      </c>
      <c r="CY2" s="24">
        <v>200</v>
      </c>
      <c r="CZ2" s="24">
        <v>0</v>
      </c>
    </row>
    <row r="3" spans="1:104" x14ac:dyDescent="0.25">
      <c r="A3">
        <v>192</v>
      </c>
      <c r="E3">
        <v>192</v>
      </c>
      <c r="G3">
        <v>192</v>
      </c>
      <c r="L3">
        <v>192</v>
      </c>
      <c r="CY3" s="24">
        <v>300</v>
      </c>
      <c r="CZ3" s="24">
        <v>0</v>
      </c>
    </row>
    <row r="4" spans="1:104" x14ac:dyDescent="0.25">
      <c r="A4">
        <v>194</v>
      </c>
      <c r="F4">
        <v>194</v>
      </c>
      <c r="CY4" s="24">
        <v>400</v>
      </c>
      <c r="CZ4" s="24">
        <v>0</v>
      </c>
    </row>
    <row r="5" spans="1:104" x14ac:dyDescent="0.25">
      <c r="A5">
        <v>196</v>
      </c>
      <c r="CY5" s="24">
        <v>500</v>
      </c>
      <c r="CZ5" s="24">
        <v>0</v>
      </c>
    </row>
    <row r="6" spans="1:104" x14ac:dyDescent="0.25">
      <c r="A6">
        <v>198</v>
      </c>
      <c r="K6">
        <v>198</v>
      </c>
      <c r="M6">
        <v>198</v>
      </c>
      <c r="CY6" s="24">
        <v>600</v>
      </c>
      <c r="CZ6" s="24">
        <v>0</v>
      </c>
    </row>
    <row r="7" spans="1:104" x14ac:dyDescent="0.25">
      <c r="A7">
        <v>200</v>
      </c>
    </row>
    <row r="8" spans="1:104" x14ac:dyDescent="0.25">
      <c r="A8">
        <v>202</v>
      </c>
    </row>
    <row r="9" spans="1:104" x14ac:dyDescent="0.25">
      <c r="A9">
        <v>204</v>
      </c>
    </row>
    <row r="10" spans="1:104" x14ac:dyDescent="0.25">
      <c r="A10">
        <v>206</v>
      </c>
      <c r="B10">
        <v>206</v>
      </c>
      <c r="H10">
        <v>206</v>
      </c>
    </row>
    <row r="11" spans="1:104" x14ac:dyDescent="0.25">
      <c r="A11">
        <v>208</v>
      </c>
      <c r="D11">
        <v>208</v>
      </c>
    </row>
    <row r="12" spans="1:104" x14ac:dyDescent="0.25">
      <c r="A12">
        <v>210</v>
      </c>
      <c r="J12">
        <v>210</v>
      </c>
    </row>
    <row r="13" spans="1:104" x14ac:dyDescent="0.25">
      <c r="A13">
        <v>212</v>
      </c>
    </row>
    <row r="14" spans="1:104" x14ac:dyDescent="0.25">
      <c r="A14">
        <v>214</v>
      </c>
      <c r="E14">
        <v>214</v>
      </c>
    </row>
    <row r="15" spans="1:104" x14ac:dyDescent="0.25">
      <c r="A15">
        <v>216</v>
      </c>
    </row>
    <row r="16" spans="1:104" x14ac:dyDescent="0.25">
      <c r="A16">
        <v>218</v>
      </c>
    </row>
    <row r="17" spans="1:7" x14ac:dyDescent="0.25">
      <c r="A17">
        <v>220</v>
      </c>
    </row>
    <row r="18" spans="1:7" x14ac:dyDescent="0.25">
      <c r="A18">
        <v>222</v>
      </c>
    </row>
    <row r="19" spans="1:7" x14ac:dyDescent="0.25">
      <c r="A19">
        <v>224</v>
      </c>
      <c r="G19">
        <v>224</v>
      </c>
    </row>
    <row r="20" spans="1:7" x14ac:dyDescent="0.25">
      <c r="A20">
        <v>226</v>
      </c>
    </row>
    <row r="21" spans="1:7" x14ac:dyDescent="0.25">
      <c r="A21">
        <v>228</v>
      </c>
    </row>
    <row r="22" spans="1:7" x14ac:dyDescent="0.25">
      <c r="A22">
        <v>230</v>
      </c>
    </row>
    <row r="23" spans="1:7" x14ac:dyDescent="0.25">
      <c r="A23">
        <v>232</v>
      </c>
      <c r="F23">
        <v>232</v>
      </c>
    </row>
    <row r="24" spans="1:7" x14ac:dyDescent="0.25">
      <c r="A24">
        <v>234</v>
      </c>
    </row>
    <row r="25" spans="1:7" x14ac:dyDescent="0.25">
      <c r="A25">
        <v>236</v>
      </c>
    </row>
    <row r="26" spans="1:7" x14ac:dyDescent="0.25">
      <c r="A26">
        <v>238</v>
      </c>
    </row>
    <row r="27" spans="1:7" x14ac:dyDescent="0.25">
      <c r="A27">
        <v>240</v>
      </c>
    </row>
    <row r="28" spans="1:7" x14ac:dyDescent="0.25">
      <c r="A28">
        <v>242</v>
      </c>
      <c r="B28">
        <v>242</v>
      </c>
      <c r="D28">
        <v>242</v>
      </c>
    </row>
    <row r="29" spans="1:7" x14ac:dyDescent="0.25">
      <c r="A29">
        <v>244</v>
      </c>
      <c r="E29">
        <v>244</v>
      </c>
    </row>
    <row r="30" spans="1:7" x14ac:dyDescent="0.25">
      <c r="A30">
        <v>246</v>
      </c>
    </row>
    <row r="31" spans="1:7" x14ac:dyDescent="0.25">
      <c r="A31">
        <v>248</v>
      </c>
    </row>
    <row r="32" spans="1:7" x14ac:dyDescent="0.25">
      <c r="A32">
        <v>250</v>
      </c>
    </row>
    <row r="33" spans="1:13" x14ac:dyDescent="0.25">
      <c r="A33">
        <v>252</v>
      </c>
    </row>
    <row r="34" spans="1:13" x14ac:dyDescent="0.25">
      <c r="A34">
        <v>254</v>
      </c>
    </row>
    <row r="35" spans="1:13" x14ac:dyDescent="0.25">
      <c r="A35">
        <v>256</v>
      </c>
    </row>
    <row r="36" spans="1:13" x14ac:dyDescent="0.25">
      <c r="A36">
        <v>258</v>
      </c>
    </row>
    <row r="37" spans="1:13" x14ac:dyDescent="0.25">
      <c r="A37">
        <v>260</v>
      </c>
      <c r="C37" t="s">
        <v>139</v>
      </c>
      <c r="H37" t="s">
        <v>139</v>
      </c>
    </row>
    <row r="38" spans="1:13" x14ac:dyDescent="0.25">
      <c r="A38">
        <v>262</v>
      </c>
      <c r="G38">
        <v>262</v>
      </c>
    </row>
    <row r="39" spans="1:13" x14ac:dyDescent="0.25">
      <c r="A39">
        <v>264</v>
      </c>
    </row>
    <row r="40" spans="1:13" x14ac:dyDescent="0.25">
      <c r="A40">
        <v>266</v>
      </c>
    </row>
    <row r="41" spans="1:13" x14ac:dyDescent="0.25">
      <c r="A41">
        <v>268</v>
      </c>
      <c r="D41">
        <v>268</v>
      </c>
    </row>
    <row r="42" spans="1:13" x14ac:dyDescent="0.25">
      <c r="A42">
        <v>270</v>
      </c>
    </row>
    <row r="43" spans="1:13" x14ac:dyDescent="0.25">
      <c r="A43">
        <v>272</v>
      </c>
    </row>
    <row r="44" spans="1:13" x14ac:dyDescent="0.25">
      <c r="A44">
        <v>274</v>
      </c>
      <c r="L44">
        <v>274</v>
      </c>
    </row>
    <row r="45" spans="1:13" x14ac:dyDescent="0.25">
      <c r="A45">
        <v>276</v>
      </c>
      <c r="I45">
        <v>276</v>
      </c>
    </row>
    <row r="46" spans="1:13" x14ac:dyDescent="0.25">
      <c r="A46">
        <v>278</v>
      </c>
      <c r="G46" t="s">
        <v>145</v>
      </c>
      <c r="J46">
        <v>278</v>
      </c>
    </row>
    <row r="47" spans="1:13" x14ac:dyDescent="0.25">
      <c r="A47">
        <v>280</v>
      </c>
      <c r="K47">
        <v>280</v>
      </c>
      <c r="M47">
        <v>280</v>
      </c>
    </row>
    <row r="48" spans="1:13" x14ac:dyDescent="0.25">
      <c r="A48">
        <v>282</v>
      </c>
      <c r="E48" t="s">
        <v>138</v>
      </c>
    </row>
    <row r="49" spans="1:8" x14ac:dyDescent="0.25">
      <c r="A49">
        <v>284</v>
      </c>
      <c r="B49">
        <v>284</v>
      </c>
      <c r="H49">
        <v>284</v>
      </c>
    </row>
    <row r="50" spans="1:8" x14ac:dyDescent="0.25">
      <c r="A50">
        <v>286</v>
      </c>
    </row>
    <row r="51" spans="1:8" x14ac:dyDescent="0.25">
      <c r="A51">
        <v>288</v>
      </c>
    </row>
    <row r="52" spans="1:8" x14ac:dyDescent="0.25">
      <c r="A52">
        <v>290</v>
      </c>
      <c r="C52">
        <v>290</v>
      </c>
      <c r="G52">
        <v>290</v>
      </c>
    </row>
    <row r="53" spans="1:8" x14ac:dyDescent="0.25">
      <c r="A53">
        <v>292</v>
      </c>
    </row>
    <row r="54" spans="1:8" x14ac:dyDescent="0.25">
      <c r="A54">
        <v>294</v>
      </c>
    </row>
    <row r="55" spans="1:8" x14ac:dyDescent="0.25">
      <c r="A55">
        <v>296</v>
      </c>
    </row>
    <row r="56" spans="1:8" x14ac:dyDescent="0.25">
      <c r="A56">
        <v>298</v>
      </c>
      <c r="D56">
        <v>298</v>
      </c>
      <c r="E56" t="s">
        <v>140</v>
      </c>
    </row>
    <row r="57" spans="1:8" x14ac:dyDescent="0.25">
      <c r="A57">
        <v>300</v>
      </c>
    </row>
    <row r="58" spans="1:8" x14ac:dyDescent="0.25">
      <c r="A58">
        <v>302</v>
      </c>
    </row>
    <row r="59" spans="1:8" x14ac:dyDescent="0.25">
      <c r="A59">
        <v>304</v>
      </c>
    </row>
    <row r="60" spans="1:8" x14ac:dyDescent="0.25">
      <c r="A60">
        <v>306</v>
      </c>
    </row>
    <row r="61" spans="1:8" x14ac:dyDescent="0.25">
      <c r="A61">
        <v>308</v>
      </c>
    </row>
    <row r="62" spans="1:8" x14ac:dyDescent="0.25">
      <c r="A62">
        <v>310</v>
      </c>
      <c r="E62">
        <v>310</v>
      </c>
    </row>
    <row r="63" spans="1:8" x14ac:dyDescent="0.25">
      <c r="A63">
        <v>312</v>
      </c>
    </row>
    <row r="64" spans="1:8" x14ac:dyDescent="0.25">
      <c r="A64">
        <v>314</v>
      </c>
      <c r="C64">
        <v>314</v>
      </c>
    </row>
    <row r="65" spans="1:13" x14ac:dyDescent="0.25">
      <c r="A65">
        <v>316</v>
      </c>
      <c r="F65">
        <v>316</v>
      </c>
      <c r="K65">
        <v>316</v>
      </c>
    </row>
    <row r="66" spans="1:13" x14ac:dyDescent="0.25">
      <c r="A66">
        <v>318</v>
      </c>
    </row>
    <row r="67" spans="1:13" x14ac:dyDescent="0.25">
      <c r="A67">
        <v>320</v>
      </c>
    </row>
    <row r="68" spans="1:13" x14ac:dyDescent="0.25">
      <c r="A68">
        <v>322</v>
      </c>
    </row>
    <row r="69" spans="1:13" x14ac:dyDescent="0.25">
      <c r="A69">
        <v>324</v>
      </c>
    </row>
    <row r="70" spans="1:13" x14ac:dyDescent="0.25">
      <c r="A70">
        <v>326</v>
      </c>
    </row>
    <row r="71" spans="1:13" x14ac:dyDescent="0.25">
      <c r="A71">
        <v>328</v>
      </c>
      <c r="E71" t="s">
        <v>141</v>
      </c>
      <c r="M71" t="s">
        <v>141</v>
      </c>
    </row>
    <row r="72" spans="1:13" x14ac:dyDescent="0.25">
      <c r="A72">
        <v>330</v>
      </c>
      <c r="C72">
        <v>330</v>
      </c>
    </row>
    <row r="73" spans="1:13" x14ac:dyDescent="0.25">
      <c r="A73">
        <v>332</v>
      </c>
    </row>
    <row r="74" spans="1:13" x14ac:dyDescent="0.25">
      <c r="A74">
        <v>334</v>
      </c>
      <c r="K74">
        <v>334</v>
      </c>
    </row>
    <row r="75" spans="1:13" x14ac:dyDescent="0.25">
      <c r="A75">
        <v>336</v>
      </c>
    </row>
    <row r="76" spans="1:13" x14ac:dyDescent="0.25">
      <c r="A76">
        <v>338</v>
      </c>
    </row>
    <row r="77" spans="1:13" x14ac:dyDescent="0.25">
      <c r="A77">
        <v>340</v>
      </c>
    </row>
    <row r="78" spans="1:13" x14ac:dyDescent="0.25">
      <c r="A78">
        <v>342</v>
      </c>
    </row>
    <row r="79" spans="1:13" x14ac:dyDescent="0.25">
      <c r="A79">
        <v>344</v>
      </c>
      <c r="C79">
        <v>344</v>
      </c>
    </row>
    <row r="80" spans="1:13" x14ac:dyDescent="0.25">
      <c r="A80">
        <v>346</v>
      </c>
      <c r="G80">
        <v>346</v>
      </c>
    </row>
    <row r="81" spans="1:13" x14ac:dyDescent="0.25">
      <c r="A81">
        <v>348</v>
      </c>
      <c r="M81">
        <v>348</v>
      </c>
    </row>
    <row r="82" spans="1:13" x14ac:dyDescent="0.25">
      <c r="A82">
        <v>350</v>
      </c>
    </row>
    <row r="83" spans="1:13" x14ac:dyDescent="0.25">
      <c r="A83">
        <v>352</v>
      </c>
    </row>
    <row r="84" spans="1:13" x14ac:dyDescent="0.25">
      <c r="A84">
        <v>354</v>
      </c>
      <c r="K84">
        <v>354</v>
      </c>
    </row>
    <row r="85" spans="1:13" x14ac:dyDescent="0.25">
      <c r="A85">
        <v>356</v>
      </c>
      <c r="B85">
        <v>356</v>
      </c>
      <c r="C85">
        <v>356</v>
      </c>
    </row>
    <row r="86" spans="1:13" x14ac:dyDescent="0.25">
      <c r="A86">
        <v>358</v>
      </c>
    </row>
    <row r="87" spans="1:13" x14ac:dyDescent="0.25">
      <c r="A87">
        <v>360</v>
      </c>
    </row>
    <row r="88" spans="1:13" x14ac:dyDescent="0.25">
      <c r="A88">
        <v>362</v>
      </c>
      <c r="E88" t="s">
        <v>142</v>
      </c>
    </row>
    <row r="89" spans="1:13" x14ac:dyDescent="0.25">
      <c r="A89">
        <v>364</v>
      </c>
    </row>
    <row r="90" spans="1:13" x14ac:dyDescent="0.25">
      <c r="A90">
        <v>366</v>
      </c>
      <c r="K90" t="s">
        <v>147</v>
      </c>
    </row>
    <row r="91" spans="1:13" x14ac:dyDescent="0.25">
      <c r="A91">
        <v>368</v>
      </c>
      <c r="C91">
        <v>368</v>
      </c>
    </row>
    <row r="92" spans="1:13" x14ac:dyDescent="0.25">
      <c r="A92">
        <v>370</v>
      </c>
    </row>
    <row r="93" spans="1:13" x14ac:dyDescent="0.25">
      <c r="A93">
        <v>372</v>
      </c>
      <c r="F93" t="s">
        <v>143</v>
      </c>
    </row>
    <row r="94" spans="1:13" x14ac:dyDescent="0.25">
      <c r="A94">
        <v>374</v>
      </c>
    </row>
    <row r="95" spans="1:13" x14ac:dyDescent="0.25">
      <c r="A95">
        <v>376</v>
      </c>
    </row>
    <row r="96" spans="1:13" x14ac:dyDescent="0.25">
      <c r="A96">
        <v>378</v>
      </c>
    </row>
    <row r="97" spans="1:13" x14ac:dyDescent="0.25">
      <c r="A97">
        <v>380</v>
      </c>
    </row>
    <row r="98" spans="1:13" x14ac:dyDescent="0.25">
      <c r="A98">
        <v>382</v>
      </c>
      <c r="D98">
        <v>382</v>
      </c>
    </row>
    <row r="99" spans="1:13" x14ac:dyDescent="0.25">
      <c r="A99">
        <v>384</v>
      </c>
    </row>
    <row r="100" spans="1:13" x14ac:dyDescent="0.25">
      <c r="A100">
        <v>386</v>
      </c>
      <c r="M100" t="s">
        <v>149</v>
      </c>
    </row>
    <row r="101" spans="1:13" x14ac:dyDescent="0.25">
      <c r="A101">
        <v>388</v>
      </c>
      <c r="E101">
        <v>388</v>
      </c>
      <c r="F101" t="s">
        <v>144</v>
      </c>
    </row>
    <row r="102" spans="1:13" x14ac:dyDescent="0.25">
      <c r="A102">
        <v>390</v>
      </c>
    </row>
    <row r="103" spans="1:13" x14ac:dyDescent="0.25">
      <c r="A103">
        <v>392</v>
      </c>
    </row>
    <row r="104" spans="1:13" x14ac:dyDescent="0.25">
      <c r="A104">
        <v>394</v>
      </c>
    </row>
    <row r="105" spans="1:13" x14ac:dyDescent="0.25">
      <c r="A105">
        <v>396</v>
      </c>
      <c r="K105" t="s">
        <v>148</v>
      </c>
    </row>
    <row r="106" spans="1:13" x14ac:dyDescent="0.25">
      <c r="A106">
        <v>398</v>
      </c>
    </row>
    <row r="107" spans="1:13" x14ac:dyDescent="0.25">
      <c r="A107">
        <v>400</v>
      </c>
      <c r="G107" t="s">
        <v>146</v>
      </c>
    </row>
    <row r="108" spans="1:13" x14ac:dyDescent="0.25">
      <c r="A108">
        <v>402</v>
      </c>
    </row>
    <row r="109" spans="1:13" x14ac:dyDescent="0.25">
      <c r="A109">
        <v>404</v>
      </c>
      <c r="C109">
        <v>404</v>
      </c>
    </row>
    <row r="110" spans="1:13" x14ac:dyDescent="0.25">
      <c r="A110">
        <v>406</v>
      </c>
    </row>
    <row r="111" spans="1:13" x14ac:dyDescent="0.25">
      <c r="A111">
        <v>408</v>
      </c>
    </row>
    <row r="112" spans="1:13" x14ac:dyDescent="0.25">
      <c r="A112">
        <v>410</v>
      </c>
    </row>
    <row r="113" spans="1:11" x14ac:dyDescent="0.25">
      <c r="A113">
        <v>412</v>
      </c>
    </row>
    <row r="114" spans="1:11" x14ac:dyDescent="0.25">
      <c r="A114">
        <v>414</v>
      </c>
    </row>
    <row r="115" spans="1:11" x14ac:dyDescent="0.25">
      <c r="A115">
        <v>416</v>
      </c>
      <c r="C115">
        <v>416</v>
      </c>
      <c r="K115">
        <v>416</v>
      </c>
    </row>
    <row r="116" spans="1:11" x14ac:dyDescent="0.25">
      <c r="A116">
        <v>418</v>
      </c>
    </row>
    <row r="117" spans="1:11" x14ac:dyDescent="0.25">
      <c r="A117">
        <v>420</v>
      </c>
    </row>
    <row r="118" spans="1:11" x14ac:dyDescent="0.25">
      <c r="A118">
        <v>422</v>
      </c>
    </row>
    <row r="119" spans="1:11" x14ac:dyDescent="0.25">
      <c r="A119">
        <v>424</v>
      </c>
    </row>
    <row r="120" spans="1:11" x14ac:dyDescent="0.25">
      <c r="A120">
        <v>426</v>
      </c>
    </row>
    <row r="121" spans="1:11" x14ac:dyDescent="0.25">
      <c r="A121">
        <v>428</v>
      </c>
    </row>
    <row r="122" spans="1:11" x14ac:dyDescent="0.25">
      <c r="A122">
        <v>430</v>
      </c>
    </row>
    <row r="123" spans="1:11" x14ac:dyDescent="0.25">
      <c r="A123">
        <v>432</v>
      </c>
    </row>
    <row r="124" spans="1:11" x14ac:dyDescent="0.25">
      <c r="A124">
        <v>434</v>
      </c>
    </row>
    <row r="125" spans="1:11" x14ac:dyDescent="0.25">
      <c r="A125">
        <v>436</v>
      </c>
    </row>
    <row r="126" spans="1:11" x14ac:dyDescent="0.25">
      <c r="A126">
        <v>438</v>
      </c>
      <c r="G126">
        <v>438</v>
      </c>
    </row>
    <row r="127" spans="1:11" x14ac:dyDescent="0.25">
      <c r="A127">
        <v>440</v>
      </c>
    </row>
    <row r="128" spans="1:11" x14ac:dyDescent="0.25">
      <c r="A128">
        <v>442</v>
      </c>
    </row>
    <row r="129" spans="1:8" x14ac:dyDescent="0.25">
      <c r="A129">
        <v>444</v>
      </c>
      <c r="C129">
        <v>444</v>
      </c>
    </row>
    <row r="130" spans="1:8" x14ac:dyDescent="0.25">
      <c r="A130">
        <v>446</v>
      </c>
    </row>
    <row r="131" spans="1:8" x14ac:dyDescent="0.25">
      <c r="A131">
        <v>448</v>
      </c>
    </row>
    <row r="132" spans="1:8" x14ac:dyDescent="0.25">
      <c r="A132">
        <v>450</v>
      </c>
    </row>
    <row r="133" spans="1:8" x14ac:dyDescent="0.25">
      <c r="A133">
        <v>452</v>
      </c>
    </row>
    <row r="134" spans="1:8" x14ac:dyDescent="0.25">
      <c r="A134">
        <v>454</v>
      </c>
    </row>
    <row r="135" spans="1:8" x14ac:dyDescent="0.25">
      <c r="A135">
        <v>456</v>
      </c>
    </row>
    <row r="136" spans="1:8" x14ac:dyDescent="0.25">
      <c r="A136">
        <v>458</v>
      </c>
    </row>
    <row r="137" spans="1:8" x14ac:dyDescent="0.25">
      <c r="A137">
        <v>460</v>
      </c>
    </row>
    <row r="138" spans="1:8" x14ac:dyDescent="0.25">
      <c r="A138">
        <v>462</v>
      </c>
    </row>
    <row r="139" spans="1:8" x14ac:dyDescent="0.25">
      <c r="A139">
        <v>464</v>
      </c>
      <c r="F139">
        <v>464</v>
      </c>
      <c r="H139">
        <v>464</v>
      </c>
    </row>
    <row r="140" spans="1:8" x14ac:dyDescent="0.25">
      <c r="A140">
        <v>466</v>
      </c>
    </row>
    <row r="141" spans="1:8" x14ac:dyDescent="0.25">
      <c r="A141">
        <v>468</v>
      </c>
      <c r="G141">
        <v>468</v>
      </c>
    </row>
    <row r="142" spans="1:8" x14ac:dyDescent="0.25">
      <c r="A142">
        <v>470</v>
      </c>
    </row>
    <row r="143" spans="1:8" x14ac:dyDescent="0.25">
      <c r="A143">
        <v>472</v>
      </c>
      <c r="C143">
        <v>472</v>
      </c>
    </row>
    <row r="144" spans="1:8" x14ac:dyDescent="0.25">
      <c r="A144">
        <v>474</v>
      </c>
    </row>
    <row r="145" spans="1:7" x14ac:dyDescent="0.25">
      <c r="A145">
        <v>476</v>
      </c>
    </row>
    <row r="146" spans="1:7" x14ac:dyDescent="0.25">
      <c r="A146">
        <v>478</v>
      </c>
    </row>
    <row r="147" spans="1:7" x14ac:dyDescent="0.25">
      <c r="A147">
        <v>480</v>
      </c>
    </row>
    <row r="148" spans="1:7" x14ac:dyDescent="0.25">
      <c r="A148">
        <v>482</v>
      </c>
    </row>
    <row r="149" spans="1:7" x14ac:dyDescent="0.25">
      <c r="A149">
        <v>484</v>
      </c>
    </row>
    <row r="150" spans="1:7" x14ac:dyDescent="0.25">
      <c r="A150">
        <v>486</v>
      </c>
    </row>
    <row r="151" spans="1:7" x14ac:dyDescent="0.25">
      <c r="A151">
        <v>488</v>
      </c>
    </row>
    <row r="152" spans="1:7" x14ac:dyDescent="0.25">
      <c r="A152">
        <v>490</v>
      </c>
      <c r="F152">
        <v>490</v>
      </c>
    </row>
    <row r="153" spans="1:7" x14ac:dyDescent="0.25">
      <c r="A153">
        <v>492</v>
      </c>
      <c r="C153">
        <v>492</v>
      </c>
    </row>
    <row r="154" spans="1:7" x14ac:dyDescent="0.25">
      <c r="A154">
        <v>494</v>
      </c>
    </row>
    <row r="155" spans="1:7" x14ac:dyDescent="0.25">
      <c r="A155">
        <v>496</v>
      </c>
      <c r="G155">
        <v>496</v>
      </c>
    </row>
    <row r="156" spans="1:7" x14ac:dyDescent="0.25">
      <c r="A156">
        <v>498</v>
      </c>
    </row>
    <row r="157" spans="1:7" x14ac:dyDescent="0.25">
      <c r="A157">
        <v>500</v>
      </c>
    </row>
    <row r="158" spans="1:7" x14ac:dyDescent="0.25">
      <c r="A158">
        <v>502</v>
      </c>
    </row>
    <row r="159" spans="1:7" x14ac:dyDescent="0.25">
      <c r="A159">
        <v>504</v>
      </c>
    </row>
    <row r="160" spans="1:7" x14ac:dyDescent="0.25">
      <c r="A160">
        <v>506</v>
      </c>
    </row>
    <row r="161" spans="1:7" x14ac:dyDescent="0.25">
      <c r="A161">
        <v>508</v>
      </c>
    </row>
    <row r="162" spans="1:7" x14ac:dyDescent="0.25">
      <c r="A162">
        <v>510</v>
      </c>
    </row>
    <row r="163" spans="1:7" x14ac:dyDescent="0.25">
      <c r="A163">
        <v>512</v>
      </c>
    </row>
    <row r="164" spans="1:7" x14ac:dyDescent="0.25">
      <c r="A164">
        <v>514</v>
      </c>
    </row>
    <row r="165" spans="1:7" x14ac:dyDescent="0.25">
      <c r="A165">
        <v>516</v>
      </c>
    </row>
    <row r="166" spans="1:7" x14ac:dyDescent="0.25">
      <c r="A166">
        <v>518</v>
      </c>
    </row>
    <row r="167" spans="1:7" x14ac:dyDescent="0.25">
      <c r="A167">
        <v>520</v>
      </c>
    </row>
    <row r="168" spans="1:7" x14ac:dyDescent="0.25">
      <c r="A168">
        <v>522</v>
      </c>
    </row>
    <row r="169" spans="1:7" x14ac:dyDescent="0.25">
      <c r="A169">
        <v>524</v>
      </c>
      <c r="F169">
        <v>524</v>
      </c>
      <c r="G169">
        <v>524</v>
      </c>
    </row>
    <row r="170" spans="1:7" x14ac:dyDescent="0.25">
      <c r="A170">
        <v>526</v>
      </c>
      <c r="C170">
        <v>526</v>
      </c>
    </row>
    <row r="171" spans="1:7" x14ac:dyDescent="0.25">
      <c r="A171">
        <v>528</v>
      </c>
    </row>
    <row r="172" spans="1:7" x14ac:dyDescent="0.25">
      <c r="A172">
        <v>530</v>
      </c>
    </row>
    <row r="173" spans="1:7" x14ac:dyDescent="0.25">
      <c r="A173">
        <v>532</v>
      </c>
    </row>
    <row r="174" spans="1:7" x14ac:dyDescent="0.25">
      <c r="A174">
        <v>534</v>
      </c>
    </row>
    <row r="175" spans="1:7" x14ac:dyDescent="0.25">
      <c r="A175">
        <v>536</v>
      </c>
    </row>
    <row r="176" spans="1:7" x14ac:dyDescent="0.25">
      <c r="A176">
        <v>538</v>
      </c>
    </row>
    <row r="177" spans="1:1" x14ac:dyDescent="0.25">
      <c r="A177">
        <v>540</v>
      </c>
    </row>
    <row r="178" spans="1:1" x14ac:dyDescent="0.25">
      <c r="A178">
        <v>542</v>
      </c>
    </row>
    <row r="179" spans="1:1" x14ac:dyDescent="0.25">
      <c r="A179">
        <v>544</v>
      </c>
    </row>
    <row r="180" spans="1:1" x14ac:dyDescent="0.25">
      <c r="A180">
        <v>546</v>
      </c>
    </row>
    <row r="181" spans="1:1" x14ac:dyDescent="0.25">
      <c r="A181">
        <v>548</v>
      </c>
    </row>
    <row r="182" spans="1:1" x14ac:dyDescent="0.25">
      <c r="A182">
        <v>550</v>
      </c>
    </row>
    <row r="183" spans="1:1" x14ac:dyDescent="0.25">
      <c r="A183">
        <v>552</v>
      </c>
    </row>
    <row r="184" spans="1:1" x14ac:dyDescent="0.25">
      <c r="A184">
        <v>554</v>
      </c>
    </row>
    <row r="185" spans="1:1" x14ac:dyDescent="0.25">
      <c r="A185">
        <v>556</v>
      </c>
    </row>
    <row r="186" spans="1:1" x14ac:dyDescent="0.25">
      <c r="A186">
        <v>558</v>
      </c>
    </row>
    <row r="187" spans="1:1" x14ac:dyDescent="0.25">
      <c r="A187">
        <v>560</v>
      </c>
    </row>
    <row r="188" spans="1:1" x14ac:dyDescent="0.25">
      <c r="A188">
        <v>562</v>
      </c>
    </row>
    <row r="189" spans="1:1" x14ac:dyDescent="0.25">
      <c r="A189">
        <v>564</v>
      </c>
    </row>
    <row r="190" spans="1:1" x14ac:dyDescent="0.25">
      <c r="A190">
        <v>566</v>
      </c>
    </row>
    <row r="191" spans="1:1" x14ac:dyDescent="0.25">
      <c r="A191">
        <v>568</v>
      </c>
    </row>
    <row r="192" spans="1:1" x14ac:dyDescent="0.25">
      <c r="A192">
        <v>570</v>
      </c>
    </row>
    <row r="193" spans="1:3" x14ac:dyDescent="0.25">
      <c r="A193">
        <v>572</v>
      </c>
    </row>
    <row r="194" spans="1:3" x14ac:dyDescent="0.25">
      <c r="A194">
        <v>574</v>
      </c>
    </row>
    <row r="195" spans="1:3" x14ac:dyDescent="0.25">
      <c r="A195">
        <v>576</v>
      </c>
    </row>
    <row r="196" spans="1:3" x14ac:dyDescent="0.25">
      <c r="A196">
        <v>578</v>
      </c>
    </row>
    <row r="197" spans="1:3" x14ac:dyDescent="0.25">
      <c r="A197">
        <v>580</v>
      </c>
    </row>
    <row r="198" spans="1:3" x14ac:dyDescent="0.25">
      <c r="A198">
        <v>582</v>
      </c>
      <c r="C198">
        <v>582</v>
      </c>
    </row>
    <row r="199" spans="1:3" x14ac:dyDescent="0.25">
      <c r="A199">
        <v>584</v>
      </c>
    </row>
    <row r="200" spans="1:3" x14ac:dyDescent="0.25">
      <c r="A200">
        <v>586</v>
      </c>
    </row>
    <row r="201" spans="1:3" x14ac:dyDescent="0.25">
      <c r="A201">
        <v>588</v>
      </c>
    </row>
    <row r="202" spans="1:3" x14ac:dyDescent="0.25">
      <c r="A202">
        <v>590</v>
      </c>
    </row>
    <row r="203" spans="1:3" x14ac:dyDescent="0.25">
      <c r="A203">
        <v>592</v>
      </c>
    </row>
    <row r="204" spans="1:3" x14ac:dyDescent="0.25">
      <c r="A204">
        <v>594</v>
      </c>
    </row>
    <row r="205" spans="1:3" x14ac:dyDescent="0.25">
      <c r="A205">
        <v>596</v>
      </c>
    </row>
    <row r="206" spans="1:3" x14ac:dyDescent="0.25">
      <c r="A206">
        <v>598</v>
      </c>
    </row>
    <row r="207" spans="1:3" x14ac:dyDescent="0.25">
      <c r="A207">
        <v>600</v>
      </c>
    </row>
    <row r="208" spans="1:3" x14ac:dyDescent="0.25">
      <c r="A208">
        <v>602</v>
      </c>
    </row>
    <row r="209" spans="1:3" x14ac:dyDescent="0.25">
      <c r="A209">
        <v>604</v>
      </c>
      <c r="C209">
        <v>604</v>
      </c>
    </row>
    <row r="210" spans="1:3" x14ac:dyDescent="0.25">
      <c r="A210">
        <v>606</v>
      </c>
    </row>
    <row r="211" spans="1:3" x14ac:dyDescent="0.25">
      <c r="A211">
        <v>608</v>
      </c>
    </row>
    <row r="212" spans="1:3" x14ac:dyDescent="0.25">
      <c r="A212">
        <v>610</v>
      </c>
    </row>
    <row r="213" spans="1:3" x14ac:dyDescent="0.25">
      <c r="A213">
        <v>612</v>
      </c>
    </row>
    <row r="214" spans="1:3" x14ac:dyDescent="0.25">
      <c r="A214">
        <v>614</v>
      </c>
    </row>
    <row r="215" spans="1:3" x14ac:dyDescent="0.25">
      <c r="A215">
        <v>616</v>
      </c>
    </row>
    <row r="216" spans="1:3" x14ac:dyDescent="0.25">
      <c r="A216">
        <v>618</v>
      </c>
      <c r="C216">
        <v>618</v>
      </c>
    </row>
    <row r="217" spans="1:3" x14ac:dyDescent="0.25">
      <c r="A217">
        <v>620</v>
      </c>
    </row>
    <row r="218" spans="1:3" x14ac:dyDescent="0.25">
      <c r="A218">
        <v>622</v>
      </c>
    </row>
    <row r="219" spans="1:3" x14ac:dyDescent="0.25">
      <c r="A219">
        <v>624</v>
      </c>
    </row>
    <row r="220" spans="1:3" x14ac:dyDescent="0.25">
      <c r="A220">
        <v>626</v>
      </c>
    </row>
    <row r="221" spans="1:3" x14ac:dyDescent="0.25">
      <c r="A221">
        <v>628</v>
      </c>
    </row>
    <row r="222" spans="1:3" x14ac:dyDescent="0.25">
      <c r="A222">
        <v>630</v>
      </c>
    </row>
    <row r="223" spans="1:3" x14ac:dyDescent="0.25">
      <c r="A223">
        <v>632</v>
      </c>
      <c r="C223">
        <v>632</v>
      </c>
    </row>
    <row r="224" spans="1:3" x14ac:dyDescent="0.25">
      <c r="A224">
        <v>634</v>
      </c>
    </row>
    <row r="225" spans="1:1" x14ac:dyDescent="0.25">
      <c r="A225">
        <v>636</v>
      </c>
    </row>
    <row r="226" spans="1:1" x14ac:dyDescent="0.25">
      <c r="A226">
        <v>638</v>
      </c>
    </row>
    <row r="227" spans="1:1" x14ac:dyDescent="0.25">
      <c r="A227">
        <v>640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
  <sheetViews>
    <sheetView workbookViewId="0"/>
  </sheetViews>
  <sheetFormatPr defaultColWidth="9.140625" defaultRowHeight="15" x14ac:dyDescent="0.25"/>
  <cols>
    <col min="1" max="16384" width="9.140625" style="3"/>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2:A902"/>
  <sheetViews>
    <sheetView workbookViewId="0"/>
  </sheetViews>
  <sheetFormatPr defaultRowHeight="15" x14ac:dyDescent="0.25"/>
  <sheetData>
    <row r="2" spans="1:1" x14ac:dyDescent="0.25">
      <c r="A2">
        <v>100</v>
      </c>
    </row>
    <row r="3" spans="1:1" x14ac:dyDescent="0.25">
      <c r="A3">
        <v>101</v>
      </c>
    </row>
    <row r="4" spans="1:1" x14ac:dyDescent="0.25">
      <c r="A4">
        <v>102</v>
      </c>
    </row>
    <row r="5" spans="1:1" x14ac:dyDescent="0.25">
      <c r="A5">
        <v>103</v>
      </c>
    </row>
    <row r="6" spans="1:1" x14ac:dyDescent="0.25">
      <c r="A6">
        <v>104</v>
      </c>
    </row>
    <row r="7" spans="1:1" x14ac:dyDescent="0.25">
      <c r="A7">
        <v>105</v>
      </c>
    </row>
    <row r="8" spans="1:1" x14ac:dyDescent="0.25">
      <c r="A8">
        <v>106</v>
      </c>
    </row>
    <row r="9" spans="1:1" x14ac:dyDescent="0.25">
      <c r="A9">
        <v>107</v>
      </c>
    </row>
    <row r="10" spans="1:1" x14ac:dyDescent="0.25">
      <c r="A10">
        <v>108</v>
      </c>
    </row>
    <row r="11" spans="1:1" x14ac:dyDescent="0.25">
      <c r="A11">
        <v>109</v>
      </c>
    </row>
    <row r="12" spans="1:1" x14ac:dyDescent="0.25">
      <c r="A12">
        <v>110</v>
      </c>
    </row>
    <row r="13" spans="1:1" x14ac:dyDescent="0.25">
      <c r="A13">
        <v>111</v>
      </c>
    </row>
    <row r="14" spans="1:1" x14ac:dyDescent="0.25">
      <c r="A14">
        <v>112</v>
      </c>
    </row>
    <row r="15" spans="1:1" x14ac:dyDescent="0.25">
      <c r="A15">
        <v>113</v>
      </c>
    </row>
    <row r="16" spans="1:1" x14ac:dyDescent="0.25">
      <c r="A16">
        <v>114</v>
      </c>
    </row>
    <row r="17" spans="1:1" x14ac:dyDescent="0.25">
      <c r="A17">
        <v>115</v>
      </c>
    </row>
    <row r="18" spans="1:1" x14ac:dyDescent="0.25">
      <c r="A18">
        <v>116</v>
      </c>
    </row>
    <row r="19" spans="1:1" x14ac:dyDescent="0.25">
      <c r="A19">
        <v>117</v>
      </c>
    </row>
    <row r="20" spans="1:1" x14ac:dyDescent="0.25">
      <c r="A20">
        <v>118</v>
      </c>
    </row>
    <row r="21" spans="1:1" x14ac:dyDescent="0.25">
      <c r="A21">
        <v>119</v>
      </c>
    </row>
    <row r="22" spans="1:1" x14ac:dyDescent="0.25">
      <c r="A22">
        <v>120</v>
      </c>
    </row>
    <row r="23" spans="1:1" x14ac:dyDescent="0.25">
      <c r="A23">
        <v>121</v>
      </c>
    </row>
    <row r="24" spans="1:1" x14ac:dyDescent="0.25">
      <c r="A24">
        <v>122</v>
      </c>
    </row>
    <row r="25" spans="1:1" x14ac:dyDescent="0.25">
      <c r="A25">
        <v>123</v>
      </c>
    </row>
    <row r="26" spans="1:1" x14ac:dyDescent="0.25">
      <c r="A26">
        <v>124</v>
      </c>
    </row>
    <row r="27" spans="1:1" x14ac:dyDescent="0.25">
      <c r="A27">
        <v>125</v>
      </c>
    </row>
    <row r="28" spans="1:1" x14ac:dyDescent="0.25">
      <c r="A28">
        <v>126</v>
      </c>
    </row>
    <row r="29" spans="1:1" x14ac:dyDescent="0.25">
      <c r="A29">
        <v>127</v>
      </c>
    </row>
    <row r="30" spans="1:1" x14ac:dyDescent="0.25">
      <c r="A30">
        <v>128</v>
      </c>
    </row>
    <row r="31" spans="1:1" x14ac:dyDescent="0.25">
      <c r="A31">
        <v>129</v>
      </c>
    </row>
    <row r="32" spans="1:1" x14ac:dyDescent="0.25">
      <c r="A32">
        <v>130</v>
      </c>
    </row>
    <row r="33" spans="1:1" x14ac:dyDescent="0.25">
      <c r="A33">
        <v>131</v>
      </c>
    </row>
    <row r="34" spans="1:1" x14ac:dyDescent="0.25">
      <c r="A34">
        <v>132</v>
      </c>
    </row>
    <row r="35" spans="1:1" x14ac:dyDescent="0.25">
      <c r="A35">
        <v>133</v>
      </c>
    </row>
    <row r="36" spans="1:1" x14ac:dyDescent="0.25">
      <c r="A36">
        <v>134</v>
      </c>
    </row>
    <row r="37" spans="1:1" x14ac:dyDescent="0.25">
      <c r="A37">
        <v>135</v>
      </c>
    </row>
    <row r="38" spans="1:1" x14ac:dyDescent="0.25">
      <c r="A38">
        <v>136</v>
      </c>
    </row>
    <row r="39" spans="1:1" x14ac:dyDescent="0.25">
      <c r="A39">
        <v>137</v>
      </c>
    </row>
    <row r="40" spans="1:1" x14ac:dyDescent="0.25">
      <c r="A40">
        <v>138</v>
      </c>
    </row>
    <row r="41" spans="1:1" x14ac:dyDescent="0.25">
      <c r="A41">
        <v>139</v>
      </c>
    </row>
    <row r="42" spans="1:1" x14ac:dyDescent="0.25">
      <c r="A42">
        <v>140</v>
      </c>
    </row>
    <row r="43" spans="1:1" x14ac:dyDescent="0.25">
      <c r="A43">
        <v>141</v>
      </c>
    </row>
    <row r="44" spans="1:1" x14ac:dyDescent="0.25">
      <c r="A44">
        <v>142</v>
      </c>
    </row>
    <row r="45" spans="1:1" x14ac:dyDescent="0.25">
      <c r="A45">
        <v>143</v>
      </c>
    </row>
    <row r="46" spans="1:1" x14ac:dyDescent="0.25">
      <c r="A46">
        <v>144</v>
      </c>
    </row>
    <row r="47" spans="1:1" x14ac:dyDescent="0.25">
      <c r="A47">
        <v>145</v>
      </c>
    </row>
    <row r="48" spans="1:1" x14ac:dyDescent="0.25">
      <c r="A48">
        <v>146</v>
      </c>
    </row>
    <row r="49" spans="1:1" x14ac:dyDescent="0.25">
      <c r="A49">
        <v>147</v>
      </c>
    </row>
    <row r="50" spans="1:1" x14ac:dyDescent="0.25">
      <c r="A50">
        <v>148</v>
      </c>
    </row>
    <row r="51" spans="1:1" x14ac:dyDescent="0.25">
      <c r="A51">
        <v>149</v>
      </c>
    </row>
    <row r="52" spans="1:1" x14ac:dyDescent="0.25">
      <c r="A52">
        <v>150</v>
      </c>
    </row>
    <row r="53" spans="1:1" x14ac:dyDescent="0.25">
      <c r="A53">
        <v>151</v>
      </c>
    </row>
    <row r="54" spans="1:1" x14ac:dyDescent="0.25">
      <c r="A54">
        <v>152</v>
      </c>
    </row>
    <row r="55" spans="1:1" x14ac:dyDescent="0.25">
      <c r="A55">
        <v>153</v>
      </c>
    </row>
    <row r="56" spans="1:1" x14ac:dyDescent="0.25">
      <c r="A56">
        <v>154</v>
      </c>
    </row>
    <row r="57" spans="1:1" x14ac:dyDescent="0.25">
      <c r="A57">
        <v>155</v>
      </c>
    </row>
    <row r="58" spans="1:1" x14ac:dyDescent="0.25">
      <c r="A58">
        <v>156</v>
      </c>
    </row>
    <row r="59" spans="1:1" x14ac:dyDescent="0.25">
      <c r="A59">
        <v>157</v>
      </c>
    </row>
    <row r="60" spans="1:1" x14ac:dyDescent="0.25">
      <c r="A60">
        <v>158</v>
      </c>
    </row>
    <row r="61" spans="1:1" x14ac:dyDescent="0.25">
      <c r="A61">
        <v>159</v>
      </c>
    </row>
    <row r="62" spans="1:1" x14ac:dyDescent="0.25">
      <c r="A62">
        <v>160</v>
      </c>
    </row>
    <row r="63" spans="1:1" x14ac:dyDescent="0.25">
      <c r="A63">
        <v>161</v>
      </c>
    </row>
    <row r="64" spans="1:1" x14ac:dyDescent="0.25">
      <c r="A64">
        <v>162</v>
      </c>
    </row>
    <row r="65" spans="1:1" x14ac:dyDescent="0.25">
      <c r="A65">
        <v>163</v>
      </c>
    </row>
    <row r="66" spans="1:1" x14ac:dyDescent="0.25">
      <c r="A66">
        <v>164</v>
      </c>
    </row>
    <row r="67" spans="1:1" x14ac:dyDescent="0.25">
      <c r="A67">
        <v>165</v>
      </c>
    </row>
    <row r="68" spans="1:1" x14ac:dyDescent="0.25">
      <c r="A68">
        <v>166</v>
      </c>
    </row>
    <row r="69" spans="1:1" x14ac:dyDescent="0.25">
      <c r="A69">
        <v>167</v>
      </c>
    </row>
    <row r="70" spans="1:1" x14ac:dyDescent="0.25">
      <c r="A70">
        <v>168</v>
      </c>
    </row>
    <row r="71" spans="1:1" x14ac:dyDescent="0.25">
      <c r="A71">
        <v>169</v>
      </c>
    </row>
    <row r="72" spans="1:1" x14ac:dyDescent="0.25">
      <c r="A72">
        <v>170</v>
      </c>
    </row>
    <row r="73" spans="1:1" x14ac:dyDescent="0.25">
      <c r="A73">
        <v>171</v>
      </c>
    </row>
    <row r="74" spans="1:1" x14ac:dyDescent="0.25">
      <c r="A74">
        <v>172</v>
      </c>
    </row>
    <row r="75" spans="1:1" x14ac:dyDescent="0.25">
      <c r="A75">
        <v>173</v>
      </c>
    </row>
    <row r="76" spans="1:1" x14ac:dyDescent="0.25">
      <c r="A76">
        <v>174</v>
      </c>
    </row>
    <row r="77" spans="1:1" x14ac:dyDescent="0.25">
      <c r="A77">
        <v>175</v>
      </c>
    </row>
    <row r="78" spans="1:1" x14ac:dyDescent="0.25">
      <c r="A78">
        <v>176</v>
      </c>
    </row>
    <row r="79" spans="1:1" x14ac:dyDescent="0.25">
      <c r="A79">
        <v>177</v>
      </c>
    </row>
    <row r="80" spans="1:1" x14ac:dyDescent="0.25">
      <c r="A80">
        <v>178</v>
      </c>
    </row>
    <row r="81" spans="1:1" x14ac:dyDescent="0.25">
      <c r="A81">
        <v>179</v>
      </c>
    </row>
    <row r="82" spans="1:1" x14ac:dyDescent="0.25">
      <c r="A82">
        <v>180</v>
      </c>
    </row>
    <row r="83" spans="1:1" x14ac:dyDescent="0.25">
      <c r="A83">
        <v>181</v>
      </c>
    </row>
    <row r="84" spans="1:1" x14ac:dyDescent="0.25">
      <c r="A84">
        <v>182</v>
      </c>
    </row>
    <row r="85" spans="1:1" x14ac:dyDescent="0.25">
      <c r="A85">
        <v>183</v>
      </c>
    </row>
    <row r="86" spans="1:1" x14ac:dyDescent="0.25">
      <c r="A86">
        <v>184</v>
      </c>
    </row>
    <row r="87" spans="1:1" x14ac:dyDescent="0.25">
      <c r="A87">
        <v>185</v>
      </c>
    </row>
    <row r="88" spans="1:1" x14ac:dyDescent="0.25">
      <c r="A88">
        <v>186</v>
      </c>
    </row>
    <row r="89" spans="1:1" x14ac:dyDescent="0.25">
      <c r="A89">
        <v>187</v>
      </c>
    </row>
    <row r="90" spans="1:1" x14ac:dyDescent="0.25">
      <c r="A90">
        <v>188</v>
      </c>
    </row>
    <row r="91" spans="1:1" x14ac:dyDescent="0.25">
      <c r="A91">
        <v>189</v>
      </c>
    </row>
    <row r="92" spans="1:1" x14ac:dyDescent="0.25">
      <c r="A92">
        <v>190</v>
      </c>
    </row>
    <row r="93" spans="1:1" x14ac:dyDescent="0.25">
      <c r="A93">
        <v>191</v>
      </c>
    </row>
    <row r="94" spans="1:1" x14ac:dyDescent="0.25">
      <c r="A94">
        <v>192</v>
      </c>
    </row>
    <row r="95" spans="1:1" x14ac:dyDescent="0.25">
      <c r="A95">
        <v>193</v>
      </c>
    </row>
    <row r="96" spans="1:1" x14ac:dyDescent="0.25">
      <c r="A96">
        <v>194</v>
      </c>
    </row>
    <row r="97" spans="1:1" x14ac:dyDescent="0.25">
      <c r="A97">
        <v>195</v>
      </c>
    </row>
    <row r="98" spans="1:1" x14ac:dyDescent="0.25">
      <c r="A98">
        <v>196</v>
      </c>
    </row>
    <row r="99" spans="1:1" x14ac:dyDescent="0.25">
      <c r="A99">
        <v>197</v>
      </c>
    </row>
    <row r="100" spans="1:1" x14ac:dyDescent="0.25">
      <c r="A100">
        <v>198</v>
      </c>
    </row>
    <row r="101" spans="1:1" x14ac:dyDescent="0.25">
      <c r="A101">
        <v>199</v>
      </c>
    </row>
    <row r="102" spans="1:1" x14ac:dyDescent="0.25">
      <c r="A102">
        <v>200</v>
      </c>
    </row>
    <row r="103" spans="1:1" x14ac:dyDescent="0.25">
      <c r="A103">
        <v>201</v>
      </c>
    </row>
    <row r="104" spans="1:1" x14ac:dyDescent="0.25">
      <c r="A104">
        <v>202</v>
      </c>
    </row>
    <row r="105" spans="1:1" x14ac:dyDescent="0.25">
      <c r="A105">
        <v>203</v>
      </c>
    </row>
    <row r="106" spans="1:1" x14ac:dyDescent="0.25">
      <c r="A106">
        <v>204</v>
      </c>
    </row>
    <row r="107" spans="1:1" x14ac:dyDescent="0.25">
      <c r="A107">
        <v>205</v>
      </c>
    </row>
    <row r="108" spans="1:1" x14ac:dyDescent="0.25">
      <c r="A108">
        <v>206</v>
      </c>
    </row>
    <row r="109" spans="1:1" x14ac:dyDescent="0.25">
      <c r="A109">
        <v>207</v>
      </c>
    </row>
    <row r="110" spans="1:1" x14ac:dyDescent="0.25">
      <c r="A110">
        <v>208</v>
      </c>
    </row>
    <row r="111" spans="1:1" x14ac:dyDescent="0.25">
      <c r="A111">
        <v>209</v>
      </c>
    </row>
    <row r="112" spans="1:1" x14ac:dyDescent="0.25">
      <c r="A112">
        <v>210</v>
      </c>
    </row>
    <row r="113" spans="1:1" x14ac:dyDescent="0.25">
      <c r="A113">
        <v>211</v>
      </c>
    </row>
    <row r="114" spans="1:1" x14ac:dyDescent="0.25">
      <c r="A114">
        <v>212</v>
      </c>
    </row>
    <row r="115" spans="1:1" x14ac:dyDescent="0.25">
      <c r="A115">
        <v>213</v>
      </c>
    </row>
    <row r="116" spans="1:1" x14ac:dyDescent="0.25">
      <c r="A116">
        <v>214</v>
      </c>
    </row>
    <row r="117" spans="1:1" x14ac:dyDescent="0.25">
      <c r="A117">
        <v>215</v>
      </c>
    </row>
    <row r="118" spans="1:1" x14ac:dyDescent="0.25">
      <c r="A118">
        <v>216</v>
      </c>
    </row>
    <row r="119" spans="1:1" x14ac:dyDescent="0.25">
      <c r="A119">
        <v>217</v>
      </c>
    </row>
    <row r="120" spans="1:1" x14ac:dyDescent="0.25">
      <c r="A120">
        <v>218</v>
      </c>
    </row>
    <row r="121" spans="1:1" x14ac:dyDescent="0.25">
      <c r="A121">
        <v>219</v>
      </c>
    </row>
    <row r="122" spans="1:1" x14ac:dyDescent="0.25">
      <c r="A122">
        <v>220</v>
      </c>
    </row>
    <row r="123" spans="1:1" x14ac:dyDescent="0.25">
      <c r="A123">
        <v>221</v>
      </c>
    </row>
    <row r="124" spans="1:1" x14ac:dyDescent="0.25">
      <c r="A124">
        <v>222</v>
      </c>
    </row>
    <row r="125" spans="1:1" x14ac:dyDescent="0.25">
      <c r="A125">
        <v>223</v>
      </c>
    </row>
    <row r="126" spans="1:1" x14ac:dyDescent="0.25">
      <c r="A126">
        <v>224</v>
      </c>
    </row>
    <row r="127" spans="1:1" x14ac:dyDescent="0.25">
      <c r="A127">
        <v>225</v>
      </c>
    </row>
    <row r="128" spans="1:1" x14ac:dyDescent="0.25">
      <c r="A128">
        <v>226</v>
      </c>
    </row>
    <row r="129" spans="1:1" x14ac:dyDescent="0.25">
      <c r="A129">
        <v>227</v>
      </c>
    </row>
    <row r="130" spans="1:1" x14ac:dyDescent="0.25">
      <c r="A130">
        <v>228</v>
      </c>
    </row>
    <row r="131" spans="1:1" x14ac:dyDescent="0.25">
      <c r="A131">
        <v>229</v>
      </c>
    </row>
    <row r="132" spans="1:1" x14ac:dyDescent="0.25">
      <c r="A132">
        <v>230</v>
      </c>
    </row>
    <row r="133" spans="1:1" x14ac:dyDescent="0.25">
      <c r="A133">
        <v>231</v>
      </c>
    </row>
    <row r="134" spans="1:1" x14ac:dyDescent="0.25">
      <c r="A134">
        <v>232</v>
      </c>
    </row>
    <row r="135" spans="1:1" x14ac:dyDescent="0.25">
      <c r="A135">
        <v>233</v>
      </c>
    </row>
    <row r="136" spans="1:1" x14ac:dyDescent="0.25">
      <c r="A136">
        <v>234</v>
      </c>
    </row>
    <row r="137" spans="1:1" x14ac:dyDescent="0.25">
      <c r="A137">
        <v>235</v>
      </c>
    </row>
    <row r="138" spans="1:1" x14ac:dyDescent="0.25">
      <c r="A138">
        <v>236</v>
      </c>
    </row>
    <row r="139" spans="1:1" x14ac:dyDescent="0.25">
      <c r="A139">
        <v>237</v>
      </c>
    </row>
    <row r="140" spans="1:1" x14ac:dyDescent="0.25">
      <c r="A140">
        <v>238</v>
      </c>
    </row>
    <row r="141" spans="1:1" x14ac:dyDescent="0.25">
      <c r="A141">
        <v>239</v>
      </c>
    </row>
    <row r="142" spans="1:1" x14ac:dyDescent="0.25">
      <c r="A142">
        <v>240</v>
      </c>
    </row>
    <row r="143" spans="1:1" x14ac:dyDescent="0.25">
      <c r="A143">
        <v>241</v>
      </c>
    </row>
    <row r="144" spans="1:1" x14ac:dyDescent="0.25">
      <c r="A144">
        <v>242</v>
      </c>
    </row>
    <row r="145" spans="1:1" x14ac:dyDescent="0.25">
      <c r="A145">
        <v>243</v>
      </c>
    </row>
    <row r="146" spans="1:1" x14ac:dyDescent="0.25">
      <c r="A146">
        <v>244</v>
      </c>
    </row>
    <row r="147" spans="1:1" x14ac:dyDescent="0.25">
      <c r="A147">
        <v>245</v>
      </c>
    </row>
    <row r="148" spans="1:1" x14ac:dyDescent="0.25">
      <c r="A148">
        <v>246</v>
      </c>
    </row>
    <row r="149" spans="1:1" x14ac:dyDescent="0.25">
      <c r="A149">
        <v>247</v>
      </c>
    </row>
    <row r="150" spans="1:1" x14ac:dyDescent="0.25">
      <c r="A150">
        <v>248</v>
      </c>
    </row>
    <row r="151" spans="1:1" x14ac:dyDescent="0.25">
      <c r="A151">
        <v>249</v>
      </c>
    </row>
    <row r="152" spans="1:1" x14ac:dyDescent="0.25">
      <c r="A152">
        <v>250</v>
      </c>
    </row>
    <row r="153" spans="1:1" x14ac:dyDescent="0.25">
      <c r="A153">
        <v>251</v>
      </c>
    </row>
    <row r="154" spans="1:1" x14ac:dyDescent="0.25">
      <c r="A154">
        <v>252</v>
      </c>
    </row>
    <row r="155" spans="1:1" x14ac:dyDescent="0.25">
      <c r="A155">
        <v>253</v>
      </c>
    </row>
    <row r="156" spans="1:1" x14ac:dyDescent="0.25">
      <c r="A156">
        <v>254</v>
      </c>
    </row>
    <row r="157" spans="1:1" x14ac:dyDescent="0.25">
      <c r="A157">
        <v>255</v>
      </c>
    </row>
    <row r="158" spans="1:1" x14ac:dyDescent="0.25">
      <c r="A158">
        <v>256</v>
      </c>
    </row>
    <row r="159" spans="1:1" x14ac:dyDescent="0.25">
      <c r="A159">
        <v>257</v>
      </c>
    </row>
    <row r="160" spans="1:1" x14ac:dyDescent="0.25">
      <c r="A160">
        <v>258</v>
      </c>
    </row>
    <row r="161" spans="1:1" x14ac:dyDescent="0.25">
      <c r="A161">
        <v>259</v>
      </c>
    </row>
    <row r="162" spans="1:1" x14ac:dyDescent="0.25">
      <c r="A162">
        <v>260</v>
      </c>
    </row>
    <row r="163" spans="1:1" x14ac:dyDescent="0.25">
      <c r="A163">
        <v>261</v>
      </c>
    </row>
    <row r="164" spans="1:1" x14ac:dyDescent="0.25">
      <c r="A164">
        <v>262</v>
      </c>
    </row>
    <row r="165" spans="1:1" x14ac:dyDescent="0.25">
      <c r="A165">
        <v>263</v>
      </c>
    </row>
    <row r="166" spans="1:1" x14ac:dyDescent="0.25">
      <c r="A166">
        <v>264</v>
      </c>
    </row>
    <row r="167" spans="1:1" x14ac:dyDescent="0.25">
      <c r="A167">
        <v>265</v>
      </c>
    </row>
    <row r="168" spans="1:1" x14ac:dyDescent="0.25">
      <c r="A168">
        <v>266</v>
      </c>
    </row>
    <row r="169" spans="1:1" x14ac:dyDescent="0.25">
      <c r="A169">
        <v>267</v>
      </c>
    </row>
    <row r="170" spans="1:1" x14ac:dyDescent="0.25">
      <c r="A170">
        <v>268</v>
      </c>
    </row>
    <row r="171" spans="1:1" x14ac:dyDescent="0.25">
      <c r="A171">
        <v>269</v>
      </c>
    </row>
    <row r="172" spans="1:1" x14ac:dyDescent="0.25">
      <c r="A172">
        <v>270</v>
      </c>
    </row>
    <row r="173" spans="1:1" x14ac:dyDescent="0.25">
      <c r="A173">
        <v>271</v>
      </c>
    </row>
    <row r="174" spans="1:1" x14ac:dyDescent="0.25">
      <c r="A174">
        <v>272</v>
      </c>
    </row>
    <row r="175" spans="1:1" x14ac:dyDescent="0.25">
      <c r="A175">
        <v>273</v>
      </c>
    </row>
    <row r="176" spans="1:1" x14ac:dyDescent="0.25">
      <c r="A176">
        <v>274</v>
      </c>
    </row>
    <row r="177" spans="1:1" x14ac:dyDescent="0.25">
      <c r="A177">
        <v>275</v>
      </c>
    </row>
    <row r="178" spans="1:1" x14ac:dyDescent="0.25">
      <c r="A178">
        <v>276</v>
      </c>
    </row>
    <row r="179" spans="1:1" x14ac:dyDescent="0.25">
      <c r="A179">
        <v>277</v>
      </c>
    </row>
    <row r="180" spans="1:1" x14ac:dyDescent="0.25">
      <c r="A180">
        <v>278</v>
      </c>
    </row>
    <row r="181" spans="1:1" x14ac:dyDescent="0.25">
      <c r="A181">
        <v>279</v>
      </c>
    </row>
    <row r="182" spans="1:1" x14ac:dyDescent="0.25">
      <c r="A182">
        <v>280</v>
      </c>
    </row>
    <row r="183" spans="1:1" x14ac:dyDescent="0.25">
      <c r="A183">
        <v>281</v>
      </c>
    </row>
    <row r="184" spans="1:1" x14ac:dyDescent="0.25">
      <c r="A184">
        <v>282</v>
      </c>
    </row>
    <row r="185" spans="1:1" x14ac:dyDescent="0.25">
      <c r="A185">
        <v>283</v>
      </c>
    </row>
    <row r="186" spans="1:1" x14ac:dyDescent="0.25">
      <c r="A186">
        <v>284</v>
      </c>
    </row>
    <row r="187" spans="1:1" x14ac:dyDescent="0.25">
      <c r="A187">
        <v>285</v>
      </c>
    </row>
    <row r="188" spans="1:1" x14ac:dyDescent="0.25">
      <c r="A188">
        <v>286</v>
      </c>
    </row>
    <row r="189" spans="1:1" x14ac:dyDescent="0.25">
      <c r="A189">
        <v>287</v>
      </c>
    </row>
    <row r="190" spans="1:1" x14ac:dyDescent="0.25">
      <c r="A190">
        <v>288</v>
      </c>
    </row>
    <row r="191" spans="1:1" x14ac:dyDescent="0.25">
      <c r="A191">
        <v>289</v>
      </c>
    </row>
    <row r="192" spans="1:1" x14ac:dyDescent="0.25">
      <c r="A192">
        <v>290</v>
      </c>
    </row>
    <row r="193" spans="1:1" x14ac:dyDescent="0.25">
      <c r="A193">
        <v>291</v>
      </c>
    </row>
    <row r="194" spans="1:1" x14ac:dyDescent="0.25">
      <c r="A194">
        <v>292</v>
      </c>
    </row>
    <row r="195" spans="1:1" x14ac:dyDescent="0.25">
      <c r="A195">
        <v>293</v>
      </c>
    </row>
    <row r="196" spans="1:1" x14ac:dyDescent="0.25">
      <c r="A196">
        <v>294</v>
      </c>
    </row>
    <row r="197" spans="1:1" x14ac:dyDescent="0.25">
      <c r="A197">
        <v>295</v>
      </c>
    </row>
    <row r="198" spans="1:1" x14ac:dyDescent="0.25">
      <c r="A198">
        <v>296</v>
      </c>
    </row>
    <row r="199" spans="1:1" x14ac:dyDescent="0.25">
      <c r="A199">
        <v>297</v>
      </c>
    </row>
    <row r="200" spans="1:1" x14ac:dyDescent="0.25">
      <c r="A200">
        <v>298</v>
      </c>
    </row>
    <row r="201" spans="1:1" x14ac:dyDescent="0.25">
      <c r="A201">
        <v>299</v>
      </c>
    </row>
    <row r="202" spans="1:1" x14ac:dyDescent="0.25">
      <c r="A202">
        <v>300</v>
      </c>
    </row>
    <row r="203" spans="1:1" x14ac:dyDescent="0.25">
      <c r="A203">
        <v>301</v>
      </c>
    </row>
    <row r="204" spans="1:1" x14ac:dyDescent="0.25">
      <c r="A204">
        <v>302</v>
      </c>
    </row>
    <row r="205" spans="1:1" x14ac:dyDescent="0.25">
      <c r="A205">
        <v>303</v>
      </c>
    </row>
    <row r="206" spans="1:1" x14ac:dyDescent="0.25">
      <c r="A206">
        <v>304</v>
      </c>
    </row>
    <row r="207" spans="1:1" x14ac:dyDescent="0.25">
      <c r="A207">
        <v>305</v>
      </c>
    </row>
    <row r="208" spans="1:1" x14ac:dyDescent="0.25">
      <c r="A208">
        <v>306</v>
      </c>
    </row>
    <row r="209" spans="1:1" x14ac:dyDescent="0.25">
      <c r="A209">
        <v>307</v>
      </c>
    </row>
    <row r="210" spans="1:1" x14ac:dyDescent="0.25">
      <c r="A210">
        <v>308</v>
      </c>
    </row>
    <row r="211" spans="1:1" x14ac:dyDescent="0.25">
      <c r="A211">
        <v>309</v>
      </c>
    </row>
    <row r="212" spans="1:1" x14ac:dyDescent="0.25">
      <c r="A212">
        <v>310</v>
      </c>
    </row>
    <row r="213" spans="1:1" x14ac:dyDescent="0.25">
      <c r="A213">
        <v>311</v>
      </c>
    </row>
    <row r="214" spans="1:1" x14ac:dyDescent="0.25">
      <c r="A214">
        <v>312</v>
      </c>
    </row>
    <row r="215" spans="1:1" x14ac:dyDescent="0.25">
      <c r="A215">
        <v>313</v>
      </c>
    </row>
    <row r="216" spans="1:1" x14ac:dyDescent="0.25">
      <c r="A216">
        <v>314</v>
      </c>
    </row>
    <row r="217" spans="1:1" x14ac:dyDescent="0.25">
      <c r="A217">
        <v>315</v>
      </c>
    </row>
    <row r="218" spans="1:1" x14ac:dyDescent="0.25">
      <c r="A218">
        <v>316</v>
      </c>
    </row>
    <row r="219" spans="1:1" x14ac:dyDescent="0.25">
      <c r="A219">
        <v>317</v>
      </c>
    </row>
    <row r="220" spans="1:1" x14ac:dyDescent="0.25">
      <c r="A220">
        <v>318</v>
      </c>
    </row>
    <row r="221" spans="1:1" x14ac:dyDescent="0.25">
      <c r="A221">
        <v>319</v>
      </c>
    </row>
    <row r="222" spans="1:1" x14ac:dyDescent="0.25">
      <c r="A222">
        <v>320</v>
      </c>
    </row>
    <row r="223" spans="1:1" x14ac:dyDescent="0.25">
      <c r="A223">
        <v>321</v>
      </c>
    </row>
    <row r="224" spans="1:1" x14ac:dyDescent="0.25">
      <c r="A224">
        <v>322</v>
      </c>
    </row>
    <row r="225" spans="1:1" x14ac:dyDescent="0.25">
      <c r="A225">
        <v>323</v>
      </c>
    </row>
    <row r="226" spans="1:1" x14ac:dyDescent="0.25">
      <c r="A226">
        <v>324</v>
      </c>
    </row>
    <row r="227" spans="1:1" x14ac:dyDescent="0.25">
      <c r="A227">
        <v>325</v>
      </c>
    </row>
    <row r="228" spans="1:1" x14ac:dyDescent="0.25">
      <c r="A228">
        <v>326</v>
      </c>
    </row>
    <row r="229" spans="1:1" x14ac:dyDescent="0.25">
      <c r="A229">
        <v>327</v>
      </c>
    </row>
    <row r="230" spans="1:1" x14ac:dyDescent="0.25">
      <c r="A230">
        <v>328</v>
      </c>
    </row>
    <row r="231" spans="1:1" x14ac:dyDescent="0.25">
      <c r="A231">
        <v>329</v>
      </c>
    </row>
    <row r="232" spans="1:1" x14ac:dyDescent="0.25">
      <c r="A232">
        <v>330</v>
      </c>
    </row>
    <row r="233" spans="1:1" x14ac:dyDescent="0.25">
      <c r="A233">
        <v>331</v>
      </c>
    </row>
    <row r="234" spans="1:1" x14ac:dyDescent="0.25">
      <c r="A234">
        <v>332</v>
      </c>
    </row>
    <row r="235" spans="1:1" x14ac:dyDescent="0.25">
      <c r="A235">
        <v>333</v>
      </c>
    </row>
    <row r="236" spans="1:1" x14ac:dyDescent="0.25">
      <c r="A236">
        <v>334</v>
      </c>
    </row>
    <row r="237" spans="1:1" x14ac:dyDescent="0.25">
      <c r="A237">
        <v>335</v>
      </c>
    </row>
    <row r="238" spans="1:1" x14ac:dyDescent="0.25">
      <c r="A238">
        <v>336</v>
      </c>
    </row>
    <row r="239" spans="1:1" x14ac:dyDescent="0.25">
      <c r="A239">
        <v>337</v>
      </c>
    </row>
    <row r="240" spans="1:1" x14ac:dyDescent="0.25">
      <c r="A240">
        <v>338</v>
      </c>
    </row>
    <row r="241" spans="1:1" x14ac:dyDescent="0.25">
      <c r="A241">
        <v>339</v>
      </c>
    </row>
    <row r="242" spans="1:1" x14ac:dyDescent="0.25">
      <c r="A242">
        <v>340</v>
      </c>
    </row>
    <row r="243" spans="1:1" x14ac:dyDescent="0.25">
      <c r="A243">
        <v>341</v>
      </c>
    </row>
    <row r="244" spans="1:1" x14ac:dyDescent="0.25">
      <c r="A244">
        <v>342</v>
      </c>
    </row>
    <row r="245" spans="1:1" x14ac:dyDescent="0.25">
      <c r="A245">
        <v>343</v>
      </c>
    </row>
    <row r="246" spans="1:1" x14ac:dyDescent="0.25">
      <c r="A246">
        <v>344</v>
      </c>
    </row>
    <row r="247" spans="1:1" x14ac:dyDescent="0.25">
      <c r="A247">
        <v>345</v>
      </c>
    </row>
    <row r="248" spans="1:1" x14ac:dyDescent="0.25">
      <c r="A248">
        <v>346</v>
      </c>
    </row>
    <row r="249" spans="1:1" x14ac:dyDescent="0.25">
      <c r="A249">
        <v>347</v>
      </c>
    </row>
    <row r="250" spans="1:1" x14ac:dyDescent="0.25">
      <c r="A250">
        <v>348</v>
      </c>
    </row>
    <row r="251" spans="1:1" x14ac:dyDescent="0.25">
      <c r="A251">
        <v>349</v>
      </c>
    </row>
    <row r="252" spans="1:1" x14ac:dyDescent="0.25">
      <c r="A252">
        <v>350</v>
      </c>
    </row>
    <row r="253" spans="1:1" x14ac:dyDescent="0.25">
      <c r="A253">
        <v>351</v>
      </c>
    </row>
    <row r="254" spans="1:1" x14ac:dyDescent="0.25">
      <c r="A254">
        <v>352</v>
      </c>
    </row>
    <row r="255" spans="1:1" x14ac:dyDescent="0.25">
      <c r="A255">
        <v>353</v>
      </c>
    </row>
    <row r="256" spans="1:1" x14ac:dyDescent="0.25">
      <c r="A256">
        <v>354</v>
      </c>
    </row>
    <row r="257" spans="1:1" x14ac:dyDescent="0.25">
      <c r="A257">
        <v>355</v>
      </c>
    </row>
    <row r="258" spans="1:1" x14ac:dyDescent="0.25">
      <c r="A258">
        <v>356</v>
      </c>
    </row>
    <row r="259" spans="1:1" x14ac:dyDescent="0.25">
      <c r="A259">
        <v>357</v>
      </c>
    </row>
    <row r="260" spans="1:1" x14ac:dyDescent="0.25">
      <c r="A260">
        <v>358</v>
      </c>
    </row>
    <row r="261" spans="1:1" x14ac:dyDescent="0.25">
      <c r="A261">
        <v>359</v>
      </c>
    </row>
    <row r="262" spans="1:1" x14ac:dyDescent="0.25">
      <c r="A262">
        <v>360</v>
      </c>
    </row>
    <row r="263" spans="1:1" x14ac:dyDescent="0.25">
      <c r="A263">
        <v>361</v>
      </c>
    </row>
    <row r="264" spans="1:1" x14ac:dyDescent="0.25">
      <c r="A264">
        <v>362</v>
      </c>
    </row>
    <row r="265" spans="1:1" x14ac:dyDescent="0.25">
      <c r="A265">
        <v>363</v>
      </c>
    </row>
    <row r="266" spans="1:1" x14ac:dyDescent="0.25">
      <c r="A266">
        <v>364</v>
      </c>
    </row>
    <row r="267" spans="1:1" x14ac:dyDescent="0.25">
      <c r="A267">
        <v>365</v>
      </c>
    </row>
    <row r="268" spans="1:1" x14ac:dyDescent="0.25">
      <c r="A268">
        <v>366</v>
      </c>
    </row>
    <row r="269" spans="1:1" x14ac:dyDescent="0.25">
      <c r="A269">
        <v>367</v>
      </c>
    </row>
    <row r="270" spans="1:1" x14ac:dyDescent="0.25">
      <c r="A270">
        <v>368</v>
      </c>
    </row>
    <row r="271" spans="1:1" x14ac:dyDescent="0.25">
      <c r="A271">
        <v>369</v>
      </c>
    </row>
    <row r="272" spans="1:1" x14ac:dyDescent="0.25">
      <c r="A272">
        <v>370</v>
      </c>
    </row>
    <row r="273" spans="1:1" x14ac:dyDescent="0.25">
      <c r="A273">
        <v>371</v>
      </c>
    </row>
    <row r="274" spans="1:1" x14ac:dyDescent="0.25">
      <c r="A274">
        <v>372</v>
      </c>
    </row>
    <row r="275" spans="1:1" x14ac:dyDescent="0.25">
      <c r="A275">
        <v>373</v>
      </c>
    </row>
    <row r="276" spans="1:1" x14ac:dyDescent="0.25">
      <c r="A276">
        <v>374</v>
      </c>
    </row>
    <row r="277" spans="1:1" x14ac:dyDescent="0.25">
      <c r="A277">
        <v>375</v>
      </c>
    </row>
    <row r="278" spans="1:1" x14ac:dyDescent="0.25">
      <c r="A278">
        <v>376</v>
      </c>
    </row>
    <row r="279" spans="1:1" x14ac:dyDescent="0.25">
      <c r="A279">
        <v>377</v>
      </c>
    </row>
    <row r="280" spans="1:1" x14ac:dyDescent="0.25">
      <c r="A280">
        <v>378</v>
      </c>
    </row>
    <row r="281" spans="1:1" x14ac:dyDescent="0.25">
      <c r="A281">
        <v>379</v>
      </c>
    </row>
    <row r="282" spans="1:1" x14ac:dyDescent="0.25">
      <c r="A282">
        <v>380</v>
      </c>
    </row>
    <row r="283" spans="1:1" x14ac:dyDescent="0.25">
      <c r="A283">
        <v>381</v>
      </c>
    </row>
    <row r="284" spans="1:1" x14ac:dyDescent="0.25">
      <c r="A284">
        <v>382</v>
      </c>
    </row>
    <row r="285" spans="1:1" x14ac:dyDescent="0.25">
      <c r="A285">
        <v>383</v>
      </c>
    </row>
    <row r="286" spans="1:1" x14ac:dyDescent="0.25">
      <c r="A286">
        <v>384</v>
      </c>
    </row>
    <row r="287" spans="1:1" x14ac:dyDescent="0.25">
      <c r="A287">
        <v>385</v>
      </c>
    </row>
    <row r="288" spans="1:1" x14ac:dyDescent="0.25">
      <c r="A288">
        <v>386</v>
      </c>
    </row>
    <row r="289" spans="1:1" x14ac:dyDescent="0.25">
      <c r="A289">
        <v>387</v>
      </c>
    </row>
    <row r="290" spans="1:1" x14ac:dyDescent="0.25">
      <c r="A290">
        <v>388</v>
      </c>
    </row>
    <row r="291" spans="1:1" x14ac:dyDescent="0.25">
      <c r="A291">
        <v>389</v>
      </c>
    </row>
    <row r="292" spans="1:1" x14ac:dyDescent="0.25">
      <c r="A292">
        <v>390</v>
      </c>
    </row>
    <row r="293" spans="1:1" x14ac:dyDescent="0.25">
      <c r="A293">
        <v>391</v>
      </c>
    </row>
    <row r="294" spans="1:1" x14ac:dyDescent="0.25">
      <c r="A294">
        <v>392</v>
      </c>
    </row>
    <row r="295" spans="1:1" x14ac:dyDescent="0.25">
      <c r="A295">
        <v>393</v>
      </c>
    </row>
    <row r="296" spans="1:1" x14ac:dyDescent="0.25">
      <c r="A296">
        <v>394</v>
      </c>
    </row>
    <row r="297" spans="1:1" x14ac:dyDescent="0.25">
      <c r="A297">
        <v>395</v>
      </c>
    </row>
    <row r="298" spans="1:1" x14ac:dyDescent="0.25">
      <c r="A298">
        <v>396</v>
      </c>
    </row>
    <row r="299" spans="1:1" x14ac:dyDescent="0.25">
      <c r="A299">
        <v>397</v>
      </c>
    </row>
    <row r="300" spans="1:1" x14ac:dyDescent="0.25">
      <c r="A300">
        <v>398</v>
      </c>
    </row>
    <row r="301" spans="1:1" x14ac:dyDescent="0.25">
      <c r="A301">
        <v>399</v>
      </c>
    </row>
    <row r="302" spans="1:1" x14ac:dyDescent="0.25">
      <c r="A302">
        <v>400</v>
      </c>
    </row>
    <row r="303" spans="1:1" x14ac:dyDescent="0.25">
      <c r="A303">
        <v>401</v>
      </c>
    </row>
    <row r="304" spans="1:1" x14ac:dyDescent="0.25">
      <c r="A304">
        <v>402</v>
      </c>
    </row>
    <row r="305" spans="1:1" x14ac:dyDescent="0.25">
      <c r="A305">
        <v>403</v>
      </c>
    </row>
    <row r="306" spans="1:1" x14ac:dyDescent="0.25">
      <c r="A306">
        <v>404</v>
      </c>
    </row>
    <row r="307" spans="1:1" x14ac:dyDescent="0.25">
      <c r="A307">
        <v>405</v>
      </c>
    </row>
    <row r="308" spans="1:1" x14ac:dyDescent="0.25">
      <c r="A308">
        <v>406</v>
      </c>
    </row>
    <row r="309" spans="1:1" x14ac:dyDescent="0.25">
      <c r="A309">
        <v>407</v>
      </c>
    </row>
    <row r="310" spans="1:1" x14ac:dyDescent="0.25">
      <c r="A310">
        <v>408</v>
      </c>
    </row>
    <row r="311" spans="1:1" x14ac:dyDescent="0.25">
      <c r="A311">
        <v>409</v>
      </c>
    </row>
    <row r="312" spans="1:1" x14ac:dyDescent="0.25">
      <c r="A312">
        <v>410</v>
      </c>
    </row>
    <row r="313" spans="1:1" x14ac:dyDescent="0.25">
      <c r="A313">
        <v>411</v>
      </c>
    </row>
    <row r="314" spans="1:1" x14ac:dyDescent="0.25">
      <c r="A314">
        <v>412</v>
      </c>
    </row>
    <row r="315" spans="1:1" x14ac:dyDescent="0.25">
      <c r="A315">
        <v>413</v>
      </c>
    </row>
    <row r="316" spans="1:1" x14ac:dyDescent="0.25">
      <c r="A316">
        <v>414</v>
      </c>
    </row>
    <row r="317" spans="1:1" x14ac:dyDescent="0.25">
      <c r="A317">
        <v>415</v>
      </c>
    </row>
    <row r="318" spans="1:1" x14ac:dyDescent="0.25">
      <c r="A318">
        <v>416</v>
      </c>
    </row>
    <row r="319" spans="1:1" x14ac:dyDescent="0.25">
      <c r="A319">
        <v>417</v>
      </c>
    </row>
    <row r="320" spans="1:1" x14ac:dyDescent="0.25">
      <c r="A320">
        <v>418</v>
      </c>
    </row>
    <row r="321" spans="1:1" x14ac:dyDescent="0.25">
      <c r="A321">
        <v>419</v>
      </c>
    </row>
    <row r="322" spans="1:1" x14ac:dyDescent="0.25">
      <c r="A322">
        <v>420</v>
      </c>
    </row>
    <row r="323" spans="1:1" x14ac:dyDescent="0.25">
      <c r="A323">
        <v>421</v>
      </c>
    </row>
    <row r="324" spans="1:1" x14ac:dyDescent="0.25">
      <c r="A324">
        <v>422</v>
      </c>
    </row>
    <row r="325" spans="1:1" x14ac:dyDescent="0.25">
      <c r="A325">
        <v>423</v>
      </c>
    </row>
    <row r="326" spans="1:1" x14ac:dyDescent="0.25">
      <c r="A326">
        <v>424</v>
      </c>
    </row>
    <row r="327" spans="1:1" x14ac:dyDescent="0.25">
      <c r="A327">
        <v>425</v>
      </c>
    </row>
    <row r="328" spans="1:1" x14ac:dyDescent="0.25">
      <c r="A328">
        <v>426</v>
      </c>
    </row>
    <row r="329" spans="1:1" x14ac:dyDescent="0.25">
      <c r="A329">
        <v>427</v>
      </c>
    </row>
    <row r="330" spans="1:1" x14ac:dyDescent="0.25">
      <c r="A330">
        <v>428</v>
      </c>
    </row>
    <row r="331" spans="1:1" x14ac:dyDescent="0.25">
      <c r="A331">
        <v>429</v>
      </c>
    </row>
    <row r="332" spans="1:1" x14ac:dyDescent="0.25">
      <c r="A332">
        <v>430</v>
      </c>
    </row>
    <row r="333" spans="1:1" x14ac:dyDescent="0.25">
      <c r="A333">
        <v>431</v>
      </c>
    </row>
    <row r="334" spans="1:1" x14ac:dyDescent="0.25">
      <c r="A334">
        <v>432</v>
      </c>
    </row>
    <row r="335" spans="1:1" x14ac:dyDescent="0.25">
      <c r="A335">
        <v>433</v>
      </c>
    </row>
    <row r="336" spans="1:1" x14ac:dyDescent="0.25">
      <c r="A336">
        <v>434</v>
      </c>
    </row>
    <row r="337" spans="1:1" x14ac:dyDescent="0.25">
      <c r="A337">
        <v>435</v>
      </c>
    </row>
    <row r="338" spans="1:1" x14ac:dyDescent="0.25">
      <c r="A338">
        <v>436</v>
      </c>
    </row>
    <row r="339" spans="1:1" x14ac:dyDescent="0.25">
      <c r="A339">
        <v>437</v>
      </c>
    </row>
    <row r="340" spans="1:1" x14ac:dyDescent="0.25">
      <c r="A340">
        <v>438</v>
      </c>
    </row>
    <row r="341" spans="1:1" x14ac:dyDescent="0.25">
      <c r="A341">
        <v>439</v>
      </c>
    </row>
    <row r="342" spans="1:1" x14ac:dyDescent="0.25">
      <c r="A342">
        <v>440</v>
      </c>
    </row>
    <row r="343" spans="1:1" x14ac:dyDescent="0.25">
      <c r="A343">
        <v>441</v>
      </c>
    </row>
    <row r="344" spans="1:1" x14ac:dyDescent="0.25">
      <c r="A344">
        <v>442</v>
      </c>
    </row>
    <row r="345" spans="1:1" x14ac:dyDescent="0.25">
      <c r="A345">
        <v>443</v>
      </c>
    </row>
    <row r="346" spans="1:1" x14ac:dyDescent="0.25">
      <c r="A346">
        <v>444</v>
      </c>
    </row>
    <row r="347" spans="1:1" x14ac:dyDescent="0.25">
      <c r="A347">
        <v>445</v>
      </c>
    </row>
    <row r="348" spans="1:1" x14ac:dyDescent="0.25">
      <c r="A348">
        <v>446</v>
      </c>
    </row>
    <row r="349" spans="1:1" x14ac:dyDescent="0.25">
      <c r="A349">
        <v>447</v>
      </c>
    </row>
    <row r="350" spans="1:1" x14ac:dyDescent="0.25">
      <c r="A350">
        <v>448</v>
      </c>
    </row>
    <row r="351" spans="1:1" x14ac:dyDescent="0.25">
      <c r="A351">
        <v>449</v>
      </c>
    </row>
    <row r="352" spans="1:1" x14ac:dyDescent="0.25">
      <c r="A352">
        <v>450</v>
      </c>
    </row>
    <row r="353" spans="1:1" x14ac:dyDescent="0.25">
      <c r="A353">
        <v>451</v>
      </c>
    </row>
    <row r="354" spans="1:1" x14ac:dyDescent="0.25">
      <c r="A354">
        <v>452</v>
      </c>
    </row>
    <row r="355" spans="1:1" x14ac:dyDescent="0.25">
      <c r="A355">
        <v>453</v>
      </c>
    </row>
    <row r="356" spans="1:1" x14ac:dyDescent="0.25">
      <c r="A356">
        <v>454</v>
      </c>
    </row>
    <row r="357" spans="1:1" x14ac:dyDescent="0.25">
      <c r="A357">
        <v>455</v>
      </c>
    </row>
    <row r="358" spans="1:1" x14ac:dyDescent="0.25">
      <c r="A358">
        <v>456</v>
      </c>
    </row>
    <row r="359" spans="1:1" x14ac:dyDescent="0.25">
      <c r="A359">
        <v>457</v>
      </c>
    </row>
    <row r="360" spans="1:1" x14ac:dyDescent="0.25">
      <c r="A360">
        <v>458</v>
      </c>
    </row>
    <row r="361" spans="1:1" x14ac:dyDescent="0.25">
      <c r="A361">
        <v>459</v>
      </c>
    </row>
    <row r="362" spans="1:1" x14ac:dyDescent="0.25">
      <c r="A362">
        <v>460</v>
      </c>
    </row>
    <row r="363" spans="1:1" x14ac:dyDescent="0.25">
      <c r="A363">
        <v>461</v>
      </c>
    </row>
    <row r="364" spans="1:1" x14ac:dyDescent="0.25">
      <c r="A364">
        <v>462</v>
      </c>
    </row>
    <row r="365" spans="1:1" x14ac:dyDescent="0.25">
      <c r="A365">
        <v>463</v>
      </c>
    </row>
    <row r="366" spans="1:1" x14ac:dyDescent="0.25">
      <c r="A366">
        <v>464</v>
      </c>
    </row>
    <row r="367" spans="1:1" x14ac:dyDescent="0.25">
      <c r="A367">
        <v>465</v>
      </c>
    </row>
    <row r="368" spans="1:1" x14ac:dyDescent="0.25">
      <c r="A368">
        <v>466</v>
      </c>
    </row>
    <row r="369" spans="1:1" x14ac:dyDescent="0.25">
      <c r="A369">
        <v>467</v>
      </c>
    </row>
    <row r="370" spans="1:1" x14ac:dyDescent="0.25">
      <c r="A370">
        <v>468</v>
      </c>
    </row>
    <row r="371" spans="1:1" x14ac:dyDescent="0.25">
      <c r="A371">
        <v>469</v>
      </c>
    </row>
    <row r="372" spans="1:1" x14ac:dyDescent="0.25">
      <c r="A372">
        <v>470</v>
      </c>
    </row>
    <row r="373" spans="1:1" x14ac:dyDescent="0.25">
      <c r="A373">
        <v>471</v>
      </c>
    </row>
    <row r="374" spans="1:1" x14ac:dyDescent="0.25">
      <c r="A374">
        <v>472</v>
      </c>
    </row>
    <row r="375" spans="1:1" x14ac:dyDescent="0.25">
      <c r="A375">
        <v>473</v>
      </c>
    </row>
    <row r="376" spans="1:1" x14ac:dyDescent="0.25">
      <c r="A376">
        <v>474</v>
      </c>
    </row>
    <row r="377" spans="1:1" x14ac:dyDescent="0.25">
      <c r="A377">
        <v>475</v>
      </c>
    </row>
    <row r="378" spans="1:1" x14ac:dyDescent="0.25">
      <c r="A378">
        <v>476</v>
      </c>
    </row>
    <row r="379" spans="1:1" x14ac:dyDescent="0.25">
      <c r="A379">
        <v>477</v>
      </c>
    </row>
    <row r="380" spans="1:1" x14ac:dyDescent="0.25">
      <c r="A380">
        <v>478</v>
      </c>
    </row>
    <row r="381" spans="1:1" x14ac:dyDescent="0.25">
      <c r="A381">
        <v>479</v>
      </c>
    </row>
    <row r="382" spans="1:1" x14ac:dyDescent="0.25">
      <c r="A382">
        <v>480</v>
      </c>
    </row>
    <row r="383" spans="1:1" x14ac:dyDescent="0.25">
      <c r="A383">
        <v>481</v>
      </c>
    </row>
    <row r="384" spans="1:1" x14ac:dyDescent="0.25">
      <c r="A384">
        <v>482</v>
      </c>
    </row>
    <row r="385" spans="1:1" x14ac:dyDescent="0.25">
      <c r="A385">
        <v>483</v>
      </c>
    </row>
    <row r="386" spans="1:1" x14ac:dyDescent="0.25">
      <c r="A386">
        <v>484</v>
      </c>
    </row>
    <row r="387" spans="1:1" x14ac:dyDescent="0.25">
      <c r="A387">
        <v>485</v>
      </c>
    </row>
    <row r="388" spans="1:1" x14ac:dyDescent="0.25">
      <c r="A388">
        <v>486</v>
      </c>
    </row>
    <row r="389" spans="1:1" x14ac:dyDescent="0.25">
      <c r="A389">
        <v>487</v>
      </c>
    </row>
    <row r="390" spans="1:1" x14ac:dyDescent="0.25">
      <c r="A390">
        <v>488</v>
      </c>
    </row>
    <row r="391" spans="1:1" x14ac:dyDescent="0.25">
      <c r="A391">
        <v>489</v>
      </c>
    </row>
    <row r="392" spans="1:1" x14ac:dyDescent="0.25">
      <c r="A392">
        <v>490</v>
      </c>
    </row>
    <row r="393" spans="1:1" x14ac:dyDescent="0.25">
      <c r="A393">
        <v>491</v>
      </c>
    </row>
    <row r="394" spans="1:1" x14ac:dyDescent="0.25">
      <c r="A394">
        <v>492</v>
      </c>
    </row>
    <row r="395" spans="1:1" x14ac:dyDescent="0.25">
      <c r="A395">
        <v>493</v>
      </c>
    </row>
    <row r="396" spans="1:1" x14ac:dyDescent="0.25">
      <c r="A396">
        <v>494</v>
      </c>
    </row>
    <row r="397" spans="1:1" x14ac:dyDescent="0.25">
      <c r="A397">
        <v>495</v>
      </c>
    </row>
    <row r="398" spans="1:1" x14ac:dyDescent="0.25">
      <c r="A398">
        <v>496</v>
      </c>
    </row>
    <row r="399" spans="1:1" x14ac:dyDescent="0.25">
      <c r="A399">
        <v>497</v>
      </c>
    </row>
    <row r="400" spans="1:1" x14ac:dyDescent="0.25">
      <c r="A400">
        <v>498</v>
      </c>
    </row>
    <row r="401" spans="1:1" x14ac:dyDescent="0.25">
      <c r="A401">
        <v>499</v>
      </c>
    </row>
    <row r="402" spans="1:1" x14ac:dyDescent="0.25">
      <c r="A402">
        <v>500</v>
      </c>
    </row>
    <row r="403" spans="1:1" x14ac:dyDescent="0.25">
      <c r="A403">
        <v>501</v>
      </c>
    </row>
    <row r="404" spans="1:1" x14ac:dyDescent="0.25">
      <c r="A404">
        <v>502</v>
      </c>
    </row>
    <row r="405" spans="1:1" x14ac:dyDescent="0.25">
      <c r="A405">
        <v>503</v>
      </c>
    </row>
    <row r="406" spans="1:1" x14ac:dyDescent="0.25">
      <c r="A406">
        <v>504</v>
      </c>
    </row>
    <row r="407" spans="1:1" x14ac:dyDescent="0.25">
      <c r="A407">
        <v>505</v>
      </c>
    </row>
    <row r="408" spans="1:1" x14ac:dyDescent="0.25">
      <c r="A408">
        <v>506</v>
      </c>
    </row>
    <row r="409" spans="1:1" x14ac:dyDescent="0.25">
      <c r="A409">
        <v>507</v>
      </c>
    </row>
    <row r="410" spans="1:1" x14ac:dyDescent="0.25">
      <c r="A410">
        <v>508</v>
      </c>
    </row>
    <row r="411" spans="1:1" x14ac:dyDescent="0.25">
      <c r="A411">
        <v>509</v>
      </c>
    </row>
    <row r="412" spans="1:1" x14ac:dyDescent="0.25">
      <c r="A412">
        <v>510</v>
      </c>
    </row>
    <row r="413" spans="1:1" x14ac:dyDescent="0.25">
      <c r="A413">
        <v>511</v>
      </c>
    </row>
    <row r="414" spans="1:1" x14ac:dyDescent="0.25">
      <c r="A414">
        <v>512</v>
      </c>
    </row>
    <row r="415" spans="1:1" x14ac:dyDescent="0.25">
      <c r="A415">
        <v>513</v>
      </c>
    </row>
    <row r="416" spans="1:1" x14ac:dyDescent="0.25">
      <c r="A416">
        <v>514</v>
      </c>
    </row>
    <row r="417" spans="1:1" x14ac:dyDescent="0.25">
      <c r="A417">
        <v>515</v>
      </c>
    </row>
    <row r="418" spans="1:1" x14ac:dyDescent="0.25">
      <c r="A418">
        <v>516</v>
      </c>
    </row>
    <row r="419" spans="1:1" x14ac:dyDescent="0.25">
      <c r="A419">
        <v>517</v>
      </c>
    </row>
    <row r="420" spans="1:1" x14ac:dyDescent="0.25">
      <c r="A420">
        <v>518</v>
      </c>
    </row>
    <row r="421" spans="1:1" x14ac:dyDescent="0.25">
      <c r="A421">
        <v>519</v>
      </c>
    </row>
    <row r="422" spans="1:1" x14ac:dyDescent="0.25">
      <c r="A422">
        <v>520</v>
      </c>
    </row>
    <row r="423" spans="1:1" x14ac:dyDescent="0.25">
      <c r="A423">
        <v>521</v>
      </c>
    </row>
    <row r="424" spans="1:1" x14ac:dyDescent="0.25">
      <c r="A424">
        <v>522</v>
      </c>
    </row>
    <row r="425" spans="1:1" x14ac:dyDescent="0.25">
      <c r="A425">
        <v>523</v>
      </c>
    </row>
    <row r="426" spans="1:1" x14ac:dyDescent="0.25">
      <c r="A426">
        <v>524</v>
      </c>
    </row>
    <row r="427" spans="1:1" x14ac:dyDescent="0.25">
      <c r="A427">
        <v>525</v>
      </c>
    </row>
    <row r="428" spans="1:1" x14ac:dyDescent="0.25">
      <c r="A428">
        <v>526</v>
      </c>
    </row>
    <row r="429" spans="1:1" x14ac:dyDescent="0.25">
      <c r="A429">
        <v>527</v>
      </c>
    </row>
    <row r="430" spans="1:1" x14ac:dyDescent="0.25">
      <c r="A430">
        <v>528</v>
      </c>
    </row>
    <row r="431" spans="1:1" x14ac:dyDescent="0.25">
      <c r="A431">
        <v>529</v>
      </c>
    </row>
    <row r="432" spans="1:1" x14ac:dyDescent="0.25">
      <c r="A432">
        <v>530</v>
      </c>
    </row>
    <row r="433" spans="1:1" x14ac:dyDescent="0.25">
      <c r="A433">
        <v>531</v>
      </c>
    </row>
    <row r="434" spans="1:1" x14ac:dyDescent="0.25">
      <c r="A434">
        <v>532</v>
      </c>
    </row>
    <row r="435" spans="1:1" x14ac:dyDescent="0.25">
      <c r="A435">
        <v>533</v>
      </c>
    </row>
    <row r="436" spans="1:1" x14ac:dyDescent="0.25">
      <c r="A436">
        <v>534</v>
      </c>
    </row>
    <row r="437" spans="1:1" x14ac:dyDescent="0.25">
      <c r="A437">
        <v>535</v>
      </c>
    </row>
    <row r="438" spans="1:1" x14ac:dyDescent="0.25">
      <c r="A438">
        <v>536</v>
      </c>
    </row>
    <row r="439" spans="1:1" x14ac:dyDescent="0.25">
      <c r="A439">
        <v>537</v>
      </c>
    </row>
    <row r="440" spans="1:1" x14ac:dyDescent="0.25">
      <c r="A440">
        <v>538</v>
      </c>
    </row>
    <row r="441" spans="1:1" x14ac:dyDescent="0.25">
      <c r="A441">
        <v>539</v>
      </c>
    </row>
    <row r="442" spans="1:1" x14ac:dyDescent="0.25">
      <c r="A442">
        <v>540</v>
      </c>
    </row>
    <row r="443" spans="1:1" x14ac:dyDescent="0.25">
      <c r="A443">
        <v>541</v>
      </c>
    </row>
    <row r="444" spans="1:1" x14ac:dyDescent="0.25">
      <c r="A444">
        <v>542</v>
      </c>
    </row>
    <row r="445" spans="1:1" x14ac:dyDescent="0.25">
      <c r="A445">
        <v>543</v>
      </c>
    </row>
    <row r="446" spans="1:1" x14ac:dyDescent="0.25">
      <c r="A446">
        <v>544</v>
      </c>
    </row>
    <row r="447" spans="1:1" x14ac:dyDescent="0.25">
      <c r="A447">
        <v>545</v>
      </c>
    </row>
    <row r="448" spans="1:1" x14ac:dyDescent="0.25">
      <c r="A448">
        <v>546</v>
      </c>
    </row>
    <row r="449" spans="1:1" x14ac:dyDescent="0.25">
      <c r="A449">
        <v>547</v>
      </c>
    </row>
    <row r="450" spans="1:1" x14ac:dyDescent="0.25">
      <c r="A450">
        <v>548</v>
      </c>
    </row>
    <row r="451" spans="1:1" x14ac:dyDescent="0.25">
      <c r="A451">
        <v>549</v>
      </c>
    </row>
    <row r="452" spans="1:1" x14ac:dyDescent="0.25">
      <c r="A452">
        <v>550</v>
      </c>
    </row>
    <row r="453" spans="1:1" x14ac:dyDescent="0.25">
      <c r="A453">
        <v>551</v>
      </c>
    </row>
    <row r="454" spans="1:1" x14ac:dyDescent="0.25">
      <c r="A454">
        <v>552</v>
      </c>
    </row>
    <row r="455" spans="1:1" x14ac:dyDescent="0.25">
      <c r="A455">
        <v>553</v>
      </c>
    </row>
    <row r="456" spans="1:1" x14ac:dyDescent="0.25">
      <c r="A456">
        <v>554</v>
      </c>
    </row>
    <row r="457" spans="1:1" x14ac:dyDescent="0.25">
      <c r="A457">
        <v>555</v>
      </c>
    </row>
    <row r="458" spans="1:1" x14ac:dyDescent="0.25">
      <c r="A458">
        <v>556</v>
      </c>
    </row>
    <row r="459" spans="1:1" x14ac:dyDescent="0.25">
      <c r="A459">
        <v>557</v>
      </c>
    </row>
    <row r="460" spans="1:1" x14ac:dyDescent="0.25">
      <c r="A460">
        <v>558</v>
      </c>
    </row>
    <row r="461" spans="1:1" x14ac:dyDescent="0.25">
      <c r="A461">
        <v>559</v>
      </c>
    </row>
    <row r="462" spans="1:1" x14ac:dyDescent="0.25">
      <c r="A462">
        <v>560</v>
      </c>
    </row>
    <row r="463" spans="1:1" x14ac:dyDescent="0.25">
      <c r="A463">
        <v>561</v>
      </c>
    </row>
    <row r="464" spans="1:1" x14ac:dyDescent="0.25">
      <c r="A464">
        <v>562</v>
      </c>
    </row>
    <row r="465" spans="1:1" x14ac:dyDescent="0.25">
      <c r="A465">
        <v>563</v>
      </c>
    </row>
    <row r="466" spans="1:1" x14ac:dyDescent="0.25">
      <c r="A466">
        <v>564</v>
      </c>
    </row>
    <row r="467" spans="1:1" x14ac:dyDescent="0.25">
      <c r="A467">
        <v>565</v>
      </c>
    </row>
    <row r="468" spans="1:1" x14ac:dyDescent="0.25">
      <c r="A468">
        <v>566</v>
      </c>
    </row>
    <row r="469" spans="1:1" x14ac:dyDescent="0.25">
      <c r="A469">
        <v>567</v>
      </c>
    </row>
    <row r="470" spans="1:1" x14ac:dyDescent="0.25">
      <c r="A470">
        <v>568</v>
      </c>
    </row>
    <row r="471" spans="1:1" x14ac:dyDescent="0.25">
      <c r="A471">
        <v>569</v>
      </c>
    </row>
    <row r="472" spans="1:1" x14ac:dyDescent="0.25">
      <c r="A472">
        <v>570</v>
      </c>
    </row>
    <row r="473" spans="1:1" x14ac:dyDescent="0.25">
      <c r="A473">
        <v>571</v>
      </c>
    </row>
    <row r="474" spans="1:1" x14ac:dyDescent="0.25">
      <c r="A474">
        <v>572</v>
      </c>
    </row>
    <row r="475" spans="1:1" x14ac:dyDescent="0.25">
      <c r="A475">
        <v>573</v>
      </c>
    </row>
    <row r="476" spans="1:1" x14ac:dyDescent="0.25">
      <c r="A476">
        <v>574</v>
      </c>
    </row>
    <row r="477" spans="1:1" x14ac:dyDescent="0.25">
      <c r="A477">
        <v>575</v>
      </c>
    </row>
    <row r="478" spans="1:1" x14ac:dyDescent="0.25">
      <c r="A478">
        <v>576</v>
      </c>
    </row>
    <row r="479" spans="1:1" x14ac:dyDescent="0.25">
      <c r="A479">
        <v>577</v>
      </c>
    </row>
    <row r="480" spans="1:1" x14ac:dyDescent="0.25">
      <c r="A480">
        <v>578</v>
      </c>
    </row>
    <row r="481" spans="1:1" x14ac:dyDescent="0.25">
      <c r="A481">
        <v>579</v>
      </c>
    </row>
    <row r="482" spans="1:1" x14ac:dyDescent="0.25">
      <c r="A482">
        <v>580</v>
      </c>
    </row>
    <row r="483" spans="1:1" x14ac:dyDescent="0.25">
      <c r="A483">
        <v>581</v>
      </c>
    </row>
    <row r="484" spans="1:1" x14ac:dyDescent="0.25">
      <c r="A484">
        <v>582</v>
      </c>
    </row>
    <row r="485" spans="1:1" x14ac:dyDescent="0.25">
      <c r="A485">
        <v>583</v>
      </c>
    </row>
    <row r="486" spans="1:1" x14ac:dyDescent="0.25">
      <c r="A486">
        <v>584</v>
      </c>
    </row>
    <row r="487" spans="1:1" x14ac:dyDescent="0.25">
      <c r="A487">
        <v>585</v>
      </c>
    </row>
    <row r="488" spans="1:1" x14ac:dyDescent="0.25">
      <c r="A488">
        <v>586</v>
      </c>
    </row>
    <row r="489" spans="1:1" x14ac:dyDescent="0.25">
      <c r="A489">
        <v>587</v>
      </c>
    </row>
    <row r="490" spans="1:1" x14ac:dyDescent="0.25">
      <c r="A490">
        <v>588</v>
      </c>
    </row>
    <row r="491" spans="1:1" x14ac:dyDescent="0.25">
      <c r="A491">
        <v>589</v>
      </c>
    </row>
    <row r="492" spans="1:1" x14ac:dyDescent="0.25">
      <c r="A492">
        <v>590</v>
      </c>
    </row>
    <row r="493" spans="1:1" x14ac:dyDescent="0.25">
      <c r="A493">
        <v>591</v>
      </c>
    </row>
    <row r="494" spans="1:1" x14ac:dyDescent="0.25">
      <c r="A494">
        <v>592</v>
      </c>
    </row>
    <row r="495" spans="1:1" x14ac:dyDescent="0.25">
      <c r="A495">
        <v>593</v>
      </c>
    </row>
    <row r="496" spans="1:1" x14ac:dyDescent="0.25">
      <c r="A496">
        <v>594</v>
      </c>
    </row>
    <row r="497" spans="1:1" x14ac:dyDescent="0.25">
      <c r="A497">
        <v>595</v>
      </c>
    </row>
    <row r="498" spans="1:1" x14ac:dyDescent="0.25">
      <c r="A498">
        <v>596</v>
      </c>
    </row>
    <row r="499" spans="1:1" x14ac:dyDescent="0.25">
      <c r="A499">
        <v>597</v>
      </c>
    </row>
    <row r="500" spans="1:1" x14ac:dyDescent="0.25">
      <c r="A500">
        <v>598</v>
      </c>
    </row>
    <row r="501" spans="1:1" x14ac:dyDescent="0.25">
      <c r="A501">
        <v>599</v>
      </c>
    </row>
    <row r="502" spans="1:1" x14ac:dyDescent="0.25">
      <c r="A502">
        <v>600</v>
      </c>
    </row>
    <row r="503" spans="1:1" x14ac:dyDescent="0.25">
      <c r="A503">
        <v>601</v>
      </c>
    </row>
    <row r="504" spans="1:1" x14ac:dyDescent="0.25">
      <c r="A504">
        <v>602</v>
      </c>
    </row>
    <row r="505" spans="1:1" x14ac:dyDescent="0.25">
      <c r="A505">
        <v>603</v>
      </c>
    </row>
    <row r="506" spans="1:1" x14ac:dyDescent="0.25">
      <c r="A506">
        <v>604</v>
      </c>
    </row>
    <row r="507" spans="1:1" x14ac:dyDescent="0.25">
      <c r="A507">
        <v>605</v>
      </c>
    </row>
    <row r="508" spans="1:1" x14ac:dyDescent="0.25">
      <c r="A508">
        <v>606</v>
      </c>
    </row>
    <row r="509" spans="1:1" x14ac:dyDescent="0.25">
      <c r="A509">
        <v>607</v>
      </c>
    </row>
    <row r="510" spans="1:1" x14ac:dyDescent="0.25">
      <c r="A510">
        <v>608</v>
      </c>
    </row>
    <row r="511" spans="1:1" x14ac:dyDescent="0.25">
      <c r="A511">
        <v>609</v>
      </c>
    </row>
    <row r="512" spans="1:1" x14ac:dyDescent="0.25">
      <c r="A512">
        <v>610</v>
      </c>
    </row>
    <row r="513" spans="1:1" x14ac:dyDescent="0.25">
      <c r="A513">
        <v>611</v>
      </c>
    </row>
    <row r="514" spans="1:1" x14ac:dyDescent="0.25">
      <c r="A514">
        <v>612</v>
      </c>
    </row>
    <row r="515" spans="1:1" x14ac:dyDescent="0.25">
      <c r="A515">
        <v>613</v>
      </c>
    </row>
    <row r="516" spans="1:1" x14ac:dyDescent="0.25">
      <c r="A516">
        <v>614</v>
      </c>
    </row>
    <row r="517" spans="1:1" x14ac:dyDescent="0.25">
      <c r="A517">
        <v>615</v>
      </c>
    </row>
    <row r="518" spans="1:1" x14ac:dyDescent="0.25">
      <c r="A518">
        <v>616</v>
      </c>
    </row>
    <row r="519" spans="1:1" x14ac:dyDescent="0.25">
      <c r="A519">
        <v>617</v>
      </c>
    </row>
    <row r="520" spans="1:1" x14ac:dyDescent="0.25">
      <c r="A520">
        <v>618</v>
      </c>
    </row>
    <row r="521" spans="1:1" x14ac:dyDescent="0.25">
      <c r="A521">
        <v>619</v>
      </c>
    </row>
    <row r="522" spans="1:1" x14ac:dyDescent="0.25">
      <c r="A522">
        <v>620</v>
      </c>
    </row>
    <row r="523" spans="1:1" x14ac:dyDescent="0.25">
      <c r="A523">
        <v>621</v>
      </c>
    </row>
    <row r="524" spans="1:1" x14ac:dyDescent="0.25">
      <c r="A524">
        <v>622</v>
      </c>
    </row>
    <row r="525" spans="1:1" x14ac:dyDescent="0.25">
      <c r="A525">
        <v>623</v>
      </c>
    </row>
    <row r="526" spans="1:1" x14ac:dyDescent="0.25">
      <c r="A526">
        <v>624</v>
      </c>
    </row>
    <row r="527" spans="1:1" x14ac:dyDescent="0.25">
      <c r="A527">
        <v>625</v>
      </c>
    </row>
    <row r="528" spans="1:1" x14ac:dyDescent="0.25">
      <c r="A528">
        <v>626</v>
      </c>
    </row>
    <row r="529" spans="1:1" x14ac:dyDescent="0.25">
      <c r="A529">
        <v>627</v>
      </c>
    </row>
    <row r="530" spans="1:1" x14ac:dyDescent="0.25">
      <c r="A530">
        <v>628</v>
      </c>
    </row>
    <row r="531" spans="1:1" x14ac:dyDescent="0.25">
      <c r="A531">
        <v>629</v>
      </c>
    </row>
    <row r="532" spans="1:1" x14ac:dyDescent="0.25">
      <c r="A532">
        <v>630</v>
      </c>
    </row>
    <row r="533" spans="1:1" x14ac:dyDescent="0.25">
      <c r="A533">
        <v>631</v>
      </c>
    </row>
    <row r="534" spans="1:1" x14ac:dyDescent="0.25">
      <c r="A534">
        <v>632</v>
      </c>
    </row>
    <row r="535" spans="1:1" x14ac:dyDescent="0.25">
      <c r="A535">
        <v>633</v>
      </c>
    </row>
    <row r="536" spans="1:1" x14ac:dyDescent="0.25">
      <c r="A536">
        <v>634</v>
      </c>
    </row>
    <row r="537" spans="1:1" x14ac:dyDescent="0.25">
      <c r="A537">
        <v>635</v>
      </c>
    </row>
    <row r="538" spans="1:1" x14ac:dyDescent="0.25">
      <c r="A538">
        <v>636</v>
      </c>
    </row>
    <row r="539" spans="1:1" x14ac:dyDescent="0.25">
      <c r="A539">
        <v>637</v>
      </c>
    </row>
    <row r="540" spans="1:1" x14ac:dyDescent="0.25">
      <c r="A540">
        <v>638</v>
      </c>
    </row>
    <row r="541" spans="1:1" x14ac:dyDescent="0.25">
      <c r="A541">
        <v>639</v>
      </c>
    </row>
    <row r="542" spans="1:1" x14ac:dyDescent="0.25">
      <c r="A542">
        <v>640</v>
      </c>
    </row>
    <row r="543" spans="1:1" x14ac:dyDescent="0.25">
      <c r="A543">
        <v>641</v>
      </c>
    </row>
    <row r="544" spans="1:1" x14ac:dyDescent="0.25">
      <c r="A544">
        <v>642</v>
      </c>
    </row>
    <row r="545" spans="1:1" x14ac:dyDescent="0.25">
      <c r="A545">
        <v>643</v>
      </c>
    </row>
    <row r="546" spans="1:1" x14ac:dyDescent="0.25">
      <c r="A546">
        <v>644</v>
      </c>
    </row>
    <row r="547" spans="1:1" x14ac:dyDescent="0.25">
      <c r="A547">
        <v>645</v>
      </c>
    </row>
    <row r="548" spans="1:1" x14ac:dyDescent="0.25">
      <c r="A548">
        <v>646</v>
      </c>
    </row>
    <row r="549" spans="1:1" x14ac:dyDescent="0.25">
      <c r="A549">
        <v>647</v>
      </c>
    </row>
    <row r="550" spans="1:1" x14ac:dyDescent="0.25">
      <c r="A550">
        <v>648</v>
      </c>
    </row>
    <row r="551" spans="1:1" x14ac:dyDescent="0.25">
      <c r="A551">
        <v>649</v>
      </c>
    </row>
    <row r="552" spans="1:1" x14ac:dyDescent="0.25">
      <c r="A552">
        <v>650</v>
      </c>
    </row>
    <row r="553" spans="1:1" x14ac:dyDescent="0.25">
      <c r="A553">
        <v>651</v>
      </c>
    </row>
    <row r="554" spans="1:1" x14ac:dyDescent="0.25">
      <c r="A554">
        <v>652</v>
      </c>
    </row>
    <row r="555" spans="1:1" x14ac:dyDescent="0.25">
      <c r="A555">
        <v>653</v>
      </c>
    </row>
    <row r="556" spans="1:1" x14ac:dyDescent="0.25">
      <c r="A556">
        <v>654</v>
      </c>
    </row>
    <row r="557" spans="1:1" x14ac:dyDescent="0.25">
      <c r="A557">
        <v>655</v>
      </c>
    </row>
    <row r="558" spans="1:1" x14ac:dyDescent="0.25">
      <c r="A558">
        <v>656</v>
      </c>
    </row>
    <row r="559" spans="1:1" x14ac:dyDescent="0.25">
      <c r="A559">
        <v>657</v>
      </c>
    </row>
    <row r="560" spans="1:1" x14ac:dyDescent="0.25">
      <c r="A560">
        <v>658</v>
      </c>
    </row>
    <row r="561" spans="1:1" x14ac:dyDescent="0.25">
      <c r="A561">
        <v>659</v>
      </c>
    </row>
    <row r="562" spans="1:1" x14ac:dyDescent="0.25">
      <c r="A562">
        <v>660</v>
      </c>
    </row>
    <row r="563" spans="1:1" x14ac:dyDescent="0.25">
      <c r="A563">
        <v>661</v>
      </c>
    </row>
    <row r="564" spans="1:1" x14ac:dyDescent="0.25">
      <c r="A564">
        <v>662</v>
      </c>
    </row>
    <row r="565" spans="1:1" x14ac:dyDescent="0.25">
      <c r="A565">
        <v>663</v>
      </c>
    </row>
    <row r="566" spans="1:1" x14ac:dyDescent="0.25">
      <c r="A566">
        <v>664</v>
      </c>
    </row>
    <row r="567" spans="1:1" x14ac:dyDescent="0.25">
      <c r="A567">
        <v>665</v>
      </c>
    </row>
    <row r="568" spans="1:1" x14ac:dyDescent="0.25">
      <c r="A568">
        <v>666</v>
      </c>
    </row>
    <row r="569" spans="1:1" x14ac:dyDescent="0.25">
      <c r="A569">
        <v>667</v>
      </c>
    </row>
    <row r="570" spans="1:1" x14ac:dyDescent="0.25">
      <c r="A570">
        <v>668</v>
      </c>
    </row>
    <row r="571" spans="1:1" x14ac:dyDescent="0.25">
      <c r="A571">
        <v>669</v>
      </c>
    </row>
    <row r="572" spans="1:1" x14ac:dyDescent="0.25">
      <c r="A572">
        <v>670</v>
      </c>
    </row>
    <row r="573" spans="1:1" x14ac:dyDescent="0.25">
      <c r="A573">
        <v>671</v>
      </c>
    </row>
    <row r="574" spans="1:1" x14ac:dyDescent="0.25">
      <c r="A574">
        <v>672</v>
      </c>
    </row>
    <row r="575" spans="1:1" x14ac:dyDescent="0.25">
      <c r="A575">
        <v>673</v>
      </c>
    </row>
    <row r="576" spans="1:1" x14ac:dyDescent="0.25">
      <c r="A576">
        <v>674</v>
      </c>
    </row>
    <row r="577" spans="1:1" x14ac:dyDescent="0.25">
      <c r="A577">
        <v>675</v>
      </c>
    </row>
    <row r="578" spans="1:1" x14ac:dyDescent="0.25">
      <c r="A578">
        <v>676</v>
      </c>
    </row>
    <row r="579" spans="1:1" x14ac:dyDescent="0.25">
      <c r="A579">
        <v>677</v>
      </c>
    </row>
    <row r="580" spans="1:1" x14ac:dyDescent="0.25">
      <c r="A580">
        <v>678</v>
      </c>
    </row>
    <row r="581" spans="1:1" x14ac:dyDescent="0.25">
      <c r="A581">
        <v>679</v>
      </c>
    </row>
    <row r="582" spans="1:1" x14ac:dyDescent="0.25">
      <c r="A582">
        <v>680</v>
      </c>
    </row>
    <row r="583" spans="1:1" x14ac:dyDescent="0.25">
      <c r="A583">
        <v>681</v>
      </c>
    </row>
    <row r="584" spans="1:1" x14ac:dyDescent="0.25">
      <c r="A584">
        <v>682</v>
      </c>
    </row>
    <row r="585" spans="1:1" x14ac:dyDescent="0.25">
      <c r="A585">
        <v>683</v>
      </c>
    </row>
    <row r="586" spans="1:1" x14ac:dyDescent="0.25">
      <c r="A586">
        <v>684</v>
      </c>
    </row>
    <row r="587" spans="1:1" x14ac:dyDescent="0.25">
      <c r="A587">
        <v>685</v>
      </c>
    </row>
    <row r="588" spans="1:1" x14ac:dyDescent="0.25">
      <c r="A588">
        <v>686</v>
      </c>
    </row>
    <row r="589" spans="1:1" x14ac:dyDescent="0.25">
      <c r="A589">
        <v>687</v>
      </c>
    </row>
    <row r="590" spans="1:1" x14ac:dyDescent="0.25">
      <c r="A590">
        <v>688</v>
      </c>
    </row>
    <row r="591" spans="1:1" x14ac:dyDescent="0.25">
      <c r="A591">
        <v>689</v>
      </c>
    </row>
    <row r="592" spans="1:1" x14ac:dyDescent="0.25">
      <c r="A592">
        <v>690</v>
      </c>
    </row>
    <row r="593" spans="1:1" x14ac:dyDescent="0.25">
      <c r="A593">
        <v>691</v>
      </c>
    </row>
    <row r="594" spans="1:1" x14ac:dyDescent="0.25">
      <c r="A594">
        <v>692</v>
      </c>
    </row>
    <row r="595" spans="1:1" x14ac:dyDescent="0.25">
      <c r="A595">
        <v>693</v>
      </c>
    </row>
    <row r="596" spans="1:1" x14ac:dyDescent="0.25">
      <c r="A596">
        <v>694</v>
      </c>
    </row>
    <row r="597" spans="1:1" x14ac:dyDescent="0.25">
      <c r="A597">
        <v>695</v>
      </c>
    </row>
    <row r="598" spans="1:1" x14ac:dyDescent="0.25">
      <c r="A598">
        <v>696</v>
      </c>
    </row>
    <row r="599" spans="1:1" x14ac:dyDescent="0.25">
      <c r="A599">
        <v>697</v>
      </c>
    </row>
    <row r="600" spans="1:1" x14ac:dyDescent="0.25">
      <c r="A600">
        <v>698</v>
      </c>
    </row>
    <row r="601" spans="1:1" x14ac:dyDescent="0.25">
      <c r="A601">
        <v>699</v>
      </c>
    </row>
    <row r="602" spans="1:1" x14ac:dyDescent="0.25">
      <c r="A602">
        <v>700</v>
      </c>
    </row>
    <row r="603" spans="1:1" x14ac:dyDescent="0.25">
      <c r="A603">
        <v>701</v>
      </c>
    </row>
    <row r="604" spans="1:1" x14ac:dyDescent="0.25">
      <c r="A604">
        <v>702</v>
      </c>
    </row>
    <row r="605" spans="1:1" x14ac:dyDescent="0.25">
      <c r="A605">
        <v>703</v>
      </c>
    </row>
    <row r="606" spans="1:1" x14ac:dyDescent="0.25">
      <c r="A606">
        <v>704</v>
      </c>
    </row>
    <row r="607" spans="1:1" x14ac:dyDescent="0.25">
      <c r="A607">
        <v>705</v>
      </c>
    </row>
    <row r="608" spans="1:1" x14ac:dyDescent="0.25">
      <c r="A608">
        <v>706</v>
      </c>
    </row>
    <row r="609" spans="1:1" x14ac:dyDescent="0.25">
      <c r="A609">
        <v>707</v>
      </c>
    </row>
    <row r="610" spans="1:1" x14ac:dyDescent="0.25">
      <c r="A610">
        <v>708</v>
      </c>
    </row>
    <row r="611" spans="1:1" x14ac:dyDescent="0.25">
      <c r="A611">
        <v>709</v>
      </c>
    </row>
    <row r="612" spans="1:1" x14ac:dyDescent="0.25">
      <c r="A612">
        <v>710</v>
      </c>
    </row>
    <row r="613" spans="1:1" x14ac:dyDescent="0.25">
      <c r="A613">
        <v>711</v>
      </c>
    </row>
    <row r="614" spans="1:1" x14ac:dyDescent="0.25">
      <c r="A614">
        <v>712</v>
      </c>
    </row>
    <row r="615" spans="1:1" x14ac:dyDescent="0.25">
      <c r="A615">
        <v>713</v>
      </c>
    </row>
    <row r="616" spans="1:1" x14ac:dyDescent="0.25">
      <c r="A616">
        <v>714</v>
      </c>
    </row>
    <row r="617" spans="1:1" x14ac:dyDescent="0.25">
      <c r="A617">
        <v>715</v>
      </c>
    </row>
    <row r="618" spans="1:1" x14ac:dyDescent="0.25">
      <c r="A618">
        <v>716</v>
      </c>
    </row>
    <row r="619" spans="1:1" x14ac:dyDescent="0.25">
      <c r="A619">
        <v>717</v>
      </c>
    </row>
    <row r="620" spans="1:1" x14ac:dyDescent="0.25">
      <c r="A620">
        <v>718</v>
      </c>
    </row>
    <row r="621" spans="1:1" x14ac:dyDescent="0.25">
      <c r="A621">
        <v>719</v>
      </c>
    </row>
    <row r="622" spans="1:1" x14ac:dyDescent="0.25">
      <c r="A622">
        <v>720</v>
      </c>
    </row>
    <row r="623" spans="1:1" x14ac:dyDescent="0.25">
      <c r="A623">
        <v>721</v>
      </c>
    </row>
    <row r="624" spans="1:1" x14ac:dyDescent="0.25">
      <c r="A624">
        <v>722</v>
      </c>
    </row>
    <row r="625" spans="1:1" x14ac:dyDescent="0.25">
      <c r="A625">
        <v>723</v>
      </c>
    </row>
    <row r="626" spans="1:1" x14ac:dyDescent="0.25">
      <c r="A626">
        <v>724</v>
      </c>
    </row>
    <row r="627" spans="1:1" x14ac:dyDescent="0.25">
      <c r="A627">
        <v>725</v>
      </c>
    </row>
    <row r="628" spans="1:1" x14ac:dyDescent="0.25">
      <c r="A628">
        <v>726</v>
      </c>
    </row>
    <row r="629" spans="1:1" x14ac:dyDescent="0.25">
      <c r="A629">
        <v>727</v>
      </c>
    </row>
    <row r="630" spans="1:1" x14ac:dyDescent="0.25">
      <c r="A630">
        <v>728</v>
      </c>
    </row>
    <row r="631" spans="1:1" x14ac:dyDescent="0.25">
      <c r="A631">
        <v>729</v>
      </c>
    </row>
    <row r="632" spans="1:1" x14ac:dyDescent="0.25">
      <c r="A632">
        <v>730</v>
      </c>
    </row>
    <row r="633" spans="1:1" x14ac:dyDescent="0.25">
      <c r="A633">
        <v>731</v>
      </c>
    </row>
    <row r="634" spans="1:1" x14ac:dyDescent="0.25">
      <c r="A634">
        <v>732</v>
      </c>
    </row>
    <row r="635" spans="1:1" x14ac:dyDescent="0.25">
      <c r="A635">
        <v>733</v>
      </c>
    </row>
    <row r="636" spans="1:1" x14ac:dyDescent="0.25">
      <c r="A636">
        <v>734</v>
      </c>
    </row>
    <row r="637" spans="1:1" x14ac:dyDescent="0.25">
      <c r="A637">
        <v>735</v>
      </c>
    </row>
    <row r="638" spans="1:1" x14ac:dyDescent="0.25">
      <c r="A638">
        <v>736</v>
      </c>
    </row>
    <row r="639" spans="1:1" x14ac:dyDescent="0.25">
      <c r="A639">
        <v>737</v>
      </c>
    </row>
    <row r="640" spans="1:1" x14ac:dyDescent="0.25">
      <c r="A640">
        <v>738</v>
      </c>
    </row>
    <row r="641" spans="1:1" x14ac:dyDescent="0.25">
      <c r="A641">
        <v>739</v>
      </c>
    </row>
    <row r="642" spans="1:1" x14ac:dyDescent="0.25">
      <c r="A642">
        <v>740</v>
      </c>
    </row>
    <row r="643" spans="1:1" x14ac:dyDescent="0.25">
      <c r="A643">
        <v>741</v>
      </c>
    </row>
    <row r="644" spans="1:1" x14ac:dyDescent="0.25">
      <c r="A644">
        <v>742</v>
      </c>
    </row>
    <row r="645" spans="1:1" x14ac:dyDescent="0.25">
      <c r="A645">
        <v>743</v>
      </c>
    </row>
    <row r="646" spans="1:1" x14ac:dyDescent="0.25">
      <c r="A646">
        <v>744</v>
      </c>
    </row>
    <row r="647" spans="1:1" x14ac:dyDescent="0.25">
      <c r="A647">
        <v>745</v>
      </c>
    </row>
    <row r="648" spans="1:1" x14ac:dyDescent="0.25">
      <c r="A648">
        <v>746</v>
      </c>
    </row>
    <row r="649" spans="1:1" x14ac:dyDescent="0.25">
      <c r="A649">
        <v>747</v>
      </c>
    </row>
    <row r="650" spans="1:1" x14ac:dyDescent="0.25">
      <c r="A650">
        <v>748</v>
      </c>
    </row>
    <row r="651" spans="1:1" x14ac:dyDescent="0.25">
      <c r="A651">
        <v>749</v>
      </c>
    </row>
    <row r="652" spans="1:1" x14ac:dyDescent="0.25">
      <c r="A652">
        <v>750</v>
      </c>
    </row>
    <row r="653" spans="1:1" x14ac:dyDescent="0.25">
      <c r="A653">
        <v>751</v>
      </c>
    </row>
    <row r="654" spans="1:1" x14ac:dyDescent="0.25">
      <c r="A654">
        <v>752</v>
      </c>
    </row>
    <row r="655" spans="1:1" x14ac:dyDescent="0.25">
      <c r="A655">
        <v>753</v>
      </c>
    </row>
    <row r="656" spans="1:1" x14ac:dyDescent="0.25">
      <c r="A656">
        <v>754</v>
      </c>
    </row>
    <row r="657" spans="1:1" x14ac:dyDescent="0.25">
      <c r="A657">
        <v>755</v>
      </c>
    </row>
    <row r="658" spans="1:1" x14ac:dyDescent="0.25">
      <c r="A658">
        <v>756</v>
      </c>
    </row>
    <row r="659" spans="1:1" x14ac:dyDescent="0.25">
      <c r="A659">
        <v>757</v>
      </c>
    </row>
    <row r="660" spans="1:1" x14ac:dyDescent="0.25">
      <c r="A660">
        <v>758</v>
      </c>
    </row>
    <row r="661" spans="1:1" x14ac:dyDescent="0.25">
      <c r="A661">
        <v>759</v>
      </c>
    </row>
    <row r="662" spans="1:1" x14ac:dyDescent="0.25">
      <c r="A662">
        <v>760</v>
      </c>
    </row>
    <row r="663" spans="1:1" x14ac:dyDescent="0.25">
      <c r="A663">
        <v>761</v>
      </c>
    </row>
    <row r="664" spans="1:1" x14ac:dyDescent="0.25">
      <c r="A664">
        <v>762</v>
      </c>
    </row>
    <row r="665" spans="1:1" x14ac:dyDescent="0.25">
      <c r="A665">
        <v>763</v>
      </c>
    </row>
    <row r="666" spans="1:1" x14ac:dyDescent="0.25">
      <c r="A666">
        <v>764</v>
      </c>
    </row>
    <row r="667" spans="1:1" x14ac:dyDescent="0.25">
      <c r="A667">
        <v>765</v>
      </c>
    </row>
    <row r="668" spans="1:1" x14ac:dyDescent="0.25">
      <c r="A668">
        <v>766</v>
      </c>
    </row>
    <row r="669" spans="1:1" x14ac:dyDescent="0.25">
      <c r="A669">
        <v>767</v>
      </c>
    </row>
    <row r="670" spans="1:1" x14ac:dyDescent="0.25">
      <c r="A670">
        <v>768</v>
      </c>
    </row>
    <row r="671" spans="1:1" x14ac:dyDescent="0.25">
      <c r="A671">
        <v>769</v>
      </c>
    </row>
    <row r="672" spans="1:1" x14ac:dyDescent="0.25">
      <c r="A672">
        <v>770</v>
      </c>
    </row>
    <row r="673" spans="1:1" x14ac:dyDescent="0.25">
      <c r="A673">
        <v>771</v>
      </c>
    </row>
    <row r="674" spans="1:1" x14ac:dyDescent="0.25">
      <c r="A674">
        <v>772</v>
      </c>
    </row>
    <row r="675" spans="1:1" x14ac:dyDescent="0.25">
      <c r="A675">
        <v>773</v>
      </c>
    </row>
    <row r="676" spans="1:1" x14ac:dyDescent="0.25">
      <c r="A676">
        <v>774</v>
      </c>
    </row>
    <row r="677" spans="1:1" x14ac:dyDescent="0.25">
      <c r="A677">
        <v>775</v>
      </c>
    </row>
    <row r="678" spans="1:1" x14ac:dyDescent="0.25">
      <c r="A678">
        <v>776</v>
      </c>
    </row>
    <row r="679" spans="1:1" x14ac:dyDescent="0.25">
      <c r="A679">
        <v>777</v>
      </c>
    </row>
    <row r="680" spans="1:1" x14ac:dyDescent="0.25">
      <c r="A680">
        <v>778</v>
      </c>
    </row>
    <row r="681" spans="1:1" x14ac:dyDescent="0.25">
      <c r="A681">
        <v>779</v>
      </c>
    </row>
    <row r="682" spans="1:1" x14ac:dyDescent="0.25">
      <c r="A682">
        <v>780</v>
      </c>
    </row>
    <row r="683" spans="1:1" x14ac:dyDescent="0.25">
      <c r="A683">
        <v>781</v>
      </c>
    </row>
    <row r="684" spans="1:1" x14ac:dyDescent="0.25">
      <c r="A684">
        <v>782</v>
      </c>
    </row>
    <row r="685" spans="1:1" x14ac:dyDescent="0.25">
      <c r="A685">
        <v>783</v>
      </c>
    </row>
    <row r="686" spans="1:1" x14ac:dyDescent="0.25">
      <c r="A686">
        <v>784</v>
      </c>
    </row>
    <row r="687" spans="1:1" x14ac:dyDescent="0.25">
      <c r="A687">
        <v>785</v>
      </c>
    </row>
    <row r="688" spans="1:1" x14ac:dyDescent="0.25">
      <c r="A688">
        <v>786</v>
      </c>
    </row>
    <row r="689" spans="1:1" x14ac:dyDescent="0.25">
      <c r="A689">
        <v>787</v>
      </c>
    </row>
    <row r="690" spans="1:1" x14ac:dyDescent="0.25">
      <c r="A690">
        <v>788</v>
      </c>
    </row>
    <row r="691" spans="1:1" x14ac:dyDescent="0.25">
      <c r="A691">
        <v>789</v>
      </c>
    </row>
    <row r="692" spans="1:1" x14ac:dyDescent="0.25">
      <c r="A692">
        <v>790</v>
      </c>
    </row>
    <row r="693" spans="1:1" x14ac:dyDescent="0.25">
      <c r="A693">
        <v>791</v>
      </c>
    </row>
    <row r="694" spans="1:1" x14ac:dyDescent="0.25">
      <c r="A694">
        <v>792</v>
      </c>
    </row>
    <row r="695" spans="1:1" x14ac:dyDescent="0.25">
      <c r="A695">
        <v>793</v>
      </c>
    </row>
    <row r="696" spans="1:1" x14ac:dyDescent="0.25">
      <c r="A696">
        <v>794</v>
      </c>
    </row>
    <row r="697" spans="1:1" x14ac:dyDescent="0.25">
      <c r="A697">
        <v>795</v>
      </c>
    </row>
    <row r="698" spans="1:1" x14ac:dyDescent="0.25">
      <c r="A698">
        <v>796</v>
      </c>
    </row>
    <row r="699" spans="1:1" x14ac:dyDescent="0.25">
      <c r="A699">
        <v>797</v>
      </c>
    </row>
    <row r="700" spans="1:1" x14ac:dyDescent="0.25">
      <c r="A700">
        <v>798</v>
      </c>
    </row>
    <row r="701" spans="1:1" x14ac:dyDescent="0.25">
      <c r="A701">
        <v>799</v>
      </c>
    </row>
    <row r="702" spans="1:1" x14ac:dyDescent="0.25">
      <c r="A702">
        <v>800</v>
      </c>
    </row>
    <row r="703" spans="1:1" x14ac:dyDescent="0.25">
      <c r="A703">
        <v>801</v>
      </c>
    </row>
    <row r="704" spans="1:1" x14ac:dyDescent="0.25">
      <c r="A704">
        <v>802</v>
      </c>
    </row>
    <row r="705" spans="1:1" x14ac:dyDescent="0.25">
      <c r="A705">
        <v>803</v>
      </c>
    </row>
    <row r="706" spans="1:1" x14ac:dyDescent="0.25">
      <c r="A706">
        <v>804</v>
      </c>
    </row>
    <row r="707" spans="1:1" x14ac:dyDescent="0.25">
      <c r="A707">
        <v>805</v>
      </c>
    </row>
    <row r="708" spans="1:1" x14ac:dyDescent="0.25">
      <c r="A708">
        <v>806</v>
      </c>
    </row>
    <row r="709" spans="1:1" x14ac:dyDescent="0.25">
      <c r="A709">
        <v>807</v>
      </c>
    </row>
    <row r="710" spans="1:1" x14ac:dyDescent="0.25">
      <c r="A710">
        <v>808</v>
      </c>
    </row>
    <row r="711" spans="1:1" x14ac:dyDescent="0.25">
      <c r="A711">
        <v>809</v>
      </c>
    </row>
    <row r="712" spans="1:1" x14ac:dyDescent="0.25">
      <c r="A712">
        <v>810</v>
      </c>
    </row>
    <row r="713" spans="1:1" x14ac:dyDescent="0.25">
      <c r="A713">
        <v>811</v>
      </c>
    </row>
    <row r="714" spans="1:1" x14ac:dyDescent="0.25">
      <c r="A714">
        <v>812</v>
      </c>
    </row>
    <row r="715" spans="1:1" x14ac:dyDescent="0.25">
      <c r="A715">
        <v>813</v>
      </c>
    </row>
    <row r="716" spans="1:1" x14ac:dyDescent="0.25">
      <c r="A716">
        <v>814</v>
      </c>
    </row>
    <row r="717" spans="1:1" x14ac:dyDescent="0.25">
      <c r="A717">
        <v>815</v>
      </c>
    </row>
    <row r="718" spans="1:1" x14ac:dyDescent="0.25">
      <c r="A718">
        <v>816</v>
      </c>
    </row>
    <row r="719" spans="1:1" x14ac:dyDescent="0.25">
      <c r="A719">
        <v>817</v>
      </c>
    </row>
    <row r="720" spans="1:1" x14ac:dyDescent="0.25">
      <c r="A720">
        <v>818</v>
      </c>
    </row>
    <row r="721" spans="1:1" x14ac:dyDescent="0.25">
      <c r="A721">
        <v>819</v>
      </c>
    </row>
    <row r="722" spans="1:1" x14ac:dyDescent="0.25">
      <c r="A722">
        <v>820</v>
      </c>
    </row>
    <row r="723" spans="1:1" x14ac:dyDescent="0.25">
      <c r="A723">
        <v>821</v>
      </c>
    </row>
    <row r="724" spans="1:1" x14ac:dyDescent="0.25">
      <c r="A724">
        <v>822</v>
      </c>
    </row>
    <row r="725" spans="1:1" x14ac:dyDescent="0.25">
      <c r="A725">
        <v>823</v>
      </c>
    </row>
    <row r="726" spans="1:1" x14ac:dyDescent="0.25">
      <c r="A726">
        <v>824</v>
      </c>
    </row>
    <row r="727" spans="1:1" x14ac:dyDescent="0.25">
      <c r="A727">
        <v>825</v>
      </c>
    </row>
    <row r="728" spans="1:1" x14ac:dyDescent="0.25">
      <c r="A728">
        <v>826</v>
      </c>
    </row>
    <row r="729" spans="1:1" x14ac:dyDescent="0.25">
      <c r="A729">
        <v>827</v>
      </c>
    </row>
    <row r="730" spans="1:1" x14ac:dyDescent="0.25">
      <c r="A730">
        <v>828</v>
      </c>
    </row>
    <row r="731" spans="1:1" x14ac:dyDescent="0.25">
      <c r="A731">
        <v>829</v>
      </c>
    </row>
    <row r="732" spans="1:1" x14ac:dyDescent="0.25">
      <c r="A732">
        <v>830</v>
      </c>
    </row>
    <row r="733" spans="1:1" x14ac:dyDescent="0.25">
      <c r="A733">
        <v>831</v>
      </c>
    </row>
    <row r="734" spans="1:1" x14ac:dyDescent="0.25">
      <c r="A734">
        <v>832</v>
      </c>
    </row>
    <row r="735" spans="1:1" x14ac:dyDescent="0.25">
      <c r="A735">
        <v>833</v>
      </c>
    </row>
    <row r="736" spans="1:1" x14ac:dyDescent="0.25">
      <c r="A736">
        <v>834</v>
      </c>
    </row>
    <row r="737" spans="1:1" x14ac:dyDescent="0.25">
      <c r="A737">
        <v>835</v>
      </c>
    </row>
    <row r="738" spans="1:1" x14ac:dyDescent="0.25">
      <c r="A738">
        <v>836</v>
      </c>
    </row>
    <row r="739" spans="1:1" x14ac:dyDescent="0.25">
      <c r="A739">
        <v>837</v>
      </c>
    </row>
    <row r="740" spans="1:1" x14ac:dyDescent="0.25">
      <c r="A740">
        <v>838</v>
      </c>
    </row>
    <row r="741" spans="1:1" x14ac:dyDescent="0.25">
      <c r="A741">
        <v>839</v>
      </c>
    </row>
    <row r="742" spans="1:1" x14ac:dyDescent="0.25">
      <c r="A742">
        <v>840</v>
      </c>
    </row>
    <row r="743" spans="1:1" x14ac:dyDescent="0.25">
      <c r="A743">
        <v>841</v>
      </c>
    </row>
    <row r="744" spans="1:1" x14ac:dyDescent="0.25">
      <c r="A744">
        <v>842</v>
      </c>
    </row>
    <row r="745" spans="1:1" x14ac:dyDescent="0.25">
      <c r="A745">
        <v>843</v>
      </c>
    </row>
    <row r="746" spans="1:1" x14ac:dyDescent="0.25">
      <c r="A746">
        <v>844</v>
      </c>
    </row>
    <row r="747" spans="1:1" x14ac:dyDescent="0.25">
      <c r="A747">
        <v>845</v>
      </c>
    </row>
    <row r="748" spans="1:1" x14ac:dyDescent="0.25">
      <c r="A748">
        <v>846</v>
      </c>
    </row>
    <row r="749" spans="1:1" x14ac:dyDescent="0.25">
      <c r="A749">
        <v>847</v>
      </c>
    </row>
    <row r="750" spans="1:1" x14ac:dyDescent="0.25">
      <c r="A750">
        <v>848</v>
      </c>
    </row>
    <row r="751" spans="1:1" x14ac:dyDescent="0.25">
      <c r="A751">
        <v>849</v>
      </c>
    </row>
    <row r="752" spans="1:1" x14ac:dyDescent="0.25">
      <c r="A752">
        <v>850</v>
      </c>
    </row>
    <row r="753" spans="1:1" x14ac:dyDescent="0.25">
      <c r="A753">
        <v>851</v>
      </c>
    </row>
    <row r="754" spans="1:1" x14ac:dyDescent="0.25">
      <c r="A754">
        <v>852</v>
      </c>
    </row>
    <row r="755" spans="1:1" x14ac:dyDescent="0.25">
      <c r="A755">
        <v>853</v>
      </c>
    </row>
    <row r="756" spans="1:1" x14ac:dyDescent="0.25">
      <c r="A756">
        <v>854</v>
      </c>
    </row>
    <row r="757" spans="1:1" x14ac:dyDescent="0.25">
      <c r="A757">
        <v>855</v>
      </c>
    </row>
    <row r="758" spans="1:1" x14ac:dyDescent="0.25">
      <c r="A758">
        <v>856</v>
      </c>
    </row>
    <row r="759" spans="1:1" x14ac:dyDescent="0.25">
      <c r="A759">
        <v>857</v>
      </c>
    </row>
    <row r="760" spans="1:1" x14ac:dyDescent="0.25">
      <c r="A760">
        <v>858</v>
      </c>
    </row>
    <row r="761" spans="1:1" x14ac:dyDescent="0.25">
      <c r="A761">
        <v>859</v>
      </c>
    </row>
    <row r="762" spans="1:1" x14ac:dyDescent="0.25">
      <c r="A762">
        <v>860</v>
      </c>
    </row>
    <row r="763" spans="1:1" x14ac:dyDescent="0.25">
      <c r="A763">
        <v>861</v>
      </c>
    </row>
    <row r="764" spans="1:1" x14ac:dyDescent="0.25">
      <c r="A764">
        <v>862</v>
      </c>
    </row>
    <row r="765" spans="1:1" x14ac:dyDescent="0.25">
      <c r="A765">
        <v>863</v>
      </c>
    </row>
    <row r="766" spans="1:1" x14ac:dyDescent="0.25">
      <c r="A766">
        <v>864</v>
      </c>
    </row>
    <row r="767" spans="1:1" x14ac:dyDescent="0.25">
      <c r="A767">
        <v>865</v>
      </c>
    </row>
    <row r="768" spans="1:1" x14ac:dyDescent="0.25">
      <c r="A768">
        <v>866</v>
      </c>
    </row>
    <row r="769" spans="1:1" x14ac:dyDescent="0.25">
      <c r="A769">
        <v>867</v>
      </c>
    </row>
    <row r="770" spans="1:1" x14ac:dyDescent="0.25">
      <c r="A770">
        <v>868</v>
      </c>
    </row>
    <row r="771" spans="1:1" x14ac:dyDescent="0.25">
      <c r="A771">
        <v>869</v>
      </c>
    </row>
    <row r="772" spans="1:1" x14ac:dyDescent="0.25">
      <c r="A772">
        <v>870</v>
      </c>
    </row>
    <row r="773" spans="1:1" x14ac:dyDescent="0.25">
      <c r="A773">
        <v>871</v>
      </c>
    </row>
    <row r="774" spans="1:1" x14ac:dyDescent="0.25">
      <c r="A774">
        <v>872</v>
      </c>
    </row>
    <row r="775" spans="1:1" x14ac:dyDescent="0.25">
      <c r="A775">
        <v>873</v>
      </c>
    </row>
    <row r="776" spans="1:1" x14ac:dyDescent="0.25">
      <c r="A776">
        <v>874</v>
      </c>
    </row>
    <row r="777" spans="1:1" x14ac:dyDescent="0.25">
      <c r="A777">
        <v>875</v>
      </c>
    </row>
    <row r="778" spans="1:1" x14ac:dyDescent="0.25">
      <c r="A778">
        <v>876</v>
      </c>
    </row>
    <row r="779" spans="1:1" x14ac:dyDescent="0.25">
      <c r="A779">
        <v>877</v>
      </c>
    </row>
    <row r="780" spans="1:1" x14ac:dyDescent="0.25">
      <c r="A780">
        <v>878</v>
      </c>
    </row>
    <row r="781" spans="1:1" x14ac:dyDescent="0.25">
      <c r="A781">
        <v>879</v>
      </c>
    </row>
    <row r="782" spans="1:1" x14ac:dyDescent="0.25">
      <c r="A782">
        <v>880</v>
      </c>
    </row>
    <row r="783" spans="1:1" x14ac:dyDescent="0.25">
      <c r="A783">
        <v>881</v>
      </c>
    </row>
    <row r="784" spans="1:1" x14ac:dyDescent="0.25">
      <c r="A784">
        <v>882</v>
      </c>
    </row>
    <row r="785" spans="1:1" x14ac:dyDescent="0.25">
      <c r="A785">
        <v>883</v>
      </c>
    </row>
    <row r="786" spans="1:1" x14ac:dyDescent="0.25">
      <c r="A786">
        <v>884</v>
      </c>
    </row>
    <row r="787" spans="1:1" x14ac:dyDescent="0.25">
      <c r="A787">
        <v>885</v>
      </c>
    </row>
    <row r="788" spans="1:1" x14ac:dyDescent="0.25">
      <c r="A788">
        <v>886</v>
      </c>
    </row>
    <row r="789" spans="1:1" x14ac:dyDescent="0.25">
      <c r="A789">
        <v>887</v>
      </c>
    </row>
    <row r="790" spans="1:1" x14ac:dyDescent="0.25">
      <c r="A790">
        <v>888</v>
      </c>
    </row>
    <row r="791" spans="1:1" x14ac:dyDescent="0.25">
      <c r="A791">
        <v>889</v>
      </c>
    </row>
    <row r="792" spans="1:1" x14ac:dyDescent="0.25">
      <c r="A792">
        <v>890</v>
      </c>
    </row>
    <row r="793" spans="1:1" x14ac:dyDescent="0.25">
      <c r="A793">
        <v>891</v>
      </c>
    </row>
    <row r="794" spans="1:1" x14ac:dyDescent="0.25">
      <c r="A794">
        <v>892</v>
      </c>
    </row>
    <row r="795" spans="1:1" x14ac:dyDescent="0.25">
      <c r="A795">
        <v>893</v>
      </c>
    </row>
    <row r="796" spans="1:1" x14ac:dyDescent="0.25">
      <c r="A796">
        <v>894</v>
      </c>
    </row>
    <row r="797" spans="1:1" x14ac:dyDescent="0.25">
      <c r="A797">
        <v>895</v>
      </c>
    </row>
    <row r="798" spans="1:1" x14ac:dyDescent="0.25">
      <c r="A798">
        <v>896</v>
      </c>
    </row>
    <row r="799" spans="1:1" x14ac:dyDescent="0.25">
      <c r="A799">
        <v>897</v>
      </c>
    </row>
    <row r="800" spans="1:1" x14ac:dyDescent="0.25">
      <c r="A800">
        <v>898</v>
      </c>
    </row>
    <row r="801" spans="1:1" x14ac:dyDescent="0.25">
      <c r="A801">
        <v>899</v>
      </c>
    </row>
    <row r="802" spans="1:1" x14ac:dyDescent="0.25">
      <c r="A802">
        <v>900</v>
      </c>
    </row>
    <row r="803" spans="1:1" x14ac:dyDescent="0.25">
      <c r="A803">
        <v>901</v>
      </c>
    </row>
    <row r="804" spans="1:1" x14ac:dyDescent="0.25">
      <c r="A804">
        <v>902</v>
      </c>
    </row>
    <row r="805" spans="1:1" x14ac:dyDescent="0.25">
      <c r="A805">
        <v>903</v>
      </c>
    </row>
    <row r="806" spans="1:1" x14ac:dyDescent="0.25">
      <c r="A806">
        <v>904</v>
      </c>
    </row>
    <row r="807" spans="1:1" x14ac:dyDescent="0.25">
      <c r="A807">
        <v>905</v>
      </c>
    </row>
    <row r="808" spans="1:1" x14ac:dyDescent="0.25">
      <c r="A808">
        <v>906</v>
      </c>
    </row>
    <row r="809" spans="1:1" x14ac:dyDescent="0.25">
      <c r="A809">
        <v>907</v>
      </c>
    </row>
    <row r="810" spans="1:1" x14ac:dyDescent="0.25">
      <c r="A810">
        <v>908</v>
      </c>
    </row>
    <row r="811" spans="1:1" x14ac:dyDescent="0.25">
      <c r="A811">
        <v>909</v>
      </c>
    </row>
    <row r="812" spans="1:1" x14ac:dyDescent="0.25">
      <c r="A812">
        <v>910</v>
      </c>
    </row>
    <row r="813" spans="1:1" x14ac:dyDescent="0.25">
      <c r="A813">
        <v>911</v>
      </c>
    </row>
    <row r="814" spans="1:1" x14ac:dyDescent="0.25">
      <c r="A814">
        <v>912</v>
      </c>
    </row>
    <row r="815" spans="1:1" x14ac:dyDescent="0.25">
      <c r="A815">
        <v>913</v>
      </c>
    </row>
    <row r="816" spans="1:1" x14ac:dyDescent="0.25">
      <c r="A816">
        <v>914</v>
      </c>
    </row>
    <row r="817" spans="1:1" x14ac:dyDescent="0.25">
      <c r="A817">
        <v>915</v>
      </c>
    </row>
    <row r="818" spans="1:1" x14ac:dyDescent="0.25">
      <c r="A818">
        <v>916</v>
      </c>
    </row>
    <row r="819" spans="1:1" x14ac:dyDescent="0.25">
      <c r="A819">
        <v>917</v>
      </c>
    </row>
    <row r="820" spans="1:1" x14ac:dyDescent="0.25">
      <c r="A820">
        <v>918</v>
      </c>
    </row>
    <row r="821" spans="1:1" x14ac:dyDescent="0.25">
      <c r="A821">
        <v>919</v>
      </c>
    </row>
    <row r="822" spans="1:1" x14ac:dyDescent="0.25">
      <c r="A822">
        <v>920</v>
      </c>
    </row>
    <row r="823" spans="1:1" x14ac:dyDescent="0.25">
      <c r="A823">
        <v>921</v>
      </c>
    </row>
    <row r="824" spans="1:1" x14ac:dyDescent="0.25">
      <c r="A824">
        <v>922</v>
      </c>
    </row>
    <row r="825" spans="1:1" x14ac:dyDescent="0.25">
      <c r="A825">
        <v>923</v>
      </c>
    </row>
    <row r="826" spans="1:1" x14ac:dyDescent="0.25">
      <c r="A826">
        <v>924</v>
      </c>
    </row>
    <row r="827" spans="1:1" x14ac:dyDescent="0.25">
      <c r="A827">
        <v>925</v>
      </c>
    </row>
    <row r="828" spans="1:1" x14ac:dyDescent="0.25">
      <c r="A828">
        <v>926</v>
      </c>
    </row>
    <row r="829" spans="1:1" x14ac:dyDescent="0.25">
      <c r="A829">
        <v>927</v>
      </c>
    </row>
    <row r="830" spans="1:1" x14ac:dyDescent="0.25">
      <c r="A830">
        <v>928</v>
      </c>
    </row>
    <row r="831" spans="1:1" x14ac:dyDescent="0.25">
      <c r="A831">
        <v>929</v>
      </c>
    </row>
    <row r="832" spans="1:1" x14ac:dyDescent="0.25">
      <c r="A832">
        <v>930</v>
      </c>
    </row>
    <row r="833" spans="1:1" x14ac:dyDescent="0.25">
      <c r="A833">
        <v>931</v>
      </c>
    </row>
    <row r="834" spans="1:1" x14ac:dyDescent="0.25">
      <c r="A834">
        <v>932</v>
      </c>
    </row>
    <row r="835" spans="1:1" x14ac:dyDescent="0.25">
      <c r="A835">
        <v>933</v>
      </c>
    </row>
    <row r="836" spans="1:1" x14ac:dyDescent="0.25">
      <c r="A836">
        <v>934</v>
      </c>
    </row>
    <row r="837" spans="1:1" x14ac:dyDescent="0.25">
      <c r="A837">
        <v>935</v>
      </c>
    </row>
    <row r="838" spans="1:1" x14ac:dyDescent="0.25">
      <c r="A838">
        <v>936</v>
      </c>
    </row>
    <row r="839" spans="1:1" x14ac:dyDescent="0.25">
      <c r="A839">
        <v>937</v>
      </c>
    </row>
    <row r="840" spans="1:1" x14ac:dyDescent="0.25">
      <c r="A840">
        <v>938</v>
      </c>
    </row>
    <row r="841" spans="1:1" x14ac:dyDescent="0.25">
      <c r="A841">
        <v>939</v>
      </c>
    </row>
    <row r="842" spans="1:1" x14ac:dyDescent="0.25">
      <c r="A842">
        <v>940</v>
      </c>
    </row>
    <row r="843" spans="1:1" x14ac:dyDescent="0.25">
      <c r="A843">
        <v>941</v>
      </c>
    </row>
    <row r="844" spans="1:1" x14ac:dyDescent="0.25">
      <c r="A844">
        <v>942</v>
      </c>
    </row>
    <row r="845" spans="1:1" x14ac:dyDescent="0.25">
      <c r="A845">
        <v>943</v>
      </c>
    </row>
    <row r="846" spans="1:1" x14ac:dyDescent="0.25">
      <c r="A846">
        <v>944</v>
      </c>
    </row>
    <row r="847" spans="1:1" x14ac:dyDescent="0.25">
      <c r="A847">
        <v>945</v>
      </c>
    </row>
    <row r="848" spans="1:1" x14ac:dyDescent="0.25">
      <c r="A848">
        <v>946</v>
      </c>
    </row>
    <row r="849" spans="1:1" x14ac:dyDescent="0.25">
      <c r="A849">
        <v>947</v>
      </c>
    </row>
    <row r="850" spans="1:1" x14ac:dyDescent="0.25">
      <c r="A850">
        <v>948</v>
      </c>
    </row>
    <row r="851" spans="1:1" x14ac:dyDescent="0.25">
      <c r="A851">
        <v>949</v>
      </c>
    </row>
    <row r="852" spans="1:1" x14ac:dyDescent="0.25">
      <c r="A852">
        <v>950</v>
      </c>
    </row>
    <row r="853" spans="1:1" x14ac:dyDescent="0.25">
      <c r="A853">
        <v>951</v>
      </c>
    </row>
    <row r="854" spans="1:1" x14ac:dyDescent="0.25">
      <c r="A854">
        <v>952</v>
      </c>
    </row>
    <row r="855" spans="1:1" x14ac:dyDescent="0.25">
      <c r="A855">
        <v>953</v>
      </c>
    </row>
    <row r="856" spans="1:1" x14ac:dyDescent="0.25">
      <c r="A856">
        <v>954</v>
      </c>
    </row>
    <row r="857" spans="1:1" x14ac:dyDescent="0.25">
      <c r="A857">
        <v>955</v>
      </c>
    </row>
    <row r="858" spans="1:1" x14ac:dyDescent="0.25">
      <c r="A858">
        <v>956</v>
      </c>
    </row>
    <row r="859" spans="1:1" x14ac:dyDescent="0.25">
      <c r="A859">
        <v>957</v>
      </c>
    </row>
    <row r="860" spans="1:1" x14ac:dyDescent="0.25">
      <c r="A860">
        <v>958</v>
      </c>
    </row>
    <row r="861" spans="1:1" x14ac:dyDescent="0.25">
      <c r="A861">
        <v>959</v>
      </c>
    </row>
    <row r="862" spans="1:1" x14ac:dyDescent="0.25">
      <c r="A862">
        <v>960</v>
      </c>
    </row>
    <row r="863" spans="1:1" x14ac:dyDescent="0.25">
      <c r="A863">
        <v>961</v>
      </c>
    </row>
    <row r="864" spans="1:1" x14ac:dyDescent="0.25">
      <c r="A864">
        <v>962</v>
      </c>
    </row>
    <row r="865" spans="1:1" x14ac:dyDescent="0.25">
      <c r="A865">
        <v>963</v>
      </c>
    </row>
    <row r="866" spans="1:1" x14ac:dyDescent="0.25">
      <c r="A866">
        <v>964</v>
      </c>
    </row>
    <row r="867" spans="1:1" x14ac:dyDescent="0.25">
      <c r="A867">
        <v>965</v>
      </c>
    </row>
    <row r="868" spans="1:1" x14ac:dyDescent="0.25">
      <c r="A868">
        <v>966</v>
      </c>
    </row>
    <row r="869" spans="1:1" x14ac:dyDescent="0.25">
      <c r="A869">
        <v>967</v>
      </c>
    </row>
    <row r="870" spans="1:1" x14ac:dyDescent="0.25">
      <c r="A870">
        <v>968</v>
      </c>
    </row>
    <row r="871" spans="1:1" x14ac:dyDescent="0.25">
      <c r="A871">
        <v>969</v>
      </c>
    </row>
    <row r="872" spans="1:1" x14ac:dyDescent="0.25">
      <c r="A872">
        <v>970</v>
      </c>
    </row>
    <row r="873" spans="1:1" x14ac:dyDescent="0.25">
      <c r="A873">
        <v>971</v>
      </c>
    </row>
    <row r="874" spans="1:1" x14ac:dyDescent="0.25">
      <c r="A874">
        <v>972</v>
      </c>
    </row>
    <row r="875" spans="1:1" x14ac:dyDescent="0.25">
      <c r="A875">
        <v>973</v>
      </c>
    </row>
    <row r="876" spans="1:1" x14ac:dyDescent="0.25">
      <c r="A876">
        <v>974</v>
      </c>
    </row>
    <row r="877" spans="1:1" x14ac:dyDescent="0.25">
      <c r="A877">
        <v>975</v>
      </c>
    </row>
    <row r="878" spans="1:1" x14ac:dyDescent="0.25">
      <c r="A878">
        <v>976</v>
      </c>
    </row>
    <row r="879" spans="1:1" x14ac:dyDescent="0.25">
      <c r="A879">
        <v>977</v>
      </c>
    </row>
    <row r="880" spans="1:1" x14ac:dyDescent="0.25">
      <c r="A880">
        <v>978</v>
      </c>
    </row>
    <row r="881" spans="1:1" x14ac:dyDescent="0.25">
      <c r="A881">
        <v>979</v>
      </c>
    </row>
    <row r="882" spans="1:1" x14ac:dyDescent="0.25">
      <c r="A882">
        <v>980</v>
      </c>
    </row>
    <row r="883" spans="1:1" x14ac:dyDescent="0.25">
      <c r="A883">
        <v>981</v>
      </c>
    </row>
    <row r="884" spans="1:1" x14ac:dyDescent="0.25">
      <c r="A884">
        <v>982</v>
      </c>
    </row>
    <row r="885" spans="1:1" x14ac:dyDescent="0.25">
      <c r="A885">
        <v>983</v>
      </c>
    </row>
    <row r="886" spans="1:1" x14ac:dyDescent="0.25">
      <c r="A886">
        <v>984</v>
      </c>
    </row>
    <row r="887" spans="1:1" x14ac:dyDescent="0.25">
      <c r="A887">
        <v>985</v>
      </c>
    </row>
    <row r="888" spans="1:1" x14ac:dyDescent="0.25">
      <c r="A888">
        <v>986</v>
      </c>
    </row>
    <row r="889" spans="1:1" x14ac:dyDescent="0.25">
      <c r="A889">
        <v>987</v>
      </c>
    </row>
    <row r="890" spans="1:1" x14ac:dyDescent="0.25">
      <c r="A890">
        <v>988</v>
      </c>
    </row>
    <row r="891" spans="1:1" x14ac:dyDescent="0.25">
      <c r="A891">
        <v>989</v>
      </c>
    </row>
    <row r="892" spans="1:1" x14ac:dyDescent="0.25">
      <c r="A892">
        <v>990</v>
      </c>
    </row>
    <row r="893" spans="1:1" x14ac:dyDescent="0.25">
      <c r="A893">
        <v>991</v>
      </c>
    </row>
    <row r="894" spans="1:1" x14ac:dyDescent="0.25">
      <c r="A894">
        <v>992</v>
      </c>
    </row>
    <row r="895" spans="1:1" x14ac:dyDescent="0.25">
      <c r="A895">
        <v>993</v>
      </c>
    </row>
    <row r="896" spans="1:1" x14ac:dyDescent="0.25">
      <c r="A896">
        <v>994</v>
      </c>
    </row>
    <row r="897" spans="1:1" x14ac:dyDescent="0.25">
      <c r="A897">
        <v>995</v>
      </c>
    </row>
    <row r="898" spans="1:1" x14ac:dyDescent="0.25">
      <c r="A898">
        <v>996</v>
      </c>
    </row>
    <row r="899" spans="1:1" x14ac:dyDescent="0.25">
      <c r="A899">
        <v>997</v>
      </c>
    </row>
    <row r="900" spans="1:1" x14ac:dyDescent="0.25">
      <c r="A900">
        <v>998</v>
      </c>
    </row>
    <row r="901" spans="1:1" x14ac:dyDescent="0.25">
      <c r="A901">
        <v>999</v>
      </c>
    </row>
    <row r="902" spans="1:1" x14ac:dyDescent="0.25">
      <c r="A902">
        <v>1000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2:A902"/>
  <sheetViews>
    <sheetView workbookViewId="0"/>
  </sheetViews>
  <sheetFormatPr defaultColWidth="9.140625" defaultRowHeight="15" x14ac:dyDescent="0.25"/>
  <cols>
    <col min="1" max="16384" width="9.140625" style="24"/>
  </cols>
  <sheetData>
    <row r="2" spans="1:1" x14ac:dyDescent="0.25">
      <c r="A2" s="24">
        <v>100</v>
      </c>
    </row>
    <row r="3" spans="1:1" x14ac:dyDescent="0.25">
      <c r="A3" s="24">
        <v>101</v>
      </c>
    </row>
    <row r="4" spans="1:1" x14ac:dyDescent="0.25">
      <c r="A4" s="24">
        <v>102</v>
      </c>
    </row>
    <row r="5" spans="1:1" x14ac:dyDescent="0.25">
      <c r="A5" s="24">
        <v>103</v>
      </c>
    </row>
    <row r="6" spans="1:1" x14ac:dyDescent="0.25">
      <c r="A6" s="24">
        <v>104</v>
      </c>
    </row>
    <row r="7" spans="1:1" x14ac:dyDescent="0.25">
      <c r="A7" s="24">
        <v>105</v>
      </c>
    </row>
    <row r="8" spans="1:1" x14ac:dyDescent="0.25">
      <c r="A8" s="24">
        <v>106</v>
      </c>
    </row>
    <row r="9" spans="1:1" x14ac:dyDescent="0.25">
      <c r="A9" s="24">
        <v>107</v>
      </c>
    </row>
    <row r="10" spans="1:1" x14ac:dyDescent="0.25">
      <c r="A10" s="24">
        <v>108</v>
      </c>
    </row>
    <row r="11" spans="1:1" x14ac:dyDescent="0.25">
      <c r="A11" s="24">
        <v>109</v>
      </c>
    </row>
    <row r="12" spans="1:1" x14ac:dyDescent="0.25">
      <c r="A12" s="24">
        <v>110</v>
      </c>
    </row>
    <row r="13" spans="1:1" x14ac:dyDescent="0.25">
      <c r="A13" s="24">
        <v>111</v>
      </c>
    </row>
    <row r="14" spans="1:1" x14ac:dyDescent="0.25">
      <c r="A14" s="24">
        <v>112</v>
      </c>
    </row>
    <row r="15" spans="1:1" x14ac:dyDescent="0.25">
      <c r="A15" s="24">
        <v>113</v>
      </c>
    </row>
    <row r="16" spans="1:1" x14ac:dyDescent="0.25">
      <c r="A16" s="24">
        <v>114</v>
      </c>
    </row>
    <row r="17" spans="1:1" x14ac:dyDescent="0.25">
      <c r="A17" s="24">
        <v>115</v>
      </c>
    </row>
    <row r="18" spans="1:1" x14ac:dyDescent="0.25">
      <c r="A18" s="24">
        <v>116</v>
      </c>
    </row>
    <row r="19" spans="1:1" x14ac:dyDescent="0.25">
      <c r="A19" s="24">
        <v>117</v>
      </c>
    </row>
    <row r="20" spans="1:1" x14ac:dyDescent="0.25">
      <c r="A20" s="24">
        <v>118</v>
      </c>
    </row>
    <row r="21" spans="1:1" x14ac:dyDescent="0.25">
      <c r="A21" s="24">
        <v>119</v>
      </c>
    </row>
    <row r="22" spans="1:1" x14ac:dyDescent="0.25">
      <c r="A22" s="24">
        <v>120</v>
      </c>
    </row>
    <row r="23" spans="1:1" x14ac:dyDescent="0.25">
      <c r="A23" s="24">
        <v>121</v>
      </c>
    </row>
    <row r="24" spans="1:1" x14ac:dyDescent="0.25">
      <c r="A24" s="24">
        <v>122</v>
      </c>
    </row>
    <row r="25" spans="1:1" x14ac:dyDescent="0.25">
      <c r="A25" s="24">
        <v>123</v>
      </c>
    </row>
    <row r="26" spans="1:1" x14ac:dyDescent="0.25">
      <c r="A26" s="24">
        <v>124</v>
      </c>
    </row>
    <row r="27" spans="1:1" x14ac:dyDescent="0.25">
      <c r="A27" s="24">
        <v>125</v>
      </c>
    </row>
    <row r="28" spans="1:1" x14ac:dyDescent="0.25">
      <c r="A28" s="24">
        <v>126</v>
      </c>
    </row>
    <row r="29" spans="1:1" x14ac:dyDescent="0.25">
      <c r="A29" s="24">
        <v>127</v>
      </c>
    </row>
    <row r="30" spans="1:1" x14ac:dyDescent="0.25">
      <c r="A30" s="24">
        <v>128</v>
      </c>
    </row>
    <row r="31" spans="1:1" x14ac:dyDescent="0.25">
      <c r="A31" s="24">
        <v>129</v>
      </c>
    </row>
    <row r="32" spans="1:1" x14ac:dyDescent="0.25">
      <c r="A32" s="24">
        <v>130</v>
      </c>
    </row>
    <row r="33" spans="1:1" x14ac:dyDescent="0.25">
      <c r="A33" s="24">
        <v>131</v>
      </c>
    </row>
    <row r="34" spans="1:1" x14ac:dyDescent="0.25">
      <c r="A34" s="24">
        <v>132</v>
      </c>
    </row>
    <row r="35" spans="1:1" x14ac:dyDescent="0.25">
      <c r="A35" s="24">
        <v>133</v>
      </c>
    </row>
    <row r="36" spans="1:1" x14ac:dyDescent="0.25">
      <c r="A36" s="24">
        <v>134</v>
      </c>
    </row>
    <row r="37" spans="1:1" x14ac:dyDescent="0.25">
      <c r="A37" s="24">
        <v>135</v>
      </c>
    </row>
    <row r="38" spans="1:1" x14ac:dyDescent="0.25">
      <c r="A38" s="24">
        <v>136</v>
      </c>
    </row>
    <row r="39" spans="1:1" x14ac:dyDescent="0.25">
      <c r="A39" s="24">
        <v>137</v>
      </c>
    </row>
    <row r="40" spans="1:1" x14ac:dyDescent="0.25">
      <c r="A40" s="24">
        <v>138</v>
      </c>
    </row>
    <row r="41" spans="1:1" x14ac:dyDescent="0.25">
      <c r="A41" s="24">
        <v>139</v>
      </c>
    </row>
    <row r="42" spans="1:1" x14ac:dyDescent="0.25">
      <c r="A42" s="24">
        <v>140</v>
      </c>
    </row>
    <row r="43" spans="1:1" x14ac:dyDescent="0.25">
      <c r="A43" s="24">
        <v>141</v>
      </c>
    </row>
    <row r="44" spans="1:1" x14ac:dyDescent="0.25">
      <c r="A44" s="24">
        <v>142</v>
      </c>
    </row>
    <row r="45" spans="1:1" x14ac:dyDescent="0.25">
      <c r="A45" s="24">
        <v>143</v>
      </c>
    </row>
    <row r="46" spans="1:1" x14ac:dyDescent="0.25">
      <c r="A46" s="24">
        <v>144</v>
      </c>
    </row>
    <row r="47" spans="1:1" x14ac:dyDescent="0.25">
      <c r="A47" s="24">
        <v>145</v>
      </c>
    </row>
    <row r="48" spans="1:1" x14ac:dyDescent="0.25">
      <c r="A48" s="24">
        <v>146</v>
      </c>
    </row>
    <row r="49" spans="1:1" x14ac:dyDescent="0.25">
      <c r="A49" s="24">
        <v>147</v>
      </c>
    </row>
    <row r="50" spans="1:1" x14ac:dyDescent="0.25">
      <c r="A50" s="24">
        <v>148</v>
      </c>
    </row>
    <row r="51" spans="1:1" x14ac:dyDescent="0.25">
      <c r="A51" s="24">
        <v>149</v>
      </c>
    </row>
    <row r="52" spans="1:1" x14ac:dyDescent="0.25">
      <c r="A52" s="24">
        <v>150</v>
      </c>
    </row>
    <row r="53" spans="1:1" x14ac:dyDescent="0.25">
      <c r="A53" s="24">
        <v>151</v>
      </c>
    </row>
    <row r="54" spans="1:1" x14ac:dyDescent="0.25">
      <c r="A54" s="24">
        <v>152</v>
      </c>
    </row>
    <row r="55" spans="1:1" x14ac:dyDescent="0.25">
      <c r="A55" s="24">
        <v>153</v>
      </c>
    </row>
    <row r="56" spans="1:1" x14ac:dyDescent="0.25">
      <c r="A56" s="24">
        <v>154</v>
      </c>
    </row>
    <row r="57" spans="1:1" x14ac:dyDescent="0.25">
      <c r="A57" s="24">
        <v>155</v>
      </c>
    </row>
    <row r="58" spans="1:1" x14ac:dyDescent="0.25">
      <c r="A58" s="24">
        <v>156</v>
      </c>
    </row>
    <row r="59" spans="1:1" x14ac:dyDescent="0.25">
      <c r="A59" s="24">
        <v>157</v>
      </c>
    </row>
    <row r="60" spans="1:1" x14ac:dyDescent="0.25">
      <c r="A60" s="24">
        <v>158</v>
      </c>
    </row>
    <row r="61" spans="1:1" x14ac:dyDescent="0.25">
      <c r="A61" s="24">
        <v>159</v>
      </c>
    </row>
    <row r="62" spans="1:1" x14ac:dyDescent="0.25">
      <c r="A62" s="24">
        <v>160</v>
      </c>
    </row>
    <row r="63" spans="1:1" x14ac:dyDescent="0.25">
      <c r="A63" s="24">
        <v>161</v>
      </c>
    </row>
    <row r="64" spans="1:1" x14ac:dyDescent="0.25">
      <c r="A64" s="24">
        <v>162</v>
      </c>
    </row>
    <row r="65" spans="1:1" x14ac:dyDescent="0.25">
      <c r="A65" s="24">
        <v>163</v>
      </c>
    </row>
    <row r="66" spans="1:1" x14ac:dyDescent="0.25">
      <c r="A66" s="24">
        <v>164</v>
      </c>
    </row>
    <row r="67" spans="1:1" x14ac:dyDescent="0.25">
      <c r="A67" s="24">
        <v>165</v>
      </c>
    </row>
    <row r="68" spans="1:1" x14ac:dyDescent="0.25">
      <c r="A68" s="24">
        <v>166</v>
      </c>
    </row>
    <row r="69" spans="1:1" x14ac:dyDescent="0.25">
      <c r="A69" s="24">
        <v>167</v>
      </c>
    </row>
    <row r="70" spans="1:1" x14ac:dyDescent="0.25">
      <c r="A70" s="24">
        <v>168</v>
      </c>
    </row>
    <row r="71" spans="1:1" x14ac:dyDescent="0.25">
      <c r="A71" s="24">
        <v>169</v>
      </c>
    </row>
    <row r="72" spans="1:1" x14ac:dyDescent="0.25">
      <c r="A72" s="24">
        <v>170</v>
      </c>
    </row>
    <row r="73" spans="1:1" x14ac:dyDescent="0.25">
      <c r="A73" s="24">
        <v>171</v>
      </c>
    </row>
    <row r="74" spans="1:1" x14ac:dyDescent="0.25">
      <c r="A74" s="24">
        <v>172</v>
      </c>
    </row>
    <row r="75" spans="1:1" x14ac:dyDescent="0.25">
      <c r="A75" s="24">
        <v>173</v>
      </c>
    </row>
    <row r="76" spans="1:1" x14ac:dyDescent="0.25">
      <c r="A76" s="24">
        <v>174</v>
      </c>
    </row>
    <row r="77" spans="1:1" x14ac:dyDescent="0.25">
      <c r="A77" s="24">
        <v>175</v>
      </c>
    </row>
    <row r="78" spans="1:1" x14ac:dyDescent="0.25">
      <c r="A78" s="24">
        <v>176</v>
      </c>
    </row>
    <row r="79" spans="1:1" x14ac:dyDescent="0.25">
      <c r="A79" s="24">
        <v>177</v>
      </c>
    </row>
    <row r="80" spans="1:1" x14ac:dyDescent="0.25">
      <c r="A80" s="24">
        <v>178</v>
      </c>
    </row>
    <row r="81" spans="1:1" x14ac:dyDescent="0.25">
      <c r="A81" s="24">
        <v>179</v>
      </c>
    </row>
    <row r="82" spans="1:1" x14ac:dyDescent="0.25">
      <c r="A82" s="24">
        <v>180</v>
      </c>
    </row>
    <row r="83" spans="1:1" x14ac:dyDescent="0.25">
      <c r="A83" s="24">
        <v>181</v>
      </c>
    </row>
    <row r="84" spans="1:1" x14ac:dyDescent="0.25">
      <c r="A84" s="24">
        <v>182</v>
      </c>
    </row>
    <row r="85" spans="1:1" x14ac:dyDescent="0.25">
      <c r="A85" s="24">
        <v>183</v>
      </c>
    </row>
    <row r="86" spans="1:1" x14ac:dyDescent="0.25">
      <c r="A86" s="24">
        <v>184</v>
      </c>
    </row>
    <row r="87" spans="1:1" x14ac:dyDescent="0.25">
      <c r="A87" s="24">
        <v>185</v>
      </c>
    </row>
    <row r="88" spans="1:1" x14ac:dyDescent="0.25">
      <c r="A88" s="24">
        <v>186</v>
      </c>
    </row>
    <row r="89" spans="1:1" x14ac:dyDescent="0.25">
      <c r="A89" s="24">
        <v>187</v>
      </c>
    </row>
    <row r="90" spans="1:1" x14ac:dyDescent="0.25">
      <c r="A90" s="24">
        <v>188</v>
      </c>
    </row>
    <row r="91" spans="1:1" x14ac:dyDescent="0.25">
      <c r="A91" s="24">
        <v>189</v>
      </c>
    </row>
    <row r="92" spans="1:1" x14ac:dyDescent="0.25">
      <c r="A92" s="24">
        <v>190</v>
      </c>
    </row>
    <row r="93" spans="1:1" x14ac:dyDescent="0.25">
      <c r="A93" s="24">
        <v>191</v>
      </c>
    </row>
    <row r="94" spans="1:1" x14ac:dyDescent="0.25">
      <c r="A94" s="24">
        <v>192</v>
      </c>
    </row>
    <row r="95" spans="1:1" x14ac:dyDescent="0.25">
      <c r="A95" s="24">
        <v>193</v>
      </c>
    </row>
    <row r="96" spans="1:1" x14ac:dyDescent="0.25">
      <c r="A96" s="24">
        <v>194</v>
      </c>
    </row>
    <row r="97" spans="1:1" x14ac:dyDescent="0.25">
      <c r="A97" s="24">
        <v>195</v>
      </c>
    </row>
    <row r="98" spans="1:1" x14ac:dyDescent="0.25">
      <c r="A98" s="24">
        <v>196</v>
      </c>
    </row>
    <row r="99" spans="1:1" x14ac:dyDescent="0.25">
      <c r="A99" s="24">
        <v>197</v>
      </c>
    </row>
    <row r="100" spans="1:1" x14ac:dyDescent="0.25">
      <c r="A100" s="24">
        <v>198</v>
      </c>
    </row>
    <row r="101" spans="1:1" x14ac:dyDescent="0.25">
      <c r="A101" s="24">
        <v>199</v>
      </c>
    </row>
    <row r="102" spans="1:1" x14ac:dyDescent="0.25">
      <c r="A102" s="24">
        <v>200</v>
      </c>
    </row>
    <row r="103" spans="1:1" x14ac:dyDescent="0.25">
      <c r="A103" s="24">
        <v>201</v>
      </c>
    </row>
    <row r="104" spans="1:1" x14ac:dyDescent="0.25">
      <c r="A104" s="24">
        <v>202</v>
      </c>
    </row>
    <row r="105" spans="1:1" x14ac:dyDescent="0.25">
      <c r="A105" s="24">
        <v>203</v>
      </c>
    </row>
    <row r="106" spans="1:1" x14ac:dyDescent="0.25">
      <c r="A106" s="24">
        <v>204</v>
      </c>
    </row>
    <row r="107" spans="1:1" x14ac:dyDescent="0.25">
      <c r="A107" s="24">
        <v>205</v>
      </c>
    </row>
    <row r="108" spans="1:1" x14ac:dyDescent="0.25">
      <c r="A108" s="24">
        <v>206</v>
      </c>
    </row>
    <row r="109" spans="1:1" x14ac:dyDescent="0.25">
      <c r="A109" s="24">
        <v>207</v>
      </c>
    </row>
    <row r="110" spans="1:1" x14ac:dyDescent="0.25">
      <c r="A110" s="24">
        <v>208</v>
      </c>
    </row>
    <row r="111" spans="1:1" x14ac:dyDescent="0.25">
      <c r="A111" s="24">
        <v>209</v>
      </c>
    </row>
    <row r="112" spans="1:1" x14ac:dyDescent="0.25">
      <c r="A112" s="24">
        <v>210</v>
      </c>
    </row>
    <row r="113" spans="1:1" x14ac:dyDescent="0.25">
      <c r="A113" s="24">
        <v>211</v>
      </c>
    </row>
    <row r="114" spans="1:1" x14ac:dyDescent="0.25">
      <c r="A114" s="24">
        <v>212</v>
      </c>
    </row>
    <row r="115" spans="1:1" x14ac:dyDescent="0.25">
      <c r="A115" s="24">
        <v>213</v>
      </c>
    </row>
    <row r="116" spans="1:1" x14ac:dyDescent="0.25">
      <c r="A116" s="24">
        <v>214</v>
      </c>
    </row>
    <row r="117" spans="1:1" x14ac:dyDescent="0.25">
      <c r="A117" s="24">
        <v>215</v>
      </c>
    </row>
    <row r="118" spans="1:1" x14ac:dyDescent="0.25">
      <c r="A118" s="24">
        <v>216</v>
      </c>
    </row>
    <row r="119" spans="1:1" x14ac:dyDescent="0.25">
      <c r="A119" s="24">
        <v>217</v>
      </c>
    </row>
    <row r="120" spans="1:1" x14ac:dyDescent="0.25">
      <c r="A120" s="24">
        <v>218</v>
      </c>
    </row>
    <row r="121" spans="1:1" x14ac:dyDescent="0.25">
      <c r="A121" s="24">
        <v>219</v>
      </c>
    </row>
    <row r="122" spans="1:1" x14ac:dyDescent="0.25">
      <c r="A122" s="24">
        <v>220</v>
      </c>
    </row>
    <row r="123" spans="1:1" x14ac:dyDescent="0.25">
      <c r="A123" s="24">
        <v>221</v>
      </c>
    </row>
    <row r="124" spans="1:1" x14ac:dyDescent="0.25">
      <c r="A124" s="24">
        <v>222</v>
      </c>
    </row>
    <row r="125" spans="1:1" x14ac:dyDescent="0.25">
      <c r="A125" s="24">
        <v>223</v>
      </c>
    </row>
    <row r="126" spans="1:1" x14ac:dyDescent="0.25">
      <c r="A126" s="24">
        <v>224</v>
      </c>
    </row>
    <row r="127" spans="1:1" x14ac:dyDescent="0.25">
      <c r="A127" s="24">
        <v>225</v>
      </c>
    </row>
    <row r="128" spans="1:1" x14ac:dyDescent="0.25">
      <c r="A128" s="24">
        <v>226</v>
      </c>
    </row>
    <row r="129" spans="1:1" x14ac:dyDescent="0.25">
      <c r="A129" s="24">
        <v>227</v>
      </c>
    </row>
    <row r="130" spans="1:1" x14ac:dyDescent="0.25">
      <c r="A130" s="24">
        <v>228</v>
      </c>
    </row>
    <row r="131" spans="1:1" x14ac:dyDescent="0.25">
      <c r="A131" s="24">
        <v>229</v>
      </c>
    </row>
    <row r="132" spans="1:1" x14ac:dyDescent="0.25">
      <c r="A132" s="24">
        <v>230</v>
      </c>
    </row>
    <row r="133" spans="1:1" x14ac:dyDescent="0.25">
      <c r="A133" s="24">
        <v>231</v>
      </c>
    </row>
    <row r="134" spans="1:1" x14ac:dyDescent="0.25">
      <c r="A134" s="24">
        <v>232</v>
      </c>
    </row>
    <row r="135" spans="1:1" x14ac:dyDescent="0.25">
      <c r="A135" s="24">
        <v>233</v>
      </c>
    </row>
    <row r="136" spans="1:1" x14ac:dyDescent="0.25">
      <c r="A136" s="24">
        <v>234</v>
      </c>
    </row>
    <row r="137" spans="1:1" x14ac:dyDescent="0.25">
      <c r="A137" s="24">
        <v>235</v>
      </c>
    </row>
    <row r="138" spans="1:1" x14ac:dyDescent="0.25">
      <c r="A138" s="24">
        <v>236</v>
      </c>
    </row>
    <row r="139" spans="1:1" x14ac:dyDescent="0.25">
      <c r="A139" s="24">
        <v>237</v>
      </c>
    </row>
    <row r="140" spans="1:1" x14ac:dyDescent="0.25">
      <c r="A140" s="24">
        <v>238</v>
      </c>
    </row>
    <row r="141" spans="1:1" x14ac:dyDescent="0.25">
      <c r="A141" s="24">
        <v>239</v>
      </c>
    </row>
    <row r="142" spans="1:1" x14ac:dyDescent="0.25">
      <c r="A142" s="24">
        <v>240</v>
      </c>
    </row>
    <row r="143" spans="1:1" x14ac:dyDescent="0.25">
      <c r="A143" s="24">
        <v>241</v>
      </c>
    </row>
    <row r="144" spans="1:1" x14ac:dyDescent="0.25">
      <c r="A144" s="24">
        <v>242</v>
      </c>
    </row>
    <row r="145" spans="1:1" x14ac:dyDescent="0.25">
      <c r="A145" s="24">
        <v>243</v>
      </c>
    </row>
    <row r="146" spans="1:1" x14ac:dyDescent="0.25">
      <c r="A146" s="24">
        <v>244</v>
      </c>
    </row>
    <row r="147" spans="1:1" x14ac:dyDescent="0.25">
      <c r="A147" s="24">
        <v>245</v>
      </c>
    </row>
    <row r="148" spans="1:1" x14ac:dyDescent="0.25">
      <c r="A148" s="24">
        <v>246</v>
      </c>
    </row>
    <row r="149" spans="1:1" x14ac:dyDescent="0.25">
      <c r="A149" s="24">
        <v>247</v>
      </c>
    </row>
    <row r="150" spans="1:1" x14ac:dyDescent="0.25">
      <c r="A150" s="24">
        <v>248</v>
      </c>
    </row>
    <row r="151" spans="1:1" x14ac:dyDescent="0.25">
      <c r="A151" s="24">
        <v>249</v>
      </c>
    </row>
    <row r="152" spans="1:1" x14ac:dyDescent="0.25">
      <c r="A152" s="24">
        <v>250</v>
      </c>
    </row>
    <row r="153" spans="1:1" x14ac:dyDescent="0.25">
      <c r="A153" s="24">
        <v>251</v>
      </c>
    </row>
    <row r="154" spans="1:1" x14ac:dyDescent="0.25">
      <c r="A154" s="24">
        <v>252</v>
      </c>
    </row>
    <row r="155" spans="1:1" x14ac:dyDescent="0.25">
      <c r="A155" s="24">
        <v>253</v>
      </c>
    </row>
    <row r="156" spans="1:1" x14ac:dyDescent="0.25">
      <c r="A156" s="24">
        <v>254</v>
      </c>
    </row>
    <row r="157" spans="1:1" x14ac:dyDescent="0.25">
      <c r="A157" s="24">
        <v>255</v>
      </c>
    </row>
    <row r="158" spans="1:1" x14ac:dyDescent="0.25">
      <c r="A158" s="24">
        <v>256</v>
      </c>
    </row>
    <row r="159" spans="1:1" x14ac:dyDescent="0.25">
      <c r="A159" s="24">
        <v>257</v>
      </c>
    </row>
    <row r="160" spans="1:1" x14ac:dyDescent="0.25">
      <c r="A160" s="24">
        <v>258</v>
      </c>
    </row>
    <row r="161" spans="1:1" x14ac:dyDescent="0.25">
      <c r="A161" s="24">
        <v>259</v>
      </c>
    </row>
    <row r="162" spans="1:1" x14ac:dyDescent="0.25">
      <c r="A162" s="24">
        <v>260</v>
      </c>
    </row>
    <row r="163" spans="1:1" x14ac:dyDescent="0.25">
      <c r="A163" s="24">
        <v>261</v>
      </c>
    </row>
    <row r="164" spans="1:1" x14ac:dyDescent="0.25">
      <c r="A164" s="24">
        <v>262</v>
      </c>
    </row>
    <row r="165" spans="1:1" x14ac:dyDescent="0.25">
      <c r="A165" s="24">
        <v>263</v>
      </c>
    </row>
    <row r="166" spans="1:1" x14ac:dyDescent="0.25">
      <c r="A166" s="24">
        <v>264</v>
      </c>
    </row>
    <row r="167" spans="1:1" x14ac:dyDescent="0.25">
      <c r="A167" s="24">
        <v>265</v>
      </c>
    </row>
    <row r="168" spans="1:1" x14ac:dyDescent="0.25">
      <c r="A168" s="24">
        <v>266</v>
      </c>
    </row>
    <row r="169" spans="1:1" x14ac:dyDescent="0.25">
      <c r="A169" s="24">
        <v>267</v>
      </c>
    </row>
    <row r="170" spans="1:1" x14ac:dyDescent="0.25">
      <c r="A170" s="24">
        <v>268</v>
      </c>
    </row>
    <row r="171" spans="1:1" x14ac:dyDescent="0.25">
      <c r="A171" s="24">
        <v>269</v>
      </c>
    </row>
    <row r="172" spans="1:1" x14ac:dyDescent="0.25">
      <c r="A172" s="24">
        <v>270</v>
      </c>
    </row>
    <row r="173" spans="1:1" x14ac:dyDescent="0.25">
      <c r="A173" s="24">
        <v>271</v>
      </c>
    </row>
    <row r="174" spans="1:1" x14ac:dyDescent="0.25">
      <c r="A174" s="24">
        <v>272</v>
      </c>
    </row>
    <row r="175" spans="1:1" x14ac:dyDescent="0.25">
      <c r="A175" s="24">
        <v>273</v>
      </c>
    </row>
    <row r="176" spans="1:1" x14ac:dyDescent="0.25">
      <c r="A176" s="24">
        <v>274</v>
      </c>
    </row>
    <row r="177" spans="1:1" x14ac:dyDescent="0.25">
      <c r="A177" s="24">
        <v>275</v>
      </c>
    </row>
    <row r="178" spans="1:1" x14ac:dyDescent="0.25">
      <c r="A178" s="24">
        <v>276</v>
      </c>
    </row>
    <row r="179" spans="1:1" x14ac:dyDescent="0.25">
      <c r="A179" s="24">
        <v>277</v>
      </c>
    </row>
    <row r="180" spans="1:1" x14ac:dyDescent="0.25">
      <c r="A180" s="24">
        <v>278</v>
      </c>
    </row>
    <row r="181" spans="1:1" x14ac:dyDescent="0.25">
      <c r="A181" s="24">
        <v>279</v>
      </c>
    </row>
    <row r="182" spans="1:1" x14ac:dyDescent="0.25">
      <c r="A182" s="24">
        <v>280</v>
      </c>
    </row>
    <row r="183" spans="1:1" x14ac:dyDescent="0.25">
      <c r="A183" s="24">
        <v>281</v>
      </c>
    </row>
    <row r="184" spans="1:1" x14ac:dyDescent="0.25">
      <c r="A184" s="24">
        <v>282</v>
      </c>
    </row>
    <row r="185" spans="1:1" x14ac:dyDescent="0.25">
      <c r="A185" s="24">
        <v>283</v>
      </c>
    </row>
    <row r="186" spans="1:1" x14ac:dyDescent="0.25">
      <c r="A186" s="24">
        <v>284</v>
      </c>
    </row>
    <row r="187" spans="1:1" x14ac:dyDescent="0.25">
      <c r="A187" s="24">
        <v>285</v>
      </c>
    </row>
    <row r="188" spans="1:1" x14ac:dyDescent="0.25">
      <c r="A188" s="24">
        <v>286</v>
      </c>
    </row>
    <row r="189" spans="1:1" x14ac:dyDescent="0.25">
      <c r="A189" s="24">
        <v>287</v>
      </c>
    </row>
    <row r="190" spans="1:1" x14ac:dyDescent="0.25">
      <c r="A190" s="24">
        <v>288</v>
      </c>
    </row>
    <row r="191" spans="1:1" x14ac:dyDescent="0.25">
      <c r="A191" s="24">
        <v>289</v>
      </c>
    </row>
    <row r="192" spans="1:1" x14ac:dyDescent="0.25">
      <c r="A192" s="24">
        <v>290</v>
      </c>
    </row>
    <row r="193" spans="1:1" x14ac:dyDescent="0.25">
      <c r="A193" s="24">
        <v>291</v>
      </c>
    </row>
    <row r="194" spans="1:1" x14ac:dyDescent="0.25">
      <c r="A194" s="24">
        <v>292</v>
      </c>
    </row>
    <row r="195" spans="1:1" x14ac:dyDescent="0.25">
      <c r="A195" s="24">
        <v>293</v>
      </c>
    </row>
    <row r="196" spans="1:1" x14ac:dyDescent="0.25">
      <c r="A196" s="24">
        <v>294</v>
      </c>
    </row>
    <row r="197" spans="1:1" x14ac:dyDescent="0.25">
      <c r="A197" s="24">
        <v>295</v>
      </c>
    </row>
    <row r="198" spans="1:1" x14ac:dyDescent="0.25">
      <c r="A198" s="24">
        <v>296</v>
      </c>
    </row>
    <row r="199" spans="1:1" x14ac:dyDescent="0.25">
      <c r="A199" s="24">
        <v>297</v>
      </c>
    </row>
    <row r="200" spans="1:1" x14ac:dyDescent="0.25">
      <c r="A200" s="24">
        <v>298</v>
      </c>
    </row>
    <row r="201" spans="1:1" x14ac:dyDescent="0.25">
      <c r="A201" s="24">
        <v>299</v>
      </c>
    </row>
    <row r="202" spans="1:1" x14ac:dyDescent="0.25">
      <c r="A202" s="24">
        <v>300</v>
      </c>
    </row>
    <row r="203" spans="1:1" x14ac:dyDescent="0.25">
      <c r="A203" s="24">
        <v>301</v>
      </c>
    </row>
    <row r="204" spans="1:1" x14ac:dyDescent="0.25">
      <c r="A204" s="24">
        <v>302</v>
      </c>
    </row>
    <row r="205" spans="1:1" x14ac:dyDescent="0.25">
      <c r="A205" s="24">
        <v>303</v>
      </c>
    </row>
    <row r="206" spans="1:1" x14ac:dyDescent="0.25">
      <c r="A206" s="24">
        <v>304</v>
      </c>
    </row>
    <row r="207" spans="1:1" x14ac:dyDescent="0.25">
      <c r="A207" s="24">
        <v>305</v>
      </c>
    </row>
    <row r="208" spans="1:1" x14ac:dyDescent="0.25">
      <c r="A208" s="24">
        <v>306</v>
      </c>
    </row>
    <row r="209" spans="1:1" x14ac:dyDescent="0.25">
      <c r="A209" s="24">
        <v>307</v>
      </c>
    </row>
    <row r="210" spans="1:1" x14ac:dyDescent="0.25">
      <c r="A210" s="24">
        <v>308</v>
      </c>
    </row>
    <row r="211" spans="1:1" x14ac:dyDescent="0.25">
      <c r="A211" s="24">
        <v>309</v>
      </c>
    </row>
    <row r="212" spans="1:1" x14ac:dyDescent="0.25">
      <c r="A212" s="24">
        <v>310</v>
      </c>
    </row>
    <row r="213" spans="1:1" x14ac:dyDescent="0.25">
      <c r="A213" s="24">
        <v>311</v>
      </c>
    </row>
    <row r="214" spans="1:1" x14ac:dyDescent="0.25">
      <c r="A214" s="24">
        <v>312</v>
      </c>
    </row>
    <row r="215" spans="1:1" x14ac:dyDescent="0.25">
      <c r="A215" s="24">
        <v>313</v>
      </c>
    </row>
    <row r="216" spans="1:1" x14ac:dyDescent="0.25">
      <c r="A216" s="24">
        <v>314</v>
      </c>
    </row>
    <row r="217" spans="1:1" x14ac:dyDescent="0.25">
      <c r="A217" s="24">
        <v>315</v>
      </c>
    </row>
    <row r="218" spans="1:1" x14ac:dyDescent="0.25">
      <c r="A218" s="24">
        <v>316</v>
      </c>
    </row>
    <row r="219" spans="1:1" x14ac:dyDescent="0.25">
      <c r="A219" s="24">
        <v>317</v>
      </c>
    </row>
    <row r="220" spans="1:1" x14ac:dyDescent="0.25">
      <c r="A220" s="24">
        <v>318</v>
      </c>
    </row>
    <row r="221" spans="1:1" x14ac:dyDescent="0.25">
      <c r="A221" s="24">
        <v>319</v>
      </c>
    </row>
    <row r="222" spans="1:1" x14ac:dyDescent="0.25">
      <c r="A222" s="24">
        <v>320</v>
      </c>
    </row>
    <row r="223" spans="1:1" x14ac:dyDescent="0.25">
      <c r="A223" s="24">
        <v>321</v>
      </c>
    </row>
    <row r="224" spans="1:1" x14ac:dyDescent="0.25">
      <c r="A224" s="24">
        <v>322</v>
      </c>
    </row>
    <row r="225" spans="1:1" x14ac:dyDescent="0.25">
      <c r="A225" s="24">
        <v>323</v>
      </c>
    </row>
    <row r="226" spans="1:1" x14ac:dyDescent="0.25">
      <c r="A226" s="24">
        <v>324</v>
      </c>
    </row>
    <row r="227" spans="1:1" x14ac:dyDescent="0.25">
      <c r="A227" s="24">
        <v>325</v>
      </c>
    </row>
    <row r="228" spans="1:1" x14ac:dyDescent="0.25">
      <c r="A228" s="24">
        <v>326</v>
      </c>
    </row>
    <row r="229" spans="1:1" x14ac:dyDescent="0.25">
      <c r="A229" s="24">
        <v>327</v>
      </c>
    </row>
    <row r="230" spans="1:1" x14ac:dyDescent="0.25">
      <c r="A230" s="24">
        <v>328</v>
      </c>
    </row>
    <row r="231" spans="1:1" x14ac:dyDescent="0.25">
      <c r="A231" s="24">
        <v>329</v>
      </c>
    </row>
    <row r="232" spans="1:1" x14ac:dyDescent="0.25">
      <c r="A232" s="24">
        <v>330</v>
      </c>
    </row>
    <row r="233" spans="1:1" x14ac:dyDescent="0.25">
      <c r="A233" s="24">
        <v>331</v>
      </c>
    </row>
    <row r="234" spans="1:1" x14ac:dyDescent="0.25">
      <c r="A234" s="24">
        <v>332</v>
      </c>
    </row>
    <row r="235" spans="1:1" x14ac:dyDescent="0.25">
      <c r="A235" s="24">
        <v>333</v>
      </c>
    </row>
    <row r="236" spans="1:1" x14ac:dyDescent="0.25">
      <c r="A236" s="24">
        <v>334</v>
      </c>
    </row>
    <row r="237" spans="1:1" x14ac:dyDescent="0.25">
      <c r="A237" s="24">
        <v>335</v>
      </c>
    </row>
    <row r="238" spans="1:1" x14ac:dyDescent="0.25">
      <c r="A238" s="24">
        <v>336</v>
      </c>
    </row>
    <row r="239" spans="1:1" x14ac:dyDescent="0.25">
      <c r="A239" s="24">
        <v>337</v>
      </c>
    </row>
    <row r="240" spans="1:1" x14ac:dyDescent="0.25">
      <c r="A240" s="24">
        <v>338</v>
      </c>
    </row>
    <row r="241" spans="1:1" x14ac:dyDescent="0.25">
      <c r="A241" s="24">
        <v>339</v>
      </c>
    </row>
    <row r="242" spans="1:1" x14ac:dyDescent="0.25">
      <c r="A242" s="24">
        <v>340</v>
      </c>
    </row>
    <row r="243" spans="1:1" x14ac:dyDescent="0.25">
      <c r="A243" s="24">
        <v>341</v>
      </c>
    </row>
    <row r="244" spans="1:1" x14ac:dyDescent="0.25">
      <c r="A244" s="24">
        <v>342</v>
      </c>
    </row>
    <row r="245" spans="1:1" x14ac:dyDescent="0.25">
      <c r="A245" s="24">
        <v>343</v>
      </c>
    </row>
    <row r="246" spans="1:1" x14ac:dyDescent="0.25">
      <c r="A246" s="24">
        <v>344</v>
      </c>
    </row>
    <row r="247" spans="1:1" x14ac:dyDescent="0.25">
      <c r="A247" s="24">
        <v>345</v>
      </c>
    </row>
    <row r="248" spans="1:1" x14ac:dyDescent="0.25">
      <c r="A248" s="24">
        <v>346</v>
      </c>
    </row>
    <row r="249" spans="1:1" x14ac:dyDescent="0.25">
      <c r="A249" s="24">
        <v>347</v>
      </c>
    </row>
    <row r="250" spans="1:1" x14ac:dyDescent="0.25">
      <c r="A250" s="24">
        <v>348</v>
      </c>
    </row>
    <row r="251" spans="1:1" x14ac:dyDescent="0.25">
      <c r="A251" s="24">
        <v>349</v>
      </c>
    </row>
    <row r="252" spans="1:1" x14ac:dyDescent="0.25">
      <c r="A252" s="24">
        <v>350</v>
      </c>
    </row>
    <row r="253" spans="1:1" x14ac:dyDescent="0.25">
      <c r="A253" s="24">
        <v>351</v>
      </c>
    </row>
    <row r="254" spans="1:1" x14ac:dyDescent="0.25">
      <c r="A254" s="24">
        <v>352</v>
      </c>
    </row>
    <row r="255" spans="1:1" x14ac:dyDescent="0.25">
      <c r="A255" s="24">
        <v>353</v>
      </c>
    </row>
    <row r="256" spans="1:1" x14ac:dyDescent="0.25">
      <c r="A256" s="24">
        <v>354</v>
      </c>
    </row>
    <row r="257" spans="1:1" x14ac:dyDescent="0.25">
      <c r="A257" s="24">
        <v>355</v>
      </c>
    </row>
    <row r="258" spans="1:1" x14ac:dyDescent="0.25">
      <c r="A258" s="24">
        <v>356</v>
      </c>
    </row>
    <row r="259" spans="1:1" x14ac:dyDescent="0.25">
      <c r="A259" s="24">
        <v>357</v>
      </c>
    </row>
    <row r="260" spans="1:1" x14ac:dyDescent="0.25">
      <c r="A260" s="24">
        <v>358</v>
      </c>
    </row>
    <row r="261" spans="1:1" x14ac:dyDescent="0.25">
      <c r="A261" s="24">
        <v>359</v>
      </c>
    </row>
    <row r="262" spans="1:1" x14ac:dyDescent="0.25">
      <c r="A262" s="24">
        <v>360</v>
      </c>
    </row>
    <row r="263" spans="1:1" x14ac:dyDescent="0.25">
      <c r="A263" s="24">
        <v>361</v>
      </c>
    </row>
    <row r="264" spans="1:1" x14ac:dyDescent="0.25">
      <c r="A264" s="24">
        <v>362</v>
      </c>
    </row>
    <row r="265" spans="1:1" x14ac:dyDescent="0.25">
      <c r="A265" s="24">
        <v>363</v>
      </c>
    </row>
    <row r="266" spans="1:1" x14ac:dyDescent="0.25">
      <c r="A266" s="24">
        <v>364</v>
      </c>
    </row>
    <row r="267" spans="1:1" x14ac:dyDescent="0.25">
      <c r="A267" s="24">
        <v>365</v>
      </c>
    </row>
    <row r="268" spans="1:1" x14ac:dyDescent="0.25">
      <c r="A268" s="24">
        <v>366</v>
      </c>
    </row>
    <row r="269" spans="1:1" x14ac:dyDescent="0.25">
      <c r="A269" s="24">
        <v>367</v>
      </c>
    </row>
    <row r="270" spans="1:1" x14ac:dyDescent="0.25">
      <c r="A270" s="24">
        <v>368</v>
      </c>
    </row>
    <row r="271" spans="1:1" x14ac:dyDescent="0.25">
      <c r="A271" s="24">
        <v>369</v>
      </c>
    </row>
    <row r="272" spans="1:1" x14ac:dyDescent="0.25">
      <c r="A272" s="24">
        <v>370</v>
      </c>
    </row>
    <row r="273" spans="1:1" x14ac:dyDescent="0.25">
      <c r="A273" s="24">
        <v>371</v>
      </c>
    </row>
    <row r="274" spans="1:1" x14ac:dyDescent="0.25">
      <c r="A274" s="24">
        <v>372</v>
      </c>
    </row>
    <row r="275" spans="1:1" x14ac:dyDescent="0.25">
      <c r="A275" s="24">
        <v>373</v>
      </c>
    </row>
    <row r="276" spans="1:1" x14ac:dyDescent="0.25">
      <c r="A276" s="24">
        <v>374</v>
      </c>
    </row>
    <row r="277" spans="1:1" x14ac:dyDescent="0.25">
      <c r="A277" s="24">
        <v>375</v>
      </c>
    </row>
    <row r="278" spans="1:1" x14ac:dyDescent="0.25">
      <c r="A278" s="24">
        <v>376</v>
      </c>
    </row>
    <row r="279" spans="1:1" x14ac:dyDescent="0.25">
      <c r="A279" s="24">
        <v>377</v>
      </c>
    </row>
    <row r="280" spans="1:1" x14ac:dyDescent="0.25">
      <c r="A280" s="24">
        <v>378</v>
      </c>
    </row>
    <row r="281" spans="1:1" x14ac:dyDescent="0.25">
      <c r="A281" s="24">
        <v>379</v>
      </c>
    </row>
    <row r="282" spans="1:1" x14ac:dyDescent="0.25">
      <c r="A282" s="24">
        <v>380</v>
      </c>
    </row>
    <row r="283" spans="1:1" x14ac:dyDescent="0.25">
      <c r="A283" s="24">
        <v>381</v>
      </c>
    </row>
    <row r="284" spans="1:1" x14ac:dyDescent="0.25">
      <c r="A284" s="24">
        <v>382</v>
      </c>
    </row>
    <row r="285" spans="1:1" x14ac:dyDescent="0.25">
      <c r="A285" s="24">
        <v>383</v>
      </c>
    </row>
    <row r="286" spans="1:1" x14ac:dyDescent="0.25">
      <c r="A286" s="24">
        <v>384</v>
      </c>
    </row>
    <row r="287" spans="1:1" x14ac:dyDescent="0.25">
      <c r="A287" s="24">
        <v>385</v>
      </c>
    </row>
    <row r="288" spans="1:1" x14ac:dyDescent="0.25">
      <c r="A288" s="24">
        <v>386</v>
      </c>
    </row>
    <row r="289" spans="1:1" x14ac:dyDescent="0.25">
      <c r="A289" s="24">
        <v>387</v>
      </c>
    </row>
    <row r="290" spans="1:1" x14ac:dyDescent="0.25">
      <c r="A290" s="24">
        <v>388</v>
      </c>
    </row>
    <row r="291" spans="1:1" x14ac:dyDescent="0.25">
      <c r="A291" s="24">
        <v>389</v>
      </c>
    </row>
    <row r="292" spans="1:1" x14ac:dyDescent="0.25">
      <c r="A292" s="24">
        <v>390</v>
      </c>
    </row>
    <row r="293" spans="1:1" x14ac:dyDescent="0.25">
      <c r="A293" s="24">
        <v>391</v>
      </c>
    </row>
    <row r="294" spans="1:1" x14ac:dyDescent="0.25">
      <c r="A294" s="24">
        <v>392</v>
      </c>
    </row>
    <row r="295" spans="1:1" x14ac:dyDescent="0.25">
      <c r="A295" s="24">
        <v>393</v>
      </c>
    </row>
    <row r="296" spans="1:1" x14ac:dyDescent="0.25">
      <c r="A296" s="24">
        <v>394</v>
      </c>
    </row>
    <row r="297" spans="1:1" x14ac:dyDescent="0.25">
      <c r="A297" s="24">
        <v>395</v>
      </c>
    </row>
    <row r="298" spans="1:1" x14ac:dyDescent="0.25">
      <c r="A298" s="24">
        <v>396</v>
      </c>
    </row>
    <row r="299" spans="1:1" x14ac:dyDescent="0.25">
      <c r="A299" s="24">
        <v>397</v>
      </c>
    </row>
    <row r="300" spans="1:1" x14ac:dyDescent="0.25">
      <c r="A300" s="24">
        <v>398</v>
      </c>
    </row>
    <row r="301" spans="1:1" x14ac:dyDescent="0.25">
      <c r="A301" s="24">
        <v>399</v>
      </c>
    </row>
    <row r="302" spans="1:1" x14ac:dyDescent="0.25">
      <c r="A302" s="24">
        <v>400</v>
      </c>
    </row>
    <row r="303" spans="1:1" x14ac:dyDescent="0.25">
      <c r="A303" s="24">
        <v>401</v>
      </c>
    </row>
    <row r="304" spans="1:1" x14ac:dyDescent="0.25">
      <c r="A304" s="24">
        <v>402</v>
      </c>
    </row>
    <row r="305" spans="1:1" x14ac:dyDescent="0.25">
      <c r="A305" s="24">
        <v>403</v>
      </c>
    </row>
    <row r="306" spans="1:1" x14ac:dyDescent="0.25">
      <c r="A306" s="24">
        <v>404</v>
      </c>
    </row>
    <row r="307" spans="1:1" x14ac:dyDescent="0.25">
      <c r="A307" s="24">
        <v>405</v>
      </c>
    </row>
    <row r="308" spans="1:1" x14ac:dyDescent="0.25">
      <c r="A308" s="24">
        <v>406</v>
      </c>
    </row>
    <row r="309" spans="1:1" x14ac:dyDescent="0.25">
      <c r="A309" s="24">
        <v>407</v>
      </c>
    </row>
    <row r="310" spans="1:1" x14ac:dyDescent="0.25">
      <c r="A310" s="24">
        <v>408</v>
      </c>
    </row>
    <row r="311" spans="1:1" x14ac:dyDescent="0.25">
      <c r="A311" s="24">
        <v>409</v>
      </c>
    </row>
    <row r="312" spans="1:1" x14ac:dyDescent="0.25">
      <c r="A312" s="24">
        <v>410</v>
      </c>
    </row>
    <row r="313" spans="1:1" x14ac:dyDescent="0.25">
      <c r="A313" s="24">
        <v>411</v>
      </c>
    </row>
    <row r="314" spans="1:1" x14ac:dyDescent="0.25">
      <c r="A314" s="24">
        <v>412</v>
      </c>
    </row>
    <row r="315" spans="1:1" x14ac:dyDescent="0.25">
      <c r="A315" s="24">
        <v>413</v>
      </c>
    </row>
    <row r="316" spans="1:1" x14ac:dyDescent="0.25">
      <c r="A316" s="24">
        <v>414</v>
      </c>
    </row>
    <row r="317" spans="1:1" x14ac:dyDescent="0.25">
      <c r="A317" s="24">
        <v>415</v>
      </c>
    </row>
    <row r="318" spans="1:1" x14ac:dyDescent="0.25">
      <c r="A318" s="24">
        <v>416</v>
      </c>
    </row>
    <row r="319" spans="1:1" x14ac:dyDescent="0.25">
      <c r="A319" s="24">
        <v>417</v>
      </c>
    </row>
    <row r="320" spans="1:1" x14ac:dyDescent="0.25">
      <c r="A320" s="24">
        <v>418</v>
      </c>
    </row>
    <row r="321" spans="1:1" x14ac:dyDescent="0.25">
      <c r="A321" s="24">
        <v>419</v>
      </c>
    </row>
    <row r="322" spans="1:1" x14ac:dyDescent="0.25">
      <c r="A322" s="24">
        <v>420</v>
      </c>
    </row>
    <row r="323" spans="1:1" x14ac:dyDescent="0.25">
      <c r="A323" s="24">
        <v>421</v>
      </c>
    </row>
    <row r="324" spans="1:1" x14ac:dyDescent="0.25">
      <c r="A324" s="24">
        <v>422</v>
      </c>
    </row>
    <row r="325" spans="1:1" x14ac:dyDescent="0.25">
      <c r="A325" s="24">
        <v>423</v>
      </c>
    </row>
    <row r="326" spans="1:1" x14ac:dyDescent="0.25">
      <c r="A326" s="24">
        <v>424</v>
      </c>
    </row>
    <row r="327" spans="1:1" x14ac:dyDescent="0.25">
      <c r="A327" s="24">
        <v>425</v>
      </c>
    </row>
    <row r="328" spans="1:1" x14ac:dyDescent="0.25">
      <c r="A328" s="24">
        <v>426</v>
      </c>
    </row>
    <row r="329" spans="1:1" x14ac:dyDescent="0.25">
      <c r="A329" s="24">
        <v>427</v>
      </c>
    </row>
    <row r="330" spans="1:1" x14ac:dyDescent="0.25">
      <c r="A330" s="24">
        <v>428</v>
      </c>
    </row>
    <row r="331" spans="1:1" x14ac:dyDescent="0.25">
      <c r="A331" s="24">
        <v>429</v>
      </c>
    </row>
    <row r="332" spans="1:1" x14ac:dyDescent="0.25">
      <c r="A332" s="24">
        <v>430</v>
      </c>
    </row>
    <row r="333" spans="1:1" x14ac:dyDescent="0.25">
      <c r="A333" s="24">
        <v>431</v>
      </c>
    </row>
    <row r="334" spans="1:1" x14ac:dyDescent="0.25">
      <c r="A334" s="24">
        <v>432</v>
      </c>
    </row>
    <row r="335" spans="1:1" x14ac:dyDescent="0.25">
      <c r="A335" s="24">
        <v>433</v>
      </c>
    </row>
    <row r="336" spans="1:1" x14ac:dyDescent="0.25">
      <c r="A336" s="24">
        <v>434</v>
      </c>
    </row>
    <row r="337" spans="1:1" x14ac:dyDescent="0.25">
      <c r="A337" s="24">
        <v>435</v>
      </c>
    </row>
    <row r="338" spans="1:1" x14ac:dyDescent="0.25">
      <c r="A338" s="24">
        <v>436</v>
      </c>
    </row>
    <row r="339" spans="1:1" x14ac:dyDescent="0.25">
      <c r="A339" s="24">
        <v>437</v>
      </c>
    </row>
    <row r="340" spans="1:1" x14ac:dyDescent="0.25">
      <c r="A340" s="24">
        <v>438</v>
      </c>
    </row>
    <row r="341" spans="1:1" x14ac:dyDescent="0.25">
      <c r="A341" s="24">
        <v>439</v>
      </c>
    </row>
    <row r="342" spans="1:1" x14ac:dyDescent="0.25">
      <c r="A342" s="24">
        <v>440</v>
      </c>
    </row>
    <row r="343" spans="1:1" x14ac:dyDescent="0.25">
      <c r="A343" s="24">
        <v>441</v>
      </c>
    </row>
    <row r="344" spans="1:1" x14ac:dyDescent="0.25">
      <c r="A344" s="24">
        <v>442</v>
      </c>
    </row>
    <row r="345" spans="1:1" x14ac:dyDescent="0.25">
      <c r="A345" s="24">
        <v>443</v>
      </c>
    </row>
    <row r="346" spans="1:1" x14ac:dyDescent="0.25">
      <c r="A346" s="24">
        <v>444</v>
      </c>
    </row>
    <row r="347" spans="1:1" x14ac:dyDescent="0.25">
      <c r="A347" s="24">
        <v>445</v>
      </c>
    </row>
    <row r="348" spans="1:1" x14ac:dyDescent="0.25">
      <c r="A348" s="24">
        <v>446</v>
      </c>
    </row>
    <row r="349" spans="1:1" x14ac:dyDescent="0.25">
      <c r="A349" s="24">
        <v>447</v>
      </c>
    </row>
    <row r="350" spans="1:1" x14ac:dyDescent="0.25">
      <c r="A350" s="24">
        <v>448</v>
      </c>
    </row>
    <row r="351" spans="1:1" x14ac:dyDescent="0.25">
      <c r="A351" s="24">
        <v>449</v>
      </c>
    </row>
    <row r="352" spans="1:1" x14ac:dyDescent="0.25">
      <c r="A352" s="24">
        <v>450</v>
      </c>
    </row>
    <row r="353" spans="1:1" x14ac:dyDescent="0.25">
      <c r="A353" s="24">
        <v>451</v>
      </c>
    </row>
    <row r="354" spans="1:1" x14ac:dyDescent="0.25">
      <c r="A354" s="24">
        <v>452</v>
      </c>
    </row>
    <row r="355" spans="1:1" x14ac:dyDescent="0.25">
      <c r="A355" s="24">
        <v>453</v>
      </c>
    </row>
    <row r="356" spans="1:1" x14ac:dyDescent="0.25">
      <c r="A356" s="24">
        <v>454</v>
      </c>
    </row>
    <row r="357" spans="1:1" x14ac:dyDescent="0.25">
      <c r="A357" s="24">
        <v>455</v>
      </c>
    </row>
    <row r="358" spans="1:1" x14ac:dyDescent="0.25">
      <c r="A358" s="24">
        <v>456</v>
      </c>
    </row>
    <row r="359" spans="1:1" x14ac:dyDescent="0.25">
      <c r="A359" s="24">
        <v>457</v>
      </c>
    </row>
    <row r="360" spans="1:1" x14ac:dyDescent="0.25">
      <c r="A360" s="24">
        <v>458</v>
      </c>
    </row>
    <row r="361" spans="1:1" x14ac:dyDescent="0.25">
      <c r="A361" s="24">
        <v>459</v>
      </c>
    </row>
    <row r="362" spans="1:1" x14ac:dyDescent="0.25">
      <c r="A362" s="24">
        <v>460</v>
      </c>
    </row>
    <row r="363" spans="1:1" x14ac:dyDescent="0.25">
      <c r="A363" s="24">
        <v>461</v>
      </c>
    </row>
    <row r="364" spans="1:1" x14ac:dyDescent="0.25">
      <c r="A364" s="24">
        <v>462</v>
      </c>
    </row>
    <row r="365" spans="1:1" x14ac:dyDescent="0.25">
      <c r="A365" s="24">
        <v>463</v>
      </c>
    </row>
    <row r="366" spans="1:1" x14ac:dyDescent="0.25">
      <c r="A366" s="24">
        <v>464</v>
      </c>
    </row>
    <row r="367" spans="1:1" x14ac:dyDescent="0.25">
      <c r="A367" s="24">
        <v>465</v>
      </c>
    </row>
    <row r="368" spans="1:1" x14ac:dyDescent="0.25">
      <c r="A368" s="24">
        <v>466</v>
      </c>
    </row>
    <row r="369" spans="1:1" x14ac:dyDescent="0.25">
      <c r="A369" s="24">
        <v>467</v>
      </c>
    </row>
    <row r="370" spans="1:1" x14ac:dyDescent="0.25">
      <c r="A370" s="24">
        <v>468</v>
      </c>
    </row>
    <row r="371" spans="1:1" x14ac:dyDescent="0.25">
      <c r="A371" s="24">
        <v>469</v>
      </c>
    </row>
    <row r="372" spans="1:1" x14ac:dyDescent="0.25">
      <c r="A372" s="24">
        <v>470</v>
      </c>
    </row>
    <row r="373" spans="1:1" x14ac:dyDescent="0.25">
      <c r="A373" s="24">
        <v>471</v>
      </c>
    </row>
    <row r="374" spans="1:1" x14ac:dyDescent="0.25">
      <c r="A374" s="24">
        <v>472</v>
      </c>
    </row>
    <row r="375" spans="1:1" x14ac:dyDescent="0.25">
      <c r="A375" s="24">
        <v>473</v>
      </c>
    </row>
    <row r="376" spans="1:1" x14ac:dyDescent="0.25">
      <c r="A376" s="24">
        <v>474</v>
      </c>
    </row>
    <row r="377" spans="1:1" x14ac:dyDescent="0.25">
      <c r="A377" s="24">
        <v>475</v>
      </c>
    </row>
    <row r="378" spans="1:1" x14ac:dyDescent="0.25">
      <c r="A378" s="24">
        <v>476</v>
      </c>
    </row>
    <row r="379" spans="1:1" x14ac:dyDescent="0.25">
      <c r="A379" s="24">
        <v>477</v>
      </c>
    </row>
    <row r="380" spans="1:1" x14ac:dyDescent="0.25">
      <c r="A380" s="24">
        <v>478</v>
      </c>
    </row>
    <row r="381" spans="1:1" x14ac:dyDescent="0.25">
      <c r="A381" s="24">
        <v>479</v>
      </c>
    </row>
    <row r="382" spans="1:1" x14ac:dyDescent="0.25">
      <c r="A382" s="24">
        <v>480</v>
      </c>
    </row>
    <row r="383" spans="1:1" x14ac:dyDescent="0.25">
      <c r="A383" s="24">
        <v>481</v>
      </c>
    </row>
    <row r="384" spans="1:1" x14ac:dyDescent="0.25">
      <c r="A384" s="24">
        <v>482</v>
      </c>
    </row>
    <row r="385" spans="1:1" x14ac:dyDescent="0.25">
      <c r="A385" s="24">
        <v>483</v>
      </c>
    </row>
    <row r="386" spans="1:1" x14ac:dyDescent="0.25">
      <c r="A386" s="24">
        <v>484</v>
      </c>
    </row>
    <row r="387" spans="1:1" x14ac:dyDescent="0.25">
      <c r="A387" s="24">
        <v>485</v>
      </c>
    </row>
    <row r="388" spans="1:1" x14ac:dyDescent="0.25">
      <c r="A388" s="24">
        <v>486</v>
      </c>
    </row>
    <row r="389" spans="1:1" x14ac:dyDescent="0.25">
      <c r="A389" s="24">
        <v>487</v>
      </c>
    </row>
    <row r="390" spans="1:1" x14ac:dyDescent="0.25">
      <c r="A390" s="24">
        <v>488</v>
      </c>
    </row>
    <row r="391" spans="1:1" x14ac:dyDescent="0.25">
      <c r="A391" s="24">
        <v>489</v>
      </c>
    </row>
    <row r="392" spans="1:1" x14ac:dyDescent="0.25">
      <c r="A392" s="24">
        <v>490</v>
      </c>
    </row>
    <row r="393" spans="1:1" x14ac:dyDescent="0.25">
      <c r="A393" s="24">
        <v>491</v>
      </c>
    </row>
    <row r="394" spans="1:1" x14ac:dyDescent="0.25">
      <c r="A394" s="24">
        <v>492</v>
      </c>
    </row>
    <row r="395" spans="1:1" x14ac:dyDescent="0.25">
      <c r="A395" s="24">
        <v>493</v>
      </c>
    </row>
    <row r="396" spans="1:1" x14ac:dyDescent="0.25">
      <c r="A396" s="24">
        <v>494</v>
      </c>
    </row>
    <row r="397" spans="1:1" x14ac:dyDescent="0.25">
      <c r="A397" s="24">
        <v>495</v>
      </c>
    </row>
    <row r="398" spans="1:1" x14ac:dyDescent="0.25">
      <c r="A398" s="24">
        <v>496</v>
      </c>
    </row>
    <row r="399" spans="1:1" x14ac:dyDescent="0.25">
      <c r="A399" s="24">
        <v>497</v>
      </c>
    </row>
    <row r="400" spans="1:1" x14ac:dyDescent="0.25">
      <c r="A400" s="24">
        <v>498</v>
      </c>
    </row>
    <row r="401" spans="1:1" x14ac:dyDescent="0.25">
      <c r="A401" s="24">
        <v>499</v>
      </c>
    </row>
    <row r="402" spans="1:1" x14ac:dyDescent="0.25">
      <c r="A402" s="24">
        <v>500</v>
      </c>
    </row>
    <row r="403" spans="1:1" x14ac:dyDescent="0.25">
      <c r="A403" s="24">
        <v>501</v>
      </c>
    </row>
    <row r="404" spans="1:1" x14ac:dyDescent="0.25">
      <c r="A404" s="24">
        <v>502</v>
      </c>
    </row>
    <row r="405" spans="1:1" x14ac:dyDescent="0.25">
      <c r="A405" s="24">
        <v>503</v>
      </c>
    </row>
    <row r="406" spans="1:1" x14ac:dyDescent="0.25">
      <c r="A406" s="24">
        <v>504</v>
      </c>
    </row>
    <row r="407" spans="1:1" x14ac:dyDescent="0.25">
      <c r="A407" s="24">
        <v>505</v>
      </c>
    </row>
    <row r="408" spans="1:1" x14ac:dyDescent="0.25">
      <c r="A408" s="24">
        <v>506</v>
      </c>
    </row>
    <row r="409" spans="1:1" x14ac:dyDescent="0.25">
      <c r="A409" s="24">
        <v>507</v>
      </c>
    </row>
    <row r="410" spans="1:1" x14ac:dyDescent="0.25">
      <c r="A410" s="24">
        <v>508</v>
      </c>
    </row>
    <row r="411" spans="1:1" x14ac:dyDescent="0.25">
      <c r="A411" s="24">
        <v>509</v>
      </c>
    </row>
    <row r="412" spans="1:1" x14ac:dyDescent="0.25">
      <c r="A412" s="24">
        <v>510</v>
      </c>
    </row>
    <row r="413" spans="1:1" x14ac:dyDescent="0.25">
      <c r="A413" s="24">
        <v>511</v>
      </c>
    </row>
    <row r="414" spans="1:1" x14ac:dyDescent="0.25">
      <c r="A414" s="24">
        <v>512</v>
      </c>
    </row>
    <row r="415" spans="1:1" x14ac:dyDescent="0.25">
      <c r="A415" s="24">
        <v>513</v>
      </c>
    </row>
    <row r="416" spans="1:1" x14ac:dyDescent="0.25">
      <c r="A416" s="24">
        <v>514</v>
      </c>
    </row>
    <row r="417" spans="1:1" x14ac:dyDescent="0.25">
      <c r="A417" s="24">
        <v>515</v>
      </c>
    </row>
    <row r="418" spans="1:1" x14ac:dyDescent="0.25">
      <c r="A418" s="24">
        <v>516</v>
      </c>
    </row>
    <row r="419" spans="1:1" x14ac:dyDescent="0.25">
      <c r="A419" s="24">
        <v>517</v>
      </c>
    </row>
    <row r="420" spans="1:1" x14ac:dyDescent="0.25">
      <c r="A420" s="24">
        <v>518</v>
      </c>
    </row>
    <row r="421" spans="1:1" x14ac:dyDescent="0.25">
      <c r="A421" s="24">
        <v>519</v>
      </c>
    </row>
    <row r="422" spans="1:1" x14ac:dyDescent="0.25">
      <c r="A422" s="24">
        <v>520</v>
      </c>
    </row>
    <row r="423" spans="1:1" x14ac:dyDescent="0.25">
      <c r="A423" s="24">
        <v>521</v>
      </c>
    </row>
    <row r="424" spans="1:1" x14ac:dyDescent="0.25">
      <c r="A424" s="24">
        <v>522</v>
      </c>
    </row>
    <row r="425" spans="1:1" x14ac:dyDescent="0.25">
      <c r="A425" s="24">
        <v>523</v>
      </c>
    </row>
    <row r="426" spans="1:1" x14ac:dyDescent="0.25">
      <c r="A426" s="24">
        <v>524</v>
      </c>
    </row>
    <row r="427" spans="1:1" x14ac:dyDescent="0.25">
      <c r="A427" s="24">
        <v>525</v>
      </c>
    </row>
    <row r="428" spans="1:1" x14ac:dyDescent="0.25">
      <c r="A428" s="24">
        <v>526</v>
      </c>
    </row>
    <row r="429" spans="1:1" x14ac:dyDescent="0.25">
      <c r="A429" s="24">
        <v>527</v>
      </c>
    </row>
    <row r="430" spans="1:1" x14ac:dyDescent="0.25">
      <c r="A430" s="24">
        <v>528</v>
      </c>
    </row>
    <row r="431" spans="1:1" x14ac:dyDescent="0.25">
      <c r="A431" s="24">
        <v>529</v>
      </c>
    </row>
    <row r="432" spans="1:1" x14ac:dyDescent="0.25">
      <c r="A432" s="24">
        <v>530</v>
      </c>
    </row>
    <row r="433" spans="1:1" x14ac:dyDescent="0.25">
      <c r="A433" s="24">
        <v>531</v>
      </c>
    </row>
    <row r="434" spans="1:1" x14ac:dyDescent="0.25">
      <c r="A434" s="24">
        <v>532</v>
      </c>
    </row>
    <row r="435" spans="1:1" x14ac:dyDescent="0.25">
      <c r="A435" s="24">
        <v>533</v>
      </c>
    </row>
    <row r="436" spans="1:1" x14ac:dyDescent="0.25">
      <c r="A436" s="24">
        <v>534</v>
      </c>
    </row>
    <row r="437" spans="1:1" x14ac:dyDescent="0.25">
      <c r="A437" s="24">
        <v>535</v>
      </c>
    </row>
    <row r="438" spans="1:1" x14ac:dyDescent="0.25">
      <c r="A438" s="24">
        <v>536</v>
      </c>
    </row>
    <row r="439" spans="1:1" x14ac:dyDescent="0.25">
      <c r="A439" s="24">
        <v>537</v>
      </c>
    </row>
    <row r="440" spans="1:1" x14ac:dyDescent="0.25">
      <c r="A440" s="24">
        <v>538</v>
      </c>
    </row>
    <row r="441" spans="1:1" x14ac:dyDescent="0.25">
      <c r="A441" s="24">
        <v>539</v>
      </c>
    </row>
    <row r="442" spans="1:1" x14ac:dyDescent="0.25">
      <c r="A442" s="24">
        <v>540</v>
      </c>
    </row>
    <row r="443" spans="1:1" x14ac:dyDescent="0.25">
      <c r="A443" s="24">
        <v>541</v>
      </c>
    </row>
    <row r="444" spans="1:1" x14ac:dyDescent="0.25">
      <c r="A444" s="24">
        <v>542</v>
      </c>
    </row>
    <row r="445" spans="1:1" x14ac:dyDescent="0.25">
      <c r="A445" s="24">
        <v>543</v>
      </c>
    </row>
    <row r="446" spans="1:1" x14ac:dyDescent="0.25">
      <c r="A446" s="24">
        <v>544</v>
      </c>
    </row>
    <row r="447" spans="1:1" x14ac:dyDescent="0.25">
      <c r="A447" s="24">
        <v>545</v>
      </c>
    </row>
    <row r="448" spans="1:1" x14ac:dyDescent="0.25">
      <c r="A448" s="24">
        <v>546</v>
      </c>
    </row>
    <row r="449" spans="1:1" x14ac:dyDescent="0.25">
      <c r="A449" s="24">
        <v>547</v>
      </c>
    </row>
    <row r="450" spans="1:1" x14ac:dyDescent="0.25">
      <c r="A450" s="24">
        <v>548</v>
      </c>
    </row>
    <row r="451" spans="1:1" x14ac:dyDescent="0.25">
      <c r="A451" s="24">
        <v>549</v>
      </c>
    </row>
    <row r="452" spans="1:1" x14ac:dyDescent="0.25">
      <c r="A452" s="24">
        <v>550</v>
      </c>
    </row>
    <row r="453" spans="1:1" x14ac:dyDescent="0.25">
      <c r="A453" s="24">
        <v>551</v>
      </c>
    </row>
    <row r="454" spans="1:1" x14ac:dyDescent="0.25">
      <c r="A454" s="24">
        <v>552</v>
      </c>
    </row>
    <row r="455" spans="1:1" x14ac:dyDescent="0.25">
      <c r="A455" s="24">
        <v>553</v>
      </c>
    </row>
    <row r="456" spans="1:1" x14ac:dyDescent="0.25">
      <c r="A456" s="24">
        <v>554</v>
      </c>
    </row>
    <row r="457" spans="1:1" x14ac:dyDescent="0.25">
      <c r="A457" s="24">
        <v>555</v>
      </c>
    </row>
    <row r="458" spans="1:1" x14ac:dyDescent="0.25">
      <c r="A458" s="24">
        <v>556</v>
      </c>
    </row>
    <row r="459" spans="1:1" x14ac:dyDescent="0.25">
      <c r="A459" s="24">
        <v>557</v>
      </c>
    </row>
    <row r="460" spans="1:1" x14ac:dyDescent="0.25">
      <c r="A460" s="24">
        <v>558</v>
      </c>
    </row>
    <row r="461" spans="1:1" x14ac:dyDescent="0.25">
      <c r="A461" s="24">
        <v>559</v>
      </c>
    </row>
    <row r="462" spans="1:1" x14ac:dyDescent="0.25">
      <c r="A462" s="24">
        <v>560</v>
      </c>
    </row>
    <row r="463" spans="1:1" x14ac:dyDescent="0.25">
      <c r="A463" s="24">
        <v>561</v>
      </c>
    </row>
    <row r="464" spans="1:1" x14ac:dyDescent="0.25">
      <c r="A464" s="24">
        <v>562</v>
      </c>
    </row>
    <row r="465" spans="1:1" x14ac:dyDescent="0.25">
      <c r="A465" s="24">
        <v>563</v>
      </c>
    </row>
    <row r="466" spans="1:1" x14ac:dyDescent="0.25">
      <c r="A466" s="24">
        <v>564</v>
      </c>
    </row>
    <row r="467" spans="1:1" x14ac:dyDescent="0.25">
      <c r="A467" s="24">
        <v>565</v>
      </c>
    </row>
    <row r="468" spans="1:1" x14ac:dyDescent="0.25">
      <c r="A468" s="24">
        <v>566</v>
      </c>
    </row>
    <row r="469" spans="1:1" x14ac:dyDescent="0.25">
      <c r="A469" s="24">
        <v>567</v>
      </c>
    </row>
    <row r="470" spans="1:1" x14ac:dyDescent="0.25">
      <c r="A470" s="24">
        <v>568</v>
      </c>
    </row>
    <row r="471" spans="1:1" x14ac:dyDescent="0.25">
      <c r="A471" s="24">
        <v>569</v>
      </c>
    </row>
    <row r="472" spans="1:1" x14ac:dyDescent="0.25">
      <c r="A472" s="24">
        <v>570</v>
      </c>
    </row>
    <row r="473" spans="1:1" x14ac:dyDescent="0.25">
      <c r="A473" s="24">
        <v>571</v>
      </c>
    </row>
    <row r="474" spans="1:1" x14ac:dyDescent="0.25">
      <c r="A474" s="24">
        <v>572</v>
      </c>
    </row>
    <row r="475" spans="1:1" x14ac:dyDescent="0.25">
      <c r="A475" s="24">
        <v>573</v>
      </c>
    </row>
    <row r="476" spans="1:1" x14ac:dyDescent="0.25">
      <c r="A476" s="24">
        <v>574</v>
      </c>
    </row>
    <row r="477" spans="1:1" x14ac:dyDescent="0.25">
      <c r="A477" s="24">
        <v>575</v>
      </c>
    </row>
    <row r="478" spans="1:1" x14ac:dyDescent="0.25">
      <c r="A478" s="24">
        <v>576</v>
      </c>
    </row>
    <row r="479" spans="1:1" x14ac:dyDescent="0.25">
      <c r="A479" s="24">
        <v>577</v>
      </c>
    </row>
    <row r="480" spans="1:1" x14ac:dyDescent="0.25">
      <c r="A480" s="24">
        <v>578</v>
      </c>
    </row>
    <row r="481" spans="1:1" x14ac:dyDescent="0.25">
      <c r="A481" s="24">
        <v>579</v>
      </c>
    </row>
    <row r="482" spans="1:1" x14ac:dyDescent="0.25">
      <c r="A482" s="24">
        <v>580</v>
      </c>
    </row>
    <row r="483" spans="1:1" x14ac:dyDescent="0.25">
      <c r="A483" s="24">
        <v>581</v>
      </c>
    </row>
    <row r="484" spans="1:1" x14ac:dyDescent="0.25">
      <c r="A484" s="24">
        <v>582</v>
      </c>
    </row>
    <row r="485" spans="1:1" x14ac:dyDescent="0.25">
      <c r="A485" s="24">
        <v>583</v>
      </c>
    </row>
    <row r="486" spans="1:1" x14ac:dyDescent="0.25">
      <c r="A486" s="24">
        <v>584</v>
      </c>
    </row>
    <row r="487" spans="1:1" x14ac:dyDescent="0.25">
      <c r="A487" s="24">
        <v>585</v>
      </c>
    </row>
    <row r="488" spans="1:1" x14ac:dyDescent="0.25">
      <c r="A488" s="24">
        <v>586</v>
      </c>
    </row>
    <row r="489" spans="1:1" x14ac:dyDescent="0.25">
      <c r="A489" s="24">
        <v>587</v>
      </c>
    </row>
    <row r="490" spans="1:1" x14ac:dyDescent="0.25">
      <c r="A490" s="24">
        <v>588</v>
      </c>
    </row>
    <row r="491" spans="1:1" x14ac:dyDescent="0.25">
      <c r="A491" s="24">
        <v>589</v>
      </c>
    </row>
    <row r="492" spans="1:1" x14ac:dyDescent="0.25">
      <c r="A492" s="24">
        <v>590</v>
      </c>
    </row>
    <row r="493" spans="1:1" x14ac:dyDescent="0.25">
      <c r="A493" s="24">
        <v>591</v>
      </c>
    </row>
    <row r="494" spans="1:1" x14ac:dyDescent="0.25">
      <c r="A494" s="24">
        <v>592</v>
      </c>
    </row>
    <row r="495" spans="1:1" x14ac:dyDescent="0.25">
      <c r="A495" s="24">
        <v>593</v>
      </c>
    </row>
    <row r="496" spans="1:1" x14ac:dyDescent="0.25">
      <c r="A496" s="24">
        <v>594</v>
      </c>
    </row>
    <row r="497" spans="1:1" x14ac:dyDescent="0.25">
      <c r="A497" s="24">
        <v>595</v>
      </c>
    </row>
    <row r="498" spans="1:1" x14ac:dyDescent="0.25">
      <c r="A498" s="24">
        <v>596</v>
      </c>
    </row>
    <row r="499" spans="1:1" x14ac:dyDescent="0.25">
      <c r="A499" s="24">
        <v>597</v>
      </c>
    </row>
    <row r="500" spans="1:1" x14ac:dyDescent="0.25">
      <c r="A500" s="24">
        <v>598</v>
      </c>
    </row>
    <row r="501" spans="1:1" x14ac:dyDescent="0.25">
      <c r="A501" s="24">
        <v>599</v>
      </c>
    </row>
    <row r="502" spans="1:1" x14ac:dyDescent="0.25">
      <c r="A502" s="24">
        <v>600</v>
      </c>
    </row>
    <row r="503" spans="1:1" x14ac:dyDescent="0.25">
      <c r="A503" s="24">
        <v>601</v>
      </c>
    </row>
    <row r="504" spans="1:1" x14ac:dyDescent="0.25">
      <c r="A504" s="24">
        <v>602</v>
      </c>
    </row>
    <row r="505" spans="1:1" x14ac:dyDescent="0.25">
      <c r="A505" s="24">
        <v>603</v>
      </c>
    </row>
    <row r="506" spans="1:1" x14ac:dyDescent="0.25">
      <c r="A506" s="24">
        <v>604</v>
      </c>
    </row>
    <row r="507" spans="1:1" x14ac:dyDescent="0.25">
      <c r="A507" s="24">
        <v>605</v>
      </c>
    </row>
    <row r="508" spans="1:1" x14ac:dyDescent="0.25">
      <c r="A508" s="24">
        <v>606</v>
      </c>
    </row>
    <row r="509" spans="1:1" x14ac:dyDescent="0.25">
      <c r="A509" s="24">
        <v>607</v>
      </c>
    </row>
    <row r="510" spans="1:1" x14ac:dyDescent="0.25">
      <c r="A510" s="24">
        <v>608</v>
      </c>
    </row>
    <row r="511" spans="1:1" x14ac:dyDescent="0.25">
      <c r="A511" s="24">
        <v>609</v>
      </c>
    </row>
    <row r="512" spans="1:1" x14ac:dyDescent="0.25">
      <c r="A512" s="24">
        <v>610</v>
      </c>
    </row>
    <row r="513" spans="1:1" x14ac:dyDescent="0.25">
      <c r="A513" s="24">
        <v>611</v>
      </c>
    </row>
    <row r="514" spans="1:1" x14ac:dyDescent="0.25">
      <c r="A514" s="24">
        <v>612</v>
      </c>
    </row>
    <row r="515" spans="1:1" x14ac:dyDescent="0.25">
      <c r="A515" s="24">
        <v>613</v>
      </c>
    </row>
    <row r="516" spans="1:1" x14ac:dyDescent="0.25">
      <c r="A516" s="24">
        <v>614</v>
      </c>
    </row>
    <row r="517" spans="1:1" x14ac:dyDescent="0.25">
      <c r="A517" s="24">
        <v>615</v>
      </c>
    </row>
    <row r="518" spans="1:1" x14ac:dyDescent="0.25">
      <c r="A518" s="24">
        <v>616</v>
      </c>
    </row>
    <row r="519" spans="1:1" x14ac:dyDescent="0.25">
      <c r="A519" s="24">
        <v>617</v>
      </c>
    </row>
    <row r="520" spans="1:1" x14ac:dyDescent="0.25">
      <c r="A520" s="24">
        <v>618</v>
      </c>
    </row>
    <row r="521" spans="1:1" x14ac:dyDescent="0.25">
      <c r="A521" s="24">
        <v>619</v>
      </c>
    </row>
    <row r="522" spans="1:1" x14ac:dyDescent="0.25">
      <c r="A522" s="24">
        <v>620</v>
      </c>
    </row>
    <row r="523" spans="1:1" x14ac:dyDescent="0.25">
      <c r="A523" s="24">
        <v>621</v>
      </c>
    </row>
    <row r="524" spans="1:1" x14ac:dyDescent="0.25">
      <c r="A524" s="24">
        <v>622</v>
      </c>
    </row>
    <row r="525" spans="1:1" x14ac:dyDescent="0.25">
      <c r="A525" s="24">
        <v>623</v>
      </c>
    </row>
    <row r="526" spans="1:1" x14ac:dyDescent="0.25">
      <c r="A526" s="24">
        <v>624</v>
      </c>
    </row>
    <row r="527" spans="1:1" x14ac:dyDescent="0.25">
      <c r="A527" s="24">
        <v>625</v>
      </c>
    </row>
    <row r="528" spans="1:1" x14ac:dyDescent="0.25">
      <c r="A528" s="24">
        <v>626</v>
      </c>
    </row>
    <row r="529" spans="1:1" x14ac:dyDescent="0.25">
      <c r="A529" s="24">
        <v>627</v>
      </c>
    </row>
    <row r="530" spans="1:1" x14ac:dyDescent="0.25">
      <c r="A530" s="24">
        <v>628</v>
      </c>
    </row>
    <row r="531" spans="1:1" x14ac:dyDescent="0.25">
      <c r="A531" s="24">
        <v>629</v>
      </c>
    </row>
    <row r="532" spans="1:1" x14ac:dyDescent="0.25">
      <c r="A532" s="24">
        <v>630</v>
      </c>
    </row>
    <row r="533" spans="1:1" x14ac:dyDescent="0.25">
      <c r="A533" s="24">
        <v>631</v>
      </c>
    </row>
    <row r="534" spans="1:1" x14ac:dyDescent="0.25">
      <c r="A534" s="24">
        <v>632</v>
      </c>
    </row>
    <row r="535" spans="1:1" x14ac:dyDescent="0.25">
      <c r="A535" s="24">
        <v>633</v>
      </c>
    </row>
    <row r="536" spans="1:1" x14ac:dyDescent="0.25">
      <c r="A536" s="24">
        <v>634</v>
      </c>
    </row>
    <row r="537" spans="1:1" x14ac:dyDescent="0.25">
      <c r="A537" s="24">
        <v>635</v>
      </c>
    </row>
    <row r="538" spans="1:1" x14ac:dyDescent="0.25">
      <c r="A538" s="24">
        <v>636</v>
      </c>
    </row>
    <row r="539" spans="1:1" x14ac:dyDescent="0.25">
      <c r="A539" s="24">
        <v>637</v>
      </c>
    </row>
    <row r="540" spans="1:1" x14ac:dyDescent="0.25">
      <c r="A540" s="24">
        <v>638</v>
      </c>
    </row>
    <row r="541" spans="1:1" x14ac:dyDescent="0.25">
      <c r="A541" s="24">
        <v>639</v>
      </c>
    </row>
    <row r="542" spans="1:1" x14ac:dyDescent="0.25">
      <c r="A542" s="24">
        <v>640</v>
      </c>
    </row>
    <row r="543" spans="1:1" x14ac:dyDescent="0.25">
      <c r="A543" s="24">
        <v>641</v>
      </c>
    </row>
    <row r="544" spans="1:1" x14ac:dyDescent="0.25">
      <c r="A544" s="24">
        <v>642</v>
      </c>
    </row>
    <row r="545" spans="1:1" x14ac:dyDescent="0.25">
      <c r="A545" s="24">
        <v>643</v>
      </c>
    </row>
    <row r="546" spans="1:1" x14ac:dyDescent="0.25">
      <c r="A546" s="24">
        <v>644</v>
      </c>
    </row>
    <row r="547" spans="1:1" x14ac:dyDescent="0.25">
      <c r="A547" s="24">
        <v>645</v>
      </c>
    </row>
    <row r="548" spans="1:1" x14ac:dyDescent="0.25">
      <c r="A548" s="24">
        <v>646</v>
      </c>
    </row>
    <row r="549" spans="1:1" x14ac:dyDescent="0.25">
      <c r="A549" s="24">
        <v>647</v>
      </c>
    </row>
    <row r="550" spans="1:1" x14ac:dyDescent="0.25">
      <c r="A550" s="24">
        <v>648</v>
      </c>
    </row>
    <row r="551" spans="1:1" x14ac:dyDescent="0.25">
      <c r="A551" s="24">
        <v>649</v>
      </c>
    </row>
    <row r="552" spans="1:1" x14ac:dyDescent="0.25">
      <c r="A552" s="24">
        <v>650</v>
      </c>
    </row>
    <row r="553" spans="1:1" x14ac:dyDescent="0.25">
      <c r="A553" s="24">
        <v>651</v>
      </c>
    </row>
    <row r="554" spans="1:1" x14ac:dyDescent="0.25">
      <c r="A554" s="24">
        <v>652</v>
      </c>
    </row>
    <row r="555" spans="1:1" x14ac:dyDescent="0.25">
      <c r="A555" s="24">
        <v>653</v>
      </c>
    </row>
    <row r="556" spans="1:1" x14ac:dyDescent="0.25">
      <c r="A556" s="24">
        <v>654</v>
      </c>
    </row>
    <row r="557" spans="1:1" x14ac:dyDescent="0.25">
      <c r="A557" s="24">
        <v>655</v>
      </c>
    </row>
    <row r="558" spans="1:1" x14ac:dyDescent="0.25">
      <c r="A558" s="24">
        <v>656</v>
      </c>
    </row>
    <row r="559" spans="1:1" x14ac:dyDescent="0.25">
      <c r="A559" s="24">
        <v>657</v>
      </c>
    </row>
    <row r="560" spans="1:1" x14ac:dyDescent="0.25">
      <c r="A560" s="24">
        <v>658</v>
      </c>
    </row>
    <row r="561" spans="1:1" x14ac:dyDescent="0.25">
      <c r="A561" s="24">
        <v>659</v>
      </c>
    </row>
    <row r="562" spans="1:1" x14ac:dyDescent="0.25">
      <c r="A562" s="24">
        <v>660</v>
      </c>
    </row>
    <row r="563" spans="1:1" x14ac:dyDescent="0.25">
      <c r="A563" s="24">
        <v>661</v>
      </c>
    </row>
    <row r="564" spans="1:1" x14ac:dyDescent="0.25">
      <c r="A564" s="24">
        <v>662</v>
      </c>
    </row>
    <row r="565" spans="1:1" x14ac:dyDescent="0.25">
      <c r="A565" s="24">
        <v>663</v>
      </c>
    </row>
    <row r="566" spans="1:1" x14ac:dyDescent="0.25">
      <c r="A566" s="24">
        <v>664</v>
      </c>
    </row>
    <row r="567" spans="1:1" x14ac:dyDescent="0.25">
      <c r="A567" s="24">
        <v>665</v>
      </c>
    </row>
    <row r="568" spans="1:1" x14ac:dyDescent="0.25">
      <c r="A568" s="24">
        <v>666</v>
      </c>
    </row>
    <row r="569" spans="1:1" x14ac:dyDescent="0.25">
      <c r="A569" s="24">
        <v>667</v>
      </c>
    </row>
    <row r="570" spans="1:1" x14ac:dyDescent="0.25">
      <c r="A570" s="24">
        <v>668</v>
      </c>
    </row>
    <row r="571" spans="1:1" x14ac:dyDescent="0.25">
      <c r="A571" s="24">
        <v>669</v>
      </c>
    </row>
    <row r="572" spans="1:1" x14ac:dyDescent="0.25">
      <c r="A572" s="24">
        <v>670</v>
      </c>
    </row>
    <row r="573" spans="1:1" x14ac:dyDescent="0.25">
      <c r="A573" s="24">
        <v>671</v>
      </c>
    </row>
    <row r="574" spans="1:1" x14ac:dyDescent="0.25">
      <c r="A574" s="24">
        <v>672</v>
      </c>
    </row>
    <row r="575" spans="1:1" x14ac:dyDescent="0.25">
      <c r="A575" s="24">
        <v>673</v>
      </c>
    </row>
    <row r="576" spans="1:1" x14ac:dyDescent="0.25">
      <c r="A576" s="24">
        <v>674</v>
      </c>
    </row>
    <row r="577" spans="1:1" x14ac:dyDescent="0.25">
      <c r="A577" s="24">
        <v>675</v>
      </c>
    </row>
    <row r="578" spans="1:1" x14ac:dyDescent="0.25">
      <c r="A578" s="24">
        <v>676</v>
      </c>
    </row>
    <row r="579" spans="1:1" x14ac:dyDescent="0.25">
      <c r="A579" s="24">
        <v>677</v>
      </c>
    </row>
    <row r="580" spans="1:1" x14ac:dyDescent="0.25">
      <c r="A580" s="24">
        <v>678</v>
      </c>
    </row>
    <row r="581" spans="1:1" x14ac:dyDescent="0.25">
      <c r="A581" s="24">
        <v>679</v>
      </c>
    </row>
    <row r="582" spans="1:1" x14ac:dyDescent="0.25">
      <c r="A582" s="24">
        <v>680</v>
      </c>
    </row>
    <row r="583" spans="1:1" x14ac:dyDescent="0.25">
      <c r="A583" s="24">
        <v>681</v>
      </c>
    </row>
    <row r="584" spans="1:1" x14ac:dyDescent="0.25">
      <c r="A584" s="24">
        <v>682</v>
      </c>
    </row>
    <row r="585" spans="1:1" x14ac:dyDescent="0.25">
      <c r="A585" s="24">
        <v>683</v>
      </c>
    </row>
    <row r="586" spans="1:1" x14ac:dyDescent="0.25">
      <c r="A586" s="24">
        <v>684</v>
      </c>
    </row>
    <row r="587" spans="1:1" x14ac:dyDescent="0.25">
      <c r="A587" s="24">
        <v>685</v>
      </c>
    </row>
    <row r="588" spans="1:1" x14ac:dyDescent="0.25">
      <c r="A588" s="24">
        <v>686</v>
      </c>
    </row>
    <row r="589" spans="1:1" x14ac:dyDescent="0.25">
      <c r="A589" s="24">
        <v>687</v>
      </c>
    </row>
    <row r="590" spans="1:1" x14ac:dyDescent="0.25">
      <c r="A590" s="24">
        <v>688</v>
      </c>
    </row>
    <row r="591" spans="1:1" x14ac:dyDescent="0.25">
      <c r="A591" s="24">
        <v>689</v>
      </c>
    </row>
    <row r="592" spans="1:1" x14ac:dyDescent="0.25">
      <c r="A592" s="24">
        <v>690</v>
      </c>
    </row>
    <row r="593" spans="1:1" x14ac:dyDescent="0.25">
      <c r="A593" s="24">
        <v>691</v>
      </c>
    </row>
    <row r="594" spans="1:1" x14ac:dyDescent="0.25">
      <c r="A594" s="24">
        <v>692</v>
      </c>
    </row>
    <row r="595" spans="1:1" x14ac:dyDescent="0.25">
      <c r="A595" s="24">
        <v>693</v>
      </c>
    </row>
    <row r="596" spans="1:1" x14ac:dyDescent="0.25">
      <c r="A596" s="24">
        <v>694</v>
      </c>
    </row>
    <row r="597" spans="1:1" x14ac:dyDescent="0.25">
      <c r="A597" s="24">
        <v>695</v>
      </c>
    </row>
    <row r="598" spans="1:1" x14ac:dyDescent="0.25">
      <c r="A598" s="24">
        <v>696</v>
      </c>
    </row>
    <row r="599" spans="1:1" x14ac:dyDescent="0.25">
      <c r="A599" s="24">
        <v>697</v>
      </c>
    </row>
    <row r="600" spans="1:1" x14ac:dyDescent="0.25">
      <c r="A600" s="24">
        <v>698</v>
      </c>
    </row>
    <row r="601" spans="1:1" x14ac:dyDescent="0.25">
      <c r="A601" s="24">
        <v>699</v>
      </c>
    </row>
    <row r="602" spans="1:1" x14ac:dyDescent="0.25">
      <c r="A602" s="24">
        <v>700</v>
      </c>
    </row>
    <row r="603" spans="1:1" x14ac:dyDescent="0.25">
      <c r="A603" s="24">
        <v>701</v>
      </c>
    </row>
    <row r="604" spans="1:1" x14ac:dyDescent="0.25">
      <c r="A604" s="24">
        <v>702</v>
      </c>
    </row>
    <row r="605" spans="1:1" x14ac:dyDescent="0.25">
      <c r="A605" s="24">
        <v>703</v>
      </c>
    </row>
    <row r="606" spans="1:1" x14ac:dyDescent="0.25">
      <c r="A606" s="24">
        <v>704</v>
      </c>
    </row>
    <row r="607" spans="1:1" x14ac:dyDescent="0.25">
      <c r="A607" s="24">
        <v>705</v>
      </c>
    </row>
    <row r="608" spans="1:1" x14ac:dyDescent="0.25">
      <c r="A608" s="24">
        <v>706</v>
      </c>
    </row>
    <row r="609" spans="1:1" x14ac:dyDescent="0.25">
      <c r="A609" s="24">
        <v>707</v>
      </c>
    </row>
    <row r="610" spans="1:1" x14ac:dyDescent="0.25">
      <c r="A610" s="24">
        <v>708</v>
      </c>
    </row>
    <row r="611" spans="1:1" x14ac:dyDescent="0.25">
      <c r="A611" s="24">
        <v>709</v>
      </c>
    </row>
    <row r="612" spans="1:1" x14ac:dyDescent="0.25">
      <c r="A612" s="24">
        <v>710</v>
      </c>
    </row>
    <row r="613" spans="1:1" x14ac:dyDescent="0.25">
      <c r="A613" s="24">
        <v>711</v>
      </c>
    </row>
    <row r="614" spans="1:1" x14ac:dyDescent="0.25">
      <c r="A614" s="24">
        <v>712</v>
      </c>
    </row>
    <row r="615" spans="1:1" x14ac:dyDescent="0.25">
      <c r="A615" s="24">
        <v>713</v>
      </c>
    </row>
    <row r="616" spans="1:1" x14ac:dyDescent="0.25">
      <c r="A616" s="24">
        <v>714</v>
      </c>
    </row>
    <row r="617" spans="1:1" x14ac:dyDescent="0.25">
      <c r="A617" s="24">
        <v>715</v>
      </c>
    </row>
    <row r="618" spans="1:1" x14ac:dyDescent="0.25">
      <c r="A618" s="24">
        <v>716</v>
      </c>
    </row>
    <row r="619" spans="1:1" x14ac:dyDescent="0.25">
      <c r="A619" s="24">
        <v>717</v>
      </c>
    </row>
    <row r="620" spans="1:1" x14ac:dyDescent="0.25">
      <c r="A620" s="24">
        <v>718</v>
      </c>
    </row>
    <row r="621" spans="1:1" x14ac:dyDescent="0.25">
      <c r="A621" s="24">
        <v>719</v>
      </c>
    </row>
    <row r="622" spans="1:1" x14ac:dyDescent="0.25">
      <c r="A622" s="24">
        <v>720</v>
      </c>
    </row>
    <row r="623" spans="1:1" x14ac:dyDescent="0.25">
      <c r="A623" s="24">
        <v>721</v>
      </c>
    </row>
    <row r="624" spans="1:1" x14ac:dyDescent="0.25">
      <c r="A624" s="24">
        <v>722</v>
      </c>
    </row>
    <row r="625" spans="1:1" x14ac:dyDescent="0.25">
      <c r="A625" s="24">
        <v>723</v>
      </c>
    </row>
    <row r="626" spans="1:1" x14ac:dyDescent="0.25">
      <c r="A626" s="24">
        <v>724</v>
      </c>
    </row>
    <row r="627" spans="1:1" x14ac:dyDescent="0.25">
      <c r="A627" s="24">
        <v>725</v>
      </c>
    </row>
    <row r="628" spans="1:1" x14ac:dyDescent="0.25">
      <c r="A628" s="24">
        <v>726</v>
      </c>
    </row>
    <row r="629" spans="1:1" x14ac:dyDescent="0.25">
      <c r="A629" s="24">
        <v>727</v>
      </c>
    </row>
    <row r="630" spans="1:1" x14ac:dyDescent="0.25">
      <c r="A630" s="24">
        <v>728</v>
      </c>
    </row>
    <row r="631" spans="1:1" x14ac:dyDescent="0.25">
      <c r="A631" s="24">
        <v>729</v>
      </c>
    </row>
    <row r="632" spans="1:1" x14ac:dyDescent="0.25">
      <c r="A632" s="24">
        <v>730</v>
      </c>
    </row>
    <row r="633" spans="1:1" x14ac:dyDescent="0.25">
      <c r="A633" s="24">
        <v>731</v>
      </c>
    </row>
    <row r="634" spans="1:1" x14ac:dyDescent="0.25">
      <c r="A634" s="24">
        <v>732</v>
      </c>
    </row>
    <row r="635" spans="1:1" x14ac:dyDescent="0.25">
      <c r="A635" s="24">
        <v>733</v>
      </c>
    </row>
    <row r="636" spans="1:1" x14ac:dyDescent="0.25">
      <c r="A636" s="24">
        <v>734</v>
      </c>
    </row>
    <row r="637" spans="1:1" x14ac:dyDescent="0.25">
      <c r="A637" s="24">
        <v>735</v>
      </c>
    </row>
    <row r="638" spans="1:1" x14ac:dyDescent="0.25">
      <c r="A638" s="24">
        <v>736</v>
      </c>
    </row>
    <row r="639" spans="1:1" x14ac:dyDescent="0.25">
      <c r="A639" s="24">
        <v>737</v>
      </c>
    </row>
    <row r="640" spans="1:1" x14ac:dyDescent="0.25">
      <c r="A640" s="24">
        <v>738</v>
      </c>
    </row>
    <row r="641" spans="1:1" x14ac:dyDescent="0.25">
      <c r="A641" s="24">
        <v>739</v>
      </c>
    </row>
    <row r="642" spans="1:1" x14ac:dyDescent="0.25">
      <c r="A642" s="24">
        <v>740</v>
      </c>
    </row>
    <row r="643" spans="1:1" x14ac:dyDescent="0.25">
      <c r="A643" s="24">
        <v>741</v>
      </c>
    </row>
    <row r="644" spans="1:1" x14ac:dyDescent="0.25">
      <c r="A644" s="24">
        <v>742</v>
      </c>
    </row>
    <row r="645" spans="1:1" x14ac:dyDescent="0.25">
      <c r="A645" s="24">
        <v>743</v>
      </c>
    </row>
    <row r="646" spans="1:1" x14ac:dyDescent="0.25">
      <c r="A646" s="24">
        <v>744</v>
      </c>
    </row>
    <row r="647" spans="1:1" x14ac:dyDescent="0.25">
      <c r="A647" s="24">
        <v>745</v>
      </c>
    </row>
    <row r="648" spans="1:1" x14ac:dyDescent="0.25">
      <c r="A648" s="24">
        <v>746</v>
      </c>
    </row>
    <row r="649" spans="1:1" x14ac:dyDescent="0.25">
      <c r="A649" s="24">
        <v>747</v>
      </c>
    </row>
    <row r="650" spans="1:1" x14ac:dyDescent="0.25">
      <c r="A650" s="24">
        <v>748</v>
      </c>
    </row>
    <row r="651" spans="1:1" x14ac:dyDescent="0.25">
      <c r="A651" s="24">
        <v>749</v>
      </c>
    </row>
    <row r="652" spans="1:1" x14ac:dyDescent="0.25">
      <c r="A652" s="24">
        <v>750</v>
      </c>
    </row>
    <row r="653" spans="1:1" x14ac:dyDescent="0.25">
      <c r="A653" s="24">
        <v>751</v>
      </c>
    </row>
    <row r="654" spans="1:1" x14ac:dyDescent="0.25">
      <c r="A654" s="24">
        <v>752</v>
      </c>
    </row>
    <row r="655" spans="1:1" x14ac:dyDescent="0.25">
      <c r="A655" s="24">
        <v>753</v>
      </c>
    </row>
    <row r="656" spans="1:1" x14ac:dyDescent="0.25">
      <c r="A656" s="24">
        <v>754</v>
      </c>
    </row>
    <row r="657" spans="1:1" x14ac:dyDescent="0.25">
      <c r="A657" s="24">
        <v>755</v>
      </c>
    </row>
    <row r="658" spans="1:1" x14ac:dyDescent="0.25">
      <c r="A658" s="24">
        <v>756</v>
      </c>
    </row>
    <row r="659" spans="1:1" x14ac:dyDescent="0.25">
      <c r="A659" s="24">
        <v>757</v>
      </c>
    </row>
    <row r="660" spans="1:1" x14ac:dyDescent="0.25">
      <c r="A660" s="24">
        <v>758</v>
      </c>
    </row>
    <row r="661" spans="1:1" x14ac:dyDescent="0.25">
      <c r="A661" s="24">
        <v>759</v>
      </c>
    </row>
    <row r="662" spans="1:1" x14ac:dyDescent="0.25">
      <c r="A662" s="24">
        <v>760</v>
      </c>
    </row>
    <row r="663" spans="1:1" x14ac:dyDescent="0.25">
      <c r="A663" s="24">
        <v>761</v>
      </c>
    </row>
    <row r="664" spans="1:1" x14ac:dyDescent="0.25">
      <c r="A664" s="24">
        <v>762</v>
      </c>
    </row>
    <row r="665" spans="1:1" x14ac:dyDescent="0.25">
      <c r="A665" s="24">
        <v>763</v>
      </c>
    </row>
    <row r="666" spans="1:1" x14ac:dyDescent="0.25">
      <c r="A666" s="24">
        <v>764</v>
      </c>
    </row>
    <row r="667" spans="1:1" x14ac:dyDescent="0.25">
      <c r="A667" s="24">
        <v>765</v>
      </c>
    </row>
    <row r="668" spans="1:1" x14ac:dyDescent="0.25">
      <c r="A668" s="24">
        <v>766</v>
      </c>
    </row>
    <row r="669" spans="1:1" x14ac:dyDescent="0.25">
      <c r="A669" s="24">
        <v>767</v>
      </c>
    </row>
    <row r="670" spans="1:1" x14ac:dyDescent="0.25">
      <c r="A670" s="24">
        <v>768</v>
      </c>
    </row>
    <row r="671" spans="1:1" x14ac:dyDescent="0.25">
      <c r="A671" s="24">
        <v>769</v>
      </c>
    </row>
    <row r="672" spans="1:1" x14ac:dyDescent="0.25">
      <c r="A672" s="24">
        <v>770</v>
      </c>
    </row>
    <row r="673" spans="1:1" x14ac:dyDescent="0.25">
      <c r="A673" s="24">
        <v>771</v>
      </c>
    </row>
    <row r="674" spans="1:1" x14ac:dyDescent="0.25">
      <c r="A674" s="24">
        <v>772</v>
      </c>
    </row>
    <row r="675" spans="1:1" x14ac:dyDescent="0.25">
      <c r="A675" s="24">
        <v>773</v>
      </c>
    </row>
    <row r="676" spans="1:1" x14ac:dyDescent="0.25">
      <c r="A676" s="24">
        <v>774</v>
      </c>
    </row>
    <row r="677" spans="1:1" x14ac:dyDescent="0.25">
      <c r="A677" s="24">
        <v>775</v>
      </c>
    </row>
    <row r="678" spans="1:1" x14ac:dyDescent="0.25">
      <c r="A678" s="24">
        <v>776</v>
      </c>
    </row>
    <row r="679" spans="1:1" x14ac:dyDescent="0.25">
      <c r="A679" s="24">
        <v>777</v>
      </c>
    </row>
    <row r="680" spans="1:1" x14ac:dyDescent="0.25">
      <c r="A680" s="24">
        <v>778</v>
      </c>
    </row>
    <row r="681" spans="1:1" x14ac:dyDescent="0.25">
      <c r="A681" s="24">
        <v>779</v>
      </c>
    </row>
    <row r="682" spans="1:1" x14ac:dyDescent="0.25">
      <c r="A682" s="24">
        <v>780</v>
      </c>
    </row>
    <row r="683" spans="1:1" x14ac:dyDescent="0.25">
      <c r="A683" s="24">
        <v>781</v>
      </c>
    </row>
    <row r="684" spans="1:1" x14ac:dyDescent="0.25">
      <c r="A684" s="24">
        <v>782</v>
      </c>
    </row>
    <row r="685" spans="1:1" x14ac:dyDescent="0.25">
      <c r="A685" s="24">
        <v>783</v>
      </c>
    </row>
    <row r="686" spans="1:1" x14ac:dyDescent="0.25">
      <c r="A686" s="24">
        <v>784</v>
      </c>
    </row>
    <row r="687" spans="1:1" x14ac:dyDescent="0.25">
      <c r="A687" s="24">
        <v>785</v>
      </c>
    </row>
    <row r="688" spans="1:1" x14ac:dyDescent="0.25">
      <c r="A688" s="24">
        <v>786</v>
      </c>
    </row>
    <row r="689" spans="1:1" x14ac:dyDescent="0.25">
      <c r="A689" s="24">
        <v>787</v>
      </c>
    </row>
    <row r="690" spans="1:1" x14ac:dyDescent="0.25">
      <c r="A690" s="24">
        <v>788</v>
      </c>
    </row>
    <row r="691" spans="1:1" x14ac:dyDescent="0.25">
      <c r="A691" s="24">
        <v>789</v>
      </c>
    </row>
    <row r="692" spans="1:1" x14ac:dyDescent="0.25">
      <c r="A692" s="24">
        <v>790</v>
      </c>
    </row>
    <row r="693" spans="1:1" x14ac:dyDescent="0.25">
      <c r="A693" s="24">
        <v>791</v>
      </c>
    </row>
    <row r="694" spans="1:1" x14ac:dyDescent="0.25">
      <c r="A694" s="24">
        <v>792</v>
      </c>
    </row>
    <row r="695" spans="1:1" x14ac:dyDescent="0.25">
      <c r="A695" s="24">
        <v>793</v>
      </c>
    </row>
    <row r="696" spans="1:1" x14ac:dyDescent="0.25">
      <c r="A696" s="24">
        <v>794</v>
      </c>
    </row>
    <row r="697" spans="1:1" x14ac:dyDescent="0.25">
      <c r="A697" s="24">
        <v>795</v>
      </c>
    </row>
    <row r="698" spans="1:1" x14ac:dyDescent="0.25">
      <c r="A698" s="24">
        <v>796</v>
      </c>
    </row>
    <row r="699" spans="1:1" x14ac:dyDescent="0.25">
      <c r="A699" s="24">
        <v>797</v>
      </c>
    </row>
    <row r="700" spans="1:1" x14ac:dyDescent="0.25">
      <c r="A700" s="24">
        <v>798</v>
      </c>
    </row>
    <row r="701" spans="1:1" x14ac:dyDescent="0.25">
      <c r="A701" s="24">
        <v>799</v>
      </c>
    </row>
    <row r="702" spans="1:1" x14ac:dyDescent="0.25">
      <c r="A702" s="24">
        <v>800</v>
      </c>
    </row>
    <row r="703" spans="1:1" x14ac:dyDescent="0.25">
      <c r="A703" s="24">
        <v>801</v>
      </c>
    </row>
    <row r="704" spans="1:1" x14ac:dyDescent="0.25">
      <c r="A704" s="24">
        <v>802</v>
      </c>
    </row>
    <row r="705" spans="1:1" x14ac:dyDescent="0.25">
      <c r="A705" s="24">
        <v>803</v>
      </c>
    </row>
    <row r="706" spans="1:1" x14ac:dyDescent="0.25">
      <c r="A706" s="24">
        <v>804</v>
      </c>
    </row>
    <row r="707" spans="1:1" x14ac:dyDescent="0.25">
      <c r="A707" s="24">
        <v>805</v>
      </c>
    </row>
    <row r="708" spans="1:1" x14ac:dyDescent="0.25">
      <c r="A708" s="24">
        <v>806</v>
      </c>
    </row>
    <row r="709" spans="1:1" x14ac:dyDescent="0.25">
      <c r="A709" s="24">
        <v>807</v>
      </c>
    </row>
    <row r="710" spans="1:1" x14ac:dyDescent="0.25">
      <c r="A710" s="24">
        <v>808</v>
      </c>
    </row>
    <row r="711" spans="1:1" x14ac:dyDescent="0.25">
      <c r="A711" s="24">
        <v>809</v>
      </c>
    </row>
    <row r="712" spans="1:1" x14ac:dyDescent="0.25">
      <c r="A712" s="24">
        <v>810</v>
      </c>
    </row>
    <row r="713" spans="1:1" x14ac:dyDescent="0.25">
      <c r="A713" s="24">
        <v>811</v>
      </c>
    </row>
    <row r="714" spans="1:1" x14ac:dyDescent="0.25">
      <c r="A714" s="24">
        <v>812</v>
      </c>
    </row>
    <row r="715" spans="1:1" x14ac:dyDescent="0.25">
      <c r="A715" s="24">
        <v>813</v>
      </c>
    </row>
    <row r="716" spans="1:1" x14ac:dyDescent="0.25">
      <c r="A716" s="24">
        <v>814</v>
      </c>
    </row>
    <row r="717" spans="1:1" x14ac:dyDescent="0.25">
      <c r="A717" s="24">
        <v>815</v>
      </c>
    </row>
    <row r="718" spans="1:1" x14ac:dyDescent="0.25">
      <c r="A718" s="24">
        <v>816</v>
      </c>
    </row>
    <row r="719" spans="1:1" x14ac:dyDescent="0.25">
      <c r="A719" s="24">
        <v>817</v>
      </c>
    </row>
    <row r="720" spans="1:1" x14ac:dyDescent="0.25">
      <c r="A720" s="24">
        <v>818</v>
      </c>
    </row>
    <row r="721" spans="1:1" x14ac:dyDescent="0.25">
      <c r="A721" s="24">
        <v>819</v>
      </c>
    </row>
    <row r="722" spans="1:1" x14ac:dyDescent="0.25">
      <c r="A722" s="24">
        <v>820</v>
      </c>
    </row>
    <row r="723" spans="1:1" x14ac:dyDescent="0.25">
      <c r="A723" s="24">
        <v>821</v>
      </c>
    </row>
    <row r="724" spans="1:1" x14ac:dyDescent="0.25">
      <c r="A724" s="24">
        <v>822</v>
      </c>
    </row>
    <row r="725" spans="1:1" x14ac:dyDescent="0.25">
      <c r="A725" s="24">
        <v>823</v>
      </c>
    </row>
    <row r="726" spans="1:1" x14ac:dyDescent="0.25">
      <c r="A726" s="24">
        <v>824</v>
      </c>
    </row>
    <row r="727" spans="1:1" x14ac:dyDescent="0.25">
      <c r="A727" s="24">
        <v>825</v>
      </c>
    </row>
    <row r="728" spans="1:1" x14ac:dyDescent="0.25">
      <c r="A728" s="24">
        <v>826</v>
      </c>
    </row>
    <row r="729" spans="1:1" x14ac:dyDescent="0.25">
      <c r="A729" s="24">
        <v>827</v>
      </c>
    </row>
    <row r="730" spans="1:1" x14ac:dyDescent="0.25">
      <c r="A730" s="24">
        <v>828</v>
      </c>
    </row>
    <row r="731" spans="1:1" x14ac:dyDescent="0.25">
      <c r="A731" s="24">
        <v>829</v>
      </c>
    </row>
    <row r="732" spans="1:1" x14ac:dyDescent="0.25">
      <c r="A732" s="24">
        <v>830</v>
      </c>
    </row>
    <row r="733" spans="1:1" x14ac:dyDescent="0.25">
      <c r="A733" s="24">
        <v>831</v>
      </c>
    </row>
    <row r="734" spans="1:1" x14ac:dyDescent="0.25">
      <c r="A734" s="24">
        <v>832</v>
      </c>
    </row>
    <row r="735" spans="1:1" x14ac:dyDescent="0.25">
      <c r="A735" s="24">
        <v>833</v>
      </c>
    </row>
    <row r="736" spans="1:1" x14ac:dyDescent="0.25">
      <c r="A736" s="24">
        <v>834</v>
      </c>
    </row>
    <row r="737" spans="1:1" x14ac:dyDescent="0.25">
      <c r="A737" s="24">
        <v>835</v>
      </c>
    </row>
    <row r="738" spans="1:1" x14ac:dyDescent="0.25">
      <c r="A738" s="24">
        <v>836</v>
      </c>
    </row>
    <row r="739" spans="1:1" x14ac:dyDescent="0.25">
      <c r="A739" s="24">
        <v>837</v>
      </c>
    </row>
    <row r="740" spans="1:1" x14ac:dyDescent="0.25">
      <c r="A740" s="24">
        <v>838</v>
      </c>
    </row>
    <row r="741" spans="1:1" x14ac:dyDescent="0.25">
      <c r="A741" s="24">
        <v>839</v>
      </c>
    </row>
    <row r="742" spans="1:1" x14ac:dyDescent="0.25">
      <c r="A742" s="24">
        <v>840</v>
      </c>
    </row>
    <row r="743" spans="1:1" x14ac:dyDescent="0.25">
      <c r="A743" s="24">
        <v>841</v>
      </c>
    </row>
    <row r="744" spans="1:1" x14ac:dyDescent="0.25">
      <c r="A744" s="24">
        <v>842</v>
      </c>
    </row>
    <row r="745" spans="1:1" x14ac:dyDescent="0.25">
      <c r="A745" s="24">
        <v>843</v>
      </c>
    </row>
    <row r="746" spans="1:1" x14ac:dyDescent="0.25">
      <c r="A746" s="24">
        <v>844</v>
      </c>
    </row>
    <row r="747" spans="1:1" x14ac:dyDescent="0.25">
      <c r="A747" s="24">
        <v>845</v>
      </c>
    </row>
    <row r="748" spans="1:1" x14ac:dyDescent="0.25">
      <c r="A748" s="24">
        <v>846</v>
      </c>
    </row>
    <row r="749" spans="1:1" x14ac:dyDescent="0.25">
      <c r="A749" s="24">
        <v>847</v>
      </c>
    </row>
    <row r="750" spans="1:1" x14ac:dyDescent="0.25">
      <c r="A750" s="24">
        <v>848</v>
      </c>
    </row>
    <row r="751" spans="1:1" x14ac:dyDescent="0.25">
      <c r="A751" s="24">
        <v>849</v>
      </c>
    </row>
    <row r="752" spans="1:1" x14ac:dyDescent="0.25">
      <c r="A752" s="24">
        <v>850</v>
      </c>
    </row>
    <row r="753" spans="1:1" x14ac:dyDescent="0.25">
      <c r="A753" s="24">
        <v>851</v>
      </c>
    </row>
    <row r="754" spans="1:1" x14ac:dyDescent="0.25">
      <c r="A754" s="24">
        <v>852</v>
      </c>
    </row>
    <row r="755" spans="1:1" x14ac:dyDescent="0.25">
      <c r="A755" s="24">
        <v>853</v>
      </c>
    </row>
    <row r="756" spans="1:1" x14ac:dyDescent="0.25">
      <c r="A756" s="24">
        <v>854</v>
      </c>
    </row>
    <row r="757" spans="1:1" x14ac:dyDescent="0.25">
      <c r="A757" s="24">
        <v>855</v>
      </c>
    </row>
    <row r="758" spans="1:1" x14ac:dyDescent="0.25">
      <c r="A758" s="24">
        <v>856</v>
      </c>
    </row>
    <row r="759" spans="1:1" x14ac:dyDescent="0.25">
      <c r="A759" s="24">
        <v>857</v>
      </c>
    </row>
    <row r="760" spans="1:1" x14ac:dyDescent="0.25">
      <c r="A760" s="24">
        <v>858</v>
      </c>
    </row>
    <row r="761" spans="1:1" x14ac:dyDescent="0.25">
      <c r="A761" s="24">
        <v>859</v>
      </c>
    </row>
    <row r="762" spans="1:1" x14ac:dyDescent="0.25">
      <c r="A762" s="24">
        <v>860</v>
      </c>
    </row>
    <row r="763" spans="1:1" x14ac:dyDescent="0.25">
      <c r="A763" s="24">
        <v>861</v>
      </c>
    </row>
    <row r="764" spans="1:1" x14ac:dyDescent="0.25">
      <c r="A764" s="24">
        <v>862</v>
      </c>
    </row>
    <row r="765" spans="1:1" x14ac:dyDescent="0.25">
      <c r="A765" s="24">
        <v>863</v>
      </c>
    </row>
    <row r="766" spans="1:1" x14ac:dyDescent="0.25">
      <c r="A766" s="24">
        <v>864</v>
      </c>
    </row>
    <row r="767" spans="1:1" x14ac:dyDescent="0.25">
      <c r="A767" s="24">
        <v>865</v>
      </c>
    </row>
    <row r="768" spans="1:1" x14ac:dyDescent="0.25">
      <c r="A768" s="24">
        <v>866</v>
      </c>
    </row>
    <row r="769" spans="1:1" x14ac:dyDescent="0.25">
      <c r="A769" s="24">
        <v>867</v>
      </c>
    </row>
    <row r="770" spans="1:1" x14ac:dyDescent="0.25">
      <c r="A770" s="24">
        <v>868</v>
      </c>
    </row>
    <row r="771" spans="1:1" x14ac:dyDescent="0.25">
      <c r="A771" s="24">
        <v>869</v>
      </c>
    </row>
    <row r="772" spans="1:1" x14ac:dyDescent="0.25">
      <c r="A772" s="24">
        <v>870</v>
      </c>
    </row>
    <row r="773" spans="1:1" x14ac:dyDescent="0.25">
      <c r="A773" s="24">
        <v>871</v>
      </c>
    </row>
    <row r="774" spans="1:1" x14ac:dyDescent="0.25">
      <c r="A774" s="24">
        <v>872</v>
      </c>
    </row>
    <row r="775" spans="1:1" x14ac:dyDescent="0.25">
      <c r="A775" s="24">
        <v>873</v>
      </c>
    </row>
    <row r="776" spans="1:1" x14ac:dyDescent="0.25">
      <c r="A776" s="24">
        <v>874</v>
      </c>
    </row>
    <row r="777" spans="1:1" x14ac:dyDescent="0.25">
      <c r="A777" s="24">
        <v>875</v>
      </c>
    </row>
    <row r="778" spans="1:1" x14ac:dyDescent="0.25">
      <c r="A778" s="24">
        <v>876</v>
      </c>
    </row>
    <row r="779" spans="1:1" x14ac:dyDescent="0.25">
      <c r="A779" s="24">
        <v>877</v>
      </c>
    </row>
    <row r="780" spans="1:1" x14ac:dyDescent="0.25">
      <c r="A780" s="24">
        <v>878</v>
      </c>
    </row>
    <row r="781" spans="1:1" x14ac:dyDescent="0.25">
      <c r="A781" s="24">
        <v>879</v>
      </c>
    </row>
    <row r="782" spans="1:1" x14ac:dyDescent="0.25">
      <c r="A782" s="24">
        <v>880</v>
      </c>
    </row>
    <row r="783" spans="1:1" x14ac:dyDescent="0.25">
      <c r="A783" s="24">
        <v>881</v>
      </c>
    </row>
    <row r="784" spans="1:1" x14ac:dyDescent="0.25">
      <c r="A784" s="24">
        <v>882</v>
      </c>
    </row>
    <row r="785" spans="1:1" x14ac:dyDescent="0.25">
      <c r="A785" s="24">
        <v>883</v>
      </c>
    </row>
    <row r="786" spans="1:1" x14ac:dyDescent="0.25">
      <c r="A786" s="24">
        <v>884</v>
      </c>
    </row>
    <row r="787" spans="1:1" x14ac:dyDescent="0.25">
      <c r="A787" s="24">
        <v>885</v>
      </c>
    </row>
    <row r="788" spans="1:1" x14ac:dyDescent="0.25">
      <c r="A788" s="24">
        <v>886</v>
      </c>
    </row>
    <row r="789" spans="1:1" x14ac:dyDescent="0.25">
      <c r="A789" s="24">
        <v>887</v>
      </c>
    </row>
    <row r="790" spans="1:1" x14ac:dyDescent="0.25">
      <c r="A790" s="24">
        <v>888</v>
      </c>
    </row>
    <row r="791" spans="1:1" x14ac:dyDescent="0.25">
      <c r="A791" s="24">
        <v>889</v>
      </c>
    </row>
    <row r="792" spans="1:1" x14ac:dyDescent="0.25">
      <c r="A792" s="24">
        <v>890</v>
      </c>
    </row>
    <row r="793" spans="1:1" x14ac:dyDescent="0.25">
      <c r="A793" s="24">
        <v>891</v>
      </c>
    </row>
    <row r="794" spans="1:1" x14ac:dyDescent="0.25">
      <c r="A794" s="24">
        <v>892</v>
      </c>
    </row>
    <row r="795" spans="1:1" x14ac:dyDescent="0.25">
      <c r="A795" s="24">
        <v>893</v>
      </c>
    </row>
    <row r="796" spans="1:1" x14ac:dyDescent="0.25">
      <c r="A796" s="24">
        <v>894</v>
      </c>
    </row>
    <row r="797" spans="1:1" x14ac:dyDescent="0.25">
      <c r="A797" s="24">
        <v>895</v>
      </c>
    </row>
    <row r="798" spans="1:1" x14ac:dyDescent="0.25">
      <c r="A798" s="24">
        <v>896</v>
      </c>
    </row>
    <row r="799" spans="1:1" x14ac:dyDescent="0.25">
      <c r="A799" s="24">
        <v>897</v>
      </c>
    </row>
    <row r="800" spans="1:1" x14ac:dyDescent="0.25">
      <c r="A800" s="24">
        <v>898</v>
      </c>
    </row>
    <row r="801" spans="1:1" x14ac:dyDescent="0.25">
      <c r="A801" s="24">
        <v>899</v>
      </c>
    </row>
    <row r="802" spans="1:1" x14ac:dyDescent="0.25">
      <c r="A802" s="24">
        <v>900</v>
      </c>
    </row>
    <row r="803" spans="1:1" x14ac:dyDescent="0.25">
      <c r="A803" s="24">
        <v>901</v>
      </c>
    </row>
    <row r="804" spans="1:1" x14ac:dyDescent="0.25">
      <c r="A804" s="24">
        <v>902</v>
      </c>
    </row>
    <row r="805" spans="1:1" x14ac:dyDescent="0.25">
      <c r="A805" s="24">
        <v>903</v>
      </c>
    </row>
    <row r="806" spans="1:1" x14ac:dyDescent="0.25">
      <c r="A806" s="24">
        <v>904</v>
      </c>
    </row>
    <row r="807" spans="1:1" x14ac:dyDescent="0.25">
      <c r="A807" s="24">
        <v>905</v>
      </c>
    </row>
    <row r="808" spans="1:1" x14ac:dyDescent="0.25">
      <c r="A808" s="24">
        <v>906</v>
      </c>
    </row>
    <row r="809" spans="1:1" x14ac:dyDescent="0.25">
      <c r="A809" s="24">
        <v>907</v>
      </c>
    </row>
    <row r="810" spans="1:1" x14ac:dyDescent="0.25">
      <c r="A810" s="24">
        <v>908</v>
      </c>
    </row>
    <row r="811" spans="1:1" x14ac:dyDescent="0.25">
      <c r="A811" s="24">
        <v>909</v>
      </c>
    </row>
    <row r="812" spans="1:1" x14ac:dyDescent="0.25">
      <c r="A812" s="24">
        <v>910</v>
      </c>
    </row>
    <row r="813" spans="1:1" x14ac:dyDescent="0.25">
      <c r="A813" s="24">
        <v>911</v>
      </c>
    </row>
    <row r="814" spans="1:1" x14ac:dyDescent="0.25">
      <c r="A814" s="24">
        <v>912</v>
      </c>
    </row>
    <row r="815" spans="1:1" x14ac:dyDescent="0.25">
      <c r="A815" s="24">
        <v>913</v>
      </c>
    </row>
    <row r="816" spans="1:1" x14ac:dyDescent="0.25">
      <c r="A816" s="24">
        <v>914</v>
      </c>
    </row>
    <row r="817" spans="1:1" x14ac:dyDescent="0.25">
      <c r="A817" s="24">
        <v>915</v>
      </c>
    </row>
    <row r="818" spans="1:1" x14ac:dyDescent="0.25">
      <c r="A818" s="24">
        <v>916</v>
      </c>
    </row>
    <row r="819" spans="1:1" x14ac:dyDescent="0.25">
      <c r="A819" s="24">
        <v>917</v>
      </c>
    </row>
    <row r="820" spans="1:1" x14ac:dyDescent="0.25">
      <c r="A820" s="24">
        <v>918</v>
      </c>
    </row>
    <row r="821" spans="1:1" x14ac:dyDescent="0.25">
      <c r="A821" s="24">
        <v>919</v>
      </c>
    </row>
    <row r="822" spans="1:1" x14ac:dyDescent="0.25">
      <c r="A822" s="24">
        <v>920</v>
      </c>
    </row>
    <row r="823" spans="1:1" x14ac:dyDescent="0.25">
      <c r="A823" s="24">
        <v>921</v>
      </c>
    </row>
    <row r="824" spans="1:1" x14ac:dyDescent="0.25">
      <c r="A824" s="24">
        <v>922</v>
      </c>
    </row>
    <row r="825" spans="1:1" x14ac:dyDescent="0.25">
      <c r="A825" s="24">
        <v>923</v>
      </c>
    </row>
    <row r="826" spans="1:1" x14ac:dyDescent="0.25">
      <c r="A826" s="24">
        <v>924</v>
      </c>
    </row>
    <row r="827" spans="1:1" x14ac:dyDescent="0.25">
      <c r="A827" s="24">
        <v>925</v>
      </c>
    </row>
    <row r="828" spans="1:1" x14ac:dyDescent="0.25">
      <c r="A828" s="24">
        <v>926</v>
      </c>
    </row>
    <row r="829" spans="1:1" x14ac:dyDescent="0.25">
      <c r="A829" s="24">
        <v>927</v>
      </c>
    </row>
    <row r="830" spans="1:1" x14ac:dyDescent="0.25">
      <c r="A830" s="24">
        <v>928</v>
      </c>
    </row>
    <row r="831" spans="1:1" x14ac:dyDescent="0.25">
      <c r="A831" s="24">
        <v>929</v>
      </c>
    </row>
    <row r="832" spans="1:1" x14ac:dyDescent="0.25">
      <c r="A832" s="24">
        <v>930</v>
      </c>
    </row>
    <row r="833" spans="1:1" x14ac:dyDescent="0.25">
      <c r="A833" s="24">
        <v>931</v>
      </c>
    </row>
    <row r="834" spans="1:1" x14ac:dyDescent="0.25">
      <c r="A834" s="24">
        <v>932</v>
      </c>
    </row>
    <row r="835" spans="1:1" x14ac:dyDescent="0.25">
      <c r="A835" s="24">
        <v>933</v>
      </c>
    </row>
    <row r="836" spans="1:1" x14ac:dyDescent="0.25">
      <c r="A836" s="24">
        <v>934</v>
      </c>
    </row>
    <row r="837" spans="1:1" x14ac:dyDescent="0.25">
      <c r="A837" s="24">
        <v>935</v>
      </c>
    </row>
    <row r="838" spans="1:1" x14ac:dyDescent="0.25">
      <c r="A838" s="24">
        <v>936</v>
      </c>
    </row>
    <row r="839" spans="1:1" x14ac:dyDescent="0.25">
      <c r="A839" s="24">
        <v>937</v>
      </c>
    </row>
    <row r="840" spans="1:1" x14ac:dyDescent="0.25">
      <c r="A840" s="24">
        <v>938</v>
      </c>
    </row>
    <row r="841" spans="1:1" x14ac:dyDescent="0.25">
      <c r="A841" s="24">
        <v>939</v>
      </c>
    </row>
    <row r="842" spans="1:1" x14ac:dyDescent="0.25">
      <c r="A842" s="24">
        <v>940</v>
      </c>
    </row>
    <row r="843" spans="1:1" x14ac:dyDescent="0.25">
      <c r="A843" s="24">
        <v>941</v>
      </c>
    </row>
    <row r="844" spans="1:1" x14ac:dyDescent="0.25">
      <c r="A844" s="24">
        <v>942</v>
      </c>
    </row>
    <row r="845" spans="1:1" x14ac:dyDescent="0.25">
      <c r="A845" s="24">
        <v>943</v>
      </c>
    </row>
    <row r="846" spans="1:1" x14ac:dyDescent="0.25">
      <c r="A846" s="24">
        <v>944</v>
      </c>
    </row>
    <row r="847" spans="1:1" x14ac:dyDescent="0.25">
      <c r="A847" s="24">
        <v>945</v>
      </c>
    </row>
    <row r="848" spans="1:1" x14ac:dyDescent="0.25">
      <c r="A848" s="24">
        <v>946</v>
      </c>
    </row>
    <row r="849" spans="1:1" x14ac:dyDescent="0.25">
      <c r="A849" s="24">
        <v>947</v>
      </c>
    </row>
    <row r="850" spans="1:1" x14ac:dyDescent="0.25">
      <c r="A850" s="24">
        <v>948</v>
      </c>
    </row>
    <row r="851" spans="1:1" x14ac:dyDescent="0.25">
      <c r="A851" s="24">
        <v>949</v>
      </c>
    </row>
    <row r="852" spans="1:1" x14ac:dyDescent="0.25">
      <c r="A852" s="24">
        <v>950</v>
      </c>
    </row>
    <row r="853" spans="1:1" x14ac:dyDescent="0.25">
      <c r="A853" s="24">
        <v>951</v>
      </c>
    </row>
    <row r="854" spans="1:1" x14ac:dyDescent="0.25">
      <c r="A854" s="24">
        <v>952</v>
      </c>
    </row>
    <row r="855" spans="1:1" x14ac:dyDescent="0.25">
      <c r="A855" s="24">
        <v>953</v>
      </c>
    </row>
    <row r="856" spans="1:1" x14ac:dyDescent="0.25">
      <c r="A856" s="24">
        <v>954</v>
      </c>
    </row>
    <row r="857" spans="1:1" x14ac:dyDescent="0.25">
      <c r="A857" s="24">
        <v>955</v>
      </c>
    </row>
    <row r="858" spans="1:1" x14ac:dyDescent="0.25">
      <c r="A858" s="24">
        <v>956</v>
      </c>
    </row>
    <row r="859" spans="1:1" x14ac:dyDescent="0.25">
      <c r="A859" s="24">
        <v>957</v>
      </c>
    </row>
    <row r="860" spans="1:1" x14ac:dyDescent="0.25">
      <c r="A860" s="24">
        <v>958</v>
      </c>
    </row>
    <row r="861" spans="1:1" x14ac:dyDescent="0.25">
      <c r="A861" s="24">
        <v>959</v>
      </c>
    </row>
    <row r="862" spans="1:1" x14ac:dyDescent="0.25">
      <c r="A862" s="24">
        <v>960</v>
      </c>
    </row>
    <row r="863" spans="1:1" x14ac:dyDescent="0.25">
      <c r="A863" s="24">
        <v>961</v>
      </c>
    </row>
    <row r="864" spans="1:1" x14ac:dyDescent="0.25">
      <c r="A864" s="24">
        <v>962</v>
      </c>
    </row>
    <row r="865" spans="1:1" x14ac:dyDescent="0.25">
      <c r="A865" s="24">
        <v>963</v>
      </c>
    </row>
    <row r="866" spans="1:1" x14ac:dyDescent="0.25">
      <c r="A866" s="24">
        <v>964</v>
      </c>
    </row>
    <row r="867" spans="1:1" x14ac:dyDescent="0.25">
      <c r="A867" s="24">
        <v>965</v>
      </c>
    </row>
    <row r="868" spans="1:1" x14ac:dyDescent="0.25">
      <c r="A868" s="24">
        <v>966</v>
      </c>
    </row>
    <row r="869" spans="1:1" x14ac:dyDescent="0.25">
      <c r="A869" s="24">
        <v>967</v>
      </c>
    </row>
    <row r="870" spans="1:1" x14ac:dyDescent="0.25">
      <c r="A870" s="24">
        <v>968</v>
      </c>
    </row>
    <row r="871" spans="1:1" x14ac:dyDescent="0.25">
      <c r="A871" s="24">
        <v>969</v>
      </c>
    </row>
    <row r="872" spans="1:1" x14ac:dyDescent="0.25">
      <c r="A872" s="24">
        <v>970</v>
      </c>
    </row>
    <row r="873" spans="1:1" x14ac:dyDescent="0.25">
      <c r="A873" s="24">
        <v>971</v>
      </c>
    </row>
    <row r="874" spans="1:1" x14ac:dyDescent="0.25">
      <c r="A874" s="24">
        <v>972</v>
      </c>
    </row>
    <row r="875" spans="1:1" x14ac:dyDescent="0.25">
      <c r="A875" s="24">
        <v>973</v>
      </c>
    </row>
    <row r="876" spans="1:1" x14ac:dyDescent="0.25">
      <c r="A876" s="24">
        <v>974</v>
      </c>
    </row>
    <row r="877" spans="1:1" x14ac:dyDescent="0.25">
      <c r="A877" s="24">
        <v>975</v>
      </c>
    </row>
    <row r="878" spans="1:1" x14ac:dyDescent="0.25">
      <c r="A878" s="24">
        <v>976</v>
      </c>
    </row>
    <row r="879" spans="1:1" x14ac:dyDescent="0.25">
      <c r="A879" s="24">
        <v>977</v>
      </c>
    </row>
    <row r="880" spans="1:1" x14ac:dyDescent="0.25">
      <c r="A880" s="24">
        <v>978</v>
      </c>
    </row>
    <row r="881" spans="1:1" x14ac:dyDescent="0.25">
      <c r="A881" s="24">
        <v>979</v>
      </c>
    </row>
    <row r="882" spans="1:1" x14ac:dyDescent="0.25">
      <c r="A882" s="24">
        <v>980</v>
      </c>
    </row>
    <row r="883" spans="1:1" x14ac:dyDescent="0.25">
      <c r="A883" s="24">
        <v>981</v>
      </c>
    </row>
    <row r="884" spans="1:1" x14ac:dyDescent="0.25">
      <c r="A884" s="24">
        <v>982</v>
      </c>
    </row>
    <row r="885" spans="1:1" x14ac:dyDescent="0.25">
      <c r="A885" s="24">
        <v>983</v>
      </c>
    </row>
    <row r="886" spans="1:1" x14ac:dyDescent="0.25">
      <c r="A886" s="24">
        <v>984</v>
      </c>
    </row>
    <row r="887" spans="1:1" x14ac:dyDescent="0.25">
      <c r="A887" s="24">
        <v>985</v>
      </c>
    </row>
    <row r="888" spans="1:1" x14ac:dyDescent="0.25">
      <c r="A888" s="24">
        <v>986</v>
      </c>
    </row>
    <row r="889" spans="1:1" x14ac:dyDescent="0.25">
      <c r="A889" s="24">
        <v>987</v>
      </c>
    </row>
    <row r="890" spans="1:1" x14ac:dyDescent="0.25">
      <c r="A890" s="24">
        <v>988</v>
      </c>
    </row>
    <row r="891" spans="1:1" x14ac:dyDescent="0.25">
      <c r="A891" s="24">
        <v>989</v>
      </c>
    </row>
    <row r="892" spans="1:1" x14ac:dyDescent="0.25">
      <c r="A892" s="24">
        <v>990</v>
      </c>
    </row>
    <row r="893" spans="1:1" x14ac:dyDescent="0.25">
      <c r="A893" s="24">
        <v>991</v>
      </c>
    </row>
    <row r="894" spans="1:1" x14ac:dyDescent="0.25">
      <c r="A894" s="24">
        <v>992</v>
      </c>
    </row>
    <row r="895" spans="1:1" x14ac:dyDescent="0.25">
      <c r="A895" s="24">
        <v>993</v>
      </c>
    </row>
    <row r="896" spans="1:1" x14ac:dyDescent="0.25">
      <c r="A896" s="24">
        <v>994</v>
      </c>
    </row>
    <row r="897" spans="1:1" x14ac:dyDescent="0.25">
      <c r="A897" s="24">
        <v>995</v>
      </c>
    </row>
    <row r="898" spans="1:1" x14ac:dyDescent="0.25">
      <c r="A898" s="24">
        <v>996</v>
      </c>
    </row>
    <row r="899" spans="1:1" x14ac:dyDescent="0.25">
      <c r="A899" s="24">
        <v>997</v>
      </c>
    </row>
    <row r="900" spans="1:1" x14ac:dyDescent="0.25">
      <c r="A900" s="24">
        <v>998</v>
      </c>
    </row>
    <row r="901" spans="1:1" x14ac:dyDescent="0.25">
      <c r="A901" s="24">
        <v>999</v>
      </c>
    </row>
    <row r="902" spans="1:1" x14ac:dyDescent="0.25">
      <c r="A902" s="24">
        <v>1000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K358"/>
  <sheetViews>
    <sheetView workbookViewId="0"/>
  </sheetViews>
  <sheetFormatPr defaultRowHeight="15" x14ac:dyDescent="0.25"/>
  <sheetData>
    <row r="1" spans="1:11" x14ac:dyDescent="0.25">
      <c r="A1" s="5" t="s">
        <v>29</v>
      </c>
      <c r="B1" s="5" t="s">
        <v>33</v>
      </c>
      <c r="C1" s="5" t="s">
        <v>34</v>
      </c>
      <c r="D1" s="5" t="s">
        <v>29</v>
      </c>
      <c r="E1" s="5" t="s">
        <v>35</v>
      </c>
      <c r="F1" s="5" t="s">
        <v>36</v>
      </c>
      <c r="H1" s="5" t="s">
        <v>37</v>
      </c>
      <c r="I1" s="5" t="s">
        <v>38</v>
      </c>
      <c r="J1" s="5" t="s">
        <v>39</v>
      </c>
      <c r="K1" s="5" t="s">
        <v>40</v>
      </c>
    </row>
    <row r="2" spans="1:11" x14ac:dyDescent="0.25">
      <c r="A2">
        <v>0.51300000000000001</v>
      </c>
      <c r="B2">
        <v>78.550272616186135</v>
      </c>
      <c r="C2">
        <v>20.058923615629908</v>
      </c>
      <c r="H2">
        <v>10.798999999999999</v>
      </c>
      <c r="I2">
        <v>5.649</v>
      </c>
    </row>
    <row r="3" spans="1:11" x14ac:dyDescent="0.25">
      <c r="A3">
        <v>0.53900000000000003</v>
      </c>
      <c r="B3">
        <v>77.343929279472476</v>
      </c>
      <c r="C3">
        <v>14.034452237387207</v>
      </c>
      <c r="H3">
        <v>10.465999999999999</v>
      </c>
      <c r="I3">
        <v>3.9860000000000002</v>
      </c>
    </row>
    <row r="4" spans="1:11" x14ac:dyDescent="0.25">
      <c r="A4">
        <v>0.56599999999999995</v>
      </c>
      <c r="B4">
        <v>73.30829421310905</v>
      </c>
      <c r="C4">
        <v>11.056631748562491</v>
      </c>
      <c r="H4">
        <v>9.3520000000000003</v>
      </c>
      <c r="I4">
        <v>3.1640000000000001</v>
      </c>
    </row>
    <row r="5" spans="1:11" x14ac:dyDescent="0.25">
      <c r="A5">
        <v>0.59299999999999997</v>
      </c>
      <c r="B5">
        <v>69.580584623083951</v>
      </c>
      <c r="C5">
        <v>10.339346521327341</v>
      </c>
      <c r="H5">
        <v>8.3230000000000004</v>
      </c>
      <c r="I5">
        <v>2.9660000000000002</v>
      </c>
    </row>
    <row r="6" spans="1:11" x14ac:dyDescent="0.25">
      <c r="A6">
        <v>0.61899999999999999</v>
      </c>
      <c r="B6">
        <v>67.461332815343738</v>
      </c>
      <c r="C6">
        <v>11.342821308923989</v>
      </c>
      <c r="H6">
        <v>7.7380000000000004</v>
      </c>
      <c r="I6">
        <v>3.2429999999999999</v>
      </c>
    </row>
    <row r="7" spans="1:11" x14ac:dyDescent="0.25">
      <c r="A7">
        <v>0.64600000000000002</v>
      </c>
      <c r="B7">
        <v>66.128196635431948</v>
      </c>
      <c r="C7">
        <v>13.049090713104574</v>
      </c>
      <c r="H7">
        <v>7.37</v>
      </c>
      <c r="I7">
        <v>3.714</v>
      </c>
    </row>
    <row r="8" spans="1:11" x14ac:dyDescent="0.25">
      <c r="A8">
        <v>0.67300000000000004</v>
      </c>
      <c r="B8">
        <v>64.200945418820339</v>
      </c>
      <c r="C8">
        <v>13.831583688270195</v>
      </c>
      <c r="H8">
        <v>6.8380000000000001</v>
      </c>
      <c r="I8">
        <v>3.93</v>
      </c>
    </row>
    <row r="9" spans="1:11" x14ac:dyDescent="0.25">
      <c r="A9">
        <v>0.69899999999999995</v>
      </c>
      <c r="B9">
        <v>62.585242331209834</v>
      </c>
      <c r="C9">
        <v>13.748262677025707</v>
      </c>
      <c r="H9">
        <v>6.3920000000000003</v>
      </c>
      <c r="I9">
        <v>3.907</v>
      </c>
    </row>
    <row r="10" spans="1:11" x14ac:dyDescent="0.25">
      <c r="A10">
        <v>0.72599999999999998</v>
      </c>
      <c r="B10">
        <v>61.878825061963099</v>
      </c>
      <c r="C10">
        <v>13.603356570513554</v>
      </c>
      <c r="H10">
        <v>6.1970000000000001</v>
      </c>
      <c r="I10">
        <v>3.867</v>
      </c>
    </row>
    <row r="11" spans="1:11" x14ac:dyDescent="0.25">
      <c r="A11">
        <v>0.753</v>
      </c>
      <c r="B11">
        <v>60.835501095075593</v>
      </c>
      <c r="C11">
        <v>12.672334836172981</v>
      </c>
      <c r="H11">
        <v>5.9089999999999998</v>
      </c>
      <c r="I11">
        <v>3.61</v>
      </c>
    </row>
    <row r="12" spans="1:11" x14ac:dyDescent="0.25">
      <c r="A12">
        <v>0.77900000000000003</v>
      </c>
      <c r="B12">
        <v>58.857532741184734</v>
      </c>
      <c r="C12">
        <v>10.353837131978556</v>
      </c>
      <c r="H12">
        <v>5.3630000000000004</v>
      </c>
      <c r="I12">
        <v>2.97</v>
      </c>
    </row>
    <row r="13" spans="1:11" x14ac:dyDescent="0.25">
      <c r="A13">
        <v>0.80600000000000005</v>
      </c>
      <c r="B13">
        <v>56.767262154746952</v>
      </c>
      <c r="C13">
        <v>7.7020553828061811</v>
      </c>
      <c r="H13">
        <v>4.7859999999999996</v>
      </c>
      <c r="I13">
        <v>2.238</v>
      </c>
    </row>
    <row r="14" spans="1:11" x14ac:dyDescent="0.25">
      <c r="A14">
        <v>0.83299999999999996</v>
      </c>
      <c r="B14">
        <v>55.568164123358898</v>
      </c>
      <c r="C14">
        <v>6.3652965502315828</v>
      </c>
      <c r="H14">
        <v>4.4550000000000001</v>
      </c>
      <c r="I14">
        <v>1.869</v>
      </c>
    </row>
    <row r="15" spans="1:11" x14ac:dyDescent="0.25">
      <c r="A15">
        <v>0.85899999999999999</v>
      </c>
      <c r="B15">
        <v>55.376163532230294</v>
      </c>
      <c r="C15">
        <v>6.9159397549777584</v>
      </c>
      <c r="H15">
        <v>4.4020000000000001</v>
      </c>
      <c r="I15">
        <v>2.0209999999999999</v>
      </c>
    </row>
    <row r="16" spans="1:11" x14ac:dyDescent="0.25">
      <c r="A16">
        <v>0.88600000000000001</v>
      </c>
      <c r="B16">
        <v>56.897677650607882</v>
      </c>
      <c r="C16">
        <v>9.9662132970585517</v>
      </c>
      <c r="H16">
        <v>4.8220000000000001</v>
      </c>
      <c r="I16">
        <v>2.863</v>
      </c>
    </row>
    <row r="17" spans="1:9" x14ac:dyDescent="0.25">
      <c r="A17">
        <v>0.91300000000000003</v>
      </c>
      <c r="B17">
        <v>61.357163078519356</v>
      </c>
      <c r="C17">
        <v>16.352949941581631</v>
      </c>
      <c r="H17">
        <v>6.0529999999999999</v>
      </c>
      <c r="I17">
        <v>4.6260000000000003</v>
      </c>
    </row>
    <row r="18" spans="1:9" x14ac:dyDescent="0.25">
      <c r="A18">
        <v>0.93899999999999995</v>
      </c>
      <c r="B18">
        <v>68.171372737253279</v>
      </c>
      <c r="C18">
        <v>24.779240035263246</v>
      </c>
      <c r="H18">
        <v>7.9340000000000002</v>
      </c>
      <c r="I18">
        <v>6.952</v>
      </c>
    </row>
    <row r="19" spans="1:9" x14ac:dyDescent="0.25">
      <c r="A19">
        <v>0.96599999999999997</v>
      </c>
      <c r="B19">
        <v>74.47116571786907</v>
      </c>
      <c r="C19">
        <v>32.205677994011019</v>
      </c>
      <c r="H19">
        <v>9.673</v>
      </c>
      <c r="I19">
        <v>9.0020000000000007</v>
      </c>
    </row>
    <row r="20" spans="1:9" x14ac:dyDescent="0.25">
      <c r="A20">
        <v>0.99299999999999999</v>
      </c>
      <c r="B20">
        <v>79.024840115013433</v>
      </c>
      <c r="C20">
        <v>37.41505252312286</v>
      </c>
      <c r="H20">
        <v>10.93</v>
      </c>
      <c r="I20">
        <v>10.44</v>
      </c>
    </row>
    <row r="21" spans="1:9" x14ac:dyDescent="0.25">
      <c r="A21">
        <v>1.0189999999999999</v>
      </c>
      <c r="B21">
        <v>81.785301444069916</v>
      </c>
      <c r="C21">
        <v>40.534156465796926</v>
      </c>
      <c r="H21">
        <v>11.692</v>
      </c>
      <c r="I21">
        <v>11.301</v>
      </c>
    </row>
    <row r="22" spans="1:9" x14ac:dyDescent="0.25">
      <c r="A22">
        <v>1.046</v>
      </c>
      <c r="B22">
        <v>82.162057321001512</v>
      </c>
      <c r="C22">
        <v>41.320272093625356</v>
      </c>
      <c r="H22">
        <v>11.795999999999999</v>
      </c>
      <c r="I22">
        <v>11.518000000000001</v>
      </c>
    </row>
    <row r="23" spans="1:9" x14ac:dyDescent="0.25">
      <c r="A23">
        <v>1.073</v>
      </c>
      <c r="B23">
        <v>79.546502098457182</v>
      </c>
      <c r="C23">
        <v>38.936566641500455</v>
      </c>
      <c r="H23">
        <v>11.074</v>
      </c>
      <c r="I23">
        <v>10.86</v>
      </c>
    </row>
    <row r="24" spans="1:9" x14ac:dyDescent="0.25">
      <c r="A24">
        <v>1.099</v>
      </c>
      <c r="B24">
        <v>74.141504325553925</v>
      </c>
      <c r="C24">
        <v>33.32145501415458</v>
      </c>
      <c r="H24">
        <v>9.5820000000000007</v>
      </c>
      <c r="I24">
        <v>9.31</v>
      </c>
    </row>
    <row r="25" spans="1:9" x14ac:dyDescent="0.25">
      <c r="A25">
        <v>1.1259999999999999</v>
      </c>
      <c r="B25">
        <v>66.89619899994635</v>
      </c>
      <c r="C25">
        <v>25.438562819893537</v>
      </c>
      <c r="H25">
        <v>7.5819999999999999</v>
      </c>
      <c r="I25">
        <v>7.1340000000000003</v>
      </c>
    </row>
    <row r="26" spans="1:9" x14ac:dyDescent="0.25">
      <c r="A26">
        <v>1.153</v>
      </c>
      <c r="B26">
        <v>59.361081461314463</v>
      </c>
      <c r="C26">
        <v>16.99778211556071</v>
      </c>
      <c r="H26">
        <v>5.5019999999999998</v>
      </c>
      <c r="I26">
        <v>4.8040000000000003</v>
      </c>
    </row>
    <row r="27" spans="1:9" x14ac:dyDescent="0.25">
      <c r="A27">
        <v>1.179</v>
      </c>
      <c r="B27">
        <v>53.477893536921108</v>
      </c>
      <c r="C27">
        <v>10.259648162745655</v>
      </c>
      <c r="H27">
        <v>3.8780000000000001</v>
      </c>
      <c r="I27">
        <v>2.944</v>
      </c>
    </row>
    <row r="28" spans="1:9" x14ac:dyDescent="0.25">
      <c r="A28">
        <v>1.206</v>
      </c>
      <c r="B28">
        <v>50.065354728559939</v>
      </c>
      <c r="C28">
        <v>6.3979004241968163</v>
      </c>
      <c r="H28">
        <v>2.9359999999999999</v>
      </c>
      <c r="I28">
        <v>1.8779999999999999</v>
      </c>
    </row>
    <row r="29" spans="1:9" x14ac:dyDescent="0.25">
      <c r="A29">
        <v>1.2330000000000001</v>
      </c>
      <c r="B29">
        <v>48.551085915507954</v>
      </c>
      <c r="C29">
        <v>4.7604614206095039</v>
      </c>
      <c r="H29">
        <v>2.5179999999999998</v>
      </c>
      <c r="I29">
        <v>1.4259999999999999</v>
      </c>
    </row>
    <row r="30" spans="1:9" x14ac:dyDescent="0.25">
      <c r="A30">
        <v>1.2589999999999999</v>
      </c>
      <c r="B30">
        <v>47.880895172889254</v>
      </c>
      <c r="C30">
        <v>4.1373651626072521</v>
      </c>
      <c r="H30">
        <v>2.3330000000000002</v>
      </c>
      <c r="I30">
        <v>1.254</v>
      </c>
    </row>
    <row r="31" spans="1:9" x14ac:dyDescent="0.25">
      <c r="A31">
        <v>1.286</v>
      </c>
      <c r="B31">
        <v>47.384591758085129</v>
      </c>
      <c r="C31">
        <v>3.8475529495829486</v>
      </c>
      <c r="H31">
        <v>2.1960000000000002</v>
      </c>
      <c r="I31">
        <v>1.1739999999999999</v>
      </c>
    </row>
    <row r="32" spans="1:9" x14ac:dyDescent="0.25">
      <c r="A32">
        <v>1.3129999999999999</v>
      </c>
      <c r="B32">
        <v>46.786854068722512</v>
      </c>
      <c r="C32">
        <v>3.5867219578610765</v>
      </c>
      <c r="H32">
        <v>2.0310000000000001</v>
      </c>
      <c r="I32">
        <v>1.1020000000000001</v>
      </c>
    </row>
    <row r="33" spans="1:9" x14ac:dyDescent="0.25">
      <c r="A33">
        <v>1.339</v>
      </c>
      <c r="B33">
        <v>46.163757810720256</v>
      </c>
      <c r="C33">
        <v>3.2860417868483616</v>
      </c>
      <c r="H33">
        <v>1.859</v>
      </c>
      <c r="I33">
        <v>1.0189999999999999</v>
      </c>
    </row>
    <row r="34" spans="1:9" x14ac:dyDescent="0.25">
      <c r="A34">
        <v>1.3660000000000001</v>
      </c>
      <c r="B34">
        <v>45.544284205380812</v>
      </c>
      <c r="C34">
        <v>2.9744936578472361</v>
      </c>
      <c r="H34">
        <v>1.6879999999999999</v>
      </c>
      <c r="I34">
        <v>0.93300000000000005</v>
      </c>
    </row>
    <row r="35" spans="1:9" x14ac:dyDescent="0.25">
      <c r="A35">
        <v>1.393</v>
      </c>
      <c r="B35">
        <v>45.037112832588278</v>
      </c>
      <c r="C35">
        <v>2.7136626661253627</v>
      </c>
      <c r="H35">
        <v>1.548</v>
      </c>
      <c r="I35">
        <v>0.86099999999999999</v>
      </c>
    </row>
    <row r="36" spans="1:9" x14ac:dyDescent="0.25">
      <c r="A36">
        <v>1.419</v>
      </c>
      <c r="B36">
        <v>44.754545924889584</v>
      </c>
      <c r="C36">
        <v>2.5071714643455469</v>
      </c>
      <c r="H36">
        <v>1.47</v>
      </c>
      <c r="I36">
        <v>0.80400000000000005</v>
      </c>
    </row>
    <row r="37" spans="1:9" x14ac:dyDescent="0.25">
      <c r="A37">
        <v>1.446</v>
      </c>
      <c r="B37">
        <v>44.613262471040237</v>
      </c>
      <c r="C37">
        <v>2.3550200525077876</v>
      </c>
      <c r="H37">
        <v>1.431</v>
      </c>
      <c r="I37">
        <v>0.76200000000000001</v>
      </c>
    </row>
    <row r="38" spans="1:9" x14ac:dyDescent="0.25">
      <c r="A38">
        <v>1.4730000000000001</v>
      </c>
      <c r="B38">
        <v>44.490092280504903</v>
      </c>
      <c r="C38">
        <v>2.246340472623674</v>
      </c>
      <c r="H38">
        <v>1.397</v>
      </c>
      <c r="I38">
        <v>0.73199999999999998</v>
      </c>
    </row>
    <row r="39" spans="1:9" x14ac:dyDescent="0.25">
      <c r="A39">
        <v>1.4990000000000001</v>
      </c>
      <c r="B39">
        <v>44.417639227248834</v>
      </c>
      <c r="C39">
        <v>2.1412835454023638</v>
      </c>
      <c r="H39">
        <v>1.377</v>
      </c>
      <c r="I39">
        <v>0.70299999999999996</v>
      </c>
    </row>
    <row r="40" spans="1:9" x14ac:dyDescent="0.25">
      <c r="A40">
        <v>1.526</v>
      </c>
      <c r="B40">
        <v>44.403148616597612</v>
      </c>
      <c r="C40">
        <v>2.0615851868206807</v>
      </c>
      <c r="H40">
        <v>1.373</v>
      </c>
      <c r="I40">
        <v>0.68100000000000005</v>
      </c>
    </row>
    <row r="41" spans="1:9" x14ac:dyDescent="0.25">
      <c r="A41">
        <v>1.5529999999999999</v>
      </c>
      <c r="B41">
        <v>44.424884532574431</v>
      </c>
      <c r="C41">
        <v>2.0181133548670354</v>
      </c>
      <c r="H41">
        <v>1.379</v>
      </c>
      <c r="I41">
        <v>0.66900000000000004</v>
      </c>
    </row>
    <row r="42" spans="1:9" x14ac:dyDescent="0.25">
      <c r="A42">
        <v>1.579</v>
      </c>
      <c r="B42">
        <v>44.519073501807334</v>
      </c>
      <c r="C42">
        <v>2.0036227442158201</v>
      </c>
      <c r="H42">
        <v>1.405</v>
      </c>
      <c r="I42">
        <v>0.66500000000000004</v>
      </c>
    </row>
    <row r="43" spans="1:9" x14ac:dyDescent="0.25">
      <c r="A43">
        <v>1.6060000000000001</v>
      </c>
      <c r="B43">
        <v>44.649488997668279</v>
      </c>
      <c r="C43">
        <v>2.0000000915530163</v>
      </c>
      <c r="H43">
        <v>1.4410000000000001</v>
      </c>
      <c r="I43">
        <v>0.66400000000000003</v>
      </c>
    </row>
    <row r="44" spans="1:9" x14ac:dyDescent="0.25">
      <c r="A44">
        <v>1.633</v>
      </c>
      <c r="B44">
        <v>44.848734894122479</v>
      </c>
      <c r="C44">
        <v>2.0434719235066621</v>
      </c>
      <c r="H44">
        <v>1.496</v>
      </c>
      <c r="I44">
        <v>0.67600000000000005</v>
      </c>
    </row>
    <row r="45" spans="1:9" x14ac:dyDescent="0.25">
      <c r="A45">
        <v>1.659</v>
      </c>
      <c r="B45">
        <v>45.171150981112021</v>
      </c>
      <c r="C45">
        <v>2.1449061980651676</v>
      </c>
      <c r="H45">
        <v>1.585</v>
      </c>
      <c r="I45">
        <v>0.70399999999999996</v>
      </c>
    </row>
    <row r="46" spans="1:9" x14ac:dyDescent="0.25">
      <c r="A46">
        <v>1.6859999999999999</v>
      </c>
      <c r="B46">
        <v>45.413868709519868</v>
      </c>
      <c r="C46">
        <v>2.2173592513212435</v>
      </c>
      <c r="H46">
        <v>1.6519999999999999</v>
      </c>
      <c r="I46">
        <v>0.72399999999999998</v>
      </c>
    </row>
    <row r="47" spans="1:9" x14ac:dyDescent="0.25">
      <c r="A47">
        <v>1.7130000000000001</v>
      </c>
      <c r="B47">
        <v>45.595001342660062</v>
      </c>
      <c r="C47">
        <v>2.2535857779492816</v>
      </c>
      <c r="H47">
        <v>1.702</v>
      </c>
      <c r="I47">
        <v>0.73399999999999999</v>
      </c>
    </row>
    <row r="48" spans="1:9" x14ac:dyDescent="0.25">
      <c r="A48">
        <v>1.7390000000000001</v>
      </c>
      <c r="B48">
        <v>45.739907449172215</v>
      </c>
      <c r="C48">
        <v>2.2825669992517117</v>
      </c>
      <c r="H48">
        <v>1.742</v>
      </c>
      <c r="I48">
        <v>0.74199999999999999</v>
      </c>
    </row>
    <row r="49" spans="1:9" x14ac:dyDescent="0.25">
      <c r="A49">
        <v>1.766</v>
      </c>
      <c r="B49">
        <v>45.794247239114263</v>
      </c>
      <c r="C49">
        <v>2.2789443465889079</v>
      </c>
      <c r="H49">
        <v>1.7569999999999999</v>
      </c>
      <c r="I49">
        <v>0.74099999999999999</v>
      </c>
    </row>
    <row r="50" spans="1:9" x14ac:dyDescent="0.25">
      <c r="A50">
        <v>1.7929999999999999</v>
      </c>
      <c r="B50">
        <v>45.87394559769595</v>
      </c>
      <c r="C50">
        <v>2.2644537359376926</v>
      </c>
      <c r="H50">
        <v>1.7789999999999999</v>
      </c>
      <c r="I50">
        <v>0.73699999999999999</v>
      </c>
    </row>
    <row r="51" spans="1:9" x14ac:dyDescent="0.25">
      <c r="A51">
        <v>1.819</v>
      </c>
      <c r="B51">
        <v>46.004361093556888</v>
      </c>
      <c r="C51">
        <v>2.246340472623674</v>
      </c>
      <c r="H51">
        <v>1.8149999999999999</v>
      </c>
      <c r="I51">
        <v>0.73199999999999998</v>
      </c>
    </row>
    <row r="52" spans="1:9" x14ac:dyDescent="0.25">
      <c r="A52">
        <v>1.8460000000000001</v>
      </c>
      <c r="B52">
        <v>46.236210863976332</v>
      </c>
      <c r="C52">
        <v>2.2354725146352625</v>
      </c>
      <c r="H52">
        <v>1.879</v>
      </c>
      <c r="I52">
        <v>0.72899999999999998</v>
      </c>
    </row>
    <row r="53" spans="1:9" x14ac:dyDescent="0.25">
      <c r="A53">
        <v>1.873</v>
      </c>
      <c r="B53">
        <v>46.627457351559137</v>
      </c>
      <c r="C53">
        <v>2.2753216939261041</v>
      </c>
      <c r="H53">
        <v>1.9870000000000001</v>
      </c>
      <c r="I53">
        <v>0.74</v>
      </c>
    </row>
    <row r="54" spans="1:9" x14ac:dyDescent="0.25">
      <c r="A54">
        <v>1.899</v>
      </c>
      <c r="B54">
        <v>47.127383419026067</v>
      </c>
      <c r="C54">
        <v>2.3441520945193761</v>
      </c>
      <c r="H54">
        <v>2.125</v>
      </c>
      <c r="I54">
        <v>0.75900000000000001</v>
      </c>
    </row>
    <row r="55" spans="1:9" x14ac:dyDescent="0.25">
      <c r="A55">
        <v>1.9259999999999999</v>
      </c>
      <c r="B55">
        <v>47.681649276435046</v>
      </c>
      <c r="C55">
        <v>2.4492090217406863</v>
      </c>
      <c r="H55">
        <v>2.278</v>
      </c>
      <c r="I55">
        <v>0.78800000000000003</v>
      </c>
    </row>
    <row r="56" spans="1:9" x14ac:dyDescent="0.25">
      <c r="A56">
        <v>1.9530000000000001</v>
      </c>
      <c r="B56">
        <v>48.388066545681781</v>
      </c>
      <c r="C56">
        <v>2.6086057389040529</v>
      </c>
      <c r="H56">
        <v>2.4729999999999999</v>
      </c>
      <c r="I56">
        <v>0.83199999999999996</v>
      </c>
    </row>
    <row r="57" spans="1:9" x14ac:dyDescent="0.25">
      <c r="A57">
        <v>1.9790000000000001</v>
      </c>
      <c r="B57">
        <v>49.214031352801044</v>
      </c>
      <c r="C57">
        <v>2.8006063300326538</v>
      </c>
      <c r="H57">
        <v>2.7010000000000001</v>
      </c>
      <c r="I57">
        <v>0.88500000000000001</v>
      </c>
    </row>
    <row r="58" spans="1:9" x14ac:dyDescent="0.25">
      <c r="A58">
        <v>2.0059999999999998</v>
      </c>
      <c r="B58">
        <v>50.047241465245918</v>
      </c>
      <c r="C58">
        <v>3.0252107951264886</v>
      </c>
      <c r="H58">
        <v>2.931</v>
      </c>
      <c r="I58">
        <v>0.94699999999999995</v>
      </c>
    </row>
    <row r="59" spans="1:9" x14ac:dyDescent="0.25">
      <c r="A59">
        <v>2.0329999999999999</v>
      </c>
      <c r="B59">
        <v>50.920300756981632</v>
      </c>
      <c r="C59">
        <v>3.3150230081507917</v>
      </c>
      <c r="H59">
        <v>3.1720000000000002</v>
      </c>
      <c r="I59">
        <v>1.0269999999999999</v>
      </c>
    </row>
    <row r="60" spans="1:9" x14ac:dyDescent="0.25">
      <c r="A60">
        <v>2.0590000000000002</v>
      </c>
      <c r="B60">
        <v>52.057813693102027</v>
      </c>
      <c r="C60">
        <v>3.688156232419582</v>
      </c>
      <c r="H60">
        <v>3.4860000000000002</v>
      </c>
      <c r="I60">
        <v>1.1299999999999999</v>
      </c>
    </row>
    <row r="61" spans="1:9" x14ac:dyDescent="0.25">
      <c r="A61">
        <v>2.0859999999999999</v>
      </c>
      <c r="B61">
        <v>53.387327220351011</v>
      </c>
      <c r="C61">
        <v>4.0721574146767843</v>
      </c>
      <c r="H61">
        <v>3.8530000000000002</v>
      </c>
      <c r="I61">
        <v>1.236</v>
      </c>
    </row>
    <row r="62" spans="1:9" x14ac:dyDescent="0.25">
      <c r="A62">
        <v>2.113</v>
      </c>
      <c r="B62">
        <v>54.314726302028788</v>
      </c>
      <c r="C62">
        <v>4.2931392271078153</v>
      </c>
      <c r="H62">
        <v>4.109</v>
      </c>
      <c r="I62">
        <v>1.2969999999999999</v>
      </c>
    </row>
    <row r="63" spans="1:9" x14ac:dyDescent="0.25">
      <c r="A63">
        <v>2.1389999999999998</v>
      </c>
      <c r="B63">
        <v>54.94869051801944</v>
      </c>
      <c r="C63">
        <v>4.4199320703059479</v>
      </c>
      <c r="H63">
        <v>4.2839999999999998</v>
      </c>
      <c r="I63">
        <v>1.3320000000000001</v>
      </c>
    </row>
    <row r="64" spans="1:9" x14ac:dyDescent="0.25">
      <c r="A64">
        <v>2.1659999999999999</v>
      </c>
      <c r="B64">
        <v>55.379786184893099</v>
      </c>
      <c r="C64">
        <v>4.4960077762248272</v>
      </c>
      <c r="H64">
        <v>4.4029999999999996</v>
      </c>
      <c r="I64">
        <v>1.353</v>
      </c>
    </row>
    <row r="65" spans="1:9" x14ac:dyDescent="0.25">
      <c r="A65">
        <v>2.1930000000000001</v>
      </c>
      <c r="B65">
        <v>55.278351910334592</v>
      </c>
      <c r="C65">
        <v>4.4525359442711814</v>
      </c>
      <c r="H65">
        <v>4.375</v>
      </c>
      <c r="I65">
        <v>1.341</v>
      </c>
    </row>
    <row r="66" spans="1:9" x14ac:dyDescent="0.25">
      <c r="A66">
        <v>2.2189999999999999</v>
      </c>
      <c r="B66">
        <v>55.655107787266189</v>
      </c>
      <c r="C66">
        <v>4.5612155241552959</v>
      </c>
      <c r="H66">
        <v>4.4790000000000001</v>
      </c>
      <c r="I66">
        <v>1.371</v>
      </c>
    </row>
    <row r="67" spans="1:9" x14ac:dyDescent="0.25">
      <c r="A67">
        <v>2.246</v>
      </c>
      <c r="B67">
        <v>56.397751583140966</v>
      </c>
      <c r="C67">
        <v>4.7640840732723078</v>
      </c>
      <c r="H67">
        <v>4.6840000000000002</v>
      </c>
      <c r="I67">
        <v>1.427</v>
      </c>
    </row>
    <row r="68" spans="1:9" x14ac:dyDescent="0.25">
      <c r="A68">
        <v>2.2730000000000001</v>
      </c>
      <c r="B68">
        <v>57.144018031678549</v>
      </c>
      <c r="C68">
        <v>5.0249150649941807</v>
      </c>
      <c r="H68">
        <v>4.8899999999999997</v>
      </c>
      <c r="I68">
        <v>1.4990000000000001</v>
      </c>
    </row>
    <row r="69" spans="1:9" x14ac:dyDescent="0.25">
      <c r="A69">
        <v>2.2989999999999999</v>
      </c>
      <c r="B69">
        <v>57.61858553050584</v>
      </c>
      <c r="C69">
        <v>5.2096703507971736</v>
      </c>
      <c r="H69">
        <v>5.0209999999999999</v>
      </c>
      <c r="I69">
        <v>1.55</v>
      </c>
    </row>
    <row r="70" spans="1:9" x14ac:dyDescent="0.25">
      <c r="A70">
        <v>2.3260000000000001</v>
      </c>
      <c r="B70">
        <v>58.056926502705096</v>
      </c>
      <c r="C70">
        <v>5.2676327934020346</v>
      </c>
      <c r="H70">
        <v>5.1420000000000003</v>
      </c>
      <c r="I70">
        <v>1.5660000000000001</v>
      </c>
    </row>
    <row r="71" spans="1:9" x14ac:dyDescent="0.25">
      <c r="A71">
        <v>2.3530000000000002</v>
      </c>
      <c r="B71">
        <v>58.821306214556692</v>
      </c>
      <c r="C71">
        <v>5.3545764573093262</v>
      </c>
      <c r="H71">
        <v>5.3529999999999998</v>
      </c>
      <c r="I71">
        <v>1.59</v>
      </c>
    </row>
    <row r="72" spans="1:9" x14ac:dyDescent="0.25">
      <c r="A72">
        <v>2.379</v>
      </c>
      <c r="B72">
        <v>59.665384284989976</v>
      </c>
      <c r="C72">
        <v>5.3944256366001664</v>
      </c>
      <c r="H72">
        <v>5.5860000000000003</v>
      </c>
      <c r="I72">
        <v>1.601</v>
      </c>
    </row>
    <row r="73" spans="1:9" x14ac:dyDescent="0.25">
      <c r="A73">
        <v>2.4060000000000001</v>
      </c>
      <c r="B73">
        <v>60.404405428201947</v>
      </c>
      <c r="C73">
        <v>5.4777466478446541</v>
      </c>
      <c r="H73">
        <v>5.79</v>
      </c>
      <c r="I73">
        <v>1.6240000000000001</v>
      </c>
    </row>
    <row r="74" spans="1:9" x14ac:dyDescent="0.25">
      <c r="A74">
        <v>2.4329999999999998</v>
      </c>
      <c r="B74">
        <v>61.110822697448697</v>
      </c>
      <c r="C74">
        <v>5.6371433650080203</v>
      </c>
      <c r="H74">
        <v>5.9850000000000003</v>
      </c>
      <c r="I74">
        <v>1.6679999999999999</v>
      </c>
    </row>
    <row r="75" spans="1:9" x14ac:dyDescent="0.25">
      <c r="A75">
        <v>2.4590000000000001</v>
      </c>
      <c r="B75">
        <v>61.777390787404592</v>
      </c>
      <c r="C75">
        <v>5.8074080401597996</v>
      </c>
      <c r="H75">
        <v>6.1689999999999996</v>
      </c>
      <c r="I75">
        <v>1.7150000000000001</v>
      </c>
    </row>
    <row r="76" spans="1:9" x14ac:dyDescent="0.25">
      <c r="A76">
        <v>2.4860000000000002</v>
      </c>
      <c r="B76">
        <v>62.889545154885347</v>
      </c>
      <c r="C76">
        <v>6.2022771804054129</v>
      </c>
      <c r="H76">
        <v>6.476</v>
      </c>
      <c r="I76">
        <v>1.8240000000000001</v>
      </c>
    </row>
    <row r="77" spans="1:9" x14ac:dyDescent="0.25">
      <c r="A77">
        <v>2.5129999999999999</v>
      </c>
      <c r="B77">
        <v>64.479889673856206</v>
      </c>
      <c r="C77">
        <v>6.58265570999981</v>
      </c>
      <c r="H77">
        <v>6.915</v>
      </c>
      <c r="I77">
        <v>1.929</v>
      </c>
    </row>
    <row r="78" spans="1:9" x14ac:dyDescent="0.25">
      <c r="A78">
        <v>2.5390000000000001</v>
      </c>
      <c r="B78">
        <v>65.606534651988198</v>
      </c>
      <c r="C78">
        <v>6.6261275419534558</v>
      </c>
      <c r="H78">
        <v>7.226</v>
      </c>
      <c r="I78">
        <v>1.9410000000000001</v>
      </c>
    </row>
    <row r="79" spans="1:9" x14ac:dyDescent="0.25">
      <c r="A79">
        <v>2.5659999999999998</v>
      </c>
      <c r="B79">
        <v>65.75506341116315</v>
      </c>
      <c r="C79">
        <v>6.4123910348480324</v>
      </c>
      <c r="H79">
        <v>7.2670000000000003</v>
      </c>
      <c r="I79">
        <v>1.8819999999999999</v>
      </c>
    </row>
    <row r="80" spans="1:9" x14ac:dyDescent="0.25">
      <c r="A80">
        <v>2.593</v>
      </c>
      <c r="B80">
        <v>65.04140083659081</v>
      </c>
      <c r="C80">
        <v>6.2855981916498997</v>
      </c>
      <c r="H80">
        <v>7.07</v>
      </c>
      <c r="I80">
        <v>1.847</v>
      </c>
    </row>
    <row r="81" spans="1:9" x14ac:dyDescent="0.25">
      <c r="A81">
        <v>2.6190000000000002</v>
      </c>
      <c r="B81">
        <v>65.150080416474921</v>
      </c>
      <c r="C81">
        <v>6.4884667407669117</v>
      </c>
      <c r="H81">
        <v>7.1</v>
      </c>
      <c r="I81">
        <v>1.903</v>
      </c>
    </row>
    <row r="82" spans="1:9" x14ac:dyDescent="0.25">
      <c r="A82">
        <v>2.6459999999999999</v>
      </c>
      <c r="B82">
        <v>65.356571618254733</v>
      </c>
      <c r="C82">
        <v>6.6261275419534558</v>
      </c>
      <c r="H82">
        <v>7.157</v>
      </c>
      <c r="I82">
        <v>1.9410000000000001</v>
      </c>
    </row>
    <row r="83" spans="1:9" x14ac:dyDescent="0.25">
      <c r="A83">
        <v>2.673</v>
      </c>
      <c r="B83">
        <v>64.892872077415859</v>
      </c>
      <c r="C83">
        <v>6.5536744886973803</v>
      </c>
      <c r="H83">
        <v>7.0289999999999999</v>
      </c>
      <c r="I83">
        <v>1.921</v>
      </c>
    </row>
    <row r="84" spans="1:9" x14ac:dyDescent="0.25">
      <c r="A84">
        <v>2.6989999999999998</v>
      </c>
      <c r="B84">
        <v>63.773472404609478</v>
      </c>
      <c r="C84">
        <v>6.4558628668016773</v>
      </c>
      <c r="H84">
        <v>6.72</v>
      </c>
      <c r="I84">
        <v>1.8939999999999999</v>
      </c>
    </row>
    <row r="85" spans="1:9" x14ac:dyDescent="0.25">
      <c r="A85">
        <v>2.726</v>
      </c>
      <c r="B85">
        <v>63.001847387432264</v>
      </c>
      <c r="C85">
        <v>6.5754104046742032</v>
      </c>
      <c r="H85">
        <v>6.5069999999999997</v>
      </c>
      <c r="I85">
        <v>1.927</v>
      </c>
    </row>
    <row r="86" spans="1:9" x14ac:dyDescent="0.25">
      <c r="A86">
        <v>2.7530000000000001</v>
      </c>
      <c r="B86">
        <v>62.925771681513389</v>
      </c>
      <c r="C86">
        <v>6.8833358810125249</v>
      </c>
      <c r="H86">
        <v>6.4859999999999998</v>
      </c>
      <c r="I86">
        <v>2.012</v>
      </c>
    </row>
    <row r="87" spans="1:9" x14ac:dyDescent="0.25">
      <c r="A87">
        <v>2.7789999999999999</v>
      </c>
      <c r="B87">
        <v>63.215583894537694</v>
      </c>
      <c r="C87">
        <v>7.2057519680020619</v>
      </c>
      <c r="H87">
        <v>6.5659999999999998</v>
      </c>
      <c r="I87">
        <v>2.101</v>
      </c>
    </row>
    <row r="88" spans="1:9" x14ac:dyDescent="0.25">
      <c r="A88">
        <v>2.806</v>
      </c>
      <c r="B88">
        <v>64.045171354319763</v>
      </c>
      <c r="C88">
        <v>7.5281680549915988</v>
      </c>
      <c r="H88">
        <v>6.7949999999999999</v>
      </c>
      <c r="I88">
        <v>2.19</v>
      </c>
    </row>
    <row r="89" spans="1:9" x14ac:dyDescent="0.25">
      <c r="A89">
        <v>2.8330000000000002</v>
      </c>
      <c r="B89">
        <v>64.679135570310422</v>
      </c>
      <c r="C89">
        <v>7.7165459934573963</v>
      </c>
      <c r="H89">
        <v>6.97</v>
      </c>
      <c r="I89">
        <v>2.242</v>
      </c>
    </row>
    <row r="90" spans="1:9" x14ac:dyDescent="0.25">
      <c r="A90">
        <v>2.859</v>
      </c>
      <c r="B90">
        <v>64.798683108182956</v>
      </c>
      <c r="C90">
        <v>7.7636404780738451</v>
      </c>
      <c r="H90">
        <v>7.0030000000000001</v>
      </c>
      <c r="I90">
        <v>2.2549999999999999</v>
      </c>
    </row>
    <row r="91" spans="1:9" x14ac:dyDescent="0.25">
      <c r="A91">
        <v>2.8860000000000001</v>
      </c>
      <c r="B91">
        <v>64.291511735390415</v>
      </c>
      <c r="C91">
        <v>7.7020553828061811</v>
      </c>
      <c r="H91">
        <v>6.8630000000000004</v>
      </c>
      <c r="I91">
        <v>2.238</v>
      </c>
    </row>
    <row r="92" spans="1:9" x14ac:dyDescent="0.25">
      <c r="A92">
        <v>2.9129999999999998</v>
      </c>
      <c r="B92">
        <v>63.556113244841256</v>
      </c>
      <c r="C92">
        <v>7.4955641810263653</v>
      </c>
      <c r="H92">
        <v>6.66</v>
      </c>
      <c r="I92">
        <v>2.181</v>
      </c>
    </row>
    <row r="93" spans="1:9" x14ac:dyDescent="0.25">
      <c r="A93">
        <v>2.9390000000000001</v>
      </c>
      <c r="B93">
        <v>62.730148437722001</v>
      </c>
      <c r="C93">
        <v>7.3035635898977649</v>
      </c>
      <c r="H93">
        <v>6.4320000000000004</v>
      </c>
      <c r="I93">
        <v>2.1280000000000001</v>
      </c>
    </row>
    <row r="94" spans="1:9" x14ac:dyDescent="0.25">
      <c r="A94">
        <v>2.9660000000000002</v>
      </c>
      <c r="B94">
        <v>62.335279297476376</v>
      </c>
      <c r="C94">
        <v>7.3542807271770174</v>
      </c>
      <c r="H94">
        <v>6.3230000000000004</v>
      </c>
      <c r="I94">
        <v>2.1419999999999999</v>
      </c>
    </row>
    <row r="95" spans="1:9" x14ac:dyDescent="0.25">
      <c r="A95">
        <v>2.9929999999999999</v>
      </c>
      <c r="B95">
        <v>62.041844431789272</v>
      </c>
      <c r="C95">
        <v>7.1188083040947712</v>
      </c>
      <c r="H95">
        <v>6.242</v>
      </c>
      <c r="I95">
        <v>2.077</v>
      </c>
    </row>
    <row r="96" spans="1:9" x14ac:dyDescent="0.25">
      <c r="A96">
        <v>3.0190000000000001</v>
      </c>
      <c r="B96">
        <v>61.694069776160106</v>
      </c>
      <c r="C96">
        <v>6.622504889290652</v>
      </c>
      <c r="H96">
        <v>6.1459999999999999</v>
      </c>
      <c r="I96">
        <v>1.94</v>
      </c>
    </row>
    <row r="97" spans="1:9" x14ac:dyDescent="0.25">
      <c r="A97">
        <v>3.0459999999999998</v>
      </c>
      <c r="B97">
        <v>61.259351456623641</v>
      </c>
      <c r="C97">
        <v>6.2819755389870968</v>
      </c>
      <c r="H97">
        <v>6.0259999999999998</v>
      </c>
      <c r="I97">
        <v>1.8460000000000001</v>
      </c>
    </row>
    <row r="98" spans="1:9" x14ac:dyDescent="0.25">
      <c r="A98">
        <v>3.073</v>
      </c>
      <c r="B98">
        <v>60.889840885017655</v>
      </c>
      <c r="C98">
        <v>6.3073341076267218</v>
      </c>
      <c r="H98">
        <v>5.9240000000000004</v>
      </c>
      <c r="I98">
        <v>1.853</v>
      </c>
    </row>
    <row r="99" spans="1:9" x14ac:dyDescent="0.25">
      <c r="A99">
        <v>3.0990000000000002</v>
      </c>
      <c r="B99">
        <v>60.976784548924947</v>
      </c>
      <c r="C99">
        <v>6.5971463206510261</v>
      </c>
      <c r="H99">
        <v>5.9480000000000004</v>
      </c>
      <c r="I99">
        <v>1.9330000000000001</v>
      </c>
    </row>
    <row r="100" spans="1:9" x14ac:dyDescent="0.25">
      <c r="A100">
        <v>3.1259999999999999</v>
      </c>
      <c r="B100">
        <v>62.596110289198243</v>
      </c>
      <c r="C100">
        <v>7.2673370632697267</v>
      </c>
      <c r="H100">
        <v>6.3949999999999996</v>
      </c>
      <c r="I100">
        <v>2.1179999999999999</v>
      </c>
    </row>
    <row r="101" spans="1:9" x14ac:dyDescent="0.25">
      <c r="A101">
        <v>3.153</v>
      </c>
      <c r="B101">
        <v>64.287889082727617</v>
      </c>
      <c r="C101">
        <v>8.0353394277841304</v>
      </c>
      <c r="H101">
        <v>6.8620000000000001</v>
      </c>
      <c r="I101">
        <v>2.33</v>
      </c>
    </row>
    <row r="102" spans="1:9" x14ac:dyDescent="0.25">
      <c r="A102">
        <v>3.1789999999999998</v>
      </c>
      <c r="B102">
        <v>65.505100377429684</v>
      </c>
      <c r="C102">
        <v>8.8504362769149836</v>
      </c>
      <c r="H102">
        <v>7.1980000000000004</v>
      </c>
      <c r="I102">
        <v>2.5550000000000002</v>
      </c>
    </row>
    <row r="103" spans="1:9" x14ac:dyDescent="0.25">
      <c r="A103">
        <v>3.206</v>
      </c>
      <c r="B103">
        <v>66.084724803478295</v>
      </c>
      <c r="C103">
        <v>9.4191927449751791</v>
      </c>
      <c r="H103">
        <v>7.3579999999999997</v>
      </c>
      <c r="I103">
        <v>2.7120000000000002</v>
      </c>
    </row>
    <row r="104" spans="1:9" x14ac:dyDescent="0.25">
      <c r="A104">
        <v>3.2330000000000001</v>
      </c>
      <c r="B104">
        <v>65.668119747255872</v>
      </c>
      <c r="C104">
        <v>9.5242496721964862</v>
      </c>
      <c r="H104">
        <v>7.2430000000000003</v>
      </c>
      <c r="I104">
        <v>2.7410000000000001</v>
      </c>
    </row>
    <row r="105" spans="1:9" x14ac:dyDescent="0.25">
      <c r="A105">
        <v>3.2589999999999999</v>
      </c>
      <c r="B105">
        <v>64.863890856113414</v>
      </c>
      <c r="C105">
        <v>9.0170782994039573</v>
      </c>
      <c r="H105">
        <v>7.0209999999999999</v>
      </c>
      <c r="I105">
        <v>2.601</v>
      </c>
    </row>
    <row r="106" spans="1:9" x14ac:dyDescent="0.25">
      <c r="A106">
        <v>3.286</v>
      </c>
      <c r="B106">
        <v>63.831434847214339</v>
      </c>
      <c r="C106">
        <v>8.1730002289706736</v>
      </c>
      <c r="H106">
        <v>6.7359999999999998</v>
      </c>
      <c r="I106">
        <v>2.3679999999999999</v>
      </c>
    </row>
    <row r="107" spans="1:9" x14ac:dyDescent="0.25">
      <c r="A107">
        <v>3.3130000000000002</v>
      </c>
      <c r="B107">
        <v>62.911281070862181</v>
      </c>
      <c r="C107">
        <v>7.4484696964099166</v>
      </c>
      <c r="H107">
        <v>6.4820000000000002</v>
      </c>
      <c r="I107">
        <v>2.1680000000000001</v>
      </c>
    </row>
    <row r="108" spans="1:9" x14ac:dyDescent="0.25">
      <c r="A108">
        <v>3.339</v>
      </c>
      <c r="B108">
        <v>63.135885535956007</v>
      </c>
      <c r="C108">
        <v>7.1369215674087894</v>
      </c>
      <c r="H108">
        <v>6.5439999999999996</v>
      </c>
      <c r="I108">
        <v>2.0819999999999999</v>
      </c>
    </row>
    <row r="109" spans="1:9" x14ac:dyDescent="0.25">
      <c r="A109">
        <v>3.3660000000000001</v>
      </c>
      <c r="B109">
        <v>63.932869121772839</v>
      </c>
      <c r="C109">
        <v>7.4883188757007568</v>
      </c>
      <c r="H109">
        <v>6.7640000000000002</v>
      </c>
      <c r="I109">
        <v>2.1789999999999998</v>
      </c>
    </row>
    <row r="110" spans="1:9" x14ac:dyDescent="0.25">
      <c r="A110">
        <v>3.3929999999999998</v>
      </c>
      <c r="B110">
        <v>65.936196044303344</v>
      </c>
      <c r="C110">
        <v>8.5062842739486229</v>
      </c>
      <c r="H110">
        <v>7.3170000000000002</v>
      </c>
      <c r="I110">
        <v>2.46</v>
      </c>
    </row>
    <row r="111" spans="1:9" x14ac:dyDescent="0.25">
      <c r="A111">
        <v>3.419</v>
      </c>
      <c r="B111">
        <v>70.475379830796484</v>
      </c>
      <c r="C111">
        <v>10.016930434337802</v>
      </c>
      <c r="H111">
        <v>8.57</v>
      </c>
      <c r="I111">
        <v>2.8769999999999998</v>
      </c>
    </row>
    <row r="112" spans="1:9" x14ac:dyDescent="0.25">
      <c r="A112">
        <v>3.4460000000000002</v>
      </c>
      <c r="B112">
        <v>75.539848253396187</v>
      </c>
      <c r="C112">
        <v>11.886219208344558</v>
      </c>
      <c r="H112">
        <v>9.968</v>
      </c>
      <c r="I112">
        <v>3.3929999999999998</v>
      </c>
    </row>
    <row r="113" spans="1:9" x14ac:dyDescent="0.25">
      <c r="A113">
        <v>3.4729999999999999</v>
      </c>
      <c r="B113">
        <v>88.998002895712261</v>
      </c>
      <c r="C113">
        <v>17.45423635107398</v>
      </c>
      <c r="H113">
        <v>13.683</v>
      </c>
      <c r="I113">
        <v>4.93</v>
      </c>
    </row>
    <row r="114" spans="1:9" x14ac:dyDescent="0.25">
      <c r="A114">
        <v>3.4990000000000001</v>
      </c>
      <c r="B114">
        <v>98.717579990014841</v>
      </c>
      <c r="C114">
        <v>22.01877870620676</v>
      </c>
      <c r="H114">
        <v>16.366</v>
      </c>
      <c r="I114">
        <v>6.19</v>
      </c>
    </row>
    <row r="115" spans="1:9" x14ac:dyDescent="0.25">
      <c r="A115">
        <v>3.5259999999999998</v>
      </c>
      <c r="B115">
        <v>99.999999032647366</v>
      </c>
      <c r="C115">
        <v>23.069347978419859</v>
      </c>
      <c r="H115">
        <v>16.72</v>
      </c>
      <c r="I115">
        <v>6.48</v>
      </c>
    </row>
    <row r="116" spans="1:9" x14ac:dyDescent="0.25">
      <c r="A116">
        <v>3.5529999999999999</v>
      </c>
      <c r="B116">
        <v>89.291437761399365</v>
      </c>
      <c r="C116">
        <v>18.910542721521107</v>
      </c>
      <c r="H116">
        <v>13.763999999999999</v>
      </c>
      <c r="I116">
        <v>5.3319999999999999</v>
      </c>
    </row>
    <row r="117" spans="1:9" x14ac:dyDescent="0.25">
      <c r="A117">
        <v>3.5790000000000002</v>
      </c>
      <c r="B117">
        <v>76.126717984770409</v>
      </c>
      <c r="C117">
        <v>13.400488021396542</v>
      </c>
      <c r="H117">
        <v>10.130000000000001</v>
      </c>
      <c r="I117">
        <v>3.8109999999999999</v>
      </c>
    </row>
    <row r="118" spans="1:9" x14ac:dyDescent="0.25">
      <c r="A118">
        <v>3.6059999999999999</v>
      </c>
      <c r="B118">
        <v>68.41046781299832</v>
      </c>
      <c r="C118">
        <v>9.9481000337445309</v>
      </c>
      <c r="H118">
        <v>8</v>
      </c>
      <c r="I118">
        <v>2.8580000000000001</v>
      </c>
    </row>
    <row r="119" spans="1:9" x14ac:dyDescent="0.25">
      <c r="A119">
        <v>3.633</v>
      </c>
      <c r="B119">
        <v>65.04140083659081</v>
      </c>
      <c r="C119">
        <v>8.4410765260181559</v>
      </c>
      <c r="H119">
        <v>7.07</v>
      </c>
      <c r="I119">
        <v>2.4420000000000002</v>
      </c>
    </row>
    <row r="120" spans="1:9" x14ac:dyDescent="0.25">
      <c r="A120">
        <v>3.6589999999999998</v>
      </c>
      <c r="B120">
        <v>63.715509962004624</v>
      </c>
      <c r="C120">
        <v>7.9447731112140358</v>
      </c>
      <c r="H120">
        <v>6.7039999999999997</v>
      </c>
      <c r="I120">
        <v>2.3050000000000002</v>
      </c>
    </row>
    <row r="121" spans="1:9" x14ac:dyDescent="0.25">
      <c r="A121">
        <v>3.6859999999999999</v>
      </c>
      <c r="B121">
        <v>63.121394925304791</v>
      </c>
      <c r="C121">
        <v>7.8904333212719786</v>
      </c>
      <c r="H121">
        <v>6.54</v>
      </c>
      <c r="I121">
        <v>2.29</v>
      </c>
    </row>
    <row r="122" spans="1:9" x14ac:dyDescent="0.25">
      <c r="A122">
        <v>3.7130000000000001</v>
      </c>
      <c r="B122">
        <v>63.730000572655825</v>
      </c>
      <c r="C122">
        <v>8.2164720609243194</v>
      </c>
      <c r="H122">
        <v>6.7080000000000002</v>
      </c>
      <c r="I122">
        <v>2.38</v>
      </c>
    </row>
    <row r="123" spans="1:9" x14ac:dyDescent="0.25">
      <c r="A123">
        <v>3.7389999999999999</v>
      </c>
      <c r="B123">
        <v>69.388584031955347</v>
      </c>
      <c r="C123">
        <v>10.857385852108282</v>
      </c>
      <c r="H123">
        <v>8.27</v>
      </c>
      <c r="I123">
        <v>3.109</v>
      </c>
    </row>
    <row r="124" spans="1:9" x14ac:dyDescent="0.25">
      <c r="A124">
        <v>3.766</v>
      </c>
      <c r="B124">
        <v>72.489574711315385</v>
      </c>
      <c r="C124">
        <v>12.183276726694469</v>
      </c>
      <c r="H124">
        <v>9.1259999999999994</v>
      </c>
      <c r="I124">
        <v>3.4750000000000001</v>
      </c>
    </row>
    <row r="125" spans="1:9" x14ac:dyDescent="0.25">
      <c r="A125">
        <v>3.7930000000000001</v>
      </c>
      <c r="B125">
        <v>72.840972019607364</v>
      </c>
      <c r="C125">
        <v>12.190522032020077</v>
      </c>
      <c r="H125">
        <v>9.2230000000000008</v>
      </c>
      <c r="I125">
        <v>3.4769999999999999</v>
      </c>
    </row>
    <row r="126" spans="1:9" x14ac:dyDescent="0.25">
      <c r="A126">
        <v>3.819</v>
      </c>
      <c r="B126">
        <v>68.446694339626362</v>
      </c>
      <c r="C126">
        <v>10.060402266291447</v>
      </c>
      <c r="H126">
        <v>8.01</v>
      </c>
      <c r="I126">
        <v>2.8889999999999998</v>
      </c>
    </row>
    <row r="127" spans="1:9" x14ac:dyDescent="0.25">
      <c r="A127">
        <v>3.8460000000000001</v>
      </c>
      <c r="B127">
        <v>65.251514691033435</v>
      </c>
      <c r="C127">
        <v>8.8902854562058238</v>
      </c>
      <c r="H127">
        <v>7.1280000000000001</v>
      </c>
      <c r="I127">
        <v>2.5659999999999998</v>
      </c>
    </row>
    <row r="128" spans="1:9" x14ac:dyDescent="0.25">
      <c r="A128">
        <v>3.8730000000000002</v>
      </c>
      <c r="B128">
        <v>64.171964197517894</v>
      </c>
      <c r="C128">
        <v>8.6330771171467564</v>
      </c>
      <c r="H128">
        <v>6.83</v>
      </c>
      <c r="I128">
        <v>2.4950000000000001</v>
      </c>
    </row>
    <row r="129" spans="1:9" x14ac:dyDescent="0.25">
      <c r="A129">
        <v>3.899</v>
      </c>
      <c r="B129">
        <v>63.701019351353402</v>
      </c>
      <c r="C129">
        <v>8.346887556785255</v>
      </c>
      <c r="H129">
        <v>6.7</v>
      </c>
      <c r="I129">
        <v>2.4159999999999999</v>
      </c>
    </row>
    <row r="130" spans="1:9" x14ac:dyDescent="0.25">
      <c r="A130">
        <v>3.9260000000000002</v>
      </c>
      <c r="B130">
        <v>63.15762145193284</v>
      </c>
      <c r="C130">
        <v>7.9157918899116053</v>
      </c>
      <c r="H130">
        <v>6.55</v>
      </c>
      <c r="I130">
        <v>2.2970000000000002</v>
      </c>
    </row>
    <row r="131" spans="1:9" x14ac:dyDescent="0.25">
      <c r="A131">
        <v>3.9529999999999998</v>
      </c>
      <c r="B131">
        <v>63.570603855492465</v>
      </c>
      <c r="C131">
        <v>8.3867367360760987</v>
      </c>
      <c r="H131">
        <v>6.6639999999999997</v>
      </c>
      <c r="I131">
        <v>2.427</v>
      </c>
    </row>
    <row r="132" spans="1:9" x14ac:dyDescent="0.25">
      <c r="A132">
        <v>3.9790000000000001</v>
      </c>
      <c r="B132">
        <v>68.874167353837208</v>
      </c>
      <c r="C132">
        <v>12.520183424335222</v>
      </c>
      <c r="H132">
        <v>8.1280000000000001</v>
      </c>
      <c r="I132">
        <v>3.5680000000000001</v>
      </c>
    </row>
    <row r="133" spans="1:9" x14ac:dyDescent="0.25">
      <c r="A133">
        <v>4.0060000000000002</v>
      </c>
      <c r="B133">
        <v>75.992679836246666</v>
      </c>
      <c r="C133">
        <v>15.987062022638451</v>
      </c>
      <c r="H133">
        <v>10.093</v>
      </c>
      <c r="I133">
        <v>4.5250000000000004</v>
      </c>
    </row>
    <row r="134" spans="1:9" x14ac:dyDescent="0.25">
      <c r="A134">
        <v>4.0330000000000004</v>
      </c>
      <c r="B134">
        <v>77.043249108459747</v>
      </c>
      <c r="C134">
        <v>15.708117767602559</v>
      </c>
      <c r="H134">
        <v>10.382999999999999</v>
      </c>
      <c r="I134">
        <v>4.4480000000000004</v>
      </c>
    </row>
    <row r="135" spans="1:9" x14ac:dyDescent="0.25">
      <c r="A135">
        <v>4.0590000000000002</v>
      </c>
      <c r="B135">
        <v>73.844446807204022</v>
      </c>
      <c r="C135">
        <v>13.09256254505822</v>
      </c>
      <c r="H135">
        <v>9.5</v>
      </c>
      <c r="I135">
        <v>3.726</v>
      </c>
    </row>
    <row r="136" spans="1:9" x14ac:dyDescent="0.25">
      <c r="A136">
        <v>4.0860000000000003</v>
      </c>
      <c r="B136">
        <v>67.555521784576626</v>
      </c>
      <c r="C136">
        <v>10.035043697651822</v>
      </c>
      <c r="H136">
        <v>7.7640000000000002</v>
      </c>
      <c r="I136">
        <v>2.8820000000000001</v>
      </c>
    </row>
    <row r="137" spans="1:9" x14ac:dyDescent="0.25">
      <c r="A137">
        <v>4.1130000000000004</v>
      </c>
      <c r="B137">
        <v>62.867809238908528</v>
      </c>
      <c r="C137">
        <v>7.8505841419811366</v>
      </c>
      <c r="H137">
        <v>6.47</v>
      </c>
      <c r="I137">
        <v>2.2789999999999999</v>
      </c>
    </row>
    <row r="138" spans="1:9" x14ac:dyDescent="0.25">
      <c r="A138">
        <v>4.1390000000000002</v>
      </c>
      <c r="B138">
        <v>61.259351456623641</v>
      </c>
      <c r="C138">
        <v>6.8760905756869164</v>
      </c>
      <c r="H138">
        <v>6.0259999999999998</v>
      </c>
      <c r="I138">
        <v>2.0099999999999998</v>
      </c>
    </row>
    <row r="139" spans="1:9" x14ac:dyDescent="0.25">
      <c r="A139">
        <v>4.1660000000000004</v>
      </c>
      <c r="B139">
        <v>60.842746400401211</v>
      </c>
      <c r="C139">
        <v>6.618882236627849</v>
      </c>
      <c r="H139">
        <v>5.9109999999999996</v>
      </c>
      <c r="I139">
        <v>1.9390000000000001</v>
      </c>
    </row>
    <row r="140" spans="1:9" x14ac:dyDescent="0.25">
      <c r="A140">
        <v>4.1929999999999996</v>
      </c>
      <c r="B140">
        <v>60.690594988563447</v>
      </c>
      <c r="C140">
        <v>6.6695993739071016</v>
      </c>
      <c r="H140">
        <v>5.8689999999999998</v>
      </c>
      <c r="I140">
        <v>1.9530000000000001</v>
      </c>
    </row>
    <row r="141" spans="1:9" x14ac:dyDescent="0.25">
      <c r="A141">
        <v>4.2190000000000003</v>
      </c>
      <c r="B141">
        <v>67.349030582796814</v>
      </c>
      <c r="C141">
        <v>8.2200947135871232</v>
      </c>
      <c r="H141">
        <v>7.7069999999999999</v>
      </c>
      <c r="I141">
        <v>2.3809999999999998</v>
      </c>
    </row>
    <row r="142" spans="1:9" x14ac:dyDescent="0.25">
      <c r="A142">
        <v>4.2460000000000004</v>
      </c>
      <c r="B142">
        <v>79.282048454072495</v>
      </c>
      <c r="C142">
        <v>10.763196882875384</v>
      </c>
      <c r="H142">
        <v>11.000999999999999</v>
      </c>
      <c r="I142">
        <v>3.0830000000000002</v>
      </c>
    </row>
    <row r="143" spans="1:9" x14ac:dyDescent="0.25">
      <c r="A143">
        <v>4.2729999999999997</v>
      </c>
      <c r="B143">
        <v>81.723716348802256</v>
      </c>
      <c r="C143">
        <v>11.455123541470908</v>
      </c>
      <c r="H143">
        <v>11.675000000000001</v>
      </c>
      <c r="I143">
        <v>3.274</v>
      </c>
    </row>
    <row r="144" spans="1:9" x14ac:dyDescent="0.25">
      <c r="A144">
        <v>4.2990000000000004</v>
      </c>
      <c r="B144">
        <v>76.775172811412276</v>
      </c>
      <c r="C144">
        <v>10.650894650328466</v>
      </c>
      <c r="H144">
        <v>10.308999999999999</v>
      </c>
      <c r="I144">
        <v>3.052</v>
      </c>
    </row>
    <row r="145" spans="1:9" x14ac:dyDescent="0.25">
      <c r="A145">
        <v>4.3259999999999996</v>
      </c>
      <c r="B145">
        <v>66.262234783955677</v>
      </c>
      <c r="C145">
        <v>8.459189789332175</v>
      </c>
      <c r="H145">
        <v>7.407</v>
      </c>
      <c r="I145">
        <v>2.4470000000000001</v>
      </c>
    </row>
    <row r="146" spans="1:9" x14ac:dyDescent="0.25">
      <c r="A146">
        <v>4.3529999999999998</v>
      </c>
      <c r="B146">
        <v>61.360785731182162</v>
      </c>
      <c r="C146">
        <v>7.5861304975964599</v>
      </c>
      <c r="H146">
        <v>6.0540000000000003</v>
      </c>
      <c r="I146">
        <v>2.206</v>
      </c>
    </row>
    <row r="147" spans="1:9" x14ac:dyDescent="0.25">
      <c r="A147">
        <v>4.3789999999999996</v>
      </c>
      <c r="B147">
        <v>66.88533104195794</v>
      </c>
      <c r="C147">
        <v>19.25831737715027</v>
      </c>
      <c r="H147">
        <v>7.5789999999999997</v>
      </c>
      <c r="I147">
        <v>5.4279999999999999</v>
      </c>
    </row>
    <row r="148" spans="1:9" x14ac:dyDescent="0.25">
      <c r="A148">
        <v>4.4059999999999997</v>
      </c>
      <c r="B148">
        <v>80.861525015054937</v>
      </c>
      <c r="C148">
        <v>44.671225806718851</v>
      </c>
      <c r="H148">
        <v>11.436999999999999</v>
      </c>
      <c r="I148">
        <v>12.443</v>
      </c>
    </row>
    <row r="149" spans="1:9" x14ac:dyDescent="0.25">
      <c r="A149">
        <v>4.4329999999999998</v>
      </c>
      <c r="B149">
        <v>84.745008669580628</v>
      </c>
      <c r="C149">
        <v>50.199393770157442</v>
      </c>
      <c r="H149">
        <v>12.509</v>
      </c>
      <c r="I149">
        <v>13.968999999999999</v>
      </c>
    </row>
    <row r="150" spans="1:9" x14ac:dyDescent="0.25">
      <c r="A150">
        <v>4.4589999999999996</v>
      </c>
      <c r="B150">
        <v>77.083098287750602</v>
      </c>
      <c r="C150">
        <v>33.238134002910101</v>
      </c>
      <c r="H150">
        <v>10.394</v>
      </c>
      <c r="I150">
        <v>9.2870000000000008</v>
      </c>
    </row>
    <row r="151" spans="1:9" x14ac:dyDescent="0.25">
      <c r="A151">
        <v>4.4859999999999998</v>
      </c>
      <c r="B151">
        <v>69.149488956210305</v>
      </c>
      <c r="C151">
        <v>17.189782706689307</v>
      </c>
      <c r="H151">
        <v>8.2040000000000006</v>
      </c>
      <c r="I151">
        <v>4.8570000000000002</v>
      </c>
    </row>
    <row r="152" spans="1:9" x14ac:dyDescent="0.25">
      <c r="A152">
        <v>4.5129999999999999</v>
      </c>
      <c r="B152">
        <v>67.551899131913814</v>
      </c>
      <c r="C152">
        <v>12.107201020775591</v>
      </c>
      <c r="H152">
        <v>7.7629999999999999</v>
      </c>
      <c r="I152">
        <v>3.4540000000000002</v>
      </c>
    </row>
    <row r="153" spans="1:9" x14ac:dyDescent="0.25">
      <c r="A153">
        <v>4.5389999999999997</v>
      </c>
      <c r="B153">
        <v>66.044875624187455</v>
      </c>
      <c r="C153">
        <v>10.451648753874258</v>
      </c>
      <c r="H153">
        <v>7.3470000000000004</v>
      </c>
      <c r="I153">
        <v>2.9969999999999999</v>
      </c>
    </row>
    <row r="154" spans="1:9" x14ac:dyDescent="0.25">
      <c r="A154">
        <v>4.5659999999999998</v>
      </c>
      <c r="B154">
        <v>63.748113835969853</v>
      </c>
      <c r="C154">
        <v>9.0895313526600319</v>
      </c>
      <c r="H154">
        <v>6.7130000000000001</v>
      </c>
      <c r="I154">
        <v>2.621</v>
      </c>
    </row>
    <row r="155" spans="1:9" x14ac:dyDescent="0.25">
      <c r="A155">
        <v>4.593</v>
      </c>
      <c r="B155">
        <v>62.146901359010577</v>
      </c>
      <c r="C155">
        <v>8.1585096183194583</v>
      </c>
      <c r="H155">
        <v>6.2709999999999999</v>
      </c>
      <c r="I155">
        <v>2.3639999999999999</v>
      </c>
    </row>
    <row r="156" spans="1:9" x14ac:dyDescent="0.25">
      <c r="A156">
        <v>4.6189999999999998</v>
      </c>
      <c r="B156">
        <v>62.020108515812453</v>
      </c>
      <c r="C156">
        <v>7.8542067946439396</v>
      </c>
      <c r="H156">
        <v>6.2359999999999998</v>
      </c>
      <c r="I156">
        <v>2.2799999999999998</v>
      </c>
    </row>
    <row r="157" spans="1:9" x14ac:dyDescent="0.25">
      <c r="A157">
        <v>4.6459999999999999</v>
      </c>
      <c r="B157">
        <v>62.20124114895264</v>
      </c>
      <c r="C157">
        <v>7.6549608981897324</v>
      </c>
      <c r="H157">
        <v>6.2859999999999996</v>
      </c>
      <c r="I157">
        <v>2.2250000000000001</v>
      </c>
    </row>
    <row r="158" spans="1:9" x14ac:dyDescent="0.25">
      <c r="A158">
        <v>4.673</v>
      </c>
      <c r="B158">
        <v>62.639582121151889</v>
      </c>
      <c r="C158">
        <v>7.9701316798536617</v>
      </c>
      <c r="H158">
        <v>6.407</v>
      </c>
      <c r="I158">
        <v>2.3119999999999998</v>
      </c>
    </row>
    <row r="159" spans="1:9" x14ac:dyDescent="0.25">
      <c r="A159">
        <v>4.6989999999999998</v>
      </c>
      <c r="B159">
        <v>63.2192065472005</v>
      </c>
      <c r="C159">
        <v>8.3867367360760987</v>
      </c>
      <c r="H159">
        <v>6.5670000000000002</v>
      </c>
      <c r="I159">
        <v>2.427</v>
      </c>
    </row>
    <row r="160" spans="1:9" x14ac:dyDescent="0.25">
      <c r="A160">
        <v>4.726</v>
      </c>
      <c r="B160">
        <v>65.494232419441275</v>
      </c>
      <c r="C160">
        <v>8.6874169070888119</v>
      </c>
      <c r="H160">
        <v>7.1950000000000003</v>
      </c>
      <c r="I160">
        <v>2.5099999999999998</v>
      </c>
    </row>
    <row r="161" spans="1:9" x14ac:dyDescent="0.25">
      <c r="A161">
        <v>4.7530000000000001</v>
      </c>
      <c r="B161">
        <v>65.765931369151559</v>
      </c>
      <c r="C161">
        <v>8.1657549236450677</v>
      </c>
      <c r="H161">
        <v>7.27</v>
      </c>
      <c r="I161">
        <v>2.3660000000000001</v>
      </c>
    </row>
    <row r="162" spans="1:9" x14ac:dyDescent="0.25">
      <c r="A162">
        <v>4.7789999999999999</v>
      </c>
      <c r="B162">
        <v>63.835057499877145</v>
      </c>
      <c r="C162">
        <v>7.1260536094203797</v>
      </c>
      <c r="H162">
        <v>6.7370000000000001</v>
      </c>
      <c r="I162">
        <v>2.0790000000000002</v>
      </c>
    </row>
    <row r="163" spans="1:9" x14ac:dyDescent="0.25">
      <c r="A163">
        <v>4.806</v>
      </c>
      <c r="B163">
        <v>61.614371417578418</v>
      </c>
      <c r="C163">
        <v>6.4123910348480324</v>
      </c>
      <c r="H163">
        <v>6.1239999999999997</v>
      </c>
      <c r="I163">
        <v>1.8819999999999999</v>
      </c>
    </row>
    <row r="164" spans="1:9" x14ac:dyDescent="0.25">
      <c r="A164">
        <v>4.8330000000000002</v>
      </c>
      <c r="B164">
        <v>60.534820924062892</v>
      </c>
      <c r="C164">
        <v>6.2855981916498997</v>
      </c>
      <c r="H164">
        <v>5.8259999999999996</v>
      </c>
      <c r="I164">
        <v>1.847</v>
      </c>
    </row>
    <row r="165" spans="1:9" x14ac:dyDescent="0.25">
      <c r="A165">
        <v>4.859</v>
      </c>
      <c r="B165">
        <v>60.37904685956233</v>
      </c>
      <c r="C165">
        <v>6.8724679230241135</v>
      </c>
      <c r="H165">
        <v>5.7830000000000004</v>
      </c>
      <c r="I165">
        <v>2.0089999999999999</v>
      </c>
    </row>
    <row r="166" spans="1:9" x14ac:dyDescent="0.25">
      <c r="A166">
        <v>4.8860000000000001</v>
      </c>
      <c r="B166">
        <v>61.168785140053558</v>
      </c>
      <c r="C166">
        <v>7.5607719289568331</v>
      </c>
      <c r="H166">
        <v>6.0010000000000003</v>
      </c>
      <c r="I166">
        <v>2.1989999999999998</v>
      </c>
    </row>
    <row r="167" spans="1:9" x14ac:dyDescent="0.25">
      <c r="A167">
        <v>4.9130000000000003</v>
      </c>
      <c r="B167">
        <v>66.541179038991586</v>
      </c>
      <c r="C167">
        <v>8.7127754757284386</v>
      </c>
      <c r="H167">
        <v>7.484</v>
      </c>
      <c r="I167">
        <v>2.5169999999999999</v>
      </c>
    </row>
    <row r="168" spans="1:9" x14ac:dyDescent="0.25">
      <c r="A168">
        <v>4.9390000000000001</v>
      </c>
      <c r="B168">
        <v>70.953569982286581</v>
      </c>
      <c r="C168">
        <v>9.2670413331374171</v>
      </c>
      <c r="H168">
        <v>8.702</v>
      </c>
      <c r="I168">
        <v>2.67</v>
      </c>
    </row>
    <row r="169" spans="1:9" x14ac:dyDescent="0.25">
      <c r="A169">
        <v>4.9660000000000002</v>
      </c>
      <c r="B169">
        <v>70.88473958169331</v>
      </c>
      <c r="C169">
        <v>9.0750407420088166</v>
      </c>
      <c r="H169">
        <v>8.6829999999999998</v>
      </c>
      <c r="I169">
        <v>2.617</v>
      </c>
    </row>
    <row r="170" spans="1:9" x14ac:dyDescent="0.25">
      <c r="A170">
        <v>4.9930000000000003</v>
      </c>
      <c r="B170">
        <v>66.664349229526906</v>
      </c>
      <c r="C170">
        <v>8.1403963550054392</v>
      </c>
      <c r="H170">
        <v>7.5179999999999998</v>
      </c>
      <c r="I170">
        <v>2.359</v>
      </c>
    </row>
    <row r="171" spans="1:9" x14ac:dyDescent="0.25">
      <c r="A171">
        <v>5.0190000000000001</v>
      </c>
      <c r="B171">
        <v>63.20833858921209</v>
      </c>
      <c r="C171">
        <v>7.4013752117934661</v>
      </c>
      <c r="H171">
        <v>6.5640000000000001</v>
      </c>
      <c r="I171">
        <v>2.1549999999999998</v>
      </c>
    </row>
    <row r="172" spans="1:9" x14ac:dyDescent="0.25">
      <c r="A172">
        <v>5.0460000000000003</v>
      </c>
      <c r="B172">
        <v>61.773768134741786</v>
      </c>
      <c r="C172">
        <v>7.0391099455130881</v>
      </c>
      <c r="H172">
        <v>6.1680000000000001</v>
      </c>
      <c r="I172">
        <v>2.0550000000000002</v>
      </c>
    </row>
    <row r="173" spans="1:9" x14ac:dyDescent="0.25">
      <c r="A173">
        <v>5.0730000000000004</v>
      </c>
      <c r="B173">
        <v>61.665088554857668</v>
      </c>
      <c r="C173">
        <v>7.0137513768734614</v>
      </c>
      <c r="H173">
        <v>6.1379999999999999</v>
      </c>
      <c r="I173">
        <v>2.048</v>
      </c>
    </row>
    <row r="174" spans="1:9" x14ac:dyDescent="0.25">
      <c r="A174">
        <v>5.0990000000000002</v>
      </c>
      <c r="B174">
        <v>62.878677196896938</v>
      </c>
      <c r="C174">
        <v>8.2128494082615155</v>
      </c>
      <c r="H174">
        <v>6.4729999999999999</v>
      </c>
      <c r="I174">
        <v>2.379</v>
      </c>
    </row>
    <row r="175" spans="1:9" x14ac:dyDescent="0.25">
      <c r="A175">
        <v>5.1260000000000003</v>
      </c>
      <c r="B175">
        <v>64.193700113494714</v>
      </c>
      <c r="C175">
        <v>9.7234955686506961</v>
      </c>
      <c r="H175">
        <v>6.8360000000000003</v>
      </c>
      <c r="I175">
        <v>2.7959999999999998</v>
      </c>
    </row>
    <row r="176" spans="1:9" x14ac:dyDescent="0.25">
      <c r="A176">
        <v>5.1529999999999996</v>
      </c>
      <c r="B176">
        <v>64.066907270296596</v>
      </c>
      <c r="C176">
        <v>9.8502884118488296</v>
      </c>
      <c r="H176">
        <v>6.8010000000000002</v>
      </c>
      <c r="I176">
        <v>2.831</v>
      </c>
    </row>
    <row r="177" spans="1:9" x14ac:dyDescent="0.25">
      <c r="A177">
        <v>5.1790000000000003</v>
      </c>
      <c r="B177">
        <v>64.012567480354534</v>
      </c>
      <c r="C177">
        <v>10.582064249735195</v>
      </c>
      <c r="H177">
        <v>6.7859999999999996</v>
      </c>
      <c r="I177">
        <v>3.0329999999999999</v>
      </c>
    </row>
    <row r="178" spans="1:9" x14ac:dyDescent="0.25">
      <c r="A178">
        <v>5.2060000000000004</v>
      </c>
      <c r="B178">
        <v>63.483660191585173</v>
      </c>
      <c r="C178">
        <v>10.353837131978556</v>
      </c>
      <c r="H178">
        <v>6.64</v>
      </c>
      <c r="I178">
        <v>2.97</v>
      </c>
    </row>
    <row r="179" spans="1:9" x14ac:dyDescent="0.25">
      <c r="A179">
        <v>5.2329999999999997</v>
      </c>
      <c r="B179">
        <v>62.462072140674508</v>
      </c>
      <c r="C179">
        <v>9.0134556467411535</v>
      </c>
      <c r="H179">
        <v>6.3579999999999997</v>
      </c>
      <c r="I179">
        <v>2.6</v>
      </c>
    </row>
    <row r="180" spans="1:9" x14ac:dyDescent="0.25">
      <c r="A180">
        <v>5.2590000000000003</v>
      </c>
      <c r="B180">
        <v>61.770145482078988</v>
      </c>
      <c r="C180">
        <v>8.223717366249927</v>
      </c>
      <c r="H180">
        <v>6.1669999999999998</v>
      </c>
      <c r="I180">
        <v>2.3820000000000001</v>
      </c>
    </row>
    <row r="181" spans="1:9" x14ac:dyDescent="0.25">
      <c r="A181">
        <v>5.2859999999999996</v>
      </c>
      <c r="B181">
        <v>61.556408974973564</v>
      </c>
      <c r="C181">
        <v>8.1114151337030087</v>
      </c>
      <c r="H181">
        <v>6.1079999999999997</v>
      </c>
      <c r="I181">
        <v>2.351</v>
      </c>
    </row>
    <row r="182" spans="1:9" x14ac:dyDescent="0.25">
      <c r="A182">
        <v>5.3129999999999997</v>
      </c>
      <c r="B182">
        <v>61.288332677926071</v>
      </c>
      <c r="C182">
        <v>7.7563951727482383</v>
      </c>
      <c r="H182">
        <v>6.0339999999999998</v>
      </c>
      <c r="I182">
        <v>2.2530000000000001</v>
      </c>
    </row>
    <row r="183" spans="1:9" x14ac:dyDescent="0.25">
      <c r="A183">
        <v>5.3390000000000004</v>
      </c>
      <c r="B183">
        <v>60.857237011052426</v>
      </c>
      <c r="C183">
        <v>6.9195624076405622</v>
      </c>
      <c r="H183">
        <v>5.915</v>
      </c>
      <c r="I183">
        <v>2.0219999999999998</v>
      </c>
    </row>
    <row r="184" spans="1:9" x14ac:dyDescent="0.25">
      <c r="A184">
        <v>5.3659999999999997</v>
      </c>
      <c r="B184">
        <v>61.143426571413926</v>
      </c>
      <c r="C184">
        <v>6.6623540685814939</v>
      </c>
      <c r="H184">
        <v>5.9939999999999998</v>
      </c>
      <c r="I184">
        <v>1.9510000000000001</v>
      </c>
    </row>
    <row r="185" spans="1:9" x14ac:dyDescent="0.25">
      <c r="A185">
        <v>5.3929999999999998</v>
      </c>
      <c r="B185">
        <v>62.360637866115987</v>
      </c>
      <c r="C185">
        <v>8.365000820099274</v>
      </c>
      <c r="H185">
        <v>6.33</v>
      </c>
      <c r="I185">
        <v>2.4209999999999998</v>
      </c>
    </row>
    <row r="186" spans="1:9" x14ac:dyDescent="0.25">
      <c r="A186">
        <v>5.4189999999999996</v>
      </c>
      <c r="B186">
        <v>79.361746812654175</v>
      </c>
      <c r="C186">
        <v>42.106387721453771</v>
      </c>
      <c r="H186">
        <v>11.023</v>
      </c>
      <c r="I186">
        <v>11.734999999999999</v>
      </c>
    </row>
    <row r="187" spans="1:9" x14ac:dyDescent="0.25">
      <c r="A187">
        <v>5.4459999999999997</v>
      </c>
      <c r="B187">
        <v>95.247078739048803</v>
      </c>
      <c r="C187">
        <v>74.228448882534977</v>
      </c>
      <c r="H187">
        <v>15.407999999999999</v>
      </c>
      <c r="I187">
        <v>20.602</v>
      </c>
    </row>
    <row r="188" spans="1:9" x14ac:dyDescent="0.25">
      <c r="A188">
        <v>5.4729999999999999</v>
      </c>
      <c r="B188">
        <v>93.87047072718336</v>
      </c>
      <c r="C188">
        <v>71.562176522711383</v>
      </c>
      <c r="H188">
        <v>15.028</v>
      </c>
      <c r="I188">
        <v>19.866</v>
      </c>
    </row>
    <row r="189" spans="1:9" x14ac:dyDescent="0.25">
      <c r="A189">
        <v>5.4989999999999997</v>
      </c>
      <c r="B189">
        <v>77.199023172960324</v>
      </c>
      <c r="C189">
        <v>37.636034335553894</v>
      </c>
      <c r="H189">
        <v>10.426</v>
      </c>
      <c r="I189">
        <v>10.500999999999999</v>
      </c>
    </row>
    <row r="190" spans="1:9" x14ac:dyDescent="0.25">
      <c r="A190">
        <v>5.5259999999999998</v>
      </c>
      <c r="B190">
        <v>66.178913772711198</v>
      </c>
      <c r="C190">
        <v>15.418305554578255</v>
      </c>
      <c r="H190">
        <v>7.3840000000000003</v>
      </c>
      <c r="I190">
        <v>4.3680000000000003</v>
      </c>
    </row>
    <row r="191" spans="1:9" x14ac:dyDescent="0.25">
      <c r="A191">
        <v>5.5529999999999999</v>
      </c>
      <c r="B191">
        <v>61.933164851905147</v>
      </c>
      <c r="C191">
        <v>7.1985066626764551</v>
      </c>
      <c r="H191">
        <v>6.2119999999999997</v>
      </c>
      <c r="I191">
        <v>2.0990000000000002</v>
      </c>
    </row>
    <row r="192" spans="1:9" x14ac:dyDescent="0.25">
      <c r="A192">
        <v>5.5789999999999997</v>
      </c>
      <c r="B192">
        <v>61.632484680892432</v>
      </c>
      <c r="C192">
        <v>6.3254473709407417</v>
      </c>
      <c r="H192">
        <v>6.1289999999999996</v>
      </c>
      <c r="I192">
        <v>1.8580000000000001</v>
      </c>
    </row>
    <row r="193" spans="1:9" x14ac:dyDescent="0.25">
      <c r="A193">
        <v>5.6059999999999999</v>
      </c>
      <c r="B193">
        <v>69.797943782852187</v>
      </c>
      <c r="C193">
        <v>8.1150377863658125</v>
      </c>
      <c r="H193">
        <v>8.3829999999999991</v>
      </c>
      <c r="I193">
        <v>2.3519999999999999</v>
      </c>
    </row>
    <row r="194" spans="1:9" x14ac:dyDescent="0.25">
      <c r="A194">
        <v>5.633</v>
      </c>
      <c r="B194">
        <v>79.821823700830265</v>
      </c>
      <c r="C194">
        <v>10.172704498838366</v>
      </c>
      <c r="H194">
        <v>11.15</v>
      </c>
      <c r="I194">
        <v>2.92</v>
      </c>
    </row>
    <row r="195" spans="1:9" x14ac:dyDescent="0.25">
      <c r="A195">
        <v>5.6589999999999998</v>
      </c>
      <c r="B195">
        <v>81.397677609149909</v>
      </c>
      <c r="C195">
        <v>10.313987952687713</v>
      </c>
      <c r="H195">
        <v>11.585000000000001</v>
      </c>
      <c r="I195">
        <v>2.9590000000000001</v>
      </c>
    </row>
    <row r="196" spans="1:9" x14ac:dyDescent="0.25">
      <c r="A196">
        <v>5.6859999999999999</v>
      </c>
      <c r="B196">
        <v>74.992827701312819</v>
      </c>
      <c r="C196">
        <v>8.8287003609381607</v>
      </c>
      <c r="H196">
        <v>9.8170000000000002</v>
      </c>
      <c r="I196">
        <v>2.5489999999999999</v>
      </c>
    </row>
    <row r="197" spans="1:9" x14ac:dyDescent="0.25">
      <c r="A197">
        <v>5.7130000000000001</v>
      </c>
      <c r="B197">
        <v>66.479593943723899</v>
      </c>
      <c r="C197">
        <v>7.0572232088271072</v>
      </c>
      <c r="H197">
        <v>7.4669999999999996</v>
      </c>
      <c r="I197">
        <v>2.06</v>
      </c>
    </row>
    <row r="198" spans="1:9" x14ac:dyDescent="0.25">
      <c r="A198">
        <v>5.7389999999999999</v>
      </c>
      <c r="B198">
        <v>62.715657827070771</v>
      </c>
      <c r="C198">
        <v>6.560919794022988</v>
      </c>
      <c r="H198">
        <v>6.4279999999999999</v>
      </c>
      <c r="I198">
        <v>1.923</v>
      </c>
    </row>
    <row r="199" spans="1:9" x14ac:dyDescent="0.25">
      <c r="A199">
        <v>5.766</v>
      </c>
      <c r="B199">
        <v>61.762900176753369</v>
      </c>
      <c r="C199">
        <v>6.542806530708968</v>
      </c>
      <c r="H199">
        <v>6.165</v>
      </c>
      <c r="I199">
        <v>1.9179999999999999</v>
      </c>
    </row>
    <row r="200" spans="1:9" x14ac:dyDescent="0.25">
      <c r="A200">
        <v>5.7930000000000001</v>
      </c>
      <c r="B200">
        <v>61.730296302788133</v>
      </c>
      <c r="C200">
        <v>6.5174479620693422</v>
      </c>
      <c r="H200">
        <v>6.1559999999999997</v>
      </c>
      <c r="I200">
        <v>1.911</v>
      </c>
    </row>
    <row r="201" spans="1:9" x14ac:dyDescent="0.25">
      <c r="A201">
        <v>5.819</v>
      </c>
      <c r="B201">
        <v>61.730296302788133</v>
      </c>
      <c r="C201">
        <v>6.300088802301115</v>
      </c>
      <c r="H201">
        <v>6.1559999999999997</v>
      </c>
      <c r="I201">
        <v>1.851</v>
      </c>
    </row>
    <row r="202" spans="1:9" x14ac:dyDescent="0.25">
      <c r="A202">
        <v>5.8460000000000001</v>
      </c>
      <c r="B202">
        <v>61.708560386811314</v>
      </c>
      <c r="C202">
        <v>6.1551826957889624</v>
      </c>
      <c r="H202">
        <v>6.15</v>
      </c>
      <c r="I202">
        <v>1.8109999999999999</v>
      </c>
    </row>
    <row r="203" spans="1:9" x14ac:dyDescent="0.25">
      <c r="A203">
        <v>5.8730000000000002</v>
      </c>
      <c r="B203">
        <v>61.636107333555238</v>
      </c>
      <c r="C203">
        <v>6.0428804632420459</v>
      </c>
      <c r="H203">
        <v>6.13</v>
      </c>
      <c r="I203">
        <v>1.78</v>
      </c>
    </row>
    <row r="204" spans="1:9" x14ac:dyDescent="0.25">
      <c r="A204">
        <v>5.899</v>
      </c>
      <c r="B204">
        <v>61.512937143019911</v>
      </c>
      <c r="C204">
        <v>5.9378235360207352</v>
      </c>
      <c r="H204">
        <v>6.0960000000000001</v>
      </c>
      <c r="I204">
        <v>1.7509999999999999</v>
      </c>
    </row>
    <row r="205" spans="1:9" x14ac:dyDescent="0.25">
      <c r="A205">
        <v>5.9260000000000002</v>
      </c>
      <c r="B205">
        <v>61.505691837694307</v>
      </c>
      <c r="C205">
        <v>5.9559367993347543</v>
      </c>
      <c r="H205">
        <v>6.0940000000000003</v>
      </c>
      <c r="I205">
        <v>1.756</v>
      </c>
    </row>
    <row r="206" spans="1:9" x14ac:dyDescent="0.25">
      <c r="A206">
        <v>5.9530000000000003</v>
      </c>
      <c r="B206">
        <v>61.70131508148571</v>
      </c>
      <c r="C206">
        <v>6.3037114549639188</v>
      </c>
      <c r="H206">
        <v>6.1479999999999997</v>
      </c>
      <c r="I206">
        <v>1.8520000000000001</v>
      </c>
    </row>
    <row r="207" spans="1:9" x14ac:dyDescent="0.25">
      <c r="A207">
        <v>5.9790000000000001</v>
      </c>
      <c r="B207">
        <v>61.806372008707015</v>
      </c>
      <c r="C207">
        <v>6.4196363401736392</v>
      </c>
      <c r="H207">
        <v>6.1769999999999996</v>
      </c>
      <c r="I207">
        <v>1.8839999999999999</v>
      </c>
    </row>
    <row r="208" spans="1:9" x14ac:dyDescent="0.25">
      <c r="A208">
        <v>6.0060000000000002</v>
      </c>
      <c r="B208">
        <v>61.773768134741786</v>
      </c>
      <c r="C208">
        <v>6.1914092224170005</v>
      </c>
      <c r="H208">
        <v>6.1680000000000001</v>
      </c>
      <c r="I208">
        <v>1.821</v>
      </c>
    </row>
    <row r="209" spans="1:9" x14ac:dyDescent="0.25">
      <c r="A209">
        <v>6.0330000000000004</v>
      </c>
      <c r="B209">
        <v>61.817239966695432</v>
      </c>
      <c r="C209">
        <v>5.9342008833579314</v>
      </c>
      <c r="H209">
        <v>6.18</v>
      </c>
      <c r="I209">
        <v>1.75</v>
      </c>
    </row>
    <row r="210" spans="1:9" x14ac:dyDescent="0.25">
      <c r="A210">
        <v>6.0590000000000002</v>
      </c>
      <c r="B210">
        <v>61.991127294510022</v>
      </c>
      <c r="C210">
        <v>5.9088423147183056</v>
      </c>
      <c r="H210">
        <v>6.2279999999999998</v>
      </c>
      <c r="I210">
        <v>1.7430000000000001</v>
      </c>
    </row>
    <row r="211" spans="1:9" x14ac:dyDescent="0.25">
      <c r="A211">
        <v>6.0860000000000003</v>
      </c>
      <c r="B211">
        <v>62.157769316998987</v>
      </c>
      <c r="C211">
        <v>6.0138992419396153</v>
      </c>
      <c r="H211">
        <v>6.274</v>
      </c>
      <c r="I211">
        <v>1.772</v>
      </c>
    </row>
    <row r="212" spans="1:9" x14ac:dyDescent="0.25">
      <c r="A212">
        <v>6.1130000000000004</v>
      </c>
      <c r="B212">
        <v>62.19037319096423</v>
      </c>
      <c r="C212">
        <v>6.0609937265560641</v>
      </c>
      <c r="H212">
        <v>6.2830000000000004</v>
      </c>
      <c r="I212">
        <v>1.7849999999999999</v>
      </c>
    </row>
    <row r="213" spans="1:9" x14ac:dyDescent="0.25">
      <c r="A213">
        <v>6.1390000000000002</v>
      </c>
      <c r="B213">
        <v>62.233845022917869</v>
      </c>
      <c r="C213">
        <v>6.0935976005212984</v>
      </c>
      <c r="H213">
        <v>6.2949999999999999</v>
      </c>
      <c r="I213">
        <v>1.794</v>
      </c>
    </row>
    <row r="214" spans="1:9" x14ac:dyDescent="0.25">
      <c r="A214">
        <v>6.1660000000000004</v>
      </c>
      <c r="B214">
        <v>62.208486454278237</v>
      </c>
      <c r="C214">
        <v>5.981295367974381</v>
      </c>
      <c r="H214">
        <v>6.2880000000000003</v>
      </c>
      <c r="I214">
        <v>1.7629999999999999</v>
      </c>
    </row>
    <row r="215" spans="1:9" x14ac:dyDescent="0.25">
      <c r="A215">
        <v>6.1929999999999996</v>
      </c>
      <c r="B215">
        <v>62.360637866115987</v>
      </c>
      <c r="C215">
        <v>5.9124649673811085</v>
      </c>
      <c r="H215">
        <v>6.33</v>
      </c>
      <c r="I215">
        <v>1.744</v>
      </c>
    </row>
    <row r="216" spans="1:9" x14ac:dyDescent="0.25">
      <c r="A216">
        <v>6.2190000000000003</v>
      </c>
      <c r="B216">
        <v>62.494676014639744</v>
      </c>
      <c r="C216">
        <v>5.9160876200439141</v>
      </c>
      <c r="H216">
        <v>6.367</v>
      </c>
      <c r="I216">
        <v>1.7450000000000001</v>
      </c>
    </row>
    <row r="217" spans="1:9" x14ac:dyDescent="0.25">
      <c r="A217">
        <v>6.2460000000000004</v>
      </c>
      <c r="B217">
        <v>62.545393151918994</v>
      </c>
      <c r="C217">
        <v>5.9486914940091475</v>
      </c>
      <c r="H217">
        <v>6.3810000000000002</v>
      </c>
      <c r="I217">
        <v>1.754</v>
      </c>
    </row>
    <row r="218" spans="1:9" x14ac:dyDescent="0.25">
      <c r="A218">
        <v>6.2729999999999997</v>
      </c>
      <c r="B218">
        <v>62.65769538446591</v>
      </c>
      <c r="C218">
        <v>6.0175218946024192</v>
      </c>
      <c r="H218">
        <v>6.4119999999999999</v>
      </c>
      <c r="I218">
        <v>1.7729999999999999</v>
      </c>
    </row>
    <row r="219" spans="1:9" x14ac:dyDescent="0.25">
      <c r="A219">
        <v>6.2990000000000004</v>
      </c>
      <c r="B219">
        <v>63.059809830037125</v>
      </c>
      <c r="C219">
        <v>6.0283898525908306</v>
      </c>
      <c r="H219">
        <v>6.5229999999999997</v>
      </c>
      <c r="I219">
        <v>1.776</v>
      </c>
    </row>
    <row r="220" spans="1:9" x14ac:dyDescent="0.25">
      <c r="A220">
        <v>6.3259999999999996</v>
      </c>
      <c r="B220">
        <v>63.327886127084618</v>
      </c>
      <c r="C220">
        <v>6.021144547265223</v>
      </c>
      <c r="H220">
        <v>6.5970000000000004</v>
      </c>
      <c r="I220">
        <v>1.774</v>
      </c>
    </row>
    <row r="221" spans="1:9" x14ac:dyDescent="0.25">
      <c r="A221">
        <v>6.3529999999999998</v>
      </c>
      <c r="B221">
        <v>63.345999390398639</v>
      </c>
      <c r="C221">
        <v>6.021144547265223</v>
      </c>
      <c r="H221">
        <v>6.6020000000000003</v>
      </c>
      <c r="I221">
        <v>1.774</v>
      </c>
    </row>
    <row r="222" spans="1:9" x14ac:dyDescent="0.25">
      <c r="A222">
        <v>6.3789999999999996</v>
      </c>
      <c r="B222">
        <v>63.628566298097319</v>
      </c>
      <c r="C222">
        <v>6.0863522951956917</v>
      </c>
      <c r="H222">
        <v>6.68</v>
      </c>
      <c r="I222">
        <v>1.792</v>
      </c>
    </row>
    <row r="223" spans="1:9" x14ac:dyDescent="0.25">
      <c r="A223">
        <v>6.4059999999999997</v>
      </c>
      <c r="B223">
        <v>63.885774637156402</v>
      </c>
      <c r="C223">
        <v>6.1262014744865327</v>
      </c>
      <c r="H223">
        <v>6.7510000000000003</v>
      </c>
      <c r="I223">
        <v>1.8029999999999999</v>
      </c>
    </row>
    <row r="224" spans="1:9" x14ac:dyDescent="0.25">
      <c r="A224">
        <v>6.4329999999999998</v>
      </c>
      <c r="B224">
        <v>63.929246469110034</v>
      </c>
      <c r="C224">
        <v>6.1189561691609251</v>
      </c>
      <c r="H224">
        <v>6.7629999999999999</v>
      </c>
      <c r="I224">
        <v>1.8009999999999999</v>
      </c>
    </row>
    <row r="225" spans="1:9" x14ac:dyDescent="0.25">
      <c r="A225">
        <v>6.4589999999999996</v>
      </c>
      <c r="B225">
        <v>63.476414886259555</v>
      </c>
      <c r="C225">
        <v>6.0428804632420459</v>
      </c>
      <c r="H225">
        <v>6.6379999999999999</v>
      </c>
      <c r="I225">
        <v>1.78</v>
      </c>
    </row>
    <row r="226" spans="1:9" x14ac:dyDescent="0.25">
      <c r="A226">
        <v>6.4859999999999998</v>
      </c>
      <c r="B226">
        <v>63.067055135362736</v>
      </c>
      <c r="C226">
        <v>6.0066539366140077</v>
      </c>
      <c r="H226">
        <v>6.5250000000000004</v>
      </c>
      <c r="I226">
        <v>1.77</v>
      </c>
    </row>
    <row r="227" spans="1:9" x14ac:dyDescent="0.25">
      <c r="A227">
        <v>6.5129999999999999</v>
      </c>
      <c r="B227">
        <v>62.929394334176209</v>
      </c>
      <c r="C227">
        <v>6.0682390318816717</v>
      </c>
      <c r="H227">
        <v>6.4870000000000001</v>
      </c>
      <c r="I227">
        <v>1.7869999999999999</v>
      </c>
    </row>
    <row r="228" spans="1:9" x14ac:dyDescent="0.25">
      <c r="A228">
        <v>6.5389999999999997</v>
      </c>
      <c r="B228">
        <v>62.918526376187785</v>
      </c>
      <c r="C228">
        <v>6.2131451383938234</v>
      </c>
      <c r="H228">
        <v>6.484</v>
      </c>
      <c r="I228">
        <v>1.827</v>
      </c>
    </row>
    <row r="229" spans="1:9" x14ac:dyDescent="0.25">
      <c r="A229">
        <v>6.5659999999999998</v>
      </c>
      <c r="B229">
        <v>62.951130250153028</v>
      </c>
      <c r="C229">
        <v>6.3652965502315828</v>
      </c>
      <c r="H229">
        <v>6.4930000000000003</v>
      </c>
      <c r="I229">
        <v>1.869</v>
      </c>
    </row>
    <row r="230" spans="1:9" x14ac:dyDescent="0.25">
      <c r="A230">
        <v>6.593</v>
      </c>
      <c r="B230">
        <v>62.896790460210966</v>
      </c>
      <c r="C230">
        <v>6.3979004241968163</v>
      </c>
      <c r="H230">
        <v>6.4779999999999998</v>
      </c>
      <c r="I230">
        <v>1.8779999999999999</v>
      </c>
    </row>
    <row r="231" spans="1:9" x14ac:dyDescent="0.25">
      <c r="A231">
        <v>6.6189999999999998</v>
      </c>
      <c r="B231">
        <v>62.795356185652444</v>
      </c>
      <c r="C231">
        <v>6.2493716650218616</v>
      </c>
      <c r="H231">
        <v>6.45</v>
      </c>
      <c r="I231">
        <v>1.837</v>
      </c>
    </row>
    <row r="232" spans="1:9" x14ac:dyDescent="0.25">
      <c r="A232">
        <v>6.6459999999999999</v>
      </c>
      <c r="B232">
        <v>62.719280479733577</v>
      </c>
      <c r="C232">
        <v>6.1044655585097098</v>
      </c>
      <c r="H232">
        <v>6.4290000000000003</v>
      </c>
      <c r="I232">
        <v>1.7969999999999999</v>
      </c>
    </row>
    <row r="233" spans="1:9" x14ac:dyDescent="0.25">
      <c r="A233">
        <v>6.673</v>
      </c>
      <c r="B233">
        <v>62.693921911093952</v>
      </c>
      <c r="C233">
        <v>6.0320125052536335</v>
      </c>
      <c r="H233">
        <v>6.4219999999999997</v>
      </c>
      <c r="I233">
        <v>1.7769999999999999</v>
      </c>
    </row>
    <row r="234" spans="1:9" x14ac:dyDescent="0.25">
      <c r="A234">
        <v>6.6989999999999998</v>
      </c>
      <c r="B234">
        <v>62.701167216419549</v>
      </c>
      <c r="C234">
        <v>6.0066539366140077</v>
      </c>
      <c r="H234">
        <v>6.4240000000000004</v>
      </c>
      <c r="I234">
        <v>1.77</v>
      </c>
    </row>
    <row r="235" spans="1:9" x14ac:dyDescent="0.25">
      <c r="A235">
        <v>6.726</v>
      </c>
      <c r="B235">
        <v>62.813469448966465</v>
      </c>
      <c r="C235">
        <v>6.0102765892768106</v>
      </c>
      <c r="H235">
        <v>6.4550000000000001</v>
      </c>
      <c r="I235">
        <v>1.7709999999999999</v>
      </c>
    </row>
    <row r="236" spans="1:9" x14ac:dyDescent="0.25">
      <c r="A236">
        <v>6.7530000000000001</v>
      </c>
      <c r="B236">
        <v>62.954752902815819</v>
      </c>
      <c r="C236">
        <v>6.021144547265223</v>
      </c>
      <c r="H236">
        <v>6.4939999999999998</v>
      </c>
      <c r="I236">
        <v>1.774</v>
      </c>
    </row>
    <row r="237" spans="1:9" x14ac:dyDescent="0.25">
      <c r="A237">
        <v>6.7789999999999999</v>
      </c>
      <c r="B237">
        <v>63.092413704002368</v>
      </c>
      <c r="C237">
        <v>6.0465031159048497</v>
      </c>
      <c r="H237">
        <v>6.532</v>
      </c>
      <c r="I237">
        <v>1.7809999999999999</v>
      </c>
    </row>
    <row r="238" spans="1:9" x14ac:dyDescent="0.25">
      <c r="A238">
        <v>6.806</v>
      </c>
      <c r="B238">
        <v>63.211961241874889</v>
      </c>
      <c r="C238">
        <v>6.0718616845444764</v>
      </c>
      <c r="H238">
        <v>6.5650000000000004</v>
      </c>
      <c r="I238">
        <v>1.788</v>
      </c>
    </row>
    <row r="239" spans="1:9" x14ac:dyDescent="0.25">
      <c r="A239">
        <v>6.8330000000000002</v>
      </c>
      <c r="B239">
        <v>63.255433073828527</v>
      </c>
      <c r="C239">
        <v>6.079106989870084</v>
      </c>
      <c r="H239">
        <v>6.577</v>
      </c>
      <c r="I239">
        <v>1.79</v>
      </c>
    </row>
    <row r="240" spans="1:9" x14ac:dyDescent="0.25">
      <c r="A240">
        <v>6.859</v>
      </c>
      <c r="B240">
        <v>63.335131432410215</v>
      </c>
      <c r="C240">
        <v>6.1225788218237289</v>
      </c>
      <c r="H240">
        <v>6.5990000000000002</v>
      </c>
      <c r="I240">
        <v>1.802</v>
      </c>
    </row>
    <row r="241" spans="1:9" x14ac:dyDescent="0.25">
      <c r="A241">
        <v>6.8860000000000001</v>
      </c>
      <c r="B241">
        <v>63.418452443654701</v>
      </c>
      <c r="C241">
        <v>6.1986545277426091</v>
      </c>
      <c r="H241">
        <v>6.6219999999999999</v>
      </c>
      <c r="I241">
        <v>1.823</v>
      </c>
    </row>
    <row r="242" spans="1:9" x14ac:dyDescent="0.25">
      <c r="A242">
        <v>6.9130000000000003</v>
      </c>
      <c r="B242">
        <v>63.480037538922375</v>
      </c>
      <c r="C242">
        <v>6.2131451383938234</v>
      </c>
      <c r="H242">
        <v>6.6390000000000002</v>
      </c>
      <c r="I242">
        <v>1.827</v>
      </c>
    </row>
    <row r="243" spans="1:9" x14ac:dyDescent="0.25">
      <c r="A243">
        <v>6.9390000000000001</v>
      </c>
      <c r="B243">
        <v>63.610453034783305</v>
      </c>
      <c r="C243">
        <v>6.260239623010273</v>
      </c>
      <c r="H243">
        <v>6.6749999999999998</v>
      </c>
      <c r="I243">
        <v>1.84</v>
      </c>
    </row>
    <row r="244" spans="1:9" x14ac:dyDescent="0.25">
      <c r="A244">
        <v>6.9660000000000002</v>
      </c>
      <c r="B244">
        <v>63.686528740702173</v>
      </c>
      <c r="C244">
        <v>6.2674849283358807</v>
      </c>
      <c r="H244">
        <v>6.6959999999999997</v>
      </c>
      <c r="I244">
        <v>1.8420000000000001</v>
      </c>
    </row>
    <row r="245" spans="1:9" x14ac:dyDescent="0.25">
      <c r="A245">
        <v>6.9930000000000003</v>
      </c>
      <c r="B245">
        <v>63.824189541888735</v>
      </c>
      <c r="C245">
        <v>6.2855981916498997</v>
      </c>
      <c r="H245">
        <v>6.734</v>
      </c>
      <c r="I245">
        <v>1.847</v>
      </c>
    </row>
    <row r="246" spans="1:9" x14ac:dyDescent="0.25">
      <c r="A246">
        <v>7.0190000000000001</v>
      </c>
      <c r="B246">
        <v>64.103133796924624</v>
      </c>
      <c r="C246">
        <v>6.3399379815919561</v>
      </c>
      <c r="H246">
        <v>6.8109999999999999</v>
      </c>
      <c r="I246">
        <v>1.8620000000000001</v>
      </c>
    </row>
    <row r="247" spans="1:9" x14ac:dyDescent="0.25">
      <c r="A247">
        <v>7.0460000000000003</v>
      </c>
      <c r="B247">
        <v>64.077775228285006</v>
      </c>
      <c r="C247">
        <v>6.3326926762663494</v>
      </c>
      <c r="H247">
        <v>6.8040000000000003</v>
      </c>
      <c r="I247">
        <v>1.86</v>
      </c>
    </row>
    <row r="248" spans="1:9" x14ac:dyDescent="0.25">
      <c r="A248">
        <v>7.0730000000000004</v>
      </c>
      <c r="B248">
        <v>63.958227690412471</v>
      </c>
      <c r="C248">
        <v>6.2964661496383112</v>
      </c>
      <c r="H248">
        <v>6.7709999999999999</v>
      </c>
      <c r="I248">
        <v>1.85</v>
      </c>
    </row>
    <row r="249" spans="1:9" x14ac:dyDescent="0.25">
      <c r="A249">
        <v>7.0990000000000002</v>
      </c>
      <c r="B249">
        <v>63.563358550166846</v>
      </c>
      <c r="C249">
        <v>6.2022771804054129</v>
      </c>
      <c r="H249">
        <v>6.6619999999999999</v>
      </c>
      <c r="I249">
        <v>1.8240000000000001</v>
      </c>
    </row>
    <row r="250" spans="1:9" x14ac:dyDescent="0.25">
      <c r="A250">
        <v>7.1260000000000003</v>
      </c>
      <c r="B250">
        <v>63.233697157851708</v>
      </c>
      <c r="C250">
        <v>6.140692085137748</v>
      </c>
      <c r="H250">
        <v>6.5709999999999997</v>
      </c>
      <c r="I250">
        <v>1.8069999999999999</v>
      </c>
    </row>
    <row r="251" spans="1:9" x14ac:dyDescent="0.25">
      <c r="A251">
        <v>7.1529999999999996</v>
      </c>
      <c r="B251">
        <v>63.096036356665174</v>
      </c>
      <c r="C251">
        <v>6.1189561691609251</v>
      </c>
      <c r="H251">
        <v>6.5330000000000004</v>
      </c>
      <c r="I251">
        <v>1.8009999999999999</v>
      </c>
    </row>
    <row r="252" spans="1:9" x14ac:dyDescent="0.25">
      <c r="A252">
        <v>7.1790000000000003</v>
      </c>
      <c r="B252">
        <v>63.226451852526104</v>
      </c>
      <c r="C252">
        <v>6.1370694324749442</v>
      </c>
      <c r="H252">
        <v>6.569</v>
      </c>
      <c r="I252">
        <v>1.806</v>
      </c>
    </row>
    <row r="253" spans="1:9" x14ac:dyDescent="0.25">
      <c r="A253">
        <v>7.2060000000000004</v>
      </c>
      <c r="B253">
        <v>63.425697748980312</v>
      </c>
      <c r="C253">
        <v>6.1479373904633556</v>
      </c>
      <c r="H253">
        <v>6.6239999999999997</v>
      </c>
      <c r="I253">
        <v>1.8089999999999999</v>
      </c>
    </row>
    <row r="254" spans="1:9" x14ac:dyDescent="0.25">
      <c r="A254">
        <v>7.2329999999999997</v>
      </c>
      <c r="B254">
        <v>63.650302214074152</v>
      </c>
      <c r="C254">
        <v>6.1769186117657853</v>
      </c>
      <c r="H254">
        <v>6.6859999999999999</v>
      </c>
      <c r="I254">
        <v>1.8169999999999999</v>
      </c>
    </row>
    <row r="255" spans="1:9" x14ac:dyDescent="0.25">
      <c r="A255">
        <v>7.2590000000000003</v>
      </c>
      <c r="B255">
        <v>63.711887309341812</v>
      </c>
      <c r="C255">
        <v>6.1914092224170005</v>
      </c>
      <c r="H255">
        <v>6.7030000000000003</v>
      </c>
      <c r="I255">
        <v>1.821</v>
      </c>
    </row>
    <row r="256" spans="1:9" x14ac:dyDescent="0.25">
      <c r="A256">
        <v>7.2859999999999996</v>
      </c>
      <c r="B256">
        <v>63.722755267330221</v>
      </c>
      <c r="C256">
        <v>6.2058998330682158</v>
      </c>
      <c r="H256">
        <v>6.7060000000000004</v>
      </c>
      <c r="I256">
        <v>1.825</v>
      </c>
    </row>
    <row r="257" spans="1:9" x14ac:dyDescent="0.25">
      <c r="A257">
        <v>7.3129999999999997</v>
      </c>
      <c r="B257">
        <v>63.795208320586298</v>
      </c>
      <c r="C257">
        <v>6.242126359696254</v>
      </c>
      <c r="H257">
        <v>6.726</v>
      </c>
      <c r="I257">
        <v>1.835</v>
      </c>
    </row>
    <row r="258" spans="1:9" x14ac:dyDescent="0.25">
      <c r="A258">
        <v>7.3390000000000004</v>
      </c>
      <c r="B258">
        <v>64.023435438342943</v>
      </c>
      <c r="C258">
        <v>6.3979004241968163</v>
      </c>
      <c r="H258">
        <v>6.7889999999999997</v>
      </c>
      <c r="I258">
        <v>1.8779999999999999</v>
      </c>
    </row>
    <row r="259" spans="1:9" x14ac:dyDescent="0.25">
      <c r="A259">
        <v>7.3659999999999997</v>
      </c>
      <c r="B259">
        <v>64.277021124739207</v>
      </c>
      <c r="C259">
        <v>6.5464291833717727</v>
      </c>
      <c r="H259">
        <v>6.859</v>
      </c>
      <c r="I259">
        <v>1.919</v>
      </c>
    </row>
    <row r="260" spans="1:9" x14ac:dyDescent="0.25">
      <c r="A260">
        <v>7.3929999999999998</v>
      </c>
      <c r="B260">
        <v>64.443663147228179</v>
      </c>
      <c r="C260">
        <v>6.5971463206510261</v>
      </c>
      <c r="H260">
        <v>6.9050000000000002</v>
      </c>
      <c r="I260">
        <v>1.9330000000000001</v>
      </c>
    </row>
    <row r="261" spans="1:9" x14ac:dyDescent="0.25">
      <c r="A261">
        <v>7.4189999999999996</v>
      </c>
      <c r="B261">
        <v>64.436417841902568</v>
      </c>
      <c r="C261">
        <v>6.542806530708968</v>
      </c>
      <c r="H261">
        <v>6.9029999999999996</v>
      </c>
      <c r="I261">
        <v>1.9179999999999999</v>
      </c>
    </row>
    <row r="262" spans="1:9" x14ac:dyDescent="0.25">
      <c r="A262">
        <v>7.4459999999999997</v>
      </c>
      <c r="B262">
        <v>64.363964788646484</v>
      </c>
      <c r="C262">
        <v>6.4993346987553231</v>
      </c>
      <c r="H262">
        <v>6.883</v>
      </c>
      <c r="I262">
        <v>1.9059999999999999</v>
      </c>
    </row>
    <row r="263" spans="1:9" x14ac:dyDescent="0.25">
      <c r="A263">
        <v>7.4729999999999999</v>
      </c>
      <c r="B263">
        <v>64.200945418820339</v>
      </c>
      <c r="C263">
        <v>6.4594855194644811</v>
      </c>
      <c r="H263">
        <v>6.8380000000000001</v>
      </c>
      <c r="I263">
        <v>1.895</v>
      </c>
    </row>
    <row r="264" spans="1:9" x14ac:dyDescent="0.25">
      <c r="A264">
        <v>7.4989999999999997</v>
      </c>
      <c r="B264">
        <v>64.085020533610617</v>
      </c>
      <c r="C264">
        <v>6.5717877520113985</v>
      </c>
      <c r="H264">
        <v>6.806</v>
      </c>
      <c r="I264">
        <v>1.9259999999999999</v>
      </c>
    </row>
    <row r="265" spans="1:9" x14ac:dyDescent="0.25">
      <c r="A265">
        <v>7.5259999999999998</v>
      </c>
      <c r="B265">
        <v>63.91113320579602</v>
      </c>
      <c r="C265">
        <v>6.6261275419534558</v>
      </c>
      <c r="H265">
        <v>6.758</v>
      </c>
      <c r="I265">
        <v>1.9410000000000001</v>
      </c>
    </row>
    <row r="266" spans="1:9" x14ac:dyDescent="0.25">
      <c r="A266">
        <v>7.5529999999999999</v>
      </c>
      <c r="B266">
        <v>63.762604446621054</v>
      </c>
      <c r="C266">
        <v>6.6369954999418672</v>
      </c>
      <c r="H266">
        <v>6.7169999999999996</v>
      </c>
      <c r="I266">
        <v>1.944</v>
      </c>
    </row>
    <row r="267" spans="1:9" x14ac:dyDescent="0.25">
      <c r="A267">
        <v>7.5789999999999997</v>
      </c>
      <c r="B267">
        <v>63.693774046027791</v>
      </c>
      <c r="C267">
        <v>6.6877126372211206</v>
      </c>
      <c r="H267">
        <v>6.6980000000000004</v>
      </c>
      <c r="I267">
        <v>1.958</v>
      </c>
    </row>
    <row r="268" spans="1:9" x14ac:dyDescent="0.25">
      <c r="A268">
        <v>7.6059999999999999</v>
      </c>
      <c r="B268">
        <v>63.635811603422937</v>
      </c>
      <c r="C268">
        <v>6.58265570999981</v>
      </c>
      <c r="H268">
        <v>6.6820000000000004</v>
      </c>
      <c r="I268">
        <v>1.929</v>
      </c>
    </row>
    <row r="269" spans="1:9" x14ac:dyDescent="0.25">
      <c r="A269">
        <v>7.633</v>
      </c>
      <c r="B269">
        <v>63.682906088039381</v>
      </c>
      <c r="C269">
        <v>6.542806530708968</v>
      </c>
      <c r="H269">
        <v>6.6950000000000003</v>
      </c>
      <c r="I269">
        <v>1.9179999999999999</v>
      </c>
    </row>
    <row r="270" spans="1:9" x14ac:dyDescent="0.25">
      <c r="A270">
        <v>7.6589999999999998</v>
      </c>
      <c r="B270">
        <v>63.758981793958263</v>
      </c>
      <c r="C270">
        <v>6.5065800040809307</v>
      </c>
      <c r="H270">
        <v>6.7160000000000002</v>
      </c>
      <c r="I270">
        <v>1.9079999999999999</v>
      </c>
    </row>
    <row r="271" spans="1:9" x14ac:dyDescent="0.25">
      <c r="A271">
        <v>7.6859999999999999</v>
      </c>
      <c r="B271">
        <v>63.787963015260694</v>
      </c>
      <c r="C271">
        <v>6.4667308247900896</v>
      </c>
      <c r="H271">
        <v>6.7240000000000002</v>
      </c>
      <c r="I271">
        <v>1.897</v>
      </c>
    </row>
    <row r="272" spans="1:9" x14ac:dyDescent="0.25">
      <c r="A272">
        <v>7.7130000000000001</v>
      </c>
      <c r="B272">
        <v>63.715509962004624</v>
      </c>
      <c r="C272">
        <v>6.4305042981620506</v>
      </c>
      <c r="H272">
        <v>6.7039999999999997</v>
      </c>
      <c r="I272">
        <v>1.887</v>
      </c>
    </row>
    <row r="273" spans="1:9" x14ac:dyDescent="0.25">
      <c r="A273">
        <v>7.7389999999999999</v>
      </c>
      <c r="B273">
        <v>63.570603855492465</v>
      </c>
      <c r="C273">
        <v>6.401523076859621</v>
      </c>
      <c r="H273">
        <v>6.6639999999999997</v>
      </c>
      <c r="I273">
        <v>1.879</v>
      </c>
    </row>
    <row r="274" spans="1:9" x14ac:dyDescent="0.25">
      <c r="A274">
        <v>7.766</v>
      </c>
      <c r="B274">
        <v>63.447433664957131</v>
      </c>
      <c r="C274">
        <v>6.4051457295224239</v>
      </c>
      <c r="H274">
        <v>6.63</v>
      </c>
      <c r="I274">
        <v>1.88</v>
      </c>
    </row>
    <row r="275" spans="1:9" x14ac:dyDescent="0.25">
      <c r="A275">
        <v>7.7930000000000001</v>
      </c>
      <c r="B275">
        <v>63.389471222352277</v>
      </c>
      <c r="C275">
        <v>6.4341269508248544</v>
      </c>
      <c r="H275">
        <v>6.6139999999999999</v>
      </c>
      <c r="I275">
        <v>1.8879999999999999</v>
      </c>
    </row>
    <row r="276" spans="1:9" x14ac:dyDescent="0.25">
      <c r="A276">
        <v>7.819</v>
      </c>
      <c r="B276">
        <v>63.349622043061437</v>
      </c>
      <c r="C276">
        <v>6.4594855194644811</v>
      </c>
      <c r="H276">
        <v>6.6029999999999998</v>
      </c>
      <c r="I276">
        <v>1.895</v>
      </c>
    </row>
    <row r="277" spans="1:9" x14ac:dyDescent="0.25">
      <c r="A277">
        <v>7.8460000000000001</v>
      </c>
      <c r="B277">
        <v>63.345999390398639</v>
      </c>
      <c r="C277">
        <v>6.481221435441304</v>
      </c>
      <c r="H277">
        <v>6.6020000000000003</v>
      </c>
      <c r="I277">
        <v>1.901</v>
      </c>
    </row>
    <row r="278" spans="1:9" x14ac:dyDescent="0.25">
      <c r="A278">
        <v>7.8730000000000002</v>
      </c>
      <c r="B278">
        <v>63.259055726491333</v>
      </c>
      <c r="C278">
        <v>6.4703534774528926</v>
      </c>
      <c r="H278">
        <v>6.5780000000000003</v>
      </c>
      <c r="I278">
        <v>1.8979999999999999</v>
      </c>
    </row>
    <row r="279" spans="1:9" x14ac:dyDescent="0.25">
      <c r="A279">
        <v>7.899</v>
      </c>
      <c r="B279">
        <v>63.117772272642</v>
      </c>
      <c r="C279">
        <v>6.4703534774528926</v>
      </c>
      <c r="H279">
        <v>6.5389999999999997</v>
      </c>
      <c r="I279">
        <v>1.8979999999999999</v>
      </c>
    </row>
    <row r="280" spans="1:9" x14ac:dyDescent="0.25">
      <c r="A280">
        <v>7.9260000000000002</v>
      </c>
      <c r="B280">
        <v>62.969243513467042</v>
      </c>
      <c r="C280">
        <v>6.5065800040809307</v>
      </c>
      <c r="H280">
        <v>6.4980000000000002</v>
      </c>
      <c r="I280">
        <v>1.9079999999999999</v>
      </c>
    </row>
    <row r="281" spans="1:9" x14ac:dyDescent="0.25">
      <c r="A281">
        <v>7.9530000000000003</v>
      </c>
      <c r="B281">
        <v>62.788110880326855</v>
      </c>
      <c r="C281">
        <v>6.5899010153254185</v>
      </c>
      <c r="H281">
        <v>6.4480000000000004</v>
      </c>
      <c r="I281">
        <v>1.931</v>
      </c>
    </row>
    <row r="282" spans="1:9" x14ac:dyDescent="0.25">
      <c r="A282">
        <v>7.9790000000000001</v>
      </c>
      <c r="B282">
        <v>62.567129067895813</v>
      </c>
      <c r="C282">
        <v>6.7130712058607473</v>
      </c>
      <c r="H282">
        <v>6.3869999999999996</v>
      </c>
      <c r="I282">
        <v>1.9650000000000001</v>
      </c>
    </row>
    <row r="283" spans="1:9" x14ac:dyDescent="0.25">
      <c r="A283">
        <v>8.0060000000000002</v>
      </c>
      <c r="B283">
        <v>62.309920728836744</v>
      </c>
      <c r="C283">
        <v>6.7674109958028037</v>
      </c>
      <c r="H283">
        <v>6.3159999999999998</v>
      </c>
      <c r="I283">
        <v>1.98</v>
      </c>
    </row>
    <row r="284" spans="1:9" x14ac:dyDescent="0.25">
      <c r="A284">
        <v>8.0329999999999995</v>
      </c>
      <c r="B284">
        <v>62.414977656058049</v>
      </c>
      <c r="C284">
        <v>6.781901606454019</v>
      </c>
      <c r="H284">
        <v>6.3449999999999998</v>
      </c>
      <c r="I284">
        <v>1.984</v>
      </c>
    </row>
    <row r="285" spans="1:9" x14ac:dyDescent="0.25">
      <c r="A285">
        <v>8.0589999999999993</v>
      </c>
      <c r="B285">
        <v>63.106904314653583</v>
      </c>
      <c r="C285">
        <v>6.7492977324887855</v>
      </c>
      <c r="H285">
        <v>6.5359999999999996</v>
      </c>
      <c r="I285">
        <v>1.9750000000000001</v>
      </c>
    </row>
    <row r="286" spans="1:9" x14ac:dyDescent="0.25">
      <c r="A286">
        <v>8.0860000000000003</v>
      </c>
      <c r="B286">
        <v>63.266301031816937</v>
      </c>
      <c r="C286">
        <v>6.6840899845583168</v>
      </c>
      <c r="H286">
        <v>6.58</v>
      </c>
      <c r="I286">
        <v>1.9570000000000001</v>
      </c>
    </row>
    <row r="287" spans="1:9" x14ac:dyDescent="0.25">
      <c r="A287">
        <v>8.1129999999999995</v>
      </c>
      <c r="B287">
        <v>63.360490001049847</v>
      </c>
      <c r="C287">
        <v>6.644240805267474</v>
      </c>
      <c r="H287">
        <v>6.6059999999999999</v>
      </c>
      <c r="I287">
        <v>1.946</v>
      </c>
    </row>
    <row r="288" spans="1:9" x14ac:dyDescent="0.25">
      <c r="A288">
        <v>8.1389999999999993</v>
      </c>
      <c r="B288">
        <v>62.588864983872647</v>
      </c>
      <c r="C288">
        <v>6.644240805267474</v>
      </c>
      <c r="H288">
        <v>6.3929999999999998</v>
      </c>
      <c r="I288">
        <v>1.946</v>
      </c>
    </row>
    <row r="289" spans="1:9" x14ac:dyDescent="0.25">
      <c r="A289">
        <v>8.1660000000000004</v>
      </c>
      <c r="B289">
        <v>61.762900176753369</v>
      </c>
      <c r="C289">
        <v>6.618882236627849</v>
      </c>
      <c r="H289">
        <v>6.165</v>
      </c>
      <c r="I289">
        <v>1.9390000000000001</v>
      </c>
    </row>
    <row r="290" spans="1:9" x14ac:dyDescent="0.25">
      <c r="A290">
        <v>8.1929999999999996</v>
      </c>
      <c r="B290">
        <v>61.121690655437106</v>
      </c>
      <c r="C290">
        <v>6.622504889290652</v>
      </c>
      <c r="H290">
        <v>5.9880000000000004</v>
      </c>
      <c r="I290">
        <v>1.94</v>
      </c>
    </row>
    <row r="291" spans="1:9" x14ac:dyDescent="0.25">
      <c r="A291">
        <v>8.2189999999999994</v>
      </c>
      <c r="B291">
        <v>60.589160714004954</v>
      </c>
      <c r="C291">
        <v>6.618882236627849</v>
      </c>
      <c r="H291">
        <v>5.8410000000000002</v>
      </c>
      <c r="I291">
        <v>1.9390000000000001</v>
      </c>
    </row>
    <row r="292" spans="1:9" x14ac:dyDescent="0.25">
      <c r="A292">
        <v>8.2460000000000004</v>
      </c>
      <c r="B292">
        <v>60.234140753050184</v>
      </c>
      <c r="C292">
        <v>6.6297501946162596</v>
      </c>
      <c r="H292">
        <v>5.7430000000000003</v>
      </c>
      <c r="I292">
        <v>1.9419999999999999</v>
      </c>
    </row>
    <row r="293" spans="1:9" x14ac:dyDescent="0.25">
      <c r="A293">
        <v>8.2729999999999997</v>
      </c>
      <c r="B293">
        <v>60.049385467247184</v>
      </c>
      <c r="C293">
        <v>6.6623540685814939</v>
      </c>
      <c r="H293">
        <v>5.6920000000000002</v>
      </c>
      <c r="I293">
        <v>1.9510000000000001</v>
      </c>
    </row>
    <row r="294" spans="1:9" x14ac:dyDescent="0.25">
      <c r="A294">
        <v>8.2989999999999995</v>
      </c>
      <c r="B294">
        <v>59.944328540025865</v>
      </c>
      <c r="C294">
        <v>6.7058259005351388</v>
      </c>
      <c r="H294">
        <v>5.6630000000000003</v>
      </c>
      <c r="I294">
        <v>1.9630000000000001</v>
      </c>
    </row>
    <row r="295" spans="1:9" x14ac:dyDescent="0.25">
      <c r="A295">
        <v>8.3260000000000005</v>
      </c>
      <c r="B295">
        <v>59.871875486769802</v>
      </c>
      <c r="C295">
        <v>6.7927695644424304</v>
      </c>
      <c r="H295">
        <v>5.6429999999999998</v>
      </c>
      <c r="I295">
        <v>1.9870000000000001</v>
      </c>
    </row>
    <row r="296" spans="1:9" x14ac:dyDescent="0.25">
      <c r="A296">
        <v>8.3529999999999998</v>
      </c>
      <c r="B296">
        <v>59.694365506292414</v>
      </c>
      <c r="C296">
        <v>6.9304303656289736</v>
      </c>
      <c r="H296">
        <v>5.5940000000000003</v>
      </c>
      <c r="I296">
        <v>2.0249999999999999</v>
      </c>
    </row>
    <row r="297" spans="1:9" x14ac:dyDescent="0.25">
      <c r="A297">
        <v>8.3789999999999996</v>
      </c>
      <c r="B297">
        <v>59.332100240012032</v>
      </c>
      <c r="C297">
        <v>6.9666568922570127</v>
      </c>
      <c r="H297">
        <v>5.4939999999999998</v>
      </c>
      <c r="I297">
        <v>2.0350000000000001</v>
      </c>
    </row>
    <row r="298" spans="1:9" x14ac:dyDescent="0.25">
      <c r="A298">
        <v>8.4060000000000006</v>
      </c>
      <c r="B298">
        <v>58.966212321068852</v>
      </c>
      <c r="C298">
        <v>7.0536005561643034</v>
      </c>
      <c r="H298">
        <v>5.3929999999999998</v>
      </c>
      <c r="I298">
        <v>2.0590000000000002</v>
      </c>
    </row>
    <row r="299" spans="1:9" x14ac:dyDescent="0.25">
      <c r="A299">
        <v>8.4329999999999998</v>
      </c>
      <c r="B299">
        <v>58.527871348869589</v>
      </c>
      <c r="C299">
        <v>7.0209966821990681</v>
      </c>
      <c r="H299">
        <v>5.2720000000000002</v>
      </c>
      <c r="I299">
        <v>2.0499999999999998</v>
      </c>
    </row>
    <row r="300" spans="1:9" x14ac:dyDescent="0.25">
      <c r="A300">
        <v>8.4589999999999996</v>
      </c>
      <c r="B300">
        <v>58.165606082589214</v>
      </c>
      <c r="C300">
        <v>6.9231850603033678</v>
      </c>
      <c r="H300">
        <v>5.1719999999999997</v>
      </c>
      <c r="I300">
        <v>2.0230000000000001</v>
      </c>
    </row>
    <row r="301" spans="1:9" x14ac:dyDescent="0.25">
      <c r="A301">
        <v>8.4860000000000007</v>
      </c>
      <c r="B301">
        <v>60.331952374945871</v>
      </c>
      <c r="C301">
        <v>6.8833358810125249</v>
      </c>
      <c r="H301">
        <v>5.77</v>
      </c>
      <c r="I301">
        <v>2.012</v>
      </c>
    </row>
    <row r="302" spans="1:9" x14ac:dyDescent="0.25">
      <c r="A302">
        <v>8.5129999999999999</v>
      </c>
      <c r="B302">
        <v>73.029349958073155</v>
      </c>
      <c r="C302">
        <v>6.9050717969893469</v>
      </c>
      <c r="H302">
        <v>9.2750000000000004</v>
      </c>
      <c r="I302">
        <v>2.0179999999999998</v>
      </c>
    </row>
    <row r="303" spans="1:9" x14ac:dyDescent="0.25">
      <c r="A303">
        <v>8.5389999999999997</v>
      </c>
      <c r="B303">
        <v>77.423627638054157</v>
      </c>
      <c r="C303">
        <v>6.9594115869314042</v>
      </c>
      <c r="H303">
        <v>10.488</v>
      </c>
      <c r="I303">
        <v>2.0329999999999999</v>
      </c>
    </row>
    <row r="304" spans="1:9" x14ac:dyDescent="0.25">
      <c r="A304">
        <v>8.5660000000000007</v>
      </c>
      <c r="B304">
        <v>80.749222782508042</v>
      </c>
      <c r="C304">
        <v>6.9992607662222461</v>
      </c>
      <c r="H304">
        <v>11.406000000000001</v>
      </c>
      <c r="I304">
        <v>2.044</v>
      </c>
    </row>
    <row r="305" spans="1:9" x14ac:dyDescent="0.25">
      <c r="A305">
        <v>8.593</v>
      </c>
      <c r="B305">
        <v>73.022104652747558</v>
      </c>
      <c r="C305">
        <v>7.0644685141527139</v>
      </c>
      <c r="H305">
        <v>9.2729999999999997</v>
      </c>
      <c r="I305">
        <v>2.0619999999999998</v>
      </c>
    </row>
    <row r="306" spans="1:9" x14ac:dyDescent="0.25">
      <c r="A306">
        <v>8.6189999999999998</v>
      </c>
      <c r="B306">
        <v>62.277316854871522</v>
      </c>
      <c r="C306">
        <v>7.1079403461063588</v>
      </c>
      <c r="H306">
        <v>6.3070000000000004</v>
      </c>
      <c r="I306">
        <v>2.0739999999999998</v>
      </c>
    </row>
    <row r="307" spans="1:9" x14ac:dyDescent="0.25">
      <c r="A307">
        <v>8.6460000000000008</v>
      </c>
      <c r="B307">
        <v>57.683793278436305</v>
      </c>
      <c r="C307">
        <v>7.1550348307228093</v>
      </c>
      <c r="H307">
        <v>5.0389999999999997</v>
      </c>
      <c r="I307">
        <v>2.0870000000000002</v>
      </c>
    </row>
    <row r="308" spans="1:9" x14ac:dyDescent="0.25">
      <c r="A308">
        <v>8.673</v>
      </c>
      <c r="B308">
        <v>56.19126038136114</v>
      </c>
      <c r="C308">
        <v>7.1803933993624351</v>
      </c>
      <c r="H308">
        <v>4.6269999999999998</v>
      </c>
      <c r="I308">
        <v>2.0939999999999999</v>
      </c>
    </row>
    <row r="309" spans="1:9" x14ac:dyDescent="0.25">
      <c r="A309">
        <v>8.6989999999999998</v>
      </c>
      <c r="B309">
        <v>55.655107787266189</v>
      </c>
      <c r="C309">
        <v>7.2129972733276704</v>
      </c>
      <c r="H309">
        <v>4.4790000000000001</v>
      </c>
      <c r="I309">
        <v>2.1030000000000002</v>
      </c>
    </row>
    <row r="310" spans="1:9" x14ac:dyDescent="0.25">
      <c r="A310">
        <v>8.7260000000000009</v>
      </c>
      <c r="B310">
        <v>55.118955193171224</v>
      </c>
      <c r="C310">
        <v>7.2202425786532771</v>
      </c>
      <c r="H310">
        <v>4.3310000000000004</v>
      </c>
      <c r="I310">
        <v>2.105</v>
      </c>
    </row>
    <row r="311" spans="1:9" x14ac:dyDescent="0.25">
      <c r="A311">
        <v>8.7530000000000001</v>
      </c>
      <c r="B311">
        <v>54.5212175038086</v>
      </c>
      <c r="C311">
        <v>7.1985066626764551</v>
      </c>
      <c r="H311">
        <v>4.1660000000000004</v>
      </c>
      <c r="I311">
        <v>2.0990000000000002</v>
      </c>
    </row>
    <row r="312" spans="1:9" x14ac:dyDescent="0.25">
      <c r="A312">
        <v>8.7789999999999999</v>
      </c>
      <c r="B312">
        <v>53.919857161783163</v>
      </c>
      <c r="C312">
        <v>7.2202425786532771</v>
      </c>
      <c r="H312">
        <v>4</v>
      </c>
      <c r="I312">
        <v>2.105</v>
      </c>
    </row>
    <row r="313" spans="1:9" x14ac:dyDescent="0.25">
      <c r="A313">
        <v>8.8059999999999992</v>
      </c>
      <c r="B313">
        <v>53.238798461176053</v>
      </c>
      <c r="C313">
        <v>7.2166199259904742</v>
      </c>
      <c r="H313">
        <v>3.8119999999999998</v>
      </c>
      <c r="I313">
        <v>2.1040000000000001</v>
      </c>
    </row>
    <row r="314" spans="1:9" x14ac:dyDescent="0.25">
      <c r="A314">
        <v>8.8330000000000002</v>
      </c>
      <c r="B314">
        <v>52.525135886603714</v>
      </c>
      <c r="C314">
        <v>7.2238652313160809</v>
      </c>
      <c r="H314">
        <v>3.6150000000000002</v>
      </c>
      <c r="I314">
        <v>2.1059999999999999</v>
      </c>
    </row>
    <row r="315" spans="1:9" x14ac:dyDescent="0.25">
      <c r="A315">
        <v>8.859</v>
      </c>
      <c r="B315">
        <v>51.768001480077722</v>
      </c>
      <c r="C315">
        <v>7.2383558419672962</v>
      </c>
      <c r="H315">
        <v>3.4060000000000001</v>
      </c>
      <c r="I315">
        <v>2.11</v>
      </c>
    </row>
    <row r="316" spans="1:9" x14ac:dyDescent="0.25">
      <c r="A316">
        <v>8.8859999999999992</v>
      </c>
      <c r="B316">
        <v>51.057961558168174</v>
      </c>
      <c r="C316">
        <v>7.2963182845721564</v>
      </c>
      <c r="H316">
        <v>3.21</v>
      </c>
      <c r="I316">
        <v>2.1259999999999999</v>
      </c>
    </row>
    <row r="317" spans="1:9" x14ac:dyDescent="0.25">
      <c r="A317">
        <v>8.9130000000000003</v>
      </c>
      <c r="B317">
        <v>50.376902857561063</v>
      </c>
      <c r="C317">
        <v>7.3325448112001954</v>
      </c>
      <c r="H317">
        <v>3.0219999999999998</v>
      </c>
      <c r="I317">
        <v>2.1360000000000001</v>
      </c>
    </row>
    <row r="318" spans="1:9" x14ac:dyDescent="0.25">
      <c r="A318">
        <v>8.9390000000000001</v>
      </c>
      <c r="B318">
        <v>49.587164577069835</v>
      </c>
      <c r="C318">
        <v>7.3506580745142145</v>
      </c>
      <c r="H318">
        <v>2.8039999999999998</v>
      </c>
      <c r="I318">
        <v>2.141</v>
      </c>
    </row>
    <row r="319" spans="1:9" x14ac:dyDescent="0.25">
      <c r="A319">
        <v>8.9659999999999993</v>
      </c>
      <c r="B319">
        <v>48.757577117287767</v>
      </c>
      <c r="C319">
        <v>7.3723939904910356</v>
      </c>
      <c r="H319">
        <v>2.5750000000000002</v>
      </c>
      <c r="I319">
        <v>2.1469999999999998</v>
      </c>
    </row>
    <row r="320" spans="1:9" x14ac:dyDescent="0.25">
      <c r="A320">
        <v>8.9930000000000003</v>
      </c>
      <c r="B320">
        <v>47.837423340935608</v>
      </c>
      <c r="C320">
        <v>7.4086205171190747</v>
      </c>
      <c r="H320">
        <v>2.3210000000000002</v>
      </c>
      <c r="I320">
        <v>2.157</v>
      </c>
    </row>
    <row r="321" spans="1:9" x14ac:dyDescent="0.25">
      <c r="A321">
        <v>9.0190000000000001</v>
      </c>
      <c r="B321">
        <v>47.149119335002887</v>
      </c>
      <c r="C321">
        <v>7.444847043747111</v>
      </c>
      <c r="H321">
        <v>2.1309999999999998</v>
      </c>
      <c r="I321">
        <v>2.1669999999999998</v>
      </c>
    </row>
    <row r="322" spans="1:9" x14ac:dyDescent="0.25">
      <c r="A322">
        <v>9.0459999999999994</v>
      </c>
      <c r="B322">
        <v>46.689042446826804</v>
      </c>
      <c r="C322">
        <v>7.5209227496659921</v>
      </c>
      <c r="H322">
        <v>2.004</v>
      </c>
      <c r="I322">
        <v>2.1880000000000002</v>
      </c>
    </row>
    <row r="323" spans="1:9" x14ac:dyDescent="0.25">
      <c r="A323">
        <v>9.0730000000000004</v>
      </c>
      <c r="B323">
        <v>45.906549471661187</v>
      </c>
      <c r="C323">
        <v>7.5969984555848722</v>
      </c>
      <c r="H323">
        <v>1.788</v>
      </c>
      <c r="I323">
        <v>2.2090000000000001</v>
      </c>
    </row>
    <row r="324" spans="1:9" x14ac:dyDescent="0.25">
      <c r="A324">
        <v>9.0990000000000002</v>
      </c>
      <c r="B324">
        <v>45.076962011879118</v>
      </c>
      <c r="C324">
        <v>7.6585835508525362</v>
      </c>
      <c r="H324">
        <v>1.5589999999999999</v>
      </c>
      <c r="I324">
        <v>2.226</v>
      </c>
    </row>
    <row r="325" spans="1:9" x14ac:dyDescent="0.25">
      <c r="A325">
        <v>9.1259999999999994</v>
      </c>
      <c r="B325">
        <v>43.674995431374057</v>
      </c>
      <c r="C325">
        <v>7.6984327301433781</v>
      </c>
      <c r="H325">
        <v>1.1719999999999999</v>
      </c>
      <c r="I325">
        <v>2.2370000000000001</v>
      </c>
    </row>
    <row r="326" spans="1:9" x14ac:dyDescent="0.25">
      <c r="A326">
        <v>9.1530000000000005</v>
      </c>
      <c r="B326">
        <v>42.39257638874151</v>
      </c>
      <c r="C326">
        <v>7.7672631307366489</v>
      </c>
      <c r="H326">
        <v>0.81799999999999995</v>
      </c>
      <c r="I326">
        <v>2.2559999999999998</v>
      </c>
    </row>
    <row r="327" spans="1:9" x14ac:dyDescent="0.25">
      <c r="A327">
        <v>9.1790000000000003</v>
      </c>
      <c r="B327">
        <v>41.251440799958317</v>
      </c>
      <c r="C327">
        <v>7.8288482260043146</v>
      </c>
      <c r="H327">
        <v>0.503</v>
      </c>
      <c r="I327">
        <v>2.2730000000000001</v>
      </c>
    </row>
    <row r="328" spans="1:9" x14ac:dyDescent="0.25">
      <c r="A328">
        <v>9.2059999999999995</v>
      </c>
      <c r="B328">
        <v>40.244343359698867</v>
      </c>
      <c r="C328">
        <v>7.8542067946439396</v>
      </c>
      <c r="H328">
        <v>0.22500000000000001</v>
      </c>
      <c r="I328">
        <v>2.2799999999999998</v>
      </c>
    </row>
    <row r="329" spans="1:9" x14ac:dyDescent="0.25">
      <c r="A329">
        <v>9.2330000000000005</v>
      </c>
      <c r="B329">
        <v>39.092339812927257</v>
      </c>
      <c r="C329">
        <v>7.9049239319231939</v>
      </c>
      <c r="H329">
        <v>-9.2999999999999999E-2</v>
      </c>
      <c r="I329">
        <v>2.294</v>
      </c>
    </row>
    <row r="330" spans="1:9" x14ac:dyDescent="0.25">
      <c r="A330">
        <v>9.2590000000000003</v>
      </c>
      <c r="B330">
        <v>37.849769949585557</v>
      </c>
      <c r="C330">
        <v>7.9302825005628206</v>
      </c>
      <c r="H330">
        <v>-0.436</v>
      </c>
      <c r="I330">
        <v>2.3010000000000002</v>
      </c>
    </row>
    <row r="331" spans="1:9" x14ac:dyDescent="0.25">
      <c r="A331">
        <v>9.2859999999999996</v>
      </c>
      <c r="B331">
        <v>36.38621827381283</v>
      </c>
      <c r="C331">
        <v>7.9592637218652511</v>
      </c>
      <c r="H331">
        <v>-0.84</v>
      </c>
      <c r="I331">
        <v>2.3090000000000002</v>
      </c>
    </row>
    <row r="332" spans="1:9" x14ac:dyDescent="0.25">
      <c r="A332">
        <v>9.3130000000000006</v>
      </c>
      <c r="B332">
        <v>34.893685376737665</v>
      </c>
      <c r="C332">
        <v>7.9954902484932884</v>
      </c>
      <c r="H332">
        <v>-1.252</v>
      </c>
      <c r="I332">
        <v>2.319</v>
      </c>
    </row>
    <row r="333" spans="1:9" x14ac:dyDescent="0.25">
      <c r="A333">
        <v>9.3390000000000004</v>
      </c>
      <c r="B333">
        <v>33.33956738439484</v>
      </c>
      <c r="C333">
        <v>8.0244714697957189</v>
      </c>
      <c r="H333">
        <v>-1.681</v>
      </c>
      <c r="I333">
        <v>2.327</v>
      </c>
    </row>
    <row r="334" spans="1:9" x14ac:dyDescent="0.25">
      <c r="A334">
        <v>9.3659999999999997</v>
      </c>
      <c r="B334">
        <v>31.665901854179484</v>
      </c>
      <c r="C334">
        <v>8.0570753437609532</v>
      </c>
      <c r="H334">
        <v>-2.1429999999999998</v>
      </c>
      <c r="I334">
        <v>2.3359999999999999</v>
      </c>
    </row>
    <row r="335" spans="1:9" x14ac:dyDescent="0.25">
      <c r="A335">
        <v>9.3930000000000007</v>
      </c>
      <c r="B335">
        <v>29.912537965382455</v>
      </c>
      <c r="C335">
        <v>8.0860565650633838</v>
      </c>
      <c r="H335">
        <v>-2.6269999999999998</v>
      </c>
      <c r="I335">
        <v>2.3439999999999999</v>
      </c>
    </row>
    <row r="336" spans="1:9" x14ac:dyDescent="0.25">
      <c r="A336">
        <v>9.4190000000000005</v>
      </c>
      <c r="B336">
        <v>28.083098370666541</v>
      </c>
      <c r="C336">
        <v>8.1367737023426372</v>
      </c>
      <c r="H336">
        <v>-3.1320000000000001</v>
      </c>
      <c r="I336">
        <v>2.3580000000000001</v>
      </c>
    </row>
    <row r="337" spans="1:9" x14ac:dyDescent="0.25">
      <c r="A337">
        <v>9.4459999999999997</v>
      </c>
      <c r="B337">
        <v>26.297130607904272</v>
      </c>
      <c r="C337">
        <v>8.2019814502731041</v>
      </c>
      <c r="H337">
        <v>-3.625</v>
      </c>
      <c r="I337">
        <v>2.3759999999999999</v>
      </c>
    </row>
    <row r="338" spans="1:9" x14ac:dyDescent="0.25">
      <c r="A338">
        <v>9.4730000000000008</v>
      </c>
      <c r="B338">
        <v>24.569125287746864</v>
      </c>
      <c r="C338">
        <v>8.2853024615175919</v>
      </c>
      <c r="H338">
        <v>-4.1020000000000003</v>
      </c>
      <c r="I338">
        <v>2.399</v>
      </c>
    </row>
    <row r="339" spans="1:9" x14ac:dyDescent="0.25">
      <c r="A339">
        <v>9.4990000000000006</v>
      </c>
      <c r="B339">
        <v>22.93168628415955</v>
      </c>
      <c r="C339">
        <v>8.404849999390116</v>
      </c>
      <c r="H339">
        <v>-4.5540000000000003</v>
      </c>
      <c r="I339">
        <v>2.4319999999999999</v>
      </c>
    </row>
    <row r="340" spans="1:9" x14ac:dyDescent="0.25">
      <c r="A340">
        <v>9.5259999999999998</v>
      </c>
      <c r="B340">
        <v>21.344964417851493</v>
      </c>
      <c r="C340">
        <v>8.5352654952510534</v>
      </c>
      <c r="H340">
        <v>-4.992</v>
      </c>
      <c r="I340">
        <v>2.468</v>
      </c>
    </row>
    <row r="341" spans="1:9" x14ac:dyDescent="0.25">
      <c r="A341">
        <v>9.5530000000000008</v>
      </c>
      <c r="B341">
        <v>19.848808868113526</v>
      </c>
      <c r="C341">
        <v>8.6765489491004022</v>
      </c>
      <c r="H341">
        <v>-5.4050000000000002</v>
      </c>
      <c r="I341">
        <v>2.5070000000000001</v>
      </c>
    </row>
    <row r="342" spans="1:9" x14ac:dyDescent="0.25">
      <c r="A342">
        <v>9.5790000000000006</v>
      </c>
      <c r="B342">
        <v>19.921261921369602</v>
      </c>
      <c r="C342">
        <v>8.7381340443680671</v>
      </c>
      <c r="H342">
        <v>-5.3849999999999998</v>
      </c>
      <c r="I342">
        <v>2.524</v>
      </c>
    </row>
    <row r="343" spans="1:9" x14ac:dyDescent="0.25">
      <c r="A343">
        <v>9.6059999999999999</v>
      </c>
      <c r="B343">
        <v>20.323376366940821</v>
      </c>
      <c r="C343">
        <v>8.8395683189265704</v>
      </c>
      <c r="H343">
        <v>-5.274</v>
      </c>
      <c r="I343">
        <v>2.552</v>
      </c>
    </row>
    <row r="344" spans="1:9" x14ac:dyDescent="0.25">
      <c r="A344">
        <v>9.6329999999999991</v>
      </c>
      <c r="B344">
        <v>19.457562380530717</v>
      </c>
      <c r="C344">
        <v>8.9011534141942352</v>
      </c>
      <c r="H344">
        <v>-5.5129999999999999</v>
      </c>
      <c r="I344">
        <v>2.569</v>
      </c>
    </row>
    <row r="345" spans="1:9" x14ac:dyDescent="0.25">
      <c r="A345">
        <v>9.6590000000000007</v>
      </c>
      <c r="B345">
        <v>16.472496586380394</v>
      </c>
      <c r="C345">
        <v>8.9373799408222752</v>
      </c>
      <c r="H345">
        <v>-6.3369999999999997</v>
      </c>
      <c r="I345">
        <v>2.5790000000000002</v>
      </c>
    </row>
    <row r="346" spans="1:9" x14ac:dyDescent="0.25">
      <c r="A346">
        <v>9.6859999999999999</v>
      </c>
      <c r="B346">
        <v>12.864334534227819</v>
      </c>
      <c r="C346">
        <v>9.024323604729565</v>
      </c>
      <c r="H346">
        <v>-7.3330000000000002</v>
      </c>
      <c r="I346">
        <v>2.6030000000000002</v>
      </c>
    </row>
    <row r="347" spans="1:9" x14ac:dyDescent="0.25">
      <c r="A347">
        <v>9.7129999999999992</v>
      </c>
      <c r="B347">
        <v>11.168933088035645</v>
      </c>
      <c r="C347">
        <v>9.1511164479276967</v>
      </c>
      <c r="H347">
        <v>-7.8010000000000002</v>
      </c>
      <c r="I347">
        <v>2.6379999999999999</v>
      </c>
    </row>
    <row r="348" spans="1:9" x14ac:dyDescent="0.25">
      <c r="A348">
        <v>9.7390000000000008</v>
      </c>
      <c r="B348">
        <v>10.158212995113388</v>
      </c>
      <c r="C348">
        <v>9.2742866384630265</v>
      </c>
      <c r="H348">
        <v>-8.08</v>
      </c>
      <c r="I348">
        <v>2.6720000000000002</v>
      </c>
    </row>
    <row r="349" spans="1:9" x14ac:dyDescent="0.25">
      <c r="A349">
        <v>9.766</v>
      </c>
      <c r="B349">
        <v>9.1438702495283302</v>
      </c>
      <c r="C349">
        <v>9.3720982603587277</v>
      </c>
      <c r="H349">
        <v>-8.36</v>
      </c>
      <c r="I349">
        <v>2.6989999999999998</v>
      </c>
    </row>
    <row r="350" spans="1:9" x14ac:dyDescent="0.25">
      <c r="A350">
        <v>9.7929999999999993</v>
      </c>
      <c r="B350">
        <v>7.8433379435817692</v>
      </c>
      <c r="C350">
        <v>9.4228153976379829</v>
      </c>
      <c r="H350">
        <v>-8.7189999999999994</v>
      </c>
      <c r="I350">
        <v>2.7130000000000001</v>
      </c>
    </row>
    <row r="351" spans="1:9" x14ac:dyDescent="0.25">
      <c r="A351">
        <v>9.8190000000000008</v>
      </c>
      <c r="B351">
        <v>6.5391829849723999</v>
      </c>
      <c r="C351">
        <v>9.4626645769288231</v>
      </c>
      <c r="H351">
        <v>-9.0790000000000006</v>
      </c>
      <c r="I351">
        <v>2.7240000000000002</v>
      </c>
    </row>
    <row r="352" spans="1:9" x14ac:dyDescent="0.25">
      <c r="A352">
        <v>9.8460000000000001</v>
      </c>
      <c r="B352">
        <v>5.4197833121660324</v>
      </c>
      <c r="C352">
        <v>9.6365519047434045</v>
      </c>
      <c r="H352">
        <v>-9.3879999999999999</v>
      </c>
      <c r="I352">
        <v>2.7719999999999998</v>
      </c>
    </row>
    <row r="353" spans="1:9" x14ac:dyDescent="0.25">
      <c r="A353">
        <v>9.8729999999999993</v>
      </c>
      <c r="B353">
        <v>4.4923842304882609</v>
      </c>
      <c r="C353">
        <v>9.8249298432092012</v>
      </c>
      <c r="H353">
        <v>-9.6440000000000001</v>
      </c>
      <c r="I353">
        <v>2.8239999999999998</v>
      </c>
    </row>
    <row r="354" spans="1:9" x14ac:dyDescent="0.25">
      <c r="A354">
        <v>9.8989999999999991</v>
      </c>
      <c r="B354">
        <v>3.6772873813574094</v>
      </c>
      <c r="C354">
        <v>9.9191188124421004</v>
      </c>
      <c r="H354">
        <v>-9.8689999999999998</v>
      </c>
      <c r="I354">
        <v>2.85</v>
      </c>
    </row>
    <row r="355" spans="1:9" x14ac:dyDescent="0.25">
      <c r="A355">
        <v>9.9260000000000002</v>
      </c>
      <c r="B355">
        <v>2.9600021541222574</v>
      </c>
      <c r="C355">
        <v>9.9299867704305136</v>
      </c>
      <c r="H355">
        <v>-10.067</v>
      </c>
      <c r="I355">
        <v>2.8530000000000002</v>
      </c>
    </row>
    <row r="356" spans="1:9" x14ac:dyDescent="0.25">
      <c r="A356">
        <v>9.9529999999999994</v>
      </c>
      <c r="B356">
        <v>2.4600760866553348</v>
      </c>
      <c r="C356">
        <v>9.9118735071164927</v>
      </c>
      <c r="H356">
        <v>-10.205</v>
      </c>
      <c r="I356">
        <v>2.8479999999999999</v>
      </c>
    </row>
    <row r="357" spans="1:9" x14ac:dyDescent="0.25">
      <c r="A357">
        <v>9.9789999999999992</v>
      </c>
      <c r="B357">
        <v>2.202867747596267</v>
      </c>
      <c r="C357">
        <v>9.9589679917329441</v>
      </c>
      <c r="H357">
        <v>-10.276</v>
      </c>
      <c r="I357">
        <v>2.8610000000000002</v>
      </c>
    </row>
    <row r="358" spans="1:9" x14ac:dyDescent="0.25">
      <c r="A358">
        <v>10.006</v>
      </c>
      <c r="B358">
        <v>1.9999991984792513</v>
      </c>
      <c r="C358">
        <v>10.038666350314626</v>
      </c>
      <c r="H358">
        <v>-10.332000000000001</v>
      </c>
      <c r="I358">
        <v>2.883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Peaks</vt:lpstr>
      <vt:lpstr>Summary</vt:lpstr>
      <vt:lpstr>Chromatograms</vt:lpstr>
      <vt:lpstr>Overlay</vt:lpstr>
      <vt:lpstr>UVGrid</vt:lpstr>
      <vt:lpstr>UVSearch</vt:lpstr>
      <vt:lpstr>Database</vt:lpstr>
      <vt:lpstr>Controls</vt:lpstr>
      <vt:lpstr>UVVisData</vt:lpstr>
      <vt:lpstr>NormalisedUVVisData</vt:lpstr>
      <vt:lpstr>PeakLabels</vt:lpstr>
      <vt:lpstr>MSData</vt:lpstr>
      <vt:lpstr>MSSpectra</vt:lpstr>
      <vt:lpstr>MSPeakLabels</vt:lpstr>
      <vt:lpstr>ChromatogramData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Piggott</dc:creator>
  <cp:lastModifiedBy>Radicinol</cp:lastModifiedBy>
  <dcterms:created xsi:type="dcterms:W3CDTF">2016-03-16T04:32:06Z</dcterms:created>
  <dcterms:modified xsi:type="dcterms:W3CDTF">2020-09-28T03:24:01Z</dcterms:modified>
</cp:coreProperties>
</file>